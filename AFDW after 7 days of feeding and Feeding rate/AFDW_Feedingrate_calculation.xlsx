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AFDW after 7 days of feeding and Feeding rate/"/>
    </mc:Choice>
  </mc:AlternateContent>
  <xr:revisionPtr revIDLastSave="28" documentId="13_ncr:1_{F1F343EC-F514-4257-B3C7-45E508AD9E35}" xr6:coauthVersionLast="47" xr6:coauthVersionMax="47" xr10:uidLastSave="{D373877B-299A-4D1B-B36E-09C888C0B3CC}"/>
  <bookViews>
    <workbookView xWindow="28680" yWindow="-120" windowWidth="29040" windowHeight="15720" xr2:uid="{00000000-000D-0000-FFFF-FFFF00000000}"/>
  </bookViews>
  <sheets>
    <sheet name="Sortie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H34" i="2"/>
  <c r="H35" i="2"/>
  <c r="H36" i="2"/>
  <c r="H37" i="2"/>
  <c r="H38" i="2"/>
  <c r="H39" i="2"/>
  <c r="H40" i="2"/>
  <c r="H32" i="2"/>
  <c r="H30" i="2"/>
  <c r="H23" i="2"/>
  <c r="H24" i="2"/>
  <c r="H25" i="2"/>
  <c r="H26" i="2"/>
  <c r="H27" i="2"/>
  <c r="H28" i="2"/>
  <c r="H29" i="2"/>
  <c r="H22" i="2"/>
  <c r="H13" i="2"/>
  <c r="H14" i="2"/>
  <c r="H15" i="2"/>
  <c r="H16" i="2"/>
  <c r="H17" i="2"/>
  <c r="H18" i="2"/>
  <c r="H19" i="2"/>
  <c r="H20" i="2"/>
  <c r="H12" i="2"/>
  <c r="H3" i="2"/>
  <c r="H4" i="2"/>
  <c r="H5" i="2"/>
  <c r="H6" i="2"/>
  <c r="H7" i="2"/>
  <c r="H8" i="2"/>
  <c r="H9" i="2"/>
  <c r="H10" i="2"/>
  <c r="H2" i="2"/>
  <c r="F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2" i="2"/>
  <c r="F23" i="2"/>
  <c r="F24" i="2"/>
  <c r="F25" i="2"/>
  <c r="F26" i="2"/>
  <c r="F27" i="2"/>
  <c r="F28" i="2"/>
  <c r="F29" i="2"/>
  <c r="F30" i="2"/>
  <c r="F32" i="2"/>
  <c r="F33" i="2"/>
  <c r="F34" i="2"/>
  <c r="F35" i="2"/>
  <c r="F36" i="2"/>
  <c r="F37" i="2"/>
  <c r="F38" i="2"/>
  <c r="F39" i="2"/>
  <c r="F40" i="2"/>
  <c r="F2" i="2"/>
  <c r="D3" i="2"/>
  <c r="D4" i="2"/>
  <c r="D5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2" i="2"/>
  <c r="D23" i="2"/>
  <c r="D24" i="2"/>
  <c r="D25" i="2"/>
  <c r="D26" i="2"/>
  <c r="D27" i="2"/>
  <c r="D28" i="2"/>
  <c r="D29" i="2"/>
  <c r="D30" i="2"/>
  <c r="D32" i="2"/>
  <c r="D33" i="2"/>
  <c r="D34" i="2"/>
  <c r="D35" i="2"/>
  <c r="D36" i="2"/>
  <c r="D37" i="2"/>
  <c r="D38" i="2"/>
  <c r="D39" i="2"/>
  <c r="D40" i="2"/>
  <c r="D2" i="2"/>
  <c r="G20" i="2" l="1"/>
  <c r="G22" i="2"/>
  <c r="G34" i="2"/>
  <c r="G7" i="2"/>
  <c r="G33" i="2"/>
  <c r="G28" i="2"/>
  <c r="G15" i="2"/>
  <c r="G6" i="2"/>
  <c r="G40" i="2"/>
  <c r="G27" i="2"/>
  <c r="G14" i="2"/>
  <c r="G35" i="2"/>
  <c r="G8" i="2"/>
  <c r="G19" i="2"/>
  <c r="G39" i="2"/>
  <c r="G26" i="2"/>
  <c r="G13" i="2"/>
  <c r="G2" i="2"/>
  <c r="G38" i="2"/>
  <c r="G32" i="2"/>
  <c r="G25" i="2"/>
  <c r="G18" i="2"/>
  <c r="G12" i="2"/>
  <c r="G5" i="2"/>
  <c r="G37" i="2"/>
  <c r="G30" i="2"/>
  <c r="G24" i="2"/>
  <c r="G17" i="2"/>
  <c r="G10" i="2"/>
  <c r="G4" i="2"/>
  <c r="G36" i="2"/>
  <c r="G29" i="2"/>
  <c r="G23" i="2"/>
  <c r="G16" i="2"/>
  <c r="G9" i="2"/>
  <c r="G3" i="2"/>
</calcChain>
</file>

<file path=xl/sharedStrings.xml><?xml version="1.0" encoding="utf-8"?>
<sst xmlns="http://schemas.openxmlformats.org/spreadsheetml/2006/main" count="50" uniqueCount="50">
  <si>
    <t>sample</t>
  </si>
  <si>
    <t>7, Pro 2, #2</t>
  </si>
  <si>
    <t>7, Pro 2, #3</t>
  </si>
  <si>
    <t>7, Pro 2, #1</t>
  </si>
  <si>
    <t>7, Pro 1, #3</t>
  </si>
  <si>
    <t>7, Pro 1, #2</t>
  </si>
  <si>
    <t>7, Pro 1, #1</t>
  </si>
  <si>
    <t>7, NC, #3</t>
  </si>
  <si>
    <t>7, NC, #2</t>
  </si>
  <si>
    <t>7, NC, #1</t>
  </si>
  <si>
    <t>0, NC, #3</t>
  </si>
  <si>
    <t>0, NC, #2</t>
  </si>
  <si>
    <t>0, NC, #1</t>
  </si>
  <si>
    <t>0, Pro 1, #3</t>
  </si>
  <si>
    <t>0, Pro 1, #2</t>
  </si>
  <si>
    <t>0, Pro 1, #1</t>
  </si>
  <si>
    <t>0, Pro 2, #3</t>
  </si>
  <si>
    <t>0, Pro 2, #2</t>
  </si>
  <si>
    <t>0, Pro 2, #1</t>
  </si>
  <si>
    <t>0, Pro 3, #3</t>
  </si>
  <si>
    <t>0, Pro 3, #2</t>
  </si>
  <si>
    <t>0, Pro 3, #1</t>
  </si>
  <si>
    <t>14, Pro 3, #1</t>
  </si>
  <si>
    <t>14, Pro 3, #2</t>
  </si>
  <si>
    <t>14, Pro 3, #3</t>
  </si>
  <si>
    <t>14, Pro 2, #1</t>
  </si>
  <si>
    <t>14, Pro 2, #2</t>
  </si>
  <si>
    <t>14, Pro 2, #3</t>
  </si>
  <si>
    <t>14, Pro 1, #1</t>
  </si>
  <si>
    <t>14, Pro 1, #2</t>
  </si>
  <si>
    <t>14, Pro 1, #3</t>
  </si>
  <si>
    <t>14, NC, #1</t>
  </si>
  <si>
    <t>14, NC, #2</t>
  </si>
  <si>
    <t>14, NC, #3</t>
  </si>
  <si>
    <t>7, Pro 3, #3</t>
  </si>
  <si>
    <t>7, Pro 3, #2</t>
  </si>
  <si>
    <t>7, Pro 3, #1</t>
  </si>
  <si>
    <t>filter weight (mg)</t>
  </si>
  <si>
    <t>with dried algae (mg)</t>
  </si>
  <si>
    <t>dry mass (dried algae - filter weight) (mg)</t>
  </si>
  <si>
    <t>filter after muffeling  (mg)</t>
  </si>
  <si>
    <t>inorganic material on filter after ashing (mg)</t>
  </si>
  <si>
    <t>afdw (mg)</t>
  </si>
  <si>
    <r>
      <t>afdw (mg/cm</t>
    </r>
    <r>
      <rPr>
        <b/>
        <sz val="10"/>
        <color theme="1"/>
        <rFont val="Calibri"/>
        <family val="2"/>
      </rPr>
      <t>²</t>
    </r>
    <r>
      <rPr>
        <b/>
        <sz val="9.3000000000000007"/>
        <color theme="1"/>
        <rFont val="Calibri"/>
        <family val="2"/>
      </rPr>
      <t>)</t>
    </r>
  </si>
  <si>
    <t>Notes</t>
  </si>
  <si>
    <r>
      <t>1 tile has a surface of 22.09 cm</t>
    </r>
    <r>
      <rPr>
        <b/>
        <sz val="10"/>
        <color theme="1"/>
        <rFont val="Calibri"/>
        <family val="2"/>
      </rPr>
      <t>²</t>
    </r>
  </si>
  <si>
    <t>k</t>
  </si>
  <si>
    <t>feeding rate</t>
  </si>
  <si>
    <t>calculate here, dont just add the values, I want to see the calculations</t>
  </si>
  <si>
    <t>here you can just add the k values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</si>
</sst>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.300000000000000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/>
    <xf numFmtId="1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0" borderId="0" xfId="0" applyFill="1"/>
    <xf numFmtId="14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tabSelected="1" workbookViewId="0">
      <pane ySplit="1" topLeftCell="A5" activePane="bottomLeft" state="frozen"/>
      <selection pane="bottomLeft" activeCell="D7" sqref="D7"/>
    </sheetView>
  </sheetViews>
  <sheetFormatPr baseColWidth="10" defaultRowHeight="14.5" x14ac:dyDescent="0.35"/>
  <sheetData>
    <row r="1" spans="1:13" ht="52.5" thickBot="1" x14ac:dyDescent="0.4">
      <c r="A1" s="2" t="s">
        <v>0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46</v>
      </c>
      <c r="J1" s="6" t="s">
        <v>47</v>
      </c>
      <c r="L1" s="7" t="s">
        <v>45</v>
      </c>
      <c r="M1" s="6" t="s">
        <v>44</v>
      </c>
    </row>
    <row r="2" spans="1:13" x14ac:dyDescent="0.35">
      <c r="A2" s="1" t="s">
        <v>12</v>
      </c>
      <c r="B2">
        <v>130.66</v>
      </c>
      <c r="C2">
        <v>148.41</v>
      </c>
      <c r="D2">
        <f>C2-B2</f>
        <v>17.75</v>
      </c>
      <c r="E2">
        <v>138.72999999999999</v>
      </c>
      <c r="F2">
        <f>E2-B2</f>
        <v>8.0699999999999932</v>
      </c>
      <c r="G2">
        <f>D2-F2</f>
        <v>9.6800000000000068</v>
      </c>
      <c r="H2">
        <f>G2/22.09</f>
        <v>0.43820733363512931</v>
      </c>
      <c r="I2" t="s">
        <v>49</v>
      </c>
      <c r="J2" s="9" t="s">
        <v>48</v>
      </c>
      <c r="K2" s="8"/>
      <c r="L2" s="9"/>
    </row>
    <row r="3" spans="1:13" x14ac:dyDescent="0.35">
      <c r="A3" s="1" t="s">
        <v>11</v>
      </c>
      <c r="B3">
        <v>135.13</v>
      </c>
      <c r="C3">
        <v>162.38999999999999</v>
      </c>
      <c r="D3">
        <f t="shared" ref="D3:D66" si="0">C3-B3</f>
        <v>27.259999999999991</v>
      </c>
      <c r="E3">
        <v>150.63</v>
      </c>
      <c r="F3">
        <f>E3-B3</f>
        <v>15.5</v>
      </c>
      <c r="G3">
        <f>D3-F3</f>
        <v>11.759999999999991</v>
      </c>
      <c r="H3">
        <f t="shared" ref="H3:H10" si="1">G3/22.09</f>
        <v>0.53236758714350341</v>
      </c>
      <c r="J3" s="9"/>
      <c r="L3" s="9"/>
    </row>
    <row r="4" spans="1:13" x14ac:dyDescent="0.35">
      <c r="A4" s="1" t="s">
        <v>10</v>
      </c>
      <c r="B4">
        <v>127.06</v>
      </c>
      <c r="C4">
        <v>138.69</v>
      </c>
      <c r="D4">
        <f t="shared" si="0"/>
        <v>11.629999999999995</v>
      </c>
      <c r="E4">
        <v>129.62</v>
      </c>
      <c r="F4">
        <f>E4-B4</f>
        <v>2.5600000000000023</v>
      </c>
      <c r="G4">
        <f>D4-F4</f>
        <v>9.0699999999999932</v>
      </c>
      <c r="H4">
        <f t="shared" si="1"/>
        <v>0.41059302851969187</v>
      </c>
      <c r="J4" s="9"/>
      <c r="L4" s="9"/>
    </row>
    <row r="5" spans="1:13" x14ac:dyDescent="0.35">
      <c r="A5" s="1" t="s">
        <v>9</v>
      </c>
      <c r="B5">
        <v>127.34</v>
      </c>
      <c r="C5">
        <v>146.9</v>
      </c>
      <c r="D5">
        <f t="shared" si="0"/>
        <v>19.560000000000002</v>
      </c>
      <c r="E5">
        <v>133.44</v>
      </c>
      <c r="F5">
        <f>E5-B5</f>
        <v>6.0999999999999943</v>
      </c>
      <c r="G5">
        <f>D5-F5</f>
        <v>13.460000000000008</v>
      </c>
      <c r="H5">
        <f t="shared" si="1"/>
        <v>0.60932548664554131</v>
      </c>
      <c r="J5" s="9"/>
      <c r="L5" s="9"/>
    </row>
    <row r="6" spans="1:13" x14ac:dyDescent="0.35">
      <c r="A6" s="3" t="s">
        <v>8</v>
      </c>
      <c r="B6">
        <v>130.24</v>
      </c>
      <c r="C6">
        <v>163.54</v>
      </c>
      <c r="D6">
        <f t="shared" si="0"/>
        <v>33.299999999999983</v>
      </c>
      <c r="E6">
        <v>143.44999999999999</v>
      </c>
      <c r="F6">
        <f>E6-B6</f>
        <v>13.20999999999998</v>
      </c>
      <c r="G6">
        <f>D6-F6</f>
        <v>20.090000000000003</v>
      </c>
      <c r="H6">
        <f t="shared" si="1"/>
        <v>0.90946129470348591</v>
      </c>
      <c r="J6" s="9"/>
      <c r="L6" s="9"/>
    </row>
    <row r="7" spans="1:13" x14ac:dyDescent="0.35">
      <c r="A7" s="3" t="s">
        <v>7</v>
      </c>
      <c r="B7">
        <v>125.14</v>
      </c>
      <c r="C7">
        <v>146.88999999999999</v>
      </c>
      <c r="D7">
        <f t="shared" si="0"/>
        <v>21.749999999999986</v>
      </c>
      <c r="E7">
        <v>128.47999999999999</v>
      </c>
      <c r="F7">
        <f>E7-B7</f>
        <v>3.3399999999999892</v>
      </c>
      <c r="G7">
        <f>D7-F7</f>
        <v>18.409999999999997</v>
      </c>
      <c r="H7">
        <f t="shared" si="1"/>
        <v>0.83340878225441362</v>
      </c>
      <c r="J7" s="9"/>
      <c r="L7" s="9"/>
    </row>
    <row r="8" spans="1:13" x14ac:dyDescent="0.35">
      <c r="A8" s="1" t="s">
        <v>31</v>
      </c>
      <c r="B8">
        <v>126.48</v>
      </c>
      <c r="C8">
        <v>166.56</v>
      </c>
      <c r="D8">
        <f t="shared" si="0"/>
        <v>40.08</v>
      </c>
      <c r="E8">
        <v>145.75</v>
      </c>
      <c r="F8">
        <f>E8-B8</f>
        <v>19.269999999999996</v>
      </c>
      <c r="G8">
        <f>D8-F8</f>
        <v>20.810000000000002</v>
      </c>
      <c r="H8">
        <f t="shared" si="1"/>
        <v>0.94205522861023094</v>
      </c>
      <c r="J8" s="9"/>
      <c r="L8" s="9"/>
    </row>
    <row r="9" spans="1:13" x14ac:dyDescent="0.35">
      <c r="A9" s="1" t="s">
        <v>32</v>
      </c>
      <c r="B9">
        <v>140.04</v>
      </c>
      <c r="C9">
        <v>213.67</v>
      </c>
      <c r="D9">
        <f t="shared" si="0"/>
        <v>73.63</v>
      </c>
      <c r="E9">
        <v>188.86</v>
      </c>
      <c r="F9">
        <f>E9-B9</f>
        <v>48.820000000000022</v>
      </c>
      <c r="G9">
        <f>D9-F9</f>
        <v>24.809999999999974</v>
      </c>
      <c r="H9">
        <f t="shared" si="1"/>
        <v>1.1231326392032581</v>
      </c>
      <c r="J9" s="9"/>
      <c r="L9" s="9"/>
    </row>
    <row r="10" spans="1:13" x14ac:dyDescent="0.35">
      <c r="A10" s="1" t="s">
        <v>33</v>
      </c>
      <c r="B10">
        <v>139.26</v>
      </c>
      <c r="C10">
        <v>192.75</v>
      </c>
      <c r="D10">
        <f t="shared" si="0"/>
        <v>53.490000000000009</v>
      </c>
      <c r="E10">
        <v>156.27000000000001</v>
      </c>
      <c r="F10">
        <f>E10-B10</f>
        <v>17.010000000000019</v>
      </c>
      <c r="G10">
        <f>D10-F10</f>
        <v>36.47999999999999</v>
      </c>
      <c r="H10">
        <f t="shared" si="1"/>
        <v>1.6514259846084196</v>
      </c>
      <c r="J10" s="9"/>
      <c r="L10" s="9"/>
    </row>
    <row r="11" spans="1:13" s="5" customFormat="1" x14ac:dyDescent="0.35">
      <c r="A11" s="4"/>
    </row>
    <row r="12" spans="1:13" x14ac:dyDescent="0.35">
      <c r="A12" s="1" t="s">
        <v>15</v>
      </c>
      <c r="B12">
        <v>140.41</v>
      </c>
      <c r="C12">
        <v>155.41999999999999</v>
      </c>
      <c r="D12">
        <f t="shared" si="0"/>
        <v>15.009999999999991</v>
      </c>
      <c r="E12">
        <v>145.32</v>
      </c>
      <c r="F12">
        <f>E12-B12</f>
        <v>4.9099999999999966</v>
      </c>
      <c r="G12">
        <f>D12-F12</f>
        <v>10.099999999999994</v>
      </c>
      <c r="H12">
        <f>G12/22.09</f>
        <v>0.45722046174739678</v>
      </c>
      <c r="J12" s="9"/>
      <c r="L12" s="9"/>
    </row>
    <row r="13" spans="1:13" x14ac:dyDescent="0.35">
      <c r="A13" s="1" t="s">
        <v>14</v>
      </c>
      <c r="B13">
        <v>134.31</v>
      </c>
      <c r="C13">
        <v>156.1</v>
      </c>
      <c r="D13">
        <f t="shared" si="0"/>
        <v>21.789999999999992</v>
      </c>
      <c r="E13">
        <v>145.24</v>
      </c>
      <c r="F13">
        <f>E13-B13</f>
        <v>10.930000000000007</v>
      </c>
      <c r="G13">
        <f>D13-F13</f>
        <v>10.859999999999985</v>
      </c>
      <c r="H13">
        <f t="shared" ref="H13:H20" si="2">G13/22.09</f>
        <v>0.49162516976007176</v>
      </c>
      <c r="J13" s="9"/>
      <c r="L13" s="9"/>
    </row>
    <row r="14" spans="1:13" x14ac:dyDescent="0.35">
      <c r="A14" s="1" t="s">
        <v>13</v>
      </c>
      <c r="B14">
        <v>137.97999999999999</v>
      </c>
      <c r="C14">
        <v>153.22999999999999</v>
      </c>
      <c r="D14">
        <f t="shared" si="0"/>
        <v>15.25</v>
      </c>
      <c r="E14">
        <v>143.07</v>
      </c>
      <c r="F14">
        <f>E14-B14</f>
        <v>5.0900000000000034</v>
      </c>
      <c r="G14">
        <f>D14-F14</f>
        <v>10.159999999999997</v>
      </c>
      <c r="H14">
        <f t="shared" si="2"/>
        <v>0.45993662290629228</v>
      </c>
      <c r="J14" s="9"/>
      <c r="L14" s="9"/>
    </row>
    <row r="15" spans="1:13" x14ac:dyDescent="0.35">
      <c r="A15" s="1" t="s">
        <v>6</v>
      </c>
      <c r="B15">
        <v>129.53</v>
      </c>
      <c r="C15">
        <v>167.19</v>
      </c>
      <c r="D15">
        <f t="shared" si="0"/>
        <v>37.659999999999997</v>
      </c>
      <c r="E15">
        <v>139.96</v>
      </c>
      <c r="F15">
        <f>E15-B15</f>
        <v>10.430000000000007</v>
      </c>
      <c r="G15">
        <f>D15-F15</f>
        <v>27.22999999999999</v>
      </c>
      <c r="H15">
        <f t="shared" si="2"/>
        <v>1.2326844726120412</v>
      </c>
      <c r="J15" s="9"/>
      <c r="L15" s="9"/>
    </row>
    <row r="16" spans="1:13" x14ac:dyDescent="0.35">
      <c r="A16" s="1" t="s">
        <v>5</v>
      </c>
      <c r="B16">
        <v>137.56</v>
      </c>
      <c r="C16">
        <v>198.92</v>
      </c>
      <c r="D16">
        <f t="shared" si="0"/>
        <v>61.359999999999985</v>
      </c>
      <c r="E16">
        <v>171.94</v>
      </c>
      <c r="F16">
        <f>E16-B16</f>
        <v>34.379999999999995</v>
      </c>
      <c r="G16">
        <f>D16-F16</f>
        <v>26.97999999999999</v>
      </c>
      <c r="H16">
        <f t="shared" si="2"/>
        <v>1.2213671344499768</v>
      </c>
      <c r="J16" s="9"/>
      <c r="L16" s="9"/>
    </row>
    <row r="17" spans="1:12" x14ac:dyDescent="0.35">
      <c r="A17" s="1" t="s">
        <v>4</v>
      </c>
      <c r="B17">
        <v>143.28</v>
      </c>
      <c r="C17">
        <v>200.03</v>
      </c>
      <c r="D17">
        <f t="shared" si="0"/>
        <v>56.75</v>
      </c>
      <c r="E17">
        <v>168.66</v>
      </c>
      <c r="F17">
        <f>E17-B17</f>
        <v>25.379999999999995</v>
      </c>
      <c r="G17">
        <f>D17-F17</f>
        <v>31.370000000000005</v>
      </c>
      <c r="H17">
        <f t="shared" si="2"/>
        <v>1.4200995925758264</v>
      </c>
      <c r="J17" s="9"/>
      <c r="L17" s="9"/>
    </row>
    <row r="18" spans="1:12" x14ac:dyDescent="0.35">
      <c r="A18" s="1" t="s">
        <v>28</v>
      </c>
      <c r="B18">
        <v>141.59</v>
      </c>
      <c r="C18">
        <v>189.23</v>
      </c>
      <c r="D18">
        <f t="shared" si="0"/>
        <v>47.639999999999986</v>
      </c>
      <c r="E18">
        <v>159.24</v>
      </c>
      <c r="F18">
        <f>E18-B18</f>
        <v>17.650000000000006</v>
      </c>
      <c r="G18">
        <f>D18-F18</f>
        <v>29.989999999999981</v>
      </c>
      <c r="H18">
        <f t="shared" si="2"/>
        <v>1.3576278859212305</v>
      </c>
      <c r="J18" s="9"/>
      <c r="L18" s="9"/>
    </row>
    <row r="19" spans="1:12" x14ac:dyDescent="0.35">
      <c r="A19" s="1" t="s">
        <v>29</v>
      </c>
      <c r="B19">
        <v>126.15</v>
      </c>
      <c r="C19">
        <v>264.27999999999997</v>
      </c>
      <c r="D19">
        <f t="shared" si="0"/>
        <v>138.12999999999997</v>
      </c>
      <c r="E19">
        <v>216.18</v>
      </c>
      <c r="F19">
        <f>E19-B19</f>
        <v>90.03</v>
      </c>
      <c r="G19">
        <f>D19-F19</f>
        <v>48.099999999999966</v>
      </c>
      <c r="H19">
        <f t="shared" si="2"/>
        <v>2.1774558623811666</v>
      </c>
      <c r="J19" s="9"/>
      <c r="L19" s="9"/>
    </row>
    <row r="20" spans="1:12" x14ac:dyDescent="0.35">
      <c r="A20" s="1" t="s">
        <v>30</v>
      </c>
      <c r="B20">
        <v>130.88</v>
      </c>
      <c r="C20">
        <v>220.51</v>
      </c>
      <c r="D20">
        <f t="shared" si="0"/>
        <v>89.63</v>
      </c>
      <c r="E20">
        <v>181.84</v>
      </c>
      <c r="F20">
        <f>E20-B20</f>
        <v>50.960000000000008</v>
      </c>
      <c r="G20">
        <f>D20-F20</f>
        <v>38.669999999999987</v>
      </c>
      <c r="H20">
        <f t="shared" si="2"/>
        <v>1.7505658669081026</v>
      </c>
      <c r="J20" s="9"/>
      <c r="L20" s="9"/>
    </row>
    <row r="21" spans="1:12" s="5" customFormat="1" x14ac:dyDescent="0.35"/>
    <row r="22" spans="1:12" x14ac:dyDescent="0.35">
      <c r="A22" s="1" t="s">
        <v>18</v>
      </c>
      <c r="B22">
        <v>131.30000000000001</v>
      </c>
      <c r="C22">
        <v>139.47</v>
      </c>
      <c r="D22">
        <f t="shared" si="0"/>
        <v>8.1699999999999875</v>
      </c>
      <c r="E22">
        <v>132.6</v>
      </c>
      <c r="F22">
        <f>E22-B22</f>
        <v>1.2999999999999829</v>
      </c>
      <c r="G22">
        <f>D22-F22</f>
        <v>6.8700000000000045</v>
      </c>
      <c r="H22">
        <f>G22/22.09</f>
        <v>0.31100045269352666</v>
      </c>
      <c r="J22" s="9"/>
      <c r="L22" s="9"/>
    </row>
    <row r="23" spans="1:12" x14ac:dyDescent="0.35">
      <c r="A23" s="1" t="s">
        <v>17</v>
      </c>
      <c r="B23">
        <v>140.66</v>
      </c>
      <c r="C23">
        <v>162.09</v>
      </c>
      <c r="D23">
        <f t="shared" si="0"/>
        <v>21.430000000000007</v>
      </c>
      <c r="E23">
        <v>150.86000000000001</v>
      </c>
      <c r="F23">
        <f>E23-B23</f>
        <v>10.200000000000017</v>
      </c>
      <c r="G23">
        <f>D23-F23</f>
        <v>11.22999999999999</v>
      </c>
      <c r="H23">
        <f t="shared" ref="H23:H29" si="3">G23/22.09</f>
        <v>0.50837483023992713</v>
      </c>
      <c r="J23" s="9"/>
      <c r="L23" s="9"/>
    </row>
    <row r="24" spans="1:12" x14ac:dyDescent="0.35">
      <c r="A24" s="1" t="s">
        <v>16</v>
      </c>
      <c r="B24">
        <v>128.56</v>
      </c>
      <c r="C24">
        <v>144.76</v>
      </c>
      <c r="D24">
        <f t="shared" si="0"/>
        <v>16.199999999999989</v>
      </c>
      <c r="E24">
        <v>133.68</v>
      </c>
      <c r="F24">
        <f>E24-B24</f>
        <v>5.1200000000000045</v>
      </c>
      <c r="G24">
        <f>D24-F24</f>
        <v>11.079999999999984</v>
      </c>
      <c r="H24">
        <f t="shared" si="3"/>
        <v>0.50158442734268827</v>
      </c>
      <c r="J24" s="9"/>
      <c r="L24" s="9"/>
    </row>
    <row r="25" spans="1:12" x14ac:dyDescent="0.35">
      <c r="A25" s="1" t="s">
        <v>3</v>
      </c>
      <c r="B25">
        <v>137.15</v>
      </c>
      <c r="C25">
        <v>163.12</v>
      </c>
      <c r="D25">
        <f t="shared" si="0"/>
        <v>25.97</v>
      </c>
      <c r="E25">
        <v>143.13</v>
      </c>
      <c r="F25">
        <f>E25-B25</f>
        <v>5.9799999999999898</v>
      </c>
      <c r="G25">
        <f>D25-F25</f>
        <v>19.990000000000009</v>
      </c>
      <c r="H25">
        <f t="shared" si="3"/>
        <v>0.90493435943866041</v>
      </c>
      <c r="J25" s="9"/>
      <c r="L25" s="9"/>
    </row>
    <row r="26" spans="1:12" x14ac:dyDescent="0.35">
      <c r="A26" s="1" t="s">
        <v>1</v>
      </c>
      <c r="B26">
        <v>125.86</v>
      </c>
      <c r="C26">
        <v>176.83</v>
      </c>
      <c r="D26">
        <f t="shared" si="0"/>
        <v>50.970000000000013</v>
      </c>
      <c r="E26">
        <v>152.9</v>
      </c>
      <c r="F26">
        <f>E26-B26</f>
        <v>27.040000000000006</v>
      </c>
      <c r="G26">
        <f>D26-F26</f>
        <v>23.930000000000007</v>
      </c>
      <c r="H26">
        <f t="shared" si="3"/>
        <v>1.0832956088727934</v>
      </c>
      <c r="J26" s="9"/>
      <c r="L26" s="9"/>
    </row>
    <row r="27" spans="1:12" x14ac:dyDescent="0.35">
      <c r="A27" s="1" t="s">
        <v>2</v>
      </c>
      <c r="B27">
        <v>140.72999999999999</v>
      </c>
      <c r="C27">
        <v>181.35</v>
      </c>
      <c r="D27">
        <f t="shared" si="0"/>
        <v>40.620000000000005</v>
      </c>
      <c r="E27">
        <v>153.44999999999999</v>
      </c>
      <c r="F27">
        <f>E27-B27</f>
        <v>12.719999999999999</v>
      </c>
      <c r="G27">
        <f>D27-F27</f>
        <v>27.900000000000006</v>
      </c>
      <c r="H27">
        <f t="shared" si="3"/>
        <v>1.2630149388863743</v>
      </c>
      <c r="J27" s="9"/>
      <c r="L27" s="9"/>
    </row>
    <row r="28" spans="1:12" x14ac:dyDescent="0.35">
      <c r="A28" s="1" t="s">
        <v>25</v>
      </c>
      <c r="B28">
        <v>139.01</v>
      </c>
      <c r="C28">
        <v>198.3</v>
      </c>
      <c r="D28">
        <f t="shared" si="0"/>
        <v>59.29000000000002</v>
      </c>
      <c r="E28">
        <v>160.55000000000001</v>
      </c>
      <c r="F28">
        <f>E28-B28</f>
        <v>21.54000000000002</v>
      </c>
      <c r="G28">
        <f>D28-F28</f>
        <v>37.75</v>
      </c>
      <c r="H28">
        <f t="shared" si="3"/>
        <v>1.7089180624717066</v>
      </c>
      <c r="J28" s="9"/>
      <c r="L28" s="9"/>
    </row>
    <row r="29" spans="1:12" x14ac:dyDescent="0.35">
      <c r="A29" s="1" t="s">
        <v>26</v>
      </c>
      <c r="B29">
        <v>141.19999999999999</v>
      </c>
      <c r="C29">
        <v>251.61</v>
      </c>
      <c r="D29">
        <f t="shared" si="0"/>
        <v>110.41000000000003</v>
      </c>
      <c r="E29">
        <v>211.88</v>
      </c>
      <c r="F29">
        <f>E29-B29</f>
        <v>70.680000000000007</v>
      </c>
      <c r="G29">
        <f>D29-F29</f>
        <v>39.730000000000018</v>
      </c>
      <c r="H29">
        <f t="shared" si="3"/>
        <v>1.7985513807152567</v>
      </c>
      <c r="J29" s="9"/>
      <c r="L29" s="9"/>
    </row>
    <row r="30" spans="1:12" x14ac:dyDescent="0.35">
      <c r="A30" s="1" t="s">
        <v>27</v>
      </c>
      <c r="B30">
        <v>130.63999999999999</v>
      </c>
      <c r="C30">
        <v>235.65</v>
      </c>
      <c r="D30">
        <f t="shared" si="0"/>
        <v>105.01000000000002</v>
      </c>
      <c r="E30">
        <v>188.56</v>
      </c>
      <c r="F30">
        <f>E30-B30</f>
        <v>57.920000000000016</v>
      </c>
      <c r="G30">
        <f>D30-F30</f>
        <v>47.09</v>
      </c>
      <c r="H30">
        <f>G30/22.09</f>
        <v>2.1317338162064283</v>
      </c>
      <c r="J30" s="9"/>
      <c r="L30" s="9"/>
    </row>
    <row r="31" spans="1:12" s="5" customFormat="1" x14ac:dyDescent="0.35"/>
    <row r="32" spans="1:12" x14ac:dyDescent="0.35">
      <c r="A32" s="1" t="s">
        <v>21</v>
      </c>
      <c r="B32">
        <v>139.19999999999999</v>
      </c>
      <c r="C32">
        <v>162.63</v>
      </c>
      <c r="D32">
        <f t="shared" si="0"/>
        <v>23.430000000000007</v>
      </c>
      <c r="E32">
        <v>149.33000000000001</v>
      </c>
      <c r="F32">
        <f>E32-B32</f>
        <v>10.130000000000024</v>
      </c>
      <c r="G32">
        <f>D32-F32</f>
        <v>13.299999999999983</v>
      </c>
      <c r="H32">
        <f>G32/22.09</f>
        <v>0.60208239022181909</v>
      </c>
      <c r="J32" s="9"/>
      <c r="L32" s="9"/>
    </row>
    <row r="33" spans="1:12" x14ac:dyDescent="0.35">
      <c r="A33" s="1" t="s">
        <v>20</v>
      </c>
      <c r="B33">
        <v>136.62</v>
      </c>
      <c r="C33">
        <v>157.25</v>
      </c>
      <c r="D33">
        <f t="shared" si="0"/>
        <v>20.629999999999995</v>
      </c>
      <c r="E33">
        <v>145.63999999999999</v>
      </c>
      <c r="F33">
        <f>E33-B33</f>
        <v>9.0199999999999818</v>
      </c>
      <c r="G33">
        <f>D33-F33</f>
        <v>11.610000000000014</v>
      </c>
      <c r="H33">
        <f t="shared" ref="H33:H40" si="4">G33/22.09</f>
        <v>0.52557718424626587</v>
      </c>
      <c r="J33" s="9"/>
      <c r="L33" s="9"/>
    </row>
    <row r="34" spans="1:12" x14ac:dyDescent="0.35">
      <c r="A34" s="1" t="s">
        <v>19</v>
      </c>
      <c r="B34">
        <v>128.85</v>
      </c>
      <c r="C34">
        <v>144.54</v>
      </c>
      <c r="D34">
        <f t="shared" si="0"/>
        <v>15.689999999999998</v>
      </c>
      <c r="E34">
        <v>134.65</v>
      </c>
      <c r="F34">
        <f>E34-B34</f>
        <v>5.8000000000000114</v>
      </c>
      <c r="G34">
        <f>D34-F34</f>
        <v>9.8899999999999864</v>
      </c>
      <c r="H34">
        <f t="shared" si="4"/>
        <v>0.44771389769126241</v>
      </c>
      <c r="J34" s="9"/>
      <c r="L34" s="9"/>
    </row>
    <row r="35" spans="1:12" x14ac:dyDescent="0.35">
      <c r="A35" s="1" t="s">
        <v>36</v>
      </c>
      <c r="B35">
        <v>131.63999999999999</v>
      </c>
      <c r="C35">
        <v>164.87</v>
      </c>
      <c r="D35">
        <f t="shared" si="0"/>
        <v>33.230000000000018</v>
      </c>
      <c r="E35">
        <v>145.47</v>
      </c>
      <c r="F35">
        <f>E35-B35</f>
        <v>13.830000000000013</v>
      </c>
      <c r="G35">
        <f>D35-F35</f>
        <v>19.400000000000006</v>
      </c>
      <c r="H35">
        <f t="shared" si="4"/>
        <v>0.87822544137618863</v>
      </c>
      <c r="J35" s="9"/>
      <c r="L35" s="9"/>
    </row>
    <row r="36" spans="1:12" x14ac:dyDescent="0.35">
      <c r="A36" s="1" t="s">
        <v>35</v>
      </c>
      <c r="B36">
        <v>137</v>
      </c>
      <c r="C36">
        <v>180.26</v>
      </c>
      <c r="D36">
        <f t="shared" si="0"/>
        <v>43.259999999999991</v>
      </c>
      <c r="E36">
        <v>159.44</v>
      </c>
      <c r="F36">
        <f>E36-B36</f>
        <v>22.439999999999998</v>
      </c>
      <c r="G36">
        <f>D36-F36</f>
        <v>20.819999999999993</v>
      </c>
      <c r="H36">
        <f t="shared" si="4"/>
        <v>0.94250792213671319</v>
      </c>
      <c r="J36" s="9"/>
      <c r="L36" s="9"/>
    </row>
    <row r="37" spans="1:12" x14ac:dyDescent="0.35">
      <c r="A37" s="1" t="s">
        <v>34</v>
      </c>
      <c r="B37">
        <v>129.76</v>
      </c>
      <c r="C37">
        <v>205.38</v>
      </c>
      <c r="D37">
        <f t="shared" si="0"/>
        <v>75.62</v>
      </c>
      <c r="E37">
        <v>172.34</v>
      </c>
      <c r="F37">
        <f>E37-B37</f>
        <v>42.580000000000013</v>
      </c>
      <c r="G37">
        <f>D37-F37</f>
        <v>33.039999999999992</v>
      </c>
      <c r="H37">
        <f t="shared" si="4"/>
        <v>1.4956994114984152</v>
      </c>
      <c r="J37" s="9"/>
      <c r="L37" s="9"/>
    </row>
    <row r="38" spans="1:12" x14ac:dyDescent="0.35">
      <c r="A38" s="1" t="s">
        <v>22</v>
      </c>
      <c r="B38">
        <v>127.12</v>
      </c>
      <c r="C38">
        <v>212.14</v>
      </c>
      <c r="D38">
        <f t="shared" si="0"/>
        <v>85.019999999999982</v>
      </c>
      <c r="E38">
        <v>175.39</v>
      </c>
      <c r="F38">
        <f>E38-B38</f>
        <v>48.269999999999982</v>
      </c>
      <c r="G38">
        <f>D38-F38</f>
        <v>36.75</v>
      </c>
      <c r="H38">
        <f t="shared" si="4"/>
        <v>1.6636487098234496</v>
      </c>
      <c r="J38" s="9"/>
      <c r="L38" s="9"/>
    </row>
    <row r="39" spans="1:12" x14ac:dyDescent="0.35">
      <c r="A39" s="1" t="s">
        <v>23</v>
      </c>
      <c r="B39">
        <v>130.59</v>
      </c>
      <c r="C39">
        <v>284.06</v>
      </c>
      <c r="D39">
        <f t="shared" si="0"/>
        <v>153.47</v>
      </c>
      <c r="E39">
        <v>231.37</v>
      </c>
      <c r="F39">
        <f>E39-B39</f>
        <v>100.78</v>
      </c>
      <c r="G39">
        <f>D39-F39</f>
        <v>52.69</v>
      </c>
      <c r="H39">
        <f t="shared" si="4"/>
        <v>2.3852421910366681</v>
      </c>
      <c r="J39" s="9"/>
      <c r="L39" s="9"/>
    </row>
    <row r="40" spans="1:12" x14ac:dyDescent="0.35">
      <c r="A40" s="1" t="s">
        <v>24</v>
      </c>
      <c r="B40">
        <v>125.25</v>
      </c>
      <c r="C40">
        <v>283.51</v>
      </c>
      <c r="D40">
        <f t="shared" si="0"/>
        <v>158.26</v>
      </c>
      <c r="E40">
        <v>225.37</v>
      </c>
      <c r="F40">
        <f>E40-B40</f>
        <v>100.12</v>
      </c>
      <c r="G40">
        <f>D40-F40</f>
        <v>58.139999999999986</v>
      </c>
      <c r="H40">
        <f t="shared" si="4"/>
        <v>2.6319601629696687</v>
      </c>
      <c r="J40" s="9"/>
      <c r="L40" s="9"/>
    </row>
    <row r="41" spans="1:12" s="5" customFormat="1" x14ac:dyDescent="0.35">
      <c r="A41" s="4"/>
    </row>
    <row r="42" spans="1:12" x14ac:dyDescent="0.35">
      <c r="A42" s="1"/>
      <c r="J42" s="9"/>
      <c r="L42" s="9"/>
    </row>
    <row r="43" spans="1:12" x14ac:dyDescent="0.35">
      <c r="A43" s="1"/>
      <c r="J43" s="9"/>
      <c r="L43" s="9"/>
    </row>
    <row r="44" spans="1:12" x14ac:dyDescent="0.35">
      <c r="A44" s="1"/>
      <c r="J44" s="9"/>
      <c r="L44" s="9"/>
    </row>
    <row r="45" spans="1:12" x14ac:dyDescent="0.35">
      <c r="A45" s="1"/>
      <c r="J45" s="9"/>
      <c r="L45" s="9"/>
    </row>
    <row r="46" spans="1:12" x14ac:dyDescent="0.35">
      <c r="A46" s="1"/>
      <c r="J46" s="9"/>
      <c r="L46" s="9"/>
    </row>
    <row r="47" spans="1:12" x14ac:dyDescent="0.35">
      <c r="A47" s="1"/>
      <c r="J47" s="9"/>
      <c r="L47" s="9"/>
    </row>
    <row r="48" spans="1:12" x14ac:dyDescent="0.35">
      <c r="A48" s="1"/>
      <c r="J48" s="9"/>
      <c r="L48" s="9"/>
    </row>
    <row r="49" spans="1:12" x14ac:dyDescent="0.35">
      <c r="A49" s="1"/>
      <c r="J49" s="9"/>
      <c r="L49" s="9"/>
    </row>
    <row r="50" spans="1:12" x14ac:dyDescent="0.35">
      <c r="A50" s="1"/>
      <c r="J50" s="9"/>
      <c r="L50" s="9"/>
    </row>
    <row r="51" spans="1:12" s="5" customFormat="1" x14ac:dyDescent="0.35"/>
    <row r="52" spans="1:12" x14ac:dyDescent="0.35">
      <c r="A52" s="1"/>
      <c r="J52" s="9"/>
      <c r="L52" s="9"/>
    </row>
    <row r="53" spans="1:12" x14ac:dyDescent="0.35">
      <c r="A53" s="1"/>
      <c r="J53" s="9"/>
      <c r="L53" s="9"/>
    </row>
    <row r="54" spans="1:12" x14ac:dyDescent="0.35">
      <c r="A54" s="1"/>
      <c r="J54" s="9"/>
      <c r="L54" s="9"/>
    </row>
    <row r="55" spans="1:12" x14ac:dyDescent="0.35">
      <c r="A55" s="1"/>
      <c r="J55" s="9"/>
      <c r="L55" s="9"/>
    </row>
    <row r="56" spans="1:12" x14ac:dyDescent="0.35">
      <c r="A56" s="1"/>
      <c r="J56" s="9"/>
      <c r="L56" s="9"/>
    </row>
    <row r="57" spans="1:12" x14ac:dyDescent="0.35">
      <c r="A57" s="1"/>
      <c r="J57" s="9"/>
      <c r="L57" s="9"/>
    </row>
    <row r="58" spans="1:12" x14ac:dyDescent="0.35">
      <c r="A58" s="1"/>
      <c r="J58" s="9"/>
      <c r="L58" s="9"/>
    </row>
    <row r="59" spans="1:12" x14ac:dyDescent="0.35">
      <c r="A59" s="1"/>
      <c r="J59" s="9"/>
      <c r="L59" s="9"/>
    </row>
    <row r="60" spans="1:12" x14ac:dyDescent="0.35">
      <c r="A60" s="1"/>
      <c r="J60" s="9"/>
      <c r="L60" s="9"/>
    </row>
    <row r="61" spans="1:12" s="5" customFormat="1" x14ac:dyDescent="0.35"/>
    <row r="62" spans="1:12" x14ac:dyDescent="0.35">
      <c r="A62" s="1"/>
      <c r="J62" s="9"/>
    </row>
    <row r="63" spans="1:12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9"/>
    </row>
    <row r="64" spans="1:12" x14ac:dyDescent="0.35">
      <c r="A64" s="11"/>
      <c r="B64" s="10"/>
      <c r="C64" s="10"/>
      <c r="D64" s="10"/>
      <c r="E64" s="10"/>
      <c r="F64" s="10"/>
      <c r="G64" s="10"/>
      <c r="H64" s="10"/>
      <c r="I64" s="10"/>
      <c r="J64" s="9"/>
    </row>
    <row r="65" spans="1:10" x14ac:dyDescent="0.35">
      <c r="A65" s="11"/>
      <c r="B65" s="10"/>
      <c r="C65" s="10"/>
      <c r="D65" s="10"/>
      <c r="E65" s="10"/>
      <c r="F65" s="10"/>
      <c r="G65" s="10"/>
      <c r="H65" s="10"/>
      <c r="I65" s="10"/>
      <c r="J65" s="9"/>
    </row>
    <row r="66" spans="1:10" x14ac:dyDescent="0.35">
      <c r="A66" s="11"/>
      <c r="B66" s="10"/>
      <c r="C66" s="10"/>
      <c r="D66" s="10"/>
      <c r="E66" s="10"/>
      <c r="F66" s="10"/>
      <c r="G66" s="11"/>
      <c r="H66" s="10"/>
      <c r="I66" s="10"/>
      <c r="J66" s="9"/>
    </row>
    <row r="67" spans="1:10" x14ac:dyDescent="0.35">
      <c r="A67" s="1"/>
      <c r="J67" s="9"/>
    </row>
    <row r="68" spans="1:10" x14ac:dyDescent="0.35">
      <c r="A68" s="1"/>
      <c r="J68" s="9"/>
    </row>
    <row r="69" spans="1:10" x14ac:dyDescent="0.35">
      <c r="A69" s="1"/>
      <c r="J69" s="9"/>
    </row>
    <row r="70" spans="1:10" x14ac:dyDescent="0.35">
      <c r="A70" s="1"/>
      <c r="J70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Sortiert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Sophie Oster</cp:lastModifiedBy>
  <dcterms:created xsi:type="dcterms:W3CDTF">2021-09-15T10:25:25Z</dcterms:created>
  <dcterms:modified xsi:type="dcterms:W3CDTF">2024-05-13T12:42:36Z</dcterms:modified>
</cp:coreProperties>
</file>