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"/>
    </mc:Choice>
  </mc:AlternateContent>
  <xr:revisionPtr revIDLastSave="0" documentId="13_ncr:9_{31F38602-0680-AA4A-89E2-C7FCF7ED5AD0}" xr6:coauthVersionLast="47" xr6:coauthVersionMax="47" xr10:uidLastSave="{00000000-0000-0000-0000-000000000000}"/>
  <bookViews>
    <workbookView xWindow="0" yWindow="560" windowWidth="25600" windowHeight="14600" activeTab="1" xr2:uid="{8E3C5FAF-89AD-2C45-AB6C-C6C62FB2312C}"/>
  </bookViews>
  <sheets>
    <sheet name="week 1" sheetId="1" r:id="rId1"/>
    <sheet name="Sheet1" sheetId="4" r:id="rId2"/>
    <sheet name="week 2" sheetId="2" r:id="rId3"/>
    <sheet name="Sheet3" sheetId="3" r:id="rId4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102" i="4" l="1"/>
  <c r="I126" i="4"/>
  <c r="K132" i="4"/>
  <c r="K130" i="4"/>
  <c r="K129" i="4"/>
  <c r="K127" i="4"/>
  <c r="K126" i="4"/>
  <c r="K125" i="4"/>
  <c r="K124" i="4"/>
  <c r="K123" i="4"/>
  <c r="K122" i="4"/>
  <c r="J132" i="4"/>
  <c r="J130" i="4"/>
  <c r="J129" i="4"/>
  <c r="J127" i="4"/>
  <c r="J126" i="4"/>
  <c r="J125" i="4"/>
  <c r="J124" i="4"/>
  <c r="J123" i="4"/>
  <c r="J122" i="4"/>
  <c r="I132" i="4"/>
  <c r="I129" i="4"/>
  <c r="I127" i="4"/>
  <c r="I125" i="4"/>
  <c r="I124" i="4"/>
  <c r="I123" i="4"/>
  <c r="I122" i="4"/>
  <c r="I2" i="4"/>
  <c r="I55" i="4" l="1"/>
  <c r="I67" i="4"/>
  <c r="J21" i="4"/>
  <c r="I88" i="4"/>
  <c r="I34" i="4"/>
  <c r="J19" i="4"/>
  <c r="J4" i="4"/>
  <c r="I120" i="4"/>
  <c r="I82" i="4"/>
  <c r="K114" i="4"/>
  <c r="K112" i="4"/>
  <c r="K121" i="4"/>
  <c r="K120" i="4"/>
  <c r="K119" i="4"/>
  <c r="K118" i="4"/>
  <c r="K117" i="4"/>
  <c r="K116" i="4"/>
  <c r="K115" i="4"/>
  <c r="K113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5" i="4"/>
  <c r="J106" i="4"/>
  <c r="J107" i="4"/>
  <c r="J104" i="4"/>
  <c r="J103" i="4"/>
  <c r="J101" i="4"/>
  <c r="J100" i="4"/>
  <c r="I121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K81" i="4"/>
  <c r="J81" i="4"/>
  <c r="I99" i="4"/>
  <c r="I98" i="4"/>
  <c r="I97" i="4"/>
  <c r="I96" i="4"/>
  <c r="I95" i="4"/>
  <c r="I94" i="4"/>
  <c r="I93" i="4"/>
  <c r="I92" i="4"/>
  <c r="I91" i="4"/>
  <c r="I90" i="4"/>
  <c r="I89" i="4"/>
  <c r="I87" i="4"/>
  <c r="I86" i="4"/>
  <c r="I85" i="4"/>
  <c r="I84" i="4"/>
  <c r="I83" i="4"/>
  <c r="I81" i="4"/>
  <c r="K80" i="4"/>
  <c r="K79" i="4"/>
  <c r="K78" i="4"/>
  <c r="K77" i="4"/>
  <c r="K75" i="4"/>
  <c r="K74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J80" i="4"/>
  <c r="J79" i="4"/>
  <c r="J77" i="4"/>
  <c r="J75" i="4"/>
  <c r="J74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I80" i="4"/>
  <c r="I79" i="4"/>
  <c r="I78" i="4"/>
  <c r="I77" i="4"/>
  <c r="I75" i="4"/>
  <c r="I74" i="4"/>
  <c r="I72" i="4"/>
  <c r="I71" i="4"/>
  <c r="I70" i="4"/>
  <c r="I69" i="4"/>
  <c r="I65" i="4"/>
  <c r="I66" i="4"/>
  <c r="I64" i="4"/>
  <c r="I63" i="4"/>
  <c r="I62" i="4"/>
  <c r="I61" i="4"/>
  <c r="I60" i="4"/>
  <c r="I59" i="4"/>
  <c r="K58" i="4"/>
  <c r="K57" i="4"/>
  <c r="K55" i="4"/>
  <c r="K54" i="4"/>
  <c r="K53" i="4"/>
  <c r="K52" i="4"/>
  <c r="K51" i="4"/>
  <c r="K50" i="4"/>
  <c r="K49" i="4"/>
  <c r="K48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0" i="4"/>
  <c r="J58" i="4"/>
  <c r="J57" i="4"/>
  <c r="J55" i="4"/>
  <c r="J54" i="4"/>
  <c r="J53" i="4"/>
  <c r="J52" i="4"/>
  <c r="J51" i="4"/>
  <c r="J50" i="4"/>
  <c r="J49" i="4"/>
  <c r="J48" i="4"/>
  <c r="J46" i="4"/>
  <c r="J45" i="4"/>
  <c r="J44" i="4"/>
  <c r="J43" i="4"/>
  <c r="J42" i="4"/>
  <c r="J41" i="4"/>
  <c r="J40" i="4"/>
  <c r="J39" i="4"/>
  <c r="J37" i="4"/>
  <c r="J36" i="4"/>
  <c r="J35" i="4"/>
  <c r="J34" i="4"/>
  <c r="J33" i="4"/>
  <c r="J32" i="4"/>
  <c r="J30" i="4"/>
  <c r="I58" i="4"/>
  <c r="I57" i="4"/>
  <c r="I54" i="4"/>
  <c r="I53" i="4"/>
  <c r="I52" i="4"/>
  <c r="I51" i="4"/>
  <c r="I50" i="4"/>
  <c r="I49" i="4"/>
  <c r="I48" i="4"/>
  <c r="I46" i="4"/>
  <c r="I45" i="4"/>
  <c r="I44" i="4"/>
  <c r="I43" i="4"/>
  <c r="I42" i="4"/>
  <c r="I41" i="4"/>
  <c r="I40" i="4"/>
  <c r="I39" i="4"/>
  <c r="I38" i="4"/>
  <c r="I37" i="4"/>
  <c r="I36" i="4"/>
  <c r="I35" i="4"/>
  <c r="I33" i="4"/>
  <c r="I32" i="4"/>
  <c r="I30" i="4"/>
  <c r="K29" i="4"/>
  <c r="K28" i="4"/>
  <c r="K27" i="4"/>
  <c r="K26" i="4"/>
  <c r="K25" i="4"/>
  <c r="K24" i="4"/>
  <c r="K23" i="4"/>
  <c r="K22" i="4"/>
  <c r="K21" i="4"/>
  <c r="K20" i="4"/>
  <c r="K19" i="4"/>
  <c r="K18" i="4"/>
  <c r="K11" i="4"/>
  <c r="K12" i="4"/>
  <c r="K14" i="4"/>
  <c r="K15" i="4"/>
  <c r="K16" i="4"/>
  <c r="K17" i="4"/>
  <c r="J29" i="4"/>
  <c r="J28" i="4"/>
  <c r="J27" i="4"/>
  <c r="J26" i="4"/>
  <c r="J25" i="4"/>
  <c r="J24" i="4"/>
  <c r="J23" i="4"/>
  <c r="J22" i="4"/>
  <c r="J20" i="4"/>
  <c r="J18" i="4"/>
  <c r="J17" i="4"/>
  <c r="J16" i="4"/>
  <c r="J15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K13" i="4"/>
  <c r="K10" i="4"/>
  <c r="K9" i="4"/>
  <c r="K8" i="4"/>
  <c r="K7" i="4"/>
  <c r="K6" i="4"/>
  <c r="K5" i="4"/>
  <c r="K4" i="4"/>
  <c r="J14" i="4"/>
  <c r="J13" i="4"/>
  <c r="J12" i="4"/>
  <c r="J11" i="4"/>
  <c r="J10" i="4"/>
  <c r="J9" i="4"/>
  <c r="J8" i="4"/>
  <c r="J7" i="4"/>
  <c r="J6" i="4"/>
  <c r="J5" i="4"/>
  <c r="K3" i="4"/>
  <c r="J3" i="4"/>
  <c r="K2" i="4"/>
  <c r="J2" i="4"/>
  <c r="I14" i="4"/>
  <c r="I13" i="4"/>
  <c r="I12" i="4"/>
  <c r="I11" i="4"/>
  <c r="I10" i="4"/>
  <c r="I5" i="4"/>
  <c r="I8" i="4"/>
  <c r="I9" i="4"/>
  <c r="I7" i="4"/>
  <c r="I6" i="4"/>
  <c r="I4" i="4"/>
  <c r="I3" i="4"/>
  <c r="O43" i="3"/>
  <c r="N43" i="3"/>
  <c r="M43" i="3"/>
  <c r="O33" i="3"/>
  <c r="N33" i="3"/>
  <c r="M33" i="3"/>
  <c r="L33" i="3"/>
  <c r="N43" i="2"/>
  <c r="M43" i="2"/>
  <c r="L43" i="2"/>
  <c r="N33" i="2"/>
  <c r="M33" i="2"/>
  <c r="L33" i="2"/>
  <c r="K33" i="2"/>
  <c r="N42" i="1"/>
  <c r="M42" i="1"/>
  <c r="L42" i="1"/>
  <c r="M33" i="1"/>
  <c r="L33" i="1"/>
  <c r="N33" i="1"/>
  <c r="K33" i="1"/>
</calcChain>
</file>

<file path=xl/sharedStrings.xml><?xml version="1.0" encoding="utf-8"?>
<sst xmlns="http://purl.oclc.org/ooxml/spreadsheetml/main" count="292" uniqueCount="71">
  <si>
    <t>Replicate</t>
  </si>
  <si>
    <t>NC</t>
  </si>
  <si>
    <t>Propyzamide</t>
  </si>
  <si>
    <t>Ciprofloxacin</t>
  </si>
  <si>
    <t>mixture</t>
  </si>
  <si>
    <t>Week 1 Old</t>
  </si>
  <si>
    <t>Week 1 New</t>
  </si>
  <si>
    <t>Week 2 old</t>
  </si>
  <si>
    <t>Week 2 New</t>
  </si>
  <si>
    <t>Week 3 new</t>
  </si>
  <si>
    <t>Week 3 Old</t>
  </si>
  <si>
    <t>WB 1</t>
  </si>
  <si>
    <t>WB 2</t>
  </si>
  <si>
    <t>WB 3</t>
  </si>
  <si>
    <t>WB 4</t>
  </si>
  <si>
    <t>0.3</t>
  </si>
  <si>
    <t>0.177</t>
  </si>
  <si>
    <t>0.38</t>
  </si>
  <si>
    <t>0.235</t>
  </si>
  <si>
    <t>0.194</t>
  </si>
  <si>
    <t>0.326</t>
  </si>
  <si>
    <t>0.295</t>
  </si>
  <si>
    <t>0.267</t>
  </si>
  <si>
    <t>0.156</t>
  </si>
  <si>
    <t>0.18</t>
  </si>
  <si>
    <t>0.314</t>
  </si>
  <si>
    <t>0.128</t>
  </si>
  <si>
    <t>0.123</t>
  </si>
  <si>
    <t>0.119</t>
  </si>
  <si>
    <t>0.377</t>
  </si>
  <si>
    <t>0.445</t>
  </si>
  <si>
    <t>0.136</t>
  </si>
  <si>
    <t>0.317</t>
  </si>
  <si>
    <t>0.116</t>
  </si>
  <si>
    <t>0.078</t>
  </si>
  <si>
    <t>0.545</t>
  </si>
  <si>
    <t>0.237</t>
  </si>
  <si>
    <t xml:space="preserve">  --</t>
  </si>
  <si>
    <t xml:space="preserve"> --</t>
  </si>
  <si>
    <t>0.6</t>
  </si>
  <si>
    <t>0.743</t>
  </si>
  <si>
    <t>0.077</t>
  </si>
  <si>
    <t>0.094</t>
  </si>
  <si>
    <t>Area = 22.09</t>
  </si>
  <si>
    <t xml:space="preserve"> </t>
  </si>
  <si>
    <t xml:space="preserve">  </t>
  </si>
  <si>
    <t>Total</t>
  </si>
  <si>
    <t>Treatment</t>
  </si>
  <si>
    <t>week</t>
  </si>
  <si>
    <t>Mixture</t>
  </si>
  <si>
    <t>Day 0</t>
  </si>
  <si>
    <t>Day 7</t>
  </si>
  <si>
    <t>Grazed Area</t>
  </si>
  <si>
    <t>Area = 44.18</t>
  </si>
  <si>
    <t>Week 1 Day 0</t>
  </si>
  <si>
    <t>Week 1 Day 7</t>
  </si>
  <si>
    <t>Week 2 Day 0</t>
  </si>
  <si>
    <t>Week 2 Day 7</t>
  </si>
  <si>
    <t>Week 3 Day 0</t>
  </si>
  <si>
    <t>Week 3 Day 7</t>
  </si>
  <si>
    <t>treatment</t>
  </si>
  <si>
    <t>replicates</t>
  </si>
  <si>
    <t>kWeek1</t>
  </si>
  <si>
    <t>kWeek2</t>
  </si>
  <si>
    <t>kWeek3</t>
  </si>
  <si>
    <t>Pro</t>
  </si>
  <si>
    <t>Cip</t>
  </si>
  <si>
    <t>Mix</t>
  </si>
  <si>
    <t>WPro</t>
  </si>
  <si>
    <t>WCip</t>
  </si>
  <si>
    <t>WMix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</si>
</sst>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 (Body)"/>
    </font>
    <font>
      <sz val="12"/>
      <color rgb="FFC00000"/>
      <name val="Calibri (Body)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3" fontId="0" fillId="0" borderId="0" xfId="0" quotePrefix="1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E832-CA06-BC48-895C-E089676DA202}">
  <dimension ref="A1:T42"/>
  <sheetViews>
    <sheetView topLeftCell="D6" zoomScale="96" workbookViewId="0">
      <selection activeCell="N38" sqref="N38:N41"/>
    </sheetView>
  </sheetViews>
  <sheetFormatPr baseColWidth="10" defaultRowHeight="16" x14ac:dyDescent="0.2"/>
  <sheetData>
    <row r="1" spans="1:20" x14ac:dyDescent="0.2">
      <c r="A1" s="2" t="s">
        <v>6</v>
      </c>
      <c r="J1" s="2" t="s">
        <v>5</v>
      </c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J2" t="s">
        <v>0</v>
      </c>
      <c r="K2" t="s">
        <v>1</v>
      </c>
      <c r="L2" t="s">
        <v>2</v>
      </c>
      <c r="M2" t="s">
        <v>3</v>
      </c>
      <c r="N2" t="s">
        <v>49</v>
      </c>
      <c r="Q2" s="4" t="s">
        <v>43</v>
      </c>
    </row>
    <row r="3" spans="1:20" x14ac:dyDescent="0.2">
      <c r="A3">
        <v>1</v>
      </c>
      <c r="C3" t="s">
        <v>29</v>
      </c>
      <c r="J3">
        <v>1</v>
      </c>
      <c r="K3" s="3">
        <v>21776</v>
      </c>
      <c r="L3" s="3">
        <v>20945</v>
      </c>
      <c r="M3" s="3">
        <v>20979</v>
      </c>
      <c r="N3" s="3">
        <v>14935</v>
      </c>
    </row>
    <row r="4" spans="1:20" x14ac:dyDescent="0.2">
      <c r="A4">
        <v>2</v>
      </c>
      <c r="C4" s="3">
        <v>1701</v>
      </c>
      <c r="E4" t="s">
        <v>15</v>
      </c>
      <c r="J4">
        <v>2</v>
      </c>
      <c r="K4" s="3">
        <v>18889</v>
      </c>
      <c r="L4" s="3">
        <v>18616</v>
      </c>
      <c r="M4" s="3">
        <v>22090</v>
      </c>
      <c r="N4" s="3">
        <v>21133</v>
      </c>
      <c r="Q4" t="s">
        <v>53</v>
      </c>
    </row>
    <row r="5" spans="1:20" x14ac:dyDescent="0.2">
      <c r="A5">
        <v>3</v>
      </c>
      <c r="C5" s="3">
        <v>1097</v>
      </c>
      <c r="J5">
        <v>3</v>
      </c>
      <c r="K5" s="3">
        <v>19173</v>
      </c>
      <c r="L5" s="3">
        <v>16231</v>
      </c>
      <c r="M5" s="3">
        <v>22090</v>
      </c>
      <c r="N5" s="3">
        <v>14041</v>
      </c>
    </row>
    <row r="6" spans="1:20" x14ac:dyDescent="0.2">
      <c r="A6">
        <v>4</v>
      </c>
      <c r="C6" s="3">
        <v>1765</v>
      </c>
      <c r="E6" t="s">
        <v>16</v>
      </c>
      <c r="J6">
        <v>4</v>
      </c>
      <c r="K6" s="3">
        <v>21374</v>
      </c>
      <c r="L6" s="3">
        <v>11645</v>
      </c>
      <c r="M6" s="3">
        <v>21479</v>
      </c>
      <c r="N6" s="3">
        <v>21798</v>
      </c>
    </row>
    <row r="7" spans="1:20" x14ac:dyDescent="0.2">
      <c r="A7">
        <v>5</v>
      </c>
      <c r="B7" t="s">
        <v>26</v>
      </c>
      <c r="C7" s="3">
        <v>2497</v>
      </c>
      <c r="J7">
        <v>5</v>
      </c>
      <c r="K7" s="3">
        <v>21361</v>
      </c>
      <c r="L7" s="3">
        <v>15236</v>
      </c>
      <c r="M7" s="3">
        <v>22090</v>
      </c>
      <c r="N7" s="3">
        <v>18698</v>
      </c>
    </row>
    <row r="8" spans="1:20" x14ac:dyDescent="0.2">
      <c r="A8">
        <v>6</v>
      </c>
      <c r="C8" t="s">
        <v>30</v>
      </c>
      <c r="J8">
        <v>6</v>
      </c>
      <c r="K8" s="3">
        <v>19250</v>
      </c>
      <c r="L8" s="3">
        <v>13042</v>
      </c>
      <c r="M8" s="3">
        <v>21151</v>
      </c>
      <c r="N8" s="3">
        <v>19321</v>
      </c>
      <c r="P8" t="s">
        <v>48</v>
      </c>
      <c r="Q8" t="s">
        <v>47</v>
      </c>
      <c r="R8" t="s">
        <v>50</v>
      </c>
      <c r="S8" t="s">
        <v>51</v>
      </c>
      <c r="T8" t="s">
        <v>52</v>
      </c>
    </row>
    <row r="9" spans="1:20" x14ac:dyDescent="0.2">
      <c r="A9">
        <v>7</v>
      </c>
      <c r="B9" t="s">
        <v>27</v>
      </c>
      <c r="C9" t="s">
        <v>31</v>
      </c>
      <c r="J9">
        <v>7</v>
      </c>
      <c r="K9" s="3">
        <v>19282</v>
      </c>
      <c r="L9" s="3">
        <v>16761</v>
      </c>
      <c r="M9" s="3">
        <v>21480</v>
      </c>
      <c r="N9" s="3">
        <v>21313</v>
      </c>
      <c r="P9" s="3">
        <v>1</v>
      </c>
      <c r="Q9" t="s">
        <v>1</v>
      </c>
      <c r="R9" s="3">
        <v>640610</v>
      </c>
      <c r="S9" s="3">
        <v>557082</v>
      </c>
      <c r="T9" s="3">
        <v>83528</v>
      </c>
    </row>
    <row r="10" spans="1:20" x14ac:dyDescent="0.2">
      <c r="A10">
        <v>8</v>
      </c>
      <c r="E10" t="s">
        <v>17</v>
      </c>
      <c r="J10">
        <v>8</v>
      </c>
      <c r="K10" s="3">
        <v>21314</v>
      </c>
      <c r="L10" s="3">
        <v>16862</v>
      </c>
      <c r="M10" s="3">
        <v>21339</v>
      </c>
      <c r="N10" s="3">
        <v>19619</v>
      </c>
      <c r="P10" s="3">
        <v>1</v>
      </c>
      <c r="Q10" t="s">
        <v>2</v>
      </c>
      <c r="R10" s="3">
        <v>618520</v>
      </c>
      <c r="S10" s="3">
        <v>463126</v>
      </c>
      <c r="T10" s="3">
        <v>115394</v>
      </c>
    </row>
    <row r="11" spans="1:20" x14ac:dyDescent="0.2">
      <c r="A11">
        <v>9</v>
      </c>
      <c r="E11" t="s">
        <v>18</v>
      </c>
      <c r="J11">
        <v>9</v>
      </c>
      <c r="K11" s="3">
        <v>21476</v>
      </c>
      <c r="L11" s="3">
        <v>13030</v>
      </c>
      <c r="M11" s="3">
        <v>21754</v>
      </c>
      <c r="N11" s="3">
        <v>21322</v>
      </c>
      <c r="P11" s="3">
        <v>1</v>
      </c>
      <c r="Q11" t="s">
        <v>3</v>
      </c>
      <c r="R11" s="3">
        <v>618520</v>
      </c>
      <c r="S11" s="3">
        <v>589296</v>
      </c>
      <c r="T11" s="3">
        <v>29224</v>
      </c>
    </row>
    <row r="12" spans="1:20" x14ac:dyDescent="0.2">
      <c r="A12">
        <v>10</v>
      </c>
      <c r="C12" s="3">
        <v>1063</v>
      </c>
      <c r="J12">
        <v>10</v>
      </c>
      <c r="K12" s="3">
        <v>20536</v>
      </c>
      <c r="L12" s="3">
        <v>11712</v>
      </c>
      <c r="M12" s="3">
        <v>20452</v>
      </c>
      <c r="N12" s="3">
        <v>21545</v>
      </c>
      <c r="P12" s="3">
        <v>1</v>
      </c>
      <c r="Q12" t="s">
        <v>49</v>
      </c>
      <c r="R12" s="3">
        <v>662700</v>
      </c>
      <c r="S12" s="3">
        <v>590725</v>
      </c>
      <c r="T12" s="3">
        <v>71975</v>
      </c>
    </row>
    <row r="13" spans="1:20" x14ac:dyDescent="0.2">
      <c r="A13">
        <v>11</v>
      </c>
      <c r="C13" s="3">
        <v>2513</v>
      </c>
      <c r="J13">
        <v>11</v>
      </c>
      <c r="K13" s="3">
        <v>21306</v>
      </c>
      <c r="L13" s="3">
        <v>12703</v>
      </c>
      <c r="M13" s="3">
        <v>19303</v>
      </c>
      <c r="N13" s="3">
        <v>18440</v>
      </c>
    </row>
    <row r="14" spans="1:20" x14ac:dyDescent="0.2">
      <c r="A14">
        <v>12</v>
      </c>
      <c r="C14" t="s">
        <v>32</v>
      </c>
      <c r="D14" t="s">
        <v>37</v>
      </c>
      <c r="E14" t="s">
        <v>19</v>
      </c>
      <c r="J14">
        <v>12</v>
      </c>
      <c r="K14" s="3">
        <v>20504</v>
      </c>
      <c r="L14" s="3">
        <v>11907</v>
      </c>
      <c r="M14">
        <v>0</v>
      </c>
      <c r="N14" s="3">
        <v>19928</v>
      </c>
      <c r="P14" t="s">
        <v>48</v>
      </c>
      <c r="Q14" t="s">
        <v>47</v>
      </c>
      <c r="R14" t="s">
        <v>50</v>
      </c>
      <c r="S14" t="s">
        <v>51</v>
      </c>
      <c r="T14" t="s">
        <v>52</v>
      </c>
    </row>
    <row r="15" spans="1:20" x14ac:dyDescent="0.2">
      <c r="A15">
        <v>13</v>
      </c>
      <c r="E15" t="s">
        <v>21</v>
      </c>
      <c r="J15">
        <v>13</v>
      </c>
      <c r="K15" s="3">
        <v>20814</v>
      </c>
      <c r="L15" s="3">
        <v>15632</v>
      </c>
      <c r="M15" s="3">
        <v>21746</v>
      </c>
      <c r="N15" s="3">
        <v>22090</v>
      </c>
      <c r="P15" s="3">
        <v>2</v>
      </c>
      <c r="Q15" t="s">
        <v>1</v>
      </c>
      <c r="R15" s="3">
        <v>640610</v>
      </c>
      <c r="S15" s="3">
        <v>582229</v>
      </c>
      <c r="T15" s="3">
        <v>58381</v>
      </c>
    </row>
    <row r="16" spans="1:20" x14ac:dyDescent="0.2">
      <c r="A16">
        <v>14</v>
      </c>
      <c r="E16" t="s">
        <v>20</v>
      </c>
      <c r="J16">
        <v>14</v>
      </c>
      <c r="K16" s="3">
        <v>20707</v>
      </c>
      <c r="L16" s="3">
        <v>15193</v>
      </c>
      <c r="M16" s="3">
        <v>21614</v>
      </c>
      <c r="N16" s="3">
        <v>21915</v>
      </c>
      <c r="P16" s="3">
        <v>2</v>
      </c>
      <c r="Q16" t="s">
        <v>2</v>
      </c>
      <c r="R16" s="3">
        <v>596430</v>
      </c>
      <c r="S16" s="3">
        <v>569552</v>
      </c>
      <c r="T16" s="3">
        <v>26878</v>
      </c>
    </row>
    <row r="17" spans="1:20" x14ac:dyDescent="0.2">
      <c r="A17">
        <v>15</v>
      </c>
      <c r="E17" t="s">
        <v>19</v>
      </c>
      <c r="J17">
        <v>15</v>
      </c>
      <c r="K17" s="3">
        <v>20239</v>
      </c>
      <c r="L17" s="3">
        <v>15169</v>
      </c>
      <c r="M17">
        <v>0</v>
      </c>
      <c r="N17" s="3">
        <v>21674</v>
      </c>
      <c r="O17" t="s">
        <v>44</v>
      </c>
      <c r="P17" s="3">
        <v>2</v>
      </c>
      <c r="Q17" t="s">
        <v>3</v>
      </c>
      <c r="R17" s="3">
        <v>574340</v>
      </c>
      <c r="S17" s="3">
        <v>550117</v>
      </c>
      <c r="T17" s="3">
        <v>24223</v>
      </c>
    </row>
    <row r="18" spans="1:20" x14ac:dyDescent="0.2">
      <c r="A18">
        <v>16</v>
      </c>
      <c r="D18" t="s">
        <v>38</v>
      </c>
      <c r="E18" t="s">
        <v>22</v>
      </c>
      <c r="J18">
        <v>16</v>
      </c>
      <c r="K18" s="3">
        <v>21301</v>
      </c>
      <c r="L18">
        <v>0</v>
      </c>
      <c r="M18" s="3">
        <v>21474</v>
      </c>
      <c r="N18" s="5">
        <v>19747</v>
      </c>
      <c r="P18" s="3">
        <v>2</v>
      </c>
      <c r="Q18" t="s">
        <v>49</v>
      </c>
      <c r="R18" s="3">
        <v>662700</v>
      </c>
      <c r="S18" s="3">
        <v>631609</v>
      </c>
      <c r="T18" s="3">
        <v>31091</v>
      </c>
    </row>
    <row r="19" spans="1:20" x14ac:dyDescent="0.2">
      <c r="A19">
        <v>17</v>
      </c>
      <c r="J19">
        <v>17</v>
      </c>
      <c r="K19" s="3">
        <v>18541</v>
      </c>
      <c r="L19" s="3">
        <v>11997</v>
      </c>
      <c r="M19" s="3">
        <v>20648</v>
      </c>
      <c r="N19" s="3">
        <v>16366</v>
      </c>
    </row>
    <row r="20" spans="1:20" x14ac:dyDescent="0.2">
      <c r="A20">
        <v>18</v>
      </c>
      <c r="C20" t="s">
        <v>33</v>
      </c>
      <c r="E20" t="s">
        <v>23</v>
      </c>
      <c r="J20">
        <v>18</v>
      </c>
      <c r="K20" s="3">
        <v>19526</v>
      </c>
      <c r="L20" s="3">
        <v>14181</v>
      </c>
      <c r="M20" s="3">
        <v>20108</v>
      </c>
      <c r="N20" s="3">
        <v>21877</v>
      </c>
      <c r="P20" s="1" t="s">
        <v>48</v>
      </c>
      <c r="Q20" s="1" t="s">
        <v>47</v>
      </c>
      <c r="R20" s="1" t="s">
        <v>50</v>
      </c>
      <c r="S20" s="1" t="s">
        <v>51</v>
      </c>
      <c r="T20" s="1" t="s">
        <v>52</v>
      </c>
    </row>
    <row r="21" spans="1:20" x14ac:dyDescent="0.2">
      <c r="A21">
        <v>19</v>
      </c>
      <c r="J21">
        <v>19</v>
      </c>
      <c r="K21" s="3">
        <v>21640</v>
      </c>
      <c r="L21" s="3">
        <v>20764</v>
      </c>
      <c r="M21" s="3">
        <v>21114</v>
      </c>
      <c r="N21" s="3">
        <v>19717</v>
      </c>
      <c r="P21" s="6">
        <v>3</v>
      </c>
      <c r="Q21" s="1" t="s">
        <v>1</v>
      </c>
      <c r="R21" s="6">
        <v>640610</v>
      </c>
      <c r="S21" s="6">
        <v>623941</v>
      </c>
      <c r="T21" s="6">
        <v>16669</v>
      </c>
    </row>
    <row r="22" spans="1:20" x14ac:dyDescent="0.2">
      <c r="A22">
        <v>20</v>
      </c>
      <c r="J22">
        <v>20</v>
      </c>
      <c r="K22" s="3">
        <v>21419</v>
      </c>
      <c r="L22" s="3">
        <v>21069</v>
      </c>
      <c r="M22" s="3">
        <v>20577</v>
      </c>
      <c r="N22" s="3">
        <v>18527</v>
      </c>
      <c r="P22" s="6">
        <v>3</v>
      </c>
      <c r="Q22" s="1" t="s">
        <v>2</v>
      </c>
      <c r="R22" s="6">
        <v>618520</v>
      </c>
      <c r="S22" s="6">
        <v>590850</v>
      </c>
      <c r="T22" s="6">
        <v>27670</v>
      </c>
    </row>
    <row r="23" spans="1:20" x14ac:dyDescent="0.2">
      <c r="A23">
        <v>21</v>
      </c>
      <c r="C23" t="s">
        <v>34</v>
      </c>
      <c r="J23">
        <v>21</v>
      </c>
      <c r="K23" s="3">
        <v>19234</v>
      </c>
      <c r="L23" s="3">
        <v>16119</v>
      </c>
      <c r="M23" s="3">
        <v>21439</v>
      </c>
      <c r="N23" s="3">
        <v>18782</v>
      </c>
      <c r="P23" s="6">
        <v>3</v>
      </c>
      <c r="Q23" s="1" t="s">
        <v>3</v>
      </c>
      <c r="R23" s="6">
        <v>618520</v>
      </c>
      <c r="S23" s="6">
        <v>590168</v>
      </c>
      <c r="T23" s="6">
        <v>28352</v>
      </c>
    </row>
    <row r="24" spans="1:20" x14ac:dyDescent="0.2">
      <c r="A24">
        <v>22</v>
      </c>
      <c r="J24">
        <v>22</v>
      </c>
      <c r="K24" s="3">
        <v>19043</v>
      </c>
      <c r="L24" s="3">
        <v>17590</v>
      </c>
      <c r="M24" s="3">
        <v>19897</v>
      </c>
      <c r="N24" s="3">
        <v>21710</v>
      </c>
      <c r="P24" s="6">
        <v>3</v>
      </c>
      <c r="Q24" s="1" t="s">
        <v>49</v>
      </c>
      <c r="R24" s="6">
        <v>662700</v>
      </c>
      <c r="S24" s="6">
        <v>638793</v>
      </c>
      <c r="T24" s="6">
        <v>23907</v>
      </c>
    </row>
    <row r="25" spans="1:20" x14ac:dyDescent="0.2">
      <c r="A25">
        <v>23</v>
      </c>
      <c r="J25">
        <v>23</v>
      </c>
      <c r="K25" s="3">
        <v>8004</v>
      </c>
      <c r="L25" s="3">
        <v>17780</v>
      </c>
      <c r="M25" s="3">
        <v>21527</v>
      </c>
      <c r="N25" s="3">
        <v>21833</v>
      </c>
      <c r="P25" s="1"/>
      <c r="Q25" s="1"/>
      <c r="R25" s="1"/>
      <c r="S25" s="1"/>
      <c r="T25" s="1"/>
    </row>
    <row r="26" spans="1:20" x14ac:dyDescent="0.2">
      <c r="A26">
        <v>24</v>
      </c>
      <c r="C26" t="s">
        <v>35</v>
      </c>
      <c r="E26" t="s">
        <v>24</v>
      </c>
      <c r="J26">
        <v>24</v>
      </c>
      <c r="K26" s="3">
        <v>19193</v>
      </c>
      <c r="L26" s="3">
        <v>21361</v>
      </c>
      <c r="M26" s="3">
        <v>21387</v>
      </c>
      <c r="N26" s="3">
        <v>19786</v>
      </c>
    </row>
    <row r="27" spans="1:20" x14ac:dyDescent="0.2">
      <c r="A27">
        <v>25</v>
      </c>
      <c r="C27" t="s">
        <v>38</v>
      </c>
      <c r="J27">
        <v>25</v>
      </c>
      <c r="K27" s="3">
        <v>21091</v>
      </c>
      <c r="L27">
        <v>0</v>
      </c>
      <c r="M27" s="3">
        <v>20798</v>
      </c>
      <c r="N27" s="3">
        <v>20644</v>
      </c>
    </row>
    <row r="28" spans="1:20" x14ac:dyDescent="0.2">
      <c r="A28">
        <v>26</v>
      </c>
      <c r="J28">
        <v>26</v>
      </c>
      <c r="K28" s="3">
        <v>10692</v>
      </c>
      <c r="L28" s="3">
        <v>21484</v>
      </c>
      <c r="M28" s="3">
        <v>19084</v>
      </c>
      <c r="N28" s="3">
        <v>14693</v>
      </c>
    </row>
    <row r="29" spans="1:20" x14ac:dyDescent="0.2">
      <c r="A29">
        <v>27</v>
      </c>
      <c r="C29" t="s">
        <v>36</v>
      </c>
      <c r="J29">
        <v>27</v>
      </c>
      <c r="K29" s="3">
        <v>17586</v>
      </c>
      <c r="L29" s="3">
        <v>18857</v>
      </c>
      <c r="M29" s="3">
        <v>21298</v>
      </c>
      <c r="N29" s="3">
        <v>21652</v>
      </c>
    </row>
    <row r="30" spans="1:20" x14ac:dyDescent="0.2">
      <c r="A30">
        <v>28</v>
      </c>
      <c r="J30">
        <v>28</v>
      </c>
      <c r="K30" s="3">
        <v>14642</v>
      </c>
      <c r="L30" s="3">
        <v>19489</v>
      </c>
      <c r="M30" s="3">
        <v>21471</v>
      </c>
      <c r="N30" s="3">
        <v>15182</v>
      </c>
    </row>
    <row r="31" spans="1:20" x14ac:dyDescent="0.2">
      <c r="A31">
        <v>29</v>
      </c>
      <c r="D31" t="s">
        <v>28</v>
      </c>
      <c r="J31">
        <v>29</v>
      </c>
      <c r="K31" s="3">
        <v>17169</v>
      </c>
      <c r="L31" s="3">
        <v>21711</v>
      </c>
      <c r="M31" s="3">
        <v>21682</v>
      </c>
      <c r="N31" s="3">
        <v>20792</v>
      </c>
      <c r="O31" s="3"/>
    </row>
    <row r="32" spans="1:20" x14ac:dyDescent="0.2">
      <c r="A32">
        <v>30</v>
      </c>
      <c r="B32" t="s">
        <v>37</v>
      </c>
      <c r="E32" t="s">
        <v>25</v>
      </c>
      <c r="J32">
        <v>30</v>
      </c>
      <c r="K32">
        <v>0</v>
      </c>
      <c r="L32" s="3">
        <v>16040</v>
      </c>
      <c r="M32" s="3">
        <v>19225</v>
      </c>
      <c r="N32" s="3">
        <v>21645</v>
      </c>
    </row>
    <row r="33" spans="1:14" x14ac:dyDescent="0.2">
      <c r="A33" t="s">
        <v>11</v>
      </c>
      <c r="C33" t="s">
        <v>40</v>
      </c>
      <c r="D33" t="s">
        <v>42</v>
      </c>
      <c r="J33" t="s">
        <v>46</v>
      </c>
      <c r="K33" s="3">
        <f>SUM(K3:K32)</f>
        <v>557082</v>
      </c>
      <c r="L33" s="3">
        <f>SUM(L3:L32)</f>
        <v>463126</v>
      </c>
      <c r="M33" s="3">
        <f>SUM(M3:M32)</f>
        <v>589296</v>
      </c>
      <c r="N33" s="3">
        <f>SUM(N3:N32)</f>
        <v>590725</v>
      </c>
    </row>
    <row r="34" spans="1:14" x14ac:dyDescent="0.2">
      <c r="A34" t="s">
        <v>12</v>
      </c>
      <c r="C34" s="3">
        <v>1145</v>
      </c>
      <c r="E34" t="s">
        <v>38</v>
      </c>
      <c r="L34" s="3"/>
      <c r="M34" s="3"/>
    </row>
    <row r="35" spans="1:14" x14ac:dyDescent="0.2">
      <c r="A35" t="s">
        <v>13</v>
      </c>
      <c r="C35" t="s">
        <v>39</v>
      </c>
      <c r="D35" t="s">
        <v>38</v>
      </c>
      <c r="E35" t="s">
        <v>41</v>
      </c>
      <c r="L35" s="3"/>
      <c r="N35" s="3"/>
    </row>
    <row r="36" spans="1:14" x14ac:dyDescent="0.2">
      <c r="A36" t="s">
        <v>14</v>
      </c>
      <c r="E36" t="s">
        <v>38</v>
      </c>
      <c r="L36" s="3"/>
      <c r="M36" s="3"/>
    </row>
    <row r="38" spans="1:14" x14ac:dyDescent="0.2">
      <c r="J38" t="s">
        <v>11</v>
      </c>
      <c r="L38" s="3">
        <v>9362</v>
      </c>
      <c r="M38" s="3">
        <v>22090</v>
      </c>
      <c r="N38" s="3">
        <v>0</v>
      </c>
    </row>
    <row r="39" spans="1:14" x14ac:dyDescent="0.2">
      <c r="J39" t="s">
        <v>12</v>
      </c>
      <c r="L39" s="3">
        <v>8663</v>
      </c>
      <c r="M39" s="3">
        <v>22090</v>
      </c>
      <c r="N39">
        <v>0</v>
      </c>
    </row>
    <row r="40" spans="1:14" x14ac:dyDescent="0.2">
      <c r="J40" t="s">
        <v>13</v>
      </c>
      <c r="L40" s="3">
        <v>12491</v>
      </c>
      <c r="M40">
        <v>0</v>
      </c>
      <c r="N40" s="3">
        <v>20710</v>
      </c>
    </row>
    <row r="41" spans="1:14" x14ac:dyDescent="0.2">
      <c r="J41" t="s">
        <v>14</v>
      </c>
      <c r="L41" s="3">
        <v>12939</v>
      </c>
      <c r="M41" s="3">
        <v>22090</v>
      </c>
      <c r="N41">
        <v>0</v>
      </c>
    </row>
    <row r="42" spans="1:14" x14ac:dyDescent="0.2">
      <c r="J42" t="s">
        <v>46</v>
      </c>
      <c r="L42" s="3">
        <f>SUM(L38:L41)</f>
        <v>43455</v>
      </c>
      <c r="M42" s="3">
        <f>SUM(M38:M41)</f>
        <v>66270</v>
      </c>
      <c r="N42" s="3">
        <f>SUM(N38:N41)</f>
        <v>20710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877F-AF83-0B4F-BA04-1F2613976EC1}">
  <dimension ref="A1:K133"/>
  <sheetViews>
    <sheetView tabSelected="1" workbookViewId="0">
      <selection activeCell="C1" sqref="C1"/>
    </sheetView>
  </sheetViews>
  <sheetFormatPr baseColWidth="10" defaultRowHeight="16" x14ac:dyDescent="0.2"/>
  <sheetData>
    <row r="1" spans="1:11" x14ac:dyDescent="0.2">
      <c r="A1" t="s">
        <v>61</v>
      </c>
      <c r="B1" t="s">
        <v>60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62</v>
      </c>
      <c r="J1" t="s">
        <v>63</v>
      </c>
      <c r="K1" t="s">
        <v>64</v>
      </c>
    </row>
    <row r="2" spans="1:11" x14ac:dyDescent="0.2">
      <c r="A2">
        <v>1</v>
      </c>
      <c r="B2" t="s">
        <v>1</v>
      </c>
      <c r="C2" s="3">
        <v>22090</v>
      </c>
      <c r="D2" s="3">
        <v>21776</v>
      </c>
      <c r="E2" s="3">
        <v>22090</v>
      </c>
      <c r="F2" s="6">
        <v>20403</v>
      </c>
      <c r="G2" s="6">
        <v>22090</v>
      </c>
      <c r="H2" s="6">
        <v>20539</v>
      </c>
      <c r="I2">
        <f>C2/D2</f>
        <v>1.0144195444526083</v>
      </c>
      <c r="J2">
        <f t="shared" ref="J2:J30" si="0">E2/F2</f>
        <v>1.082683919031515</v>
      </c>
      <c r="K2">
        <f t="shared" ref="K2:K30" si="1">G2/H2</f>
        <v>1.0755148741418765</v>
      </c>
    </row>
    <row r="3" spans="1:11" x14ac:dyDescent="0.2">
      <c r="A3">
        <v>2</v>
      </c>
      <c r="B3" t="s">
        <v>1</v>
      </c>
      <c r="C3" s="3">
        <v>22090</v>
      </c>
      <c r="D3" s="3">
        <v>18889</v>
      </c>
      <c r="E3" s="3">
        <v>22090</v>
      </c>
      <c r="F3" s="6">
        <v>21706</v>
      </c>
      <c r="G3" s="6">
        <v>22090</v>
      </c>
      <c r="H3" s="6">
        <v>21262</v>
      </c>
      <c r="I3">
        <f t="shared" ref="I3:I30" si="2">C3/D3</f>
        <v>1.1694637090370057</v>
      </c>
      <c r="J3">
        <f t="shared" si="0"/>
        <v>1.0176909610246014</v>
      </c>
      <c r="K3">
        <f t="shared" si="1"/>
        <v>1.0389427147022858</v>
      </c>
    </row>
    <row r="4" spans="1:11" x14ac:dyDescent="0.2">
      <c r="A4">
        <v>3</v>
      </c>
      <c r="B4" t="s">
        <v>1</v>
      </c>
      <c r="C4" s="3">
        <v>22090</v>
      </c>
      <c r="D4" s="3">
        <v>19173</v>
      </c>
      <c r="E4" s="3">
        <v>22090</v>
      </c>
      <c r="F4" s="6">
        <v>20842</v>
      </c>
      <c r="G4" s="6">
        <v>22090</v>
      </c>
      <c r="H4" s="6">
        <v>21830</v>
      </c>
      <c r="I4">
        <f t="shared" si="2"/>
        <v>1.1521410316591039</v>
      </c>
      <c r="J4">
        <f t="shared" si="0"/>
        <v>1.0598790902984359</v>
      </c>
      <c r="K4">
        <f t="shared" si="1"/>
        <v>1.0119102153000459</v>
      </c>
    </row>
    <row r="5" spans="1:11" x14ac:dyDescent="0.2">
      <c r="A5">
        <v>4</v>
      </c>
      <c r="B5" t="s">
        <v>1</v>
      </c>
      <c r="C5" s="3">
        <v>22090</v>
      </c>
      <c r="D5" s="3">
        <v>21374</v>
      </c>
      <c r="E5" s="3">
        <v>22090</v>
      </c>
      <c r="F5" s="6">
        <v>21338</v>
      </c>
      <c r="G5" s="6">
        <v>22090</v>
      </c>
      <c r="H5" s="6">
        <v>21556</v>
      </c>
      <c r="I5">
        <f t="shared" si="2"/>
        <v>1.0334986432113784</v>
      </c>
      <c r="J5">
        <f t="shared" si="0"/>
        <v>1.0352422907488987</v>
      </c>
      <c r="K5">
        <f t="shared" si="1"/>
        <v>1.0247726850992762</v>
      </c>
    </row>
    <row r="6" spans="1:11" x14ac:dyDescent="0.2">
      <c r="A6">
        <v>5</v>
      </c>
      <c r="B6" t="s">
        <v>1</v>
      </c>
      <c r="C6" s="3">
        <v>22090</v>
      </c>
      <c r="D6" s="3">
        <v>21361</v>
      </c>
      <c r="E6" s="3">
        <v>22090</v>
      </c>
      <c r="F6" s="6">
        <v>17514</v>
      </c>
      <c r="G6" s="6">
        <v>22090</v>
      </c>
      <c r="H6" s="6">
        <v>21999</v>
      </c>
      <c r="I6">
        <f t="shared" si="2"/>
        <v>1.0341276157483263</v>
      </c>
      <c r="J6">
        <f t="shared" si="0"/>
        <v>1.2612766929313692</v>
      </c>
      <c r="K6">
        <f t="shared" si="1"/>
        <v>1.0041365516614391</v>
      </c>
    </row>
    <row r="7" spans="1:11" x14ac:dyDescent="0.2">
      <c r="A7">
        <v>6</v>
      </c>
      <c r="B7" t="s">
        <v>1</v>
      </c>
      <c r="C7" s="3">
        <v>22090</v>
      </c>
      <c r="D7" s="3">
        <v>19250</v>
      </c>
      <c r="E7" s="3">
        <v>22090</v>
      </c>
      <c r="F7" s="6">
        <v>22090</v>
      </c>
      <c r="G7" s="6">
        <v>22090</v>
      </c>
      <c r="H7" s="6">
        <v>21988</v>
      </c>
      <c r="I7">
        <f t="shared" si="2"/>
        <v>1.1475324675324676</v>
      </c>
      <c r="J7">
        <f t="shared" si="0"/>
        <v>1</v>
      </c>
      <c r="K7">
        <f t="shared" si="1"/>
        <v>1.0046388939421502</v>
      </c>
    </row>
    <row r="8" spans="1:11" x14ac:dyDescent="0.2">
      <c r="A8">
        <v>7</v>
      </c>
      <c r="B8" t="s">
        <v>1</v>
      </c>
      <c r="C8" s="3">
        <v>22090</v>
      </c>
      <c r="D8" s="3">
        <v>19282</v>
      </c>
      <c r="E8" s="3">
        <v>22090</v>
      </c>
      <c r="F8" s="6">
        <v>20991</v>
      </c>
      <c r="G8" s="6">
        <v>22090</v>
      </c>
      <c r="H8" s="6">
        <v>19372</v>
      </c>
      <c r="I8">
        <f t="shared" si="2"/>
        <v>1.1456280468831035</v>
      </c>
      <c r="J8">
        <f t="shared" si="0"/>
        <v>1.052355771521128</v>
      </c>
      <c r="K8">
        <f t="shared" si="1"/>
        <v>1.1403055957051413</v>
      </c>
    </row>
    <row r="9" spans="1:11" x14ac:dyDescent="0.2">
      <c r="A9">
        <v>8</v>
      </c>
      <c r="B9" t="s">
        <v>1</v>
      </c>
      <c r="C9" s="3">
        <v>22090</v>
      </c>
      <c r="D9" s="3">
        <v>21314</v>
      </c>
      <c r="E9" s="3">
        <v>22090</v>
      </c>
      <c r="F9" s="6">
        <v>19886</v>
      </c>
      <c r="G9" s="6">
        <v>22090</v>
      </c>
      <c r="H9" s="7">
        <v>22090</v>
      </c>
      <c r="I9">
        <f t="shared" si="2"/>
        <v>1.0364079947452378</v>
      </c>
      <c r="J9">
        <f t="shared" si="0"/>
        <v>1.1108317409232626</v>
      </c>
      <c r="K9">
        <f t="shared" si="1"/>
        <v>1</v>
      </c>
    </row>
    <row r="10" spans="1:11" x14ac:dyDescent="0.2">
      <c r="A10">
        <v>9</v>
      </c>
      <c r="B10" t="s">
        <v>1</v>
      </c>
      <c r="C10" s="3">
        <v>22090</v>
      </c>
      <c r="D10" s="3">
        <v>21476</v>
      </c>
      <c r="E10" s="3">
        <v>22090</v>
      </c>
      <c r="F10" s="6">
        <v>20862</v>
      </c>
      <c r="G10" s="6">
        <v>22090</v>
      </c>
      <c r="H10" s="6">
        <v>21809</v>
      </c>
      <c r="I10">
        <f t="shared" si="2"/>
        <v>1.0285900540137829</v>
      </c>
      <c r="J10">
        <f t="shared" si="0"/>
        <v>1.0588630045058001</v>
      </c>
      <c r="K10">
        <f t="shared" si="1"/>
        <v>1.0128845889311753</v>
      </c>
    </row>
    <row r="11" spans="1:11" x14ac:dyDescent="0.2">
      <c r="A11">
        <v>10</v>
      </c>
      <c r="B11" t="s">
        <v>1</v>
      </c>
      <c r="C11" s="3">
        <v>22090</v>
      </c>
      <c r="D11" s="3">
        <v>20536</v>
      </c>
      <c r="E11" s="3">
        <v>22090</v>
      </c>
      <c r="F11" s="6">
        <v>19410</v>
      </c>
      <c r="G11" s="6">
        <v>22090</v>
      </c>
      <c r="H11" s="6">
        <v>21872</v>
      </c>
      <c r="I11">
        <f t="shared" si="2"/>
        <v>1.075671990650565</v>
      </c>
      <c r="J11">
        <f t="shared" si="0"/>
        <v>1.1380731581658938</v>
      </c>
      <c r="K11">
        <f t="shared" si="1"/>
        <v>1.0099670811997075</v>
      </c>
    </row>
    <row r="12" spans="1:11" x14ac:dyDescent="0.2">
      <c r="A12">
        <v>11</v>
      </c>
      <c r="B12" t="s">
        <v>1</v>
      </c>
      <c r="C12" s="3">
        <v>22090</v>
      </c>
      <c r="D12" s="3">
        <v>21306</v>
      </c>
      <c r="E12" s="3">
        <v>22090</v>
      </c>
      <c r="F12" s="6">
        <v>19134</v>
      </c>
      <c r="G12" s="6">
        <v>22090</v>
      </c>
      <c r="H12" s="6">
        <v>21388</v>
      </c>
      <c r="I12">
        <f t="shared" si="2"/>
        <v>1.0367971463437529</v>
      </c>
      <c r="J12">
        <f t="shared" si="0"/>
        <v>1.1544893906135674</v>
      </c>
      <c r="K12">
        <f t="shared" si="1"/>
        <v>1.0328221432579017</v>
      </c>
    </row>
    <row r="13" spans="1:11" x14ac:dyDescent="0.2">
      <c r="A13">
        <v>12</v>
      </c>
      <c r="B13" t="s">
        <v>1</v>
      </c>
      <c r="C13" s="3">
        <v>22090</v>
      </c>
      <c r="D13" s="3">
        <v>20504</v>
      </c>
      <c r="E13" s="3">
        <v>22090</v>
      </c>
      <c r="F13" s="6">
        <v>19248</v>
      </c>
      <c r="G13" s="6">
        <v>22090</v>
      </c>
      <c r="H13" s="6">
        <v>21817</v>
      </c>
      <c r="I13">
        <f t="shared" si="2"/>
        <v>1.0773507608271558</v>
      </c>
      <c r="J13">
        <f t="shared" si="0"/>
        <v>1.1476517040731504</v>
      </c>
      <c r="K13">
        <f t="shared" si="1"/>
        <v>1.0125131777971306</v>
      </c>
    </row>
    <row r="14" spans="1:11" x14ac:dyDescent="0.2">
      <c r="A14">
        <v>13</v>
      </c>
      <c r="B14" t="s">
        <v>1</v>
      </c>
      <c r="C14" s="3">
        <v>22090</v>
      </c>
      <c r="D14" s="3">
        <v>20814</v>
      </c>
      <c r="E14" s="3">
        <v>22090</v>
      </c>
      <c r="F14" s="6">
        <v>21269</v>
      </c>
      <c r="G14" s="6">
        <v>22090</v>
      </c>
      <c r="H14" s="6">
        <v>21699</v>
      </c>
      <c r="I14">
        <f t="shared" si="2"/>
        <v>1.0613048909387912</v>
      </c>
      <c r="J14">
        <f t="shared" si="0"/>
        <v>1.0386007804786308</v>
      </c>
      <c r="K14">
        <f t="shared" si="1"/>
        <v>1.0180192635605327</v>
      </c>
    </row>
    <row r="15" spans="1:11" x14ac:dyDescent="0.2">
      <c r="A15">
        <v>14</v>
      </c>
      <c r="B15" t="s">
        <v>1</v>
      </c>
      <c r="C15" s="3">
        <v>22090</v>
      </c>
      <c r="D15" s="3">
        <v>20707</v>
      </c>
      <c r="E15" s="3">
        <v>22090</v>
      </c>
      <c r="F15" s="6">
        <v>22090</v>
      </c>
      <c r="G15" s="6">
        <v>22090</v>
      </c>
      <c r="H15" s="6">
        <v>22029</v>
      </c>
      <c r="I15">
        <f t="shared" si="2"/>
        <v>1.066789008547834</v>
      </c>
      <c r="J15">
        <f t="shared" si="0"/>
        <v>1</v>
      </c>
      <c r="K15">
        <f t="shared" si="1"/>
        <v>1.0027690771256073</v>
      </c>
    </row>
    <row r="16" spans="1:11" x14ac:dyDescent="0.2">
      <c r="A16">
        <v>15</v>
      </c>
      <c r="B16" t="s">
        <v>1</v>
      </c>
      <c r="C16" s="3">
        <v>22090</v>
      </c>
      <c r="D16" s="3">
        <v>20239</v>
      </c>
      <c r="E16" s="3">
        <v>22090</v>
      </c>
      <c r="F16" s="6">
        <v>19671</v>
      </c>
      <c r="G16" s="6">
        <v>22090</v>
      </c>
      <c r="H16" s="6">
        <v>21599</v>
      </c>
      <c r="I16">
        <f t="shared" si="2"/>
        <v>1.0914570878007808</v>
      </c>
      <c r="J16">
        <f t="shared" si="0"/>
        <v>1.1229729042753291</v>
      </c>
      <c r="K16">
        <f t="shared" si="1"/>
        <v>1.0227325339136071</v>
      </c>
    </row>
    <row r="17" spans="1:11" x14ac:dyDescent="0.2">
      <c r="A17">
        <v>16</v>
      </c>
      <c r="B17" t="s">
        <v>1</v>
      </c>
      <c r="C17" s="3">
        <v>22090</v>
      </c>
      <c r="D17" s="3">
        <v>21301</v>
      </c>
      <c r="E17" s="3">
        <v>22090</v>
      </c>
      <c r="F17" s="6">
        <v>19292</v>
      </c>
      <c r="G17" s="6">
        <v>22090</v>
      </c>
      <c r="H17" s="6">
        <v>21917</v>
      </c>
      <c r="I17">
        <f t="shared" si="2"/>
        <v>1.0370405145298343</v>
      </c>
      <c r="J17">
        <f t="shared" si="0"/>
        <v>1.1450342110719469</v>
      </c>
      <c r="K17">
        <f t="shared" si="1"/>
        <v>1.0078934160697175</v>
      </c>
    </row>
    <row r="18" spans="1:11" x14ac:dyDescent="0.2">
      <c r="A18">
        <v>17</v>
      </c>
      <c r="B18" t="s">
        <v>1</v>
      </c>
      <c r="C18" s="3">
        <v>22090</v>
      </c>
      <c r="D18" s="3">
        <v>18541</v>
      </c>
      <c r="E18" s="3">
        <v>22090</v>
      </c>
      <c r="F18" s="6">
        <v>20488</v>
      </c>
      <c r="G18" s="6">
        <v>22090</v>
      </c>
      <c r="H18" s="6">
        <v>21978</v>
      </c>
      <c r="I18">
        <f t="shared" si="2"/>
        <v>1.1914136238606332</v>
      </c>
      <c r="J18">
        <f t="shared" si="0"/>
        <v>1.0781921124560718</v>
      </c>
      <c r="K18">
        <f t="shared" si="1"/>
        <v>1.0050960050960052</v>
      </c>
    </row>
    <row r="19" spans="1:11" x14ac:dyDescent="0.2">
      <c r="A19">
        <v>18</v>
      </c>
      <c r="B19" t="s">
        <v>1</v>
      </c>
      <c r="C19" s="3">
        <v>22090</v>
      </c>
      <c r="D19" s="3">
        <v>19526</v>
      </c>
      <c r="E19" s="3">
        <v>22090</v>
      </c>
      <c r="F19" s="6">
        <v>22090</v>
      </c>
      <c r="G19" s="6">
        <v>22090</v>
      </c>
      <c r="H19" s="6">
        <v>22019</v>
      </c>
      <c r="I19">
        <f t="shared" si="2"/>
        <v>1.1313120966915906</v>
      </c>
      <c r="J19">
        <f t="shared" si="0"/>
        <v>1</v>
      </c>
      <c r="K19">
        <f t="shared" si="1"/>
        <v>1.0032244879422316</v>
      </c>
    </row>
    <row r="20" spans="1:11" x14ac:dyDescent="0.2">
      <c r="A20">
        <v>19</v>
      </c>
      <c r="B20" t="s">
        <v>1</v>
      </c>
      <c r="C20" s="3">
        <v>22090</v>
      </c>
      <c r="D20" s="3">
        <v>21640</v>
      </c>
      <c r="E20" s="3">
        <v>22090</v>
      </c>
      <c r="F20" s="6">
        <v>20285</v>
      </c>
      <c r="G20" s="6">
        <v>22090</v>
      </c>
      <c r="H20" s="6">
        <v>21234</v>
      </c>
      <c r="I20">
        <f t="shared" si="2"/>
        <v>1.0207948243992606</v>
      </c>
      <c r="J20">
        <f t="shared" si="0"/>
        <v>1.0889820064086764</v>
      </c>
      <c r="K20">
        <f t="shared" si="1"/>
        <v>1.040312706037487</v>
      </c>
    </row>
    <row r="21" spans="1:11" x14ac:dyDescent="0.2">
      <c r="A21">
        <v>20</v>
      </c>
      <c r="B21" t="s">
        <v>1</v>
      </c>
      <c r="C21" s="3">
        <v>22090</v>
      </c>
      <c r="D21" s="3">
        <v>21419</v>
      </c>
      <c r="E21" s="3">
        <v>22090</v>
      </c>
      <c r="F21" s="6">
        <v>21339</v>
      </c>
      <c r="G21" s="6">
        <v>22090</v>
      </c>
      <c r="H21" s="6">
        <v>21700</v>
      </c>
      <c r="I21">
        <f t="shared" si="2"/>
        <v>1.0313273262057052</v>
      </c>
      <c r="J21">
        <f t="shared" si="0"/>
        <v>1.0351937766530765</v>
      </c>
      <c r="K21">
        <f t="shared" si="1"/>
        <v>1.0179723502304148</v>
      </c>
    </row>
    <row r="22" spans="1:11" x14ac:dyDescent="0.2">
      <c r="A22">
        <v>21</v>
      </c>
      <c r="B22" t="s">
        <v>1</v>
      </c>
      <c r="C22" s="3">
        <v>22090</v>
      </c>
      <c r="D22" s="3">
        <v>19234</v>
      </c>
      <c r="E22" s="3">
        <v>22090</v>
      </c>
      <c r="F22" s="6">
        <v>21156</v>
      </c>
      <c r="G22" s="6">
        <v>22090</v>
      </c>
      <c r="H22" s="6">
        <v>21001</v>
      </c>
      <c r="I22">
        <f t="shared" si="2"/>
        <v>1.1484870541748986</v>
      </c>
      <c r="J22">
        <f t="shared" si="0"/>
        <v>1.0441482321799962</v>
      </c>
      <c r="K22">
        <f t="shared" si="1"/>
        <v>1.051854673586972</v>
      </c>
    </row>
    <row r="23" spans="1:11" x14ac:dyDescent="0.2">
      <c r="A23">
        <v>22</v>
      </c>
      <c r="B23" t="s">
        <v>1</v>
      </c>
      <c r="C23" s="3">
        <v>22090</v>
      </c>
      <c r="D23" s="3">
        <v>19043</v>
      </c>
      <c r="E23" s="3">
        <v>22090</v>
      </c>
      <c r="F23" s="6">
        <v>18355</v>
      </c>
      <c r="G23" s="6">
        <v>22090</v>
      </c>
      <c r="H23" s="6">
        <v>21026</v>
      </c>
      <c r="I23">
        <f t="shared" si="2"/>
        <v>1.1600063015281206</v>
      </c>
      <c r="J23">
        <f t="shared" si="0"/>
        <v>1.2034867883410514</v>
      </c>
      <c r="K23">
        <f t="shared" si="1"/>
        <v>1.0506040140778083</v>
      </c>
    </row>
    <row r="24" spans="1:11" x14ac:dyDescent="0.2">
      <c r="A24">
        <v>23</v>
      </c>
      <c r="B24" t="s">
        <v>1</v>
      </c>
      <c r="C24" s="3">
        <v>22090</v>
      </c>
      <c r="D24" s="3">
        <v>8004</v>
      </c>
      <c r="E24" s="3">
        <v>22090</v>
      </c>
      <c r="F24" s="6">
        <v>20145</v>
      </c>
      <c r="G24" s="6">
        <v>22090</v>
      </c>
      <c r="H24" s="6">
        <v>21485</v>
      </c>
      <c r="I24">
        <f t="shared" si="2"/>
        <v>2.7598700649675161</v>
      </c>
      <c r="J24">
        <f t="shared" si="0"/>
        <v>1.0965500124100274</v>
      </c>
      <c r="K24">
        <f t="shared" si="1"/>
        <v>1.0281591808238306</v>
      </c>
    </row>
    <row r="25" spans="1:11" x14ac:dyDescent="0.2">
      <c r="A25">
        <v>24</v>
      </c>
      <c r="B25" t="s">
        <v>1</v>
      </c>
      <c r="C25" s="3">
        <v>22090</v>
      </c>
      <c r="D25" s="3">
        <v>19193</v>
      </c>
      <c r="E25" s="3">
        <v>22090</v>
      </c>
      <c r="F25" s="6">
        <v>17717</v>
      </c>
      <c r="G25" s="6">
        <v>22090</v>
      </c>
      <c r="H25" s="6">
        <v>21163</v>
      </c>
      <c r="I25">
        <f t="shared" si="2"/>
        <v>1.1509404470379827</v>
      </c>
      <c r="J25">
        <f t="shared" si="0"/>
        <v>1.2468250832533725</v>
      </c>
      <c r="K25">
        <f t="shared" si="1"/>
        <v>1.0438028634881633</v>
      </c>
    </row>
    <row r="26" spans="1:11" x14ac:dyDescent="0.2">
      <c r="A26">
        <v>25</v>
      </c>
      <c r="B26" t="s">
        <v>1</v>
      </c>
      <c r="C26" s="3">
        <v>22090</v>
      </c>
      <c r="D26" s="3">
        <v>21091</v>
      </c>
      <c r="E26" s="3">
        <v>22090</v>
      </c>
      <c r="F26" s="6">
        <v>19949</v>
      </c>
      <c r="G26" s="6">
        <v>22090</v>
      </c>
      <c r="H26" s="6">
        <v>21410</v>
      </c>
      <c r="I26">
        <f t="shared" si="2"/>
        <v>1.0473661751457968</v>
      </c>
      <c r="J26">
        <f t="shared" si="0"/>
        <v>1.1073236753721991</v>
      </c>
      <c r="K26">
        <f t="shared" si="1"/>
        <v>1.03176085941149</v>
      </c>
    </row>
    <row r="27" spans="1:11" x14ac:dyDescent="0.2">
      <c r="A27">
        <v>26</v>
      </c>
      <c r="B27" t="s">
        <v>1</v>
      </c>
      <c r="C27" s="3">
        <v>22090</v>
      </c>
      <c r="D27" s="3">
        <v>10692</v>
      </c>
      <c r="E27" s="3">
        <v>22090</v>
      </c>
      <c r="F27" s="6">
        <v>19017</v>
      </c>
      <c r="G27" s="6">
        <v>22090</v>
      </c>
      <c r="H27" s="6">
        <v>21870</v>
      </c>
      <c r="I27">
        <f t="shared" si="2"/>
        <v>2.0660306771417885</v>
      </c>
      <c r="J27">
        <f t="shared" si="0"/>
        <v>1.1615922595572383</v>
      </c>
      <c r="K27">
        <f t="shared" si="1"/>
        <v>1.0100594421582076</v>
      </c>
    </row>
    <row r="28" spans="1:11" x14ac:dyDescent="0.2">
      <c r="A28">
        <v>27</v>
      </c>
      <c r="B28" t="s">
        <v>1</v>
      </c>
      <c r="C28" s="3">
        <v>22090</v>
      </c>
      <c r="D28" s="3">
        <v>17586</v>
      </c>
      <c r="E28" s="3">
        <v>22090</v>
      </c>
      <c r="F28" s="6">
        <v>18699</v>
      </c>
      <c r="G28" s="6">
        <v>22090</v>
      </c>
      <c r="H28" s="6">
        <v>21843</v>
      </c>
      <c r="I28">
        <f t="shared" si="2"/>
        <v>1.2561128170135334</v>
      </c>
      <c r="J28">
        <f t="shared" si="0"/>
        <v>1.1813465960746563</v>
      </c>
      <c r="K28">
        <f t="shared" si="1"/>
        <v>1.0113079705168704</v>
      </c>
    </row>
    <row r="29" spans="1:11" x14ac:dyDescent="0.2">
      <c r="A29">
        <v>28</v>
      </c>
      <c r="B29" t="s">
        <v>1</v>
      </c>
      <c r="C29" s="3">
        <v>22090</v>
      </c>
      <c r="D29" s="3">
        <v>14642</v>
      </c>
      <c r="E29" s="3">
        <v>22090</v>
      </c>
      <c r="F29" s="6">
        <v>20063</v>
      </c>
      <c r="G29" s="6">
        <v>22090</v>
      </c>
      <c r="H29" s="6">
        <v>20581</v>
      </c>
      <c r="I29">
        <f t="shared" si="2"/>
        <v>1.508673678459227</v>
      </c>
      <c r="J29">
        <f t="shared" si="0"/>
        <v>1.1010317499875393</v>
      </c>
      <c r="K29">
        <f t="shared" si="1"/>
        <v>1.0733200524755844</v>
      </c>
    </row>
    <row r="30" spans="1:11" x14ac:dyDescent="0.2">
      <c r="A30">
        <v>29</v>
      </c>
      <c r="B30" t="s">
        <v>1</v>
      </c>
      <c r="C30" s="3">
        <v>22090</v>
      </c>
      <c r="D30" s="3">
        <v>17169</v>
      </c>
      <c r="E30" s="3">
        <v>22090</v>
      </c>
      <c r="F30" s="6">
        <v>17180</v>
      </c>
      <c r="G30" s="6">
        <v>22090</v>
      </c>
      <c r="H30" s="6">
        <v>21865</v>
      </c>
      <c r="I30">
        <f t="shared" si="2"/>
        <v>1.2866212359485119</v>
      </c>
      <c r="J30">
        <f t="shared" si="0"/>
        <v>1.2857974388824214</v>
      </c>
      <c r="K30">
        <f t="shared" si="1"/>
        <v>1.0102904184770181</v>
      </c>
    </row>
    <row r="31" spans="1:11" x14ac:dyDescent="0.2">
      <c r="A31">
        <v>30</v>
      </c>
      <c r="B31" t="s">
        <v>1</v>
      </c>
      <c r="C31" s="3">
        <v>22090</v>
      </c>
      <c r="D31">
        <v>0</v>
      </c>
      <c r="E31" s="3">
        <v>22090</v>
      </c>
      <c r="F31" s="1">
        <v>0</v>
      </c>
      <c r="G31" s="6">
        <v>22090</v>
      </c>
      <c r="H31" s="1">
        <v>0</v>
      </c>
      <c r="I31">
        <v>0</v>
      </c>
      <c r="J31">
        <v>0</v>
      </c>
      <c r="K31">
        <v>0</v>
      </c>
    </row>
    <row r="32" spans="1:11" x14ac:dyDescent="0.2">
      <c r="A32" s="1">
        <v>1</v>
      </c>
      <c r="B32" t="s">
        <v>65</v>
      </c>
      <c r="C32" s="3">
        <v>22090</v>
      </c>
      <c r="D32" s="3">
        <v>20945</v>
      </c>
      <c r="E32" s="3">
        <v>22090</v>
      </c>
      <c r="F32" s="6">
        <v>21517</v>
      </c>
      <c r="G32" s="6">
        <v>22090</v>
      </c>
      <c r="H32" s="6">
        <v>15963</v>
      </c>
      <c r="I32">
        <f t="shared" ref="I32:I46" si="3">C32/D32</f>
        <v>1.0546669849606112</v>
      </c>
      <c r="J32">
        <f t="shared" ref="J32:J37" si="4">E32/F32</f>
        <v>1.0266301064274759</v>
      </c>
      <c r="K32">
        <f t="shared" ref="K32:K46" si="5">G32/H32</f>
        <v>1.383825095533421</v>
      </c>
    </row>
    <row r="33" spans="1:11" x14ac:dyDescent="0.2">
      <c r="A33" s="1">
        <v>2</v>
      </c>
      <c r="B33" t="s">
        <v>65</v>
      </c>
      <c r="C33" s="3">
        <v>22090</v>
      </c>
      <c r="D33" s="3">
        <v>18616</v>
      </c>
      <c r="E33" s="3">
        <v>22090</v>
      </c>
      <c r="F33" s="6">
        <v>21718</v>
      </c>
      <c r="G33" s="6">
        <v>22090</v>
      </c>
      <c r="H33" s="6">
        <v>21225</v>
      </c>
      <c r="I33">
        <f t="shared" si="3"/>
        <v>1.186613665663945</v>
      </c>
      <c r="J33">
        <f t="shared" si="4"/>
        <v>1.0171286490468736</v>
      </c>
      <c r="K33">
        <f t="shared" si="5"/>
        <v>1.04075382803298</v>
      </c>
    </row>
    <row r="34" spans="1:11" x14ac:dyDescent="0.2">
      <c r="A34" s="1">
        <v>3</v>
      </c>
      <c r="B34" t="s">
        <v>65</v>
      </c>
      <c r="C34" s="3">
        <v>22090</v>
      </c>
      <c r="D34" s="3">
        <v>16231</v>
      </c>
      <c r="E34" s="3">
        <v>22090</v>
      </c>
      <c r="F34" s="6">
        <v>19939</v>
      </c>
      <c r="G34" s="6">
        <v>22090</v>
      </c>
      <c r="H34" s="6">
        <v>21971</v>
      </c>
      <c r="I34">
        <f t="shared" si="3"/>
        <v>1.3609759102951142</v>
      </c>
      <c r="J34">
        <f t="shared" si="4"/>
        <v>1.1078790310446862</v>
      </c>
      <c r="K34">
        <f t="shared" si="5"/>
        <v>1.0054162304856402</v>
      </c>
    </row>
    <row r="35" spans="1:11" x14ac:dyDescent="0.2">
      <c r="A35" s="1">
        <v>4</v>
      </c>
      <c r="B35" t="s">
        <v>65</v>
      </c>
      <c r="C35" s="3">
        <v>22090</v>
      </c>
      <c r="D35" s="3">
        <v>11645</v>
      </c>
      <c r="E35" s="3">
        <v>22090</v>
      </c>
      <c r="F35" s="6">
        <v>19959</v>
      </c>
      <c r="G35" s="6">
        <v>22090</v>
      </c>
      <c r="H35" s="6">
        <v>21527</v>
      </c>
      <c r="I35">
        <f t="shared" si="3"/>
        <v>1.8969514813224559</v>
      </c>
      <c r="J35">
        <f t="shared" si="4"/>
        <v>1.1067688761962022</v>
      </c>
      <c r="K35">
        <f t="shared" si="5"/>
        <v>1.0261532029544294</v>
      </c>
    </row>
    <row r="36" spans="1:11" x14ac:dyDescent="0.2">
      <c r="A36" s="1">
        <v>5</v>
      </c>
      <c r="B36" t="s">
        <v>65</v>
      </c>
      <c r="C36" s="3">
        <v>22090</v>
      </c>
      <c r="D36" s="3">
        <v>15236</v>
      </c>
      <c r="E36" s="3">
        <v>22090</v>
      </c>
      <c r="F36" s="6">
        <v>21000</v>
      </c>
      <c r="G36" s="6">
        <v>22090</v>
      </c>
      <c r="H36" s="6">
        <v>22090</v>
      </c>
      <c r="I36">
        <f t="shared" si="3"/>
        <v>1.4498556051457074</v>
      </c>
      <c r="J36">
        <f t="shared" si="4"/>
        <v>1.0519047619047619</v>
      </c>
      <c r="K36">
        <f t="shared" si="5"/>
        <v>1</v>
      </c>
    </row>
    <row r="37" spans="1:11" x14ac:dyDescent="0.2">
      <c r="A37" s="1">
        <v>6</v>
      </c>
      <c r="B37" t="s">
        <v>65</v>
      </c>
      <c r="C37" s="3">
        <v>22090</v>
      </c>
      <c r="D37" s="3">
        <v>13042</v>
      </c>
      <c r="E37" s="3">
        <v>22090</v>
      </c>
      <c r="F37" s="6">
        <v>22090</v>
      </c>
      <c r="G37" s="6">
        <v>22090</v>
      </c>
      <c r="H37" s="6">
        <v>21831</v>
      </c>
      <c r="I37">
        <f t="shared" si="3"/>
        <v>1.6937586259776107</v>
      </c>
      <c r="J37">
        <f t="shared" si="4"/>
        <v>1</v>
      </c>
      <c r="K37">
        <f t="shared" si="5"/>
        <v>1.0118638633136365</v>
      </c>
    </row>
    <row r="38" spans="1:11" x14ac:dyDescent="0.2">
      <c r="A38" s="1">
        <v>7</v>
      </c>
      <c r="B38" t="s">
        <v>65</v>
      </c>
      <c r="C38" s="3">
        <v>22090</v>
      </c>
      <c r="D38" s="3">
        <v>16761</v>
      </c>
      <c r="E38" s="3">
        <v>22090</v>
      </c>
      <c r="F38" s="1">
        <v>0</v>
      </c>
      <c r="G38" s="6">
        <v>22090</v>
      </c>
      <c r="H38" s="6">
        <v>20765</v>
      </c>
      <c r="I38">
        <f t="shared" si="3"/>
        <v>1.3179404570133046</v>
      </c>
      <c r="J38">
        <v>0</v>
      </c>
      <c r="K38">
        <f t="shared" si="5"/>
        <v>1.0638092944859139</v>
      </c>
    </row>
    <row r="39" spans="1:11" x14ac:dyDescent="0.2">
      <c r="A39" s="1">
        <v>8</v>
      </c>
      <c r="B39" t="s">
        <v>65</v>
      </c>
      <c r="C39" s="3">
        <v>22090</v>
      </c>
      <c r="D39" s="3">
        <v>16862</v>
      </c>
      <c r="E39" s="3">
        <v>22090</v>
      </c>
      <c r="F39" s="6">
        <v>20798</v>
      </c>
      <c r="G39" s="6">
        <v>22090</v>
      </c>
      <c r="H39" s="6">
        <v>21812</v>
      </c>
      <c r="I39">
        <f t="shared" si="3"/>
        <v>1.3100462578579053</v>
      </c>
      <c r="J39">
        <f t="shared" ref="J39:J46" si="6">E39/F39</f>
        <v>1.0621213578228677</v>
      </c>
      <c r="K39">
        <f t="shared" si="5"/>
        <v>1.012745277828718</v>
      </c>
    </row>
    <row r="40" spans="1:11" x14ac:dyDescent="0.2">
      <c r="A40" s="1">
        <v>9</v>
      </c>
      <c r="B40" t="s">
        <v>65</v>
      </c>
      <c r="C40" s="3">
        <v>22090</v>
      </c>
      <c r="D40" s="3">
        <v>13030</v>
      </c>
      <c r="E40" s="3">
        <v>22090</v>
      </c>
      <c r="F40" s="6">
        <v>20563</v>
      </c>
      <c r="G40" s="6">
        <v>22090</v>
      </c>
      <c r="H40" s="6">
        <v>22041</v>
      </c>
      <c r="I40">
        <f t="shared" si="3"/>
        <v>1.6953184957789715</v>
      </c>
      <c r="J40">
        <f t="shared" si="6"/>
        <v>1.0742595924719156</v>
      </c>
      <c r="K40">
        <f t="shared" si="5"/>
        <v>1.0022231296220681</v>
      </c>
    </row>
    <row r="41" spans="1:11" x14ac:dyDescent="0.2">
      <c r="A41" s="1">
        <v>10</v>
      </c>
      <c r="B41" t="s">
        <v>65</v>
      </c>
      <c r="C41" s="3">
        <v>22090</v>
      </c>
      <c r="D41" s="3">
        <v>11712</v>
      </c>
      <c r="E41" s="3">
        <v>22090</v>
      </c>
      <c r="F41" s="6">
        <v>21946</v>
      </c>
      <c r="G41" s="6">
        <v>22090</v>
      </c>
      <c r="H41" s="6">
        <v>19742</v>
      </c>
      <c r="I41">
        <f t="shared" si="3"/>
        <v>1.8860997267759563</v>
      </c>
      <c r="J41">
        <f t="shared" si="6"/>
        <v>1.0065615601932014</v>
      </c>
      <c r="K41">
        <f t="shared" si="5"/>
        <v>1.1189342518488501</v>
      </c>
    </row>
    <row r="42" spans="1:11" x14ac:dyDescent="0.2">
      <c r="A42" s="1">
        <v>11</v>
      </c>
      <c r="B42" t="s">
        <v>65</v>
      </c>
      <c r="C42" s="3">
        <v>22090</v>
      </c>
      <c r="D42" s="3">
        <v>12703</v>
      </c>
      <c r="E42" s="3">
        <v>22090</v>
      </c>
      <c r="F42" s="6">
        <v>21992</v>
      </c>
      <c r="G42" s="6">
        <v>22090</v>
      </c>
      <c r="H42" s="6">
        <v>22305</v>
      </c>
      <c r="I42">
        <f t="shared" si="3"/>
        <v>1.7389593009525308</v>
      </c>
      <c r="J42">
        <f t="shared" si="6"/>
        <v>1.0044561658785012</v>
      </c>
      <c r="K42">
        <f t="shared" si="5"/>
        <v>0.99036090562654111</v>
      </c>
    </row>
    <row r="43" spans="1:11" x14ac:dyDescent="0.2">
      <c r="A43" s="1">
        <v>12</v>
      </c>
      <c r="B43" t="s">
        <v>65</v>
      </c>
      <c r="C43" s="3">
        <v>22090</v>
      </c>
      <c r="D43" s="3">
        <v>11907</v>
      </c>
      <c r="E43" s="3">
        <v>22090</v>
      </c>
      <c r="F43" s="6">
        <v>21743</v>
      </c>
      <c r="G43" s="6">
        <v>22090</v>
      </c>
      <c r="H43" s="6">
        <v>21882</v>
      </c>
      <c r="I43">
        <f t="shared" si="3"/>
        <v>1.8552112202905853</v>
      </c>
      <c r="J43">
        <f t="shared" si="6"/>
        <v>1.01595915926965</v>
      </c>
      <c r="K43">
        <f t="shared" si="5"/>
        <v>1.0095055296590805</v>
      </c>
    </row>
    <row r="44" spans="1:11" x14ac:dyDescent="0.2">
      <c r="A44" s="1">
        <v>13</v>
      </c>
      <c r="B44" t="s">
        <v>65</v>
      </c>
      <c r="C44" s="3">
        <v>22090</v>
      </c>
      <c r="D44" s="3">
        <v>15632</v>
      </c>
      <c r="E44" s="3">
        <v>22090</v>
      </c>
      <c r="F44" s="6">
        <v>21029</v>
      </c>
      <c r="G44" s="6">
        <v>22090</v>
      </c>
      <c r="H44" s="6">
        <v>22090</v>
      </c>
      <c r="I44">
        <f t="shared" si="3"/>
        <v>1.4131269191402251</v>
      </c>
      <c r="J44">
        <f t="shared" si="6"/>
        <v>1.0504541347662752</v>
      </c>
      <c r="K44">
        <f t="shared" si="5"/>
        <v>1</v>
      </c>
    </row>
    <row r="45" spans="1:11" x14ac:dyDescent="0.2">
      <c r="A45" s="1">
        <v>14</v>
      </c>
      <c r="B45" t="s">
        <v>65</v>
      </c>
      <c r="C45" s="3">
        <v>22090</v>
      </c>
      <c r="D45" s="3">
        <v>15193</v>
      </c>
      <c r="E45" s="3">
        <v>22090</v>
      </c>
      <c r="F45" s="6">
        <v>21597</v>
      </c>
      <c r="G45" s="6">
        <v>22090</v>
      </c>
      <c r="H45" s="6">
        <v>18169</v>
      </c>
      <c r="I45">
        <f t="shared" si="3"/>
        <v>1.4539590600934642</v>
      </c>
      <c r="J45">
        <f t="shared" si="6"/>
        <v>1.0228272445247024</v>
      </c>
      <c r="K45">
        <f t="shared" si="5"/>
        <v>1.2158071440365457</v>
      </c>
    </row>
    <row r="46" spans="1:11" x14ac:dyDescent="0.2">
      <c r="A46" s="1">
        <v>15</v>
      </c>
      <c r="B46" t="s">
        <v>65</v>
      </c>
      <c r="C46" s="3">
        <v>22090</v>
      </c>
      <c r="D46" s="3">
        <v>15169</v>
      </c>
      <c r="E46" s="3">
        <v>22090</v>
      </c>
      <c r="F46" s="6">
        <v>20078</v>
      </c>
      <c r="G46" s="6">
        <v>22090</v>
      </c>
      <c r="H46" s="6">
        <v>22090</v>
      </c>
      <c r="I46">
        <f t="shared" si="3"/>
        <v>1.4562594765640451</v>
      </c>
      <c r="J46">
        <f t="shared" si="6"/>
        <v>1.1002091841816914</v>
      </c>
      <c r="K46">
        <f t="shared" si="5"/>
        <v>1</v>
      </c>
    </row>
    <row r="47" spans="1:11" x14ac:dyDescent="0.2">
      <c r="A47" s="1">
        <v>16</v>
      </c>
      <c r="B47" t="s">
        <v>65</v>
      </c>
      <c r="C47" s="3">
        <v>22090</v>
      </c>
      <c r="D47">
        <v>0</v>
      </c>
      <c r="E47" s="3">
        <v>22090</v>
      </c>
      <c r="F47" s="1">
        <v>0</v>
      </c>
      <c r="G47" s="6">
        <v>22090</v>
      </c>
      <c r="H47" s="1">
        <v>0</v>
      </c>
      <c r="I47">
        <v>0</v>
      </c>
      <c r="J47">
        <v>0</v>
      </c>
      <c r="K47">
        <v>0</v>
      </c>
    </row>
    <row r="48" spans="1:11" x14ac:dyDescent="0.2">
      <c r="A48" s="1">
        <v>17</v>
      </c>
      <c r="B48" t="s">
        <v>65</v>
      </c>
      <c r="C48" s="3">
        <v>22090</v>
      </c>
      <c r="D48" s="3">
        <v>11997</v>
      </c>
      <c r="E48" s="3">
        <v>22090</v>
      </c>
      <c r="F48" s="6">
        <v>21487</v>
      </c>
      <c r="G48" s="6">
        <v>22090</v>
      </c>
      <c r="H48" s="6">
        <v>20937</v>
      </c>
      <c r="I48">
        <f t="shared" ref="I48:I55" si="7">C48/D48</f>
        <v>1.8412936567475202</v>
      </c>
      <c r="J48">
        <f t="shared" ref="J48:J55" si="8">E48/F48</f>
        <v>1.0280634802438684</v>
      </c>
      <c r="K48">
        <f t="shared" ref="K48:K55" si="9">G48/H48</f>
        <v>1.0550699718202226</v>
      </c>
    </row>
    <row r="49" spans="1:11" x14ac:dyDescent="0.2">
      <c r="A49" s="1">
        <v>18</v>
      </c>
      <c r="B49" t="s">
        <v>65</v>
      </c>
      <c r="C49" s="3">
        <v>22090</v>
      </c>
      <c r="D49" s="3">
        <v>14181</v>
      </c>
      <c r="E49" s="3">
        <v>22090</v>
      </c>
      <c r="F49" s="6">
        <v>21703</v>
      </c>
      <c r="G49" s="6">
        <v>22090</v>
      </c>
      <c r="H49" s="6">
        <v>22090</v>
      </c>
      <c r="I49">
        <f t="shared" si="7"/>
        <v>1.557718073478598</v>
      </c>
      <c r="J49">
        <f t="shared" si="8"/>
        <v>1.01783163617933</v>
      </c>
      <c r="K49">
        <f t="shared" si="9"/>
        <v>1</v>
      </c>
    </row>
    <row r="50" spans="1:11" x14ac:dyDescent="0.2">
      <c r="A50" s="1">
        <v>19</v>
      </c>
      <c r="B50" t="s">
        <v>65</v>
      </c>
      <c r="C50" s="3">
        <v>22090</v>
      </c>
      <c r="D50" s="3">
        <v>20764</v>
      </c>
      <c r="E50" s="3">
        <v>22090</v>
      </c>
      <c r="F50" s="6">
        <v>21381</v>
      </c>
      <c r="G50" s="6">
        <v>22090</v>
      </c>
      <c r="H50" s="6">
        <v>18146</v>
      </c>
      <c r="I50">
        <f t="shared" si="7"/>
        <v>1.0638605278366404</v>
      </c>
      <c r="J50">
        <f t="shared" si="8"/>
        <v>1.0331602824938029</v>
      </c>
      <c r="K50">
        <f t="shared" si="9"/>
        <v>1.2173481759065359</v>
      </c>
    </row>
    <row r="51" spans="1:11" x14ac:dyDescent="0.2">
      <c r="A51" s="1">
        <v>20</v>
      </c>
      <c r="B51" t="s">
        <v>65</v>
      </c>
      <c r="C51" s="3">
        <v>22090</v>
      </c>
      <c r="D51" s="3">
        <v>21069</v>
      </c>
      <c r="E51" s="3">
        <v>22090</v>
      </c>
      <c r="F51" s="6">
        <v>21511</v>
      </c>
      <c r="G51" s="6">
        <v>22090</v>
      </c>
      <c r="H51" s="6">
        <v>21435</v>
      </c>
      <c r="I51">
        <f t="shared" si="7"/>
        <v>1.0484598224880155</v>
      </c>
      <c r="J51">
        <f t="shared" si="8"/>
        <v>1.0269164613453581</v>
      </c>
      <c r="K51">
        <f t="shared" si="9"/>
        <v>1.0305574994168416</v>
      </c>
    </row>
    <row r="52" spans="1:11" x14ac:dyDescent="0.2">
      <c r="A52" s="1">
        <v>21</v>
      </c>
      <c r="B52" t="s">
        <v>65</v>
      </c>
      <c r="C52" s="3">
        <v>22090</v>
      </c>
      <c r="D52" s="3">
        <v>16119</v>
      </c>
      <c r="E52" s="3">
        <v>22090</v>
      </c>
      <c r="F52" s="6">
        <v>20194</v>
      </c>
      <c r="G52" s="6">
        <v>22090</v>
      </c>
      <c r="H52" s="6">
        <v>21486</v>
      </c>
      <c r="I52">
        <f t="shared" si="7"/>
        <v>1.3704324089583722</v>
      </c>
      <c r="J52">
        <f t="shared" si="8"/>
        <v>1.0938892740417947</v>
      </c>
      <c r="K52">
        <f t="shared" si="9"/>
        <v>1.0281113283068044</v>
      </c>
    </row>
    <row r="53" spans="1:11" x14ac:dyDescent="0.2">
      <c r="A53" s="1">
        <v>22</v>
      </c>
      <c r="B53" t="s">
        <v>65</v>
      </c>
      <c r="C53" s="3">
        <v>22090</v>
      </c>
      <c r="D53" s="3">
        <v>17590</v>
      </c>
      <c r="E53" s="3">
        <v>22090</v>
      </c>
      <c r="F53" s="6">
        <v>20683</v>
      </c>
      <c r="G53" s="6">
        <v>22090</v>
      </c>
      <c r="H53" s="6">
        <v>22090</v>
      </c>
      <c r="I53">
        <f t="shared" si="7"/>
        <v>1.2558271745309835</v>
      </c>
      <c r="J53">
        <f t="shared" si="8"/>
        <v>1.0680268819803704</v>
      </c>
      <c r="K53">
        <f t="shared" si="9"/>
        <v>1</v>
      </c>
    </row>
    <row r="54" spans="1:11" x14ac:dyDescent="0.2">
      <c r="A54" s="1">
        <v>23</v>
      </c>
      <c r="B54" t="s">
        <v>65</v>
      </c>
      <c r="C54" s="3">
        <v>22090</v>
      </c>
      <c r="D54" s="3">
        <v>17780</v>
      </c>
      <c r="E54" s="3">
        <v>22090</v>
      </c>
      <c r="F54" s="6">
        <v>20962</v>
      </c>
      <c r="G54" s="6">
        <v>22090</v>
      </c>
      <c r="H54" s="6">
        <v>19440</v>
      </c>
      <c r="I54">
        <f t="shared" si="7"/>
        <v>1.2424071991001124</v>
      </c>
      <c r="J54">
        <f t="shared" si="8"/>
        <v>1.053811659192825</v>
      </c>
      <c r="K54">
        <f t="shared" si="9"/>
        <v>1.1363168724279835</v>
      </c>
    </row>
    <row r="55" spans="1:11" x14ac:dyDescent="0.2">
      <c r="A55" s="1">
        <v>24</v>
      </c>
      <c r="B55" t="s">
        <v>65</v>
      </c>
      <c r="C55" s="3">
        <v>22090</v>
      </c>
      <c r="D55" s="3">
        <v>21361</v>
      </c>
      <c r="E55" s="3">
        <v>22090</v>
      </c>
      <c r="F55" s="6">
        <v>21868</v>
      </c>
      <c r="G55" s="6">
        <v>22090</v>
      </c>
      <c r="H55" s="6">
        <v>21714</v>
      </c>
      <c r="I55">
        <f t="shared" si="7"/>
        <v>1.0341276157483263</v>
      </c>
      <c r="J55">
        <f t="shared" si="8"/>
        <v>1.0101518200109749</v>
      </c>
      <c r="K55">
        <f t="shared" si="9"/>
        <v>1.0173160173160174</v>
      </c>
    </row>
    <row r="56" spans="1:11" x14ac:dyDescent="0.2">
      <c r="A56" s="1">
        <v>25</v>
      </c>
      <c r="B56" t="s">
        <v>65</v>
      </c>
      <c r="C56" s="3">
        <v>22090</v>
      </c>
      <c r="D56">
        <v>0</v>
      </c>
      <c r="E56" s="3">
        <v>22090</v>
      </c>
      <c r="F56" s="1">
        <v>0</v>
      </c>
      <c r="G56" s="6">
        <v>22090</v>
      </c>
      <c r="H56" s="1">
        <v>0</v>
      </c>
      <c r="I56">
        <v>0</v>
      </c>
      <c r="J56">
        <v>0</v>
      </c>
      <c r="K56">
        <v>0</v>
      </c>
    </row>
    <row r="57" spans="1:11" x14ac:dyDescent="0.2">
      <c r="A57" s="1">
        <v>26</v>
      </c>
      <c r="B57" t="s">
        <v>65</v>
      </c>
      <c r="C57" s="3">
        <v>22090</v>
      </c>
      <c r="D57" s="3">
        <v>21484</v>
      </c>
      <c r="E57" s="3">
        <v>22090</v>
      </c>
      <c r="F57" s="6">
        <v>21910</v>
      </c>
      <c r="G57" s="6">
        <v>22090</v>
      </c>
      <c r="H57" s="6">
        <v>21760</v>
      </c>
      <c r="I57">
        <f t="shared" ref="I57:I67" si="10">C57/D57</f>
        <v>1.0282070377955688</v>
      </c>
      <c r="J57">
        <f t="shared" ref="J57:J72" si="11">E57/F57</f>
        <v>1.0082154267457781</v>
      </c>
      <c r="K57">
        <f t="shared" ref="K57:K72" si="12">G57/H57</f>
        <v>1.0151654411764706</v>
      </c>
    </row>
    <row r="58" spans="1:11" x14ac:dyDescent="0.2">
      <c r="A58" s="1">
        <v>27</v>
      </c>
      <c r="B58" t="s">
        <v>65</v>
      </c>
      <c r="C58" s="3">
        <v>22090</v>
      </c>
      <c r="D58" s="3">
        <v>18857</v>
      </c>
      <c r="E58" s="3">
        <v>22090</v>
      </c>
      <c r="F58" s="6">
        <v>20874</v>
      </c>
      <c r="G58" s="6">
        <v>22090</v>
      </c>
      <c r="H58" s="6">
        <v>21593</v>
      </c>
      <c r="I58">
        <f t="shared" si="10"/>
        <v>1.171448268547489</v>
      </c>
      <c r="J58">
        <f t="shared" si="11"/>
        <v>1.0582542876305452</v>
      </c>
      <c r="K58">
        <f t="shared" si="12"/>
        <v>1.0230167183809569</v>
      </c>
    </row>
    <row r="59" spans="1:11" x14ac:dyDescent="0.2">
      <c r="A59" s="1">
        <v>28</v>
      </c>
      <c r="B59" t="s">
        <v>65</v>
      </c>
      <c r="C59" s="3">
        <v>22090</v>
      </c>
      <c r="D59" s="3">
        <v>19489</v>
      </c>
      <c r="E59" s="3">
        <v>22090</v>
      </c>
      <c r="F59" s="6">
        <v>21130</v>
      </c>
      <c r="G59" s="6">
        <v>22090</v>
      </c>
      <c r="H59" s="6">
        <v>21894</v>
      </c>
      <c r="I59">
        <f t="shared" si="10"/>
        <v>1.1334599004566679</v>
      </c>
      <c r="J59">
        <f t="shared" si="11"/>
        <v>1.0454330336015145</v>
      </c>
      <c r="K59">
        <f t="shared" si="12"/>
        <v>1.0089522243537041</v>
      </c>
    </row>
    <row r="60" spans="1:11" x14ac:dyDescent="0.2">
      <c r="A60" s="1">
        <v>29</v>
      </c>
      <c r="B60" t="s">
        <v>65</v>
      </c>
      <c r="C60" s="3">
        <v>22090</v>
      </c>
      <c r="D60" s="3">
        <v>21711</v>
      </c>
      <c r="E60" s="3">
        <v>22090</v>
      </c>
      <c r="F60" s="6">
        <v>18866</v>
      </c>
      <c r="G60" s="6">
        <v>22090</v>
      </c>
      <c r="H60" s="6">
        <v>20835</v>
      </c>
      <c r="I60">
        <f t="shared" si="10"/>
        <v>1.0174565888259408</v>
      </c>
      <c r="J60">
        <f t="shared" si="11"/>
        <v>1.1708894307219337</v>
      </c>
      <c r="K60">
        <f t="shared" si="12"/>
        <v>1.0602351811855051</v>
      </c>
    </row>
    <row r="61" spans="1:11" x14ac:dyDescent="0.2">
      <c r="A61" s="1">
        <v>30</v>
      </c>
      <c r="B61" t="s">
        <v>65</v>
      </c>
      <c r="C61" s="3">
        <v>22090</v>
      </c>
      <c r="D61" s="3">
        <v>16040</v>
      </c>
      <c r="E61" s="3">
        <v>22090</v>
      </c>
      <c r="F61" s="6">
        <v>20984</v>
      </c>
      <c r="G61" s="6">
        <v>22090</v>
      </c>
      <c r="H61" s="6">
        <v>21927</v>
      </c>
      <c r="I61">
        <f t="shared" si="10"/>
        <v>1.3771820448877805</v>
      </c>
      <c r="J61">
        <f t="shared" si="11"/>
        <v>1.0527068242470454</v>
      </c>
      <c r="K61">
        <f t="shared" si="12"/>
        <v>1.0074337574679619</v>
      </c>
    </row>
    <row r="62" spans="1:11" x14ac:dyDescent="0.2">
      <c r="A62" s="1">
        <v>1</v>
      </c>
      <c r="B62" t="s">
        <v>66</v>
      </c>
      <c r="C62" s="3">
        <v>22090</v>
      </c>
      <c r="D62" s="3">
        <v>20979</v>
      </c>
      <c r="E62" s="3">
        <v>22090</v>
      </c>
      <c r="F62" s="6">
        <v>21934</v>
      </c>
      <c r="G62" s="6">
        <v>22090</v>
      </c>
      <c r="H62" s="6">
        <v>21315</v>
      </c>
      <c r="I62">
        <f t="shared" si="10"/>
        <v>1.0529577196243862</v>
      </c>
      <c r="J62">
        <f t="shared" si="11"/>
        <v>1.0071122458283943</v>
      </c>
      <c r="K62">
        <f t="shared" si="12"/>
        <v>1.0363593713347408</v>
      </c>
    </row>
    <row r="63" spans="1:11" x14ac:dyDescent="0.2">
      <c r="A63" s="1">
        <v>2</v>
      </c>
      <c r="B63" t="s">
        <v>66</v>
      </c>
      <c r="C63" s="3">
        <v>22090</v>
      </c>
      <c r="D63" s="3">
        <v>22090</v>
      </c>
      <c r="E63" s="3">
        <v>22090</v>
      </c>
      <c r="F63" s="6">
        <v>19084</v>
      </c>
      <c r="G63" s="6">
        <v>22090</v>
      </c>
      <c r="H63" s="6">
        <v>21208</v>
      </c>
      <c r="I63">
        <f t="shared" si="10"/>
        <v>1</v>
      </c>
      <c r="J63">
        <f t="shared" si="11"/>
        <v>1.1575141479773632</v>
      </c>
      <c r="K63">
        <f t="shared" si="12"/>
        <v>1.0415880799698227</v>
      </c>
    </row>
    <row r="64" spans="1:11" x14ac:dyDescent="0.2">
      <c r="A64" s="1">
        <v>3</v>
      </c>
      <c r="B64" t="s">
        <v>66</v>
      </c>
      <c r="C64" s="3">
        <v>22090</v>
      </c>
      <c r="D64" s="3">
        <v>22090</v>
      </c>
      <c r="E64" s="3">
        <v>22090</v>
      </c>
      <c r="F64" s="6">
        <v>21895</v>
      </c>
      <c r="G64" s="6">
        <v>22090</v>
      </c>
      <c r="H64" s="6">
        <v>21643</v>
      </c>
      <c r="I64">
        <f t="shared" si="10"/>
        <v>1</v>
      </c>
      <c r="J64">
        <f t="shared" si="11"/>
        <v>1.0089061429550126</v>
      </c>
      <c r="K64">
        <f t="shared" si="12"/>
        <v>1.0206533290209305</v>
      </c>
    </row>
    <row r="65" spans="1:11" x14ac:dyDescent="0.2">
      <c r="A65" s="1">
        <v>4</v>
      </c>
      <c r="B65" t="s">
        <v>66</v>
      </c>
      <c r="C65" s="3">
        <v>22090</v>
      </c>
      <c r="D65" s="3">
        <v>21479</v>
      </c>
      <c r="E65" s="3">
        <v>22090</v>
      </c>
      <c r="F65" s="6">
        <v>20860</v>
      </c>
      <c r="G65" s="6">
        <v>22090</v>
      </c>
      <c r="H65" s="6">
        <v>22006</v>
      </c>
      <c r="I65">
        <f t="shared" si="10"/>
        <v>1.0284463894967177</v>
      </c>
      <c r="J65">
        <f t="shared" si="11"/>
        <v>1.0589645254074784</v>
      </c>
      <c r="K65">
        <f t="shared" si="12"/>
        <v>1.0038171407797873</v>
      </c>
    </row>
    <row r="66" spans="1:11" x14ac:dyDescent="0.2">
      <c r="A66" s="1">
        <v>5</v>
      </c>
      <c r="B66" t="s">
        <v>66</v>
      </c>
      <c r="C66" s="3">
        <v>22090</v>
      </c>
      <c r="D66" s="3">
        <v>22090</v>
      </c>
      <c r="E66" s="3">
        <v>22090</v>
      </c>
      <c r="F66" s="6">
        <v>21856</v>
      </c>
      <c r="G66" s="6">
        <v>22090</v>
      </c>
      <c r="H66" s="6">
        <v>21748</v>
      </c>
      <c r="I66">
        <f t="shared" si="10"/>
        <v>1</v>
      </c>
      <c r="J66">
        <f t="shared" si="11"/>
        <v>1.0107064421669107</v>
      </c>
      <c r="K66">
        <f t="shared" si="12"/>
        <v>1.0157255839617436</v>
      </c>
    </row>
    <row r="67" spans="1:11" x14ac:dyDescent="0.2">
      <c r="A67" s="1">
        <v>6</v>
      </c>
      <c r="B67" t="s">
        <v>66</v>
      </c>
      <c r="C67" s="3">
        <v>22090</v>
      </c>
      <c r="D67" s="3">
        <v>21151</v>
      </c>
      <c r="E67" s="3">
        <v>22090</v>
      </c>
      <c r="F67" s="6">
        <v>22090</v>
      </c>
      <c r="G67" s="6">
        <v>22090</v>
      </c>
      <c r="H67" s="6">
        <v>21541</v>
      </c>
      <c r="I67">
        <f t="shared" si="10"/>
        <v>1.044395064063165</v>
      </c>
      <c r="J67">
        <f t="shared" si="11"/>
        <v>1</v>
      </c>
      <c r="K67">
        <f t="shared" si="12"/>
        <v>1.0254862819739101</v>
      </c>
    </row>
    <row r="68" spans="1:11" x14ac:dyDescent="0.2">
      <c r="A68" s="1">
        <v>7</v>
      </c>
      <c r="B68" t="s">
        <v>66</v>
      </c>
      <c r="C68" s="3">
        <v>22090</v>
      </c>
      <c r="D68" s="3">
        <v>21480</v>
      </c>
      <c r="E68" s="3">
        <v>22090</v>
      </c>
      <c r="F68" s="6">
        <v>20586</v>
      </c>
      <c r="G68" s="6">
        <v>22090</v>
      </c>
      <c r="H68" s="6">
        <v>21821</v>
      </c>
      <c r="I68" s="1">
        <v>1.07305936</v>
      </c>
      <c r="J68">
        <f t="shared" si="11"/>
        <v>1.0730593607305936</v>
      </c>
      <c r="K68">
        <f t="shared" si="12"/>
        <v>1.0123275743549791</v>
      </c>
    </row>
    <row r="69" spans="1:11" x14ac:dyDescent="0.2">
      <c r="A69" s="1">
        <v>8</v>
      </c>
      <c r="B69" t="s">
        <v>66</v>
      </c>
      <c r="C69" s="3">
        <v>22090</v>
      </c>
      <c r="D69" s="3">
        <v>21339</v>
      </c>
      <c r="E69" s="3">
        <v>22090</v>
      </c>
      <c r="F69" s="6">
        <v>20584</v>
      </c>
      <c r="G69" s="6">
        <v>22090</v>
      </c>
      <c r="H69" s="6">
        <v>22050</v>
      </c>
      <c r="I69">
        <f>C69/D69</f>
        <v>1.0351937766530765</v>
      </c>
      <c r="J69">
        <f t="shared" si="11"/>
        <v>1.0731636222308589</v>
      </c>
      <c r="K69">
        <f t="shared" si="12"/>
        <v>1.001814058956916</v>
      </c>
    </row>
    <row r="70" spans="1:11" x14ac:dyDescent="0.2">
      <c r="A70" s="1">
        <v>9</v>
      </c>
      <c r="B70" t="s">
        <v>66</v>
      </c>
      <c r="C70" s="3">
        <v>22090</v>
      </c>
      <c r="D70" s="3">
        <v>21754</v>
      </c>
      <c r="E70" s="3">
        <v>22090</v>
      </c>
      <c r="F70" s="6">
        <v>21725</v>
      </c>
      <c r="G70" s="6">
        <v>22090</v>
      </c>
      <c r="H70" s="6">
        <v>22036</v>
      </c>
      <c r="I70">
        <f>C70/D70</f>
        <v>1.0154454353222395</v>
      </c>
      <c r="J70">
        <f t="shared" si="11"/>
        <v>1.016800920598389</v>
      </c>
      <c r="K70">
        <f t="shared" si="12"/>
        <v>1.0024505354873843</v>
      </c>
    </row>
    <row r="71" spans="1:11" x14ac:dyDescent="0.2">
      <c r="A71" s="1">
        <v>10</v>
      </c>
      <c r="B71" t="s">
        <v>66</v>
      </c>
      <c r="C71" s="3">
        <v>22090</v>
      </c>
      <c r="D71" s="3">
        <v>20452</v>
      </c>
      <c r="E71" s="3">
        <v>22090</v>
      </c>
      <c r="F71" s="6">
        <v>18384</v>
      </c>
      <c r="G71" s="6">
        <v>22090</v>
      </c>
      <c r="H71" s="6">
        <v>20941</v>
      </c>
      <c r="I71">
        <f>C71/D71</f>
        <v>1.0800899667514179</v>
      </c>
      <c r="J71">
        <f t="shared" si="11"/>
        <v>1.2015883376849434</v>
      </c>
      <c r="K71">
        <f t="shared" si="12"/>
        <v>1.0548684399025834</v>
      </c>
    </row>
    <row r="72" spans="1:11" x14ac:dyDescent="0.2">
      <c r="A72" s="1">
        <v>11</v>
      </c>
      <c r="B72" t="s">
        <v>66</v>
      </c>
      <c r="C72" s="3">
        <v>22090</v>
      </c>
      <c r="D72" s="3">
        <v>19303</v>
      </c>
      <c r="E72" s="3">
        <v>22090</v>
      </c>
      <c r="F72" s="6">
        <v>22090</v>
      </c>
      <c r="G72" s="6">
        <v>22090</v>
      </c>
      <c r="H72" s="6">
        <v>20138</v>
      </c>
      <c r="I72">
        <f>C72/D72</f>
        <v>1.1443817023260634</v>
      </c>
      <c r="J72">
        <f t="shared" si="11"/>
        <v>1</v>
      </c>
      <c r="K72">
        <f t="shared" si="12"/>
        <v>1.0969311748932367</v>
      </c>
    </row>
    <row r="73" spans="1:11" x14ac:dyDescent="0.2">
      <c r="A73" s="1">
        <v>12</v>
      </c>
      <c r="B73" t="s">
        <v>66</v>
      </c>
      <c r="C73" s="3">
        <v>22090</v>
      </c>
      <c r="D73">
        <v>0</v>
      </c>
      <c r="E73" s="3">
        <v>22090</v>
      </c>
      <c r="F73" s="1">
        <v>0</v>
      </c>
      <c r="G73" s="6">
        <v>22090</v>
      </c>
      <c r="H73" s="6">
        <v>0</v>
      </c>
      <c r="I73">
        <v>0</v>
      </c>
      <c r="J73">
        <v>0</v>
      </c>
      <c r="K73">
        <v>0</v>
      </c>
    </row>
    <row r="74" spans="1:11" x14ac:dyDescent="0.2">
      <c r="A74" s="1">
        <v>13</v>
      </c>
      <c r="B74" t="s">
        <v>66</v>
      </c>
      <c r="C74" s="3">
        <v>22090</v>
      </c>
      <c r="D74" s="3">
        <v>21746</v>
      </c>
      <c r="E74" s="3">
        <v>22090</v>
      </c>
      <c r="F74" s="6">
        <v>19963</v>
      </c>
      <c r="G74" s="6">
        <v>22090</v>
      </c>
      <c r="H74" s="6">
        <v>18918</v>
      </c>
      <c r="I74">
        <f>C74/D74</f>
        <v>1.0158190011956221</v>
      </c>
      <c r="J74">
        <f>E74/F74</f>
        <v>1.1065471121574915</v>
      </c>
      <c r="K74">
        <f>G74/H74</f>
        <v>1.1676710011629137</v>
      </c>
    </row>
    <row r="75" spans="1:11" x14ac:dyDescent="0.2">
      <c r="A75" s="1">
        <v>14</v>
      </c>
      <c r="B75" t="s">
        <v>66</v>
      </c>
      <c r="C75" s="3">
        <v>22090</v>
      </c>
      <c r="D75" s="3">
        <v>21614</v>
      </c>
      <c r="E75" s="3">
        <v>22090</v>
      </c>
      <c r="F75" s="6">
        <v>21567</v>
      </c>
      <c r="G75" s="6">
        <v>22090</v>
      </c>
      <c r="H75" s="6">
        <v>22090</v>
      </c>
      <c r="I75">
        <f>C75/D75</f>
        <v>1.022022763023966</v>
      </c>
      <c r="J75">
        <f>E75/F75</f>
        <v>1.0242500115917836</v>
      </c>
      <c r="K75">
        <f>G75/H75</f>
        <v>1</v>
      </c>
    </row>
    <row r="76" spans="1:11" x14ac:dyDescent="0.2">
      <c r="A76" s="1">
        <v>15</v>
      </c>
      <c r="B76" t="s">
        <v>66</v>
      </c>
      <c r="C76" s="3">
        <v>22090</v>
      </c>
      <c r="D76">
        <v>0</v>
      </c>
      <c r="E76" s="3">
        <v>22090</v>
      </c>
      <c r="F76" s="1">
        <v>0</v>
      </c>
      <c r="G76" s="6">
        <v>22090</v>
      </c>
      <c r="H76" s="1">
        <v>0</v>
      </c>
      <c r="I76">
        <v>0</v>
      </c>
      <c r="J76">
        <v>0</v>
      </c>
      <c r="K76">
        <v>0</v>
      </c>
    </row>
    <row r="77" spans="1:11" x14ac:dyDescent="0.2">
      <c r="A77" s="1">
        <v>16</v>
      </c>
      <c r="B77" t="s">
        <v>66</v>
      </c>
      <c r="C77" s="3">
        <v>22090</v>
      </c>
      <c r="D77" s="3">
        <v>21474</v>
      </c>
      <c r="E77" s="3">
        <v>22090</v>
      </c>
      <c r="F77" s="6">
        <v>21967</v>
      </c>
      <c r="G77" s="6">
        <v>22090</v>
      </c>
      <c r="H77" s="6">
        <v>21173</v>
      </c>
      <c r="I77">
        <f t="shared" ref="I77:I121" si="13">C77/D77</f>
        <v>1.0286858526590295</v>
      </c>
      <c r="J77">
        <f>E77/F77</f>
        <v>1.0055993080529886</v>
      </c>
      <c r="K77">
        <f t="shared" ref="K77:K121" si="14">G77/H77</f>
        <v>1.0433098757851982</v>
      </c>
    </row>
    <row r="78" spans="1:11" x14ac:dyDescent="0.2">
      <c r="A78" s="1">
        <v>17</v>
      </c>
      <c r="B78" t="s">
        <v>66</v>
      </c>
      <c r="C78" s="3">
        <v>22090</v>
      </c>
      <c r="D78" s="3">
        <v>20648</v>
      </c>
      <c r="E78" s="3">
        <v>0</v>
      </c>
      <c r="F78" s="1">
        <v>0</v>
      </c>
      <c r="G78" s="6">
        <v>22090</v>
      </c>
      <c r="H78" s="6">
        <v>21167</v>
      </c>
      <c r="I78">
        <f t="shared" si="13"/>
        <v>1.0698372723750484</v>
      </c>
      <c r="J78">
        <v>0</v>
      </c>
      <c r="K78">
        <f t="shared" si="14"/>
        <v>1.0436056125100392</v>
      </c>
    </row>
    <row r="79" spans="1:11" x14ac:dyDescent="0.2">
      <c r="A79" s="1">
        <v>18</v>
      </c>
      <c r="B79" t="s">
        <v>66</v>
      </c>
      <c r="C79" s="3">
        <v>22090</v>
      </c>
      <c r="D79" s="3">
        <v>20108</v>
      </c>
      <c r="E79" s="3">
        <v>22090</v>
      </c>
      <c r="F79" s="6">
        <v>22090</v>
      </c>
      <c r="G79" s="6">
        <v>22090</v>
      </c>
      <c r="H79" s="6">
        <v>21698</v>
      </c>
      <c r="I79">
        <f t="shared" si="13"/>
        <v>1.0985677342351303</v>
      </c>
      <c r="J79">
        <f>E79/F79</f>
        <v>1</v>
      </c>
      <c r="K79">
        <f t="shared" si="14"/>
        <v>1.0180661812148586</v>
      </c>
    </row>
    <row r="80" spans="1:11" x14ac:dyDescent="0.2">
      <c r="A80" s="1">
        <v>19</v>
      </c>
      <c r="B80" t="s">
        <v>66</v>
      </c>
      <c r="C80" s="3">
        <v>22090</v>
      </c>
      <c r="D80" s="3">
        <v>21114</v>
      </c>
      <c r="E80" s="3">
        <v>22090</v>
      </c>
      <c r="F80" s="6">
        <v>21794</v>
      </c>
      <c r="G80" s="6">
        <v>22090</v>
      </c>
      <c r="H80" s="6">
        <v>20735</v>
      </c>
      <c r="I80">
        <f t="shared" si="13"/>
        <v>1.0462252533863787</v>
      </c>
      <c r="J80">
        <f>E80/F80</f>
        <v>1.0135817197393777</v>
      </c>
      <c r="K80">
        <f t="shared" si="14"/>
        <v>1.0653484446587895</v>
      </c>
    </row>
    <row r="81" spans="1:11" x14ac:dyDescent="0.2">
      <c r="A81" s="1">
        <v>20</v>
      </c>
      <c r="B81" t="s">
        <v>66</v>
      </c>
      <c r="C81" s="3">
        <v>22090</v>
      </c>
      <c r="D81" s="3">
        <v>20577</v>
      </c>
      <c r="E81" s="3">
        <v>22090</v>
      </c>
      <c r="F81" s="6">
        <v>22019</v>
      </c>
      <c r="G81" s="6">
        <v>22090</v>
      </c>
      <c r="H81" s="6">
        <v>19938</v>
      </c>
      <c r="I81">
        <f t="shared" si="13"/>
        <v>1.0735286970889828</v>
      </c>
      <c r="J81">
        <f>C81/D81</f>
        <v>1.0735286970889828</v>
      </c>
      <c r="K81">
        <f t="shared" si="14"/>
        <v>1.1079345972514796</v>
      </c>
    </row>
    <row r="82" spans="1:11" x14ac:dyDescent="0.2">
      <c r="A82" s="1">
        <v>21</v>
      </c>
      <c r="B82" t="s">
        <v>66</v>
      </c>
      <c r="C82" s="3">
        <v>22090</v>
      </c>
      <c r="D82" s="3">
        <v>21439</v>
      </c>
      <c r="E82" s="3">
        <v>0</v>
      </c>
      <c r="F82" s="1">
        <v>0</v>
      </c>
      <c r="G82" s="6">
        <v>22090</v>
      </c>
      <c r="H82" s="6">
        <v>21140</v>
      </c>
      <c r="I82">
        <f t="shared" si="13"/>
        <v>1.0303652222585009</v>
      </c>
      <c r="J82">
        <v>0</v>
      </c>
      <c r="K82">
        <f t="shared" si="14"/>
        <v>1.0449385052034059</v>
      </c>
    </row>
    <row r="83" spans="1:11" x14ac:dyDescent="0.2">
      <c r="A83" s="1">
        <v>22</v>
      </c>
      <c r="B83" t="s">
        <v>66</v>
      </c>
      <c r="C83" s="3">
        <v>22090</v>
      </c>
      <c r="D83" s="3">
        <v>19897</v>
      </c>
      <c r="E83" s="3">
        <v>22090</v>
      </c>
      <c r="F83" s="6">
        <v>21334</v>
      </c>
      <c r="G83" s="6">
        <v>22090</v>
      </c>
      <c r="H83" s="6">
        <v>21004</v>
      </c>
      <c r="I83">
        <f t="shared" si="13"/>
        <v>1.1102176207468462</v>
      </c>
      <c r="J83">
        <f t="shared" ref="J83:J121" si="15">E83/F83</f>
        <v>1.0354363926127308</v>
      </c>
      <c r="K83">
        <f t="shared" si="14"/>
        <v>1.0517044372500477</v>
      </c>
    </row>
    <row r="84" spans="1:11" x14ac:dyDescent="0.2">
      <c r="A84" s="1">
        <v>23</v>
      </c>
      <c r="B84" t="s">
        <v>66</v>
      </c>
      <c r="C84" s="3">
        <v>22090</v>
      </c>
      <c r="D84" s="3">
        <v>21527</v>
      </c>
      <c r="E84" s="3">
        <v>22090</v>
      </c>
      <c r="F84" s="6">
        <v>20547</v>
      </c>
      <c r="G84" s="6">
        <v>22090</v>
      </c>
      <c r="H84" s="6">
        <v>21840</v>
      </c>
      <c r="I84">
        <f t="shared" si="13"/>
        <v>1.0261532029544294</v>
      </c>
      <c r="J84">
        <f t="shared" si="15"/>
        <v>1.0750961210882368</v>
      </c>
      <c r="K84">
        <f t="shared" si="14"/>
        <v>1.0114468864468864</v>
      </c>
    </row>
    <row r="85" spans="1:11" x14ac:dyDescent="0.2">
      <c r="A85" s="1">
        <v>24</v>
      </c>
      <c r="B85" t="s">
        <v>66</v>
      </c>
      <c r="C85" s="3">
        <v>22090</v>
      </c>
      <c r="D85" s="3">
        <v>21387</v>
      </c>
      <c r="E85" s="3">
        <v>22090</v>
      </c>
      <c r="F85" s="6">
        <v>21082</v>
      </c>
      <c r="G85" s="6">
        <v>22090</v>
      </c>
      <c r="H85" s="6">
        <v>20533</v>
      </c>
      <c r="I85">
        <f t="shared" si="13"/>
        <v>1.0328704353111704</v>
      </c>
      <c r="J85">
        <f t="shared" si="15"/>
        <v>1.0478133004458781</v>
      </c>
      <c r="K85">
        <f t="shared" si="14"/>
        <v>1.0758291530706667</v>
      </c>
    </row>
    <row r="86" spans="1:11" x14ac:dyDescent="0.2">
      <c r="A86" s="1">
        <v>25</v>
      </c>
      <c r="B86" t="s">
        <v>66</v>
      </c>
      <c r="C86" s="3">
        <v>22090</v>
      </c>
      <c r="D86" s="3">
        <v>20798</v>
      </c>
      <c r="E86" s="3">
        <v>22090</v>
      </c>
      <c r="F86" s="6">
        <v>22090</v>
      </c>
      <c r="G86" s="6">
        <v>22090</v>
      </c>
      <c r="H86" s="6">
        <v>21613</v>
      </c>
      <c r="I86">
        <f t="shared" si="13"/>
        <v>1.0621213578228677</v>
      </c>
      <c r="J86">
        <f t="shared" si="15"/>
        <v>1</v>
      </c>
      <c r="K86">
        <f t="shared" si="14"/>
        <v>1.0220700504326099</v>
      </c>
    </row>
    <row r="87" spans="1:11" x14ac:dyDescent="0.2">
      <c r="A87" s="1">
        <v>26</v>
      </c>
      <c r="B87" t="s">
        <v>66</v>
      </c>
      <c r="C87" s="3">
        <v>22090</v>
      </c>
      <c r="D87" s="3">
        <v>19084</v>
      </c>
      <c r="E87" s="3">
        <v>22090</v>
      </c>
      <c r="F87" s="6">
        <v>21212</v>
      </c>
      <c r="G87" s="6">
        <v>22090</v>
      </c>
      <c r="H87" s="6">
        <v>20746</v>
      </c>
      <c r="I87">
        <f t="shared" si="13"/>
        <v>1.1575141479773632</v>
      </c>
      <c r="J87">
        <f t="shared" si="15"/>
        <v>1.0413916650952291</v>
      </c>
      <c r="K87">
        <f t="shared" si="14"/>
        <v>1.064783572736913</v>
      </c>
    </row>
    <row r="88" spans="1:11" x14ac:dyDescent="0.2">
      <c r="A88" s="1">
        <v>27</v>
      </c>
      <c r="B88" t="s">
        <v>66</v>
      </c>
      <c r="C88" s="3">
        <v>22090</v>
      </c>
      <c r="D88" s="3">
        <v>21298</v>
      </c>
      <c r="E88" s="3">
        <v>22090</v>
      </c>
      <c r="F88" s="6">
        <v>20224</v>
      </c>
      <c r="G88" s="6">
        <v>22090</v>
      </c>
      <c r="H88" s="6">
        <v>20346</v>
      </c>
      <c r="I88">
        <f t="shared" si="13"/>
        <v>1.037186590290168</v>
      </c>
      <c r="J88">
        <f t="shared" si="15"/>
        <v>1.0922666139240507</v>
      </c>
      <c r="K88">
        <f t="shared" si="14"/>
        <v>1.0857170942691439</v>
      </c>
    </row>
    <row r="89" spans="1:11" x14ac:dyDescent="0.2">
      <c r="A89" s="1">
        <v>28</v>
      </c>
      <c r="B89" t="s">
        <v>66</v>
      </c>
      <c r="C89" s="3">
        <v>22090</v>
      </c>
      <c r="D89" s="3">
        <v>21471</v>
      </c>
      <c r="E89" s="3">
        <v>22090</v>
      </c>
      <c r="F89" s="6">
        <v>19288</v>
      </c>
      <c r="G89" s="6">
        <v>22090</v>
      </c>
      <c r="H89" s="6">
        <v>20090</v>
      </c>
      <c r="I89">
        <f t="shared" si="13"/>
        <v>1.0288295840901682</v>
      </c>
      <c r="J89">
        <f t="shared" si="15"/>
        <v>1.1452716715055993</v>
      </c>
      <c r="K89">
        <f t="shared" si="14"/>
        <v>1.0995520159283225</v>
      </c>
    </row>
    <row r="90" spans="1:11" x14ac:dyDescent="0.2">
      <c r="A90" s="1">
        <v>29</v>
      </c>
      <c r="B90" t="s">
        <v>66</v>
      </c>
      <c r="C90" s="3">
        <v>22090</v>
      </c>
      <c r="D90" s="3">
        <v>21682</v>
      </c>
      <c r="E90" s="3">
        <v>22090</v>
      </c>
      <c r="F90" s="6">
        <v>22090</v>
      </c>
      <c r="G90" s="6">
        <v>22090</v>
      </c>
      <c r="H90" s="6">
        <v>21665</v>
      </c>
      <c r="I90">
        <f t="shared" si="13"/>
        <v>1.0188174522645512</v>
      </c>
      <c r="J90">
        <f t="shared" si="15"/>
        <v>1</v>
      </c>
      <c r="K90">
        <f t="shared" si="14"/>
        <v>1.0196168936072005</v>
      </c>
    </row>
    <row r="91" spans="1:11" x14ac:dyDescent="0.2">
      <c r="A91" s="1">
        <v>30</v>
      </c>
      <c r="B91" t="s">
        <v>66</v>
      </c>
      <c r="C91" s="3">
        <v>22090</v>
      </c>
      <c r="D91" s="3">
        <v>19225</v>
      </c>
      <c r="E91" s="3">
        <v>22090</v>
      </c>
      <c r="F91" s="6">
        <v>21762</v>
      </c>
      <c r="G91" s="6">
        <v>22090</v>
      </c>
      <c r="H91" s="6">
        <v>19025</v>
      </c>
      <c r="I91">
        <f t="shared" si="13"/>
        <v>1.1490247074122237</v>
      </c>
      <c r="J91">
        <f t="shared" si="15"/>
        <v>1.0150721441044022</v>
      </c>
      <c r="K91">
        <f t="shared" si="14"/>
        <v>1.1611038107752956</v>
      </c>
    </row>
    <row r="92" spans="1:11" x14ac:dyDescent="0.2">
      <c r="A92" s="1">
        <v>1</v>
      </c>
      <c r="B92" t="s">
        <v>67</v>
      </c>
      <c r="C92" s="3">
        <v>22090</v>
      </c>
      <c r="D92" s="3">
        <v>14935</v>
      </c>
      <c r="E92" s="3">
        <v>22090</v>
      </c>
      <c r="F92" s="6">
        <v>21355</v>
      </c>
      <c r="G92" s="6">
        <v>22090</v>
      </c>
      <c r="H92" s="6">
        <v>21607</v>
      </c>
      <c r="I92">
        <f t="shared" si="13"/>
        <v>1.4790759959825912</v>
      </c>
      <c r="J92">
        <f t="shared" si="15"/>
        <v>1.0344181690470615</v>
      </c>
      <c r="K92">
        <f t="shared" si="14"/>
        <v>1.0223538668024252</v>
      </c>
    </row>
    <row r="93" spans="1:11" x14ac:dyDescent="0.2">
      <c r="A93" s="1">
        <v>2</v>
      </c>
      <c r="B93" t="s">
        <v>67</v>
      </c>
      <c r="C93" s="3">
        <v>22090</v>
      </c>
      <c r="D93" s="3">
        <v>21133</v>
      </c>
      <c r="E93" s="3">
        <v>22090</v>
      </c>
      <c r="F93" s="6">
        <v>19655</v>
      </c>
      <c r="G93" s="6">
        <v>22090</v>
      </c>
      <c r="H93" s="6">
        <v>21757</v>
      </c>
      <c r="I93">
        <f t="shared" si="13"/>
        <v>1.0452846259404722</v>
      </c>
      <c r="J93">
        <f t="shared" si="15"/>
        <v>1.1238870516408039</v>
      </c>
      <c r="K93">
        <f t="shared" si="14"/>
        <v>1.0153054189456268</v>
      </c>
    </row>
    <row r="94" spans="1:11" x14ac:dyDescent="0.2">
      <c r="A94" s="1">
        <v>3</v>
      </c>
      <c r="B94" t="s">
        <v>67</v>
      </c>
      <c r="C94" s="3">
        <v>22090</v>
      </c>
      <c r="D94" s="3">
        <v>14041</v>
      </c>
      <c r="E94" s="3">
        <v>22090</v>
      </c>
      <c r="F94" s="6">
        <v>19899</v>
      </c>
      <c r="G94" s="6">
        <v>22090</v>
      </c>
      <c r="H94" s="6">
        <v>21254</v>
      </c>
      <c r="I94">
        <f t="shared" si="13"/>
        <v>1.5732497685350046</v>
      </c>
      <c r="J94">
        <f t="shared" si="15"/>
        <v>1.1101060354791699</v>
      </c>
      <c r="K94">
        <f t="shared" si="14"/>
        <v>1.0393337724663594</v>
      </c>
    </row>
    <row r="95" spans="1:11" x14ac:dyDescent="0.2">
      <c r="A95" s="1">
        <v>4</v>
      </c>
      <c r="B95" t="s">
        <v>67</v>
      </c>
      <c r="C95" s="3">
        <v>22090</v>
      </c>
      <c r="D95" s="3">
        <v>21798</v>
      </c>
      <c r="E95" s="3">
        <v>22090</v>
      </c>
      <c r="F95" s="6">
        <v>21530</v>
      </c>
      <c r="G95" s="6">
        <v>22090</v>
      </c>
      <c r="H95" s="6">
        <v>21547</v>
      </c>
      <c r="I95">
        <f t="shared" si="13"/>
        <v>1.0133957243783833</v>
      </c>
      <c r="J95">
        <f t="shared" si="15"/>
        <v>1.0260102183000464</v>
      </c>
      <c r="K95">
        <f t="shared" si="14"/>
        <v>1.0252007239987004</v>
      </c>
    </row>
    <row r="96" spans="1:11" x14ac:dyDescent="0.2">
      <c r="A96" s="1">
        <v>5</v>
      </c>
      <c r="B96" t="s">
        <v>67</v>
      </c>
      <c r="C96" s="3">
        <v>22090</v>
      </c>
      <c r="D96" s="3">
        <v>18698</v>
      </c>
      <c r="E96" s="3">
        <v>22090</v>
      </c>
      <c r="F96" s="6">
        <v>21759</v>
      </c>
      <c r="G96" s="6">
        <v>22090</v>
      </c>
      <c r="H96" s="6">
        <v>20892</v>
      </c>
      <c r="I96">
        <f t="shared" si="13"/>
        <v>1.1814097764466789</v>
      </c>
      <c r="J96">
        <f t="shared" si="15"/>
        <v>1.0152120961441242</v>
      </c>
      <c r="K96">
        <f t="shared" si="14"/>
        <v>1.0573425234539537</v>
      </c>
    </row>
    <row r="97" spans="1:11" x14ac:dyDescent="0.2">
      <c r="A97" s="1">
        <v>6</v>
      </c>
      <c r="B97" t="s">
        <v>67</v>
      </c>
      <c r="C97" s="3">
        <v>22090</v>
      </c>
      <c r="D97" s="3">
        <v>19321</v>
      </c>
      <c r="E97" s="3">
        <v>22090</v>
      </c>
      <c r="F97" s="6">
        <v>21192</v>
      </c>
      <c r="G97" s="6">
        <v>22090</v>
      </c>
      <c r="H97" s="6">
        <v>20753</v>
      </c>
      <c r="I97">
        <f t="shared" si="13"/>
        <v>1.1433155633766368</v>
      </c>
      <c r="J97">
        <f t="shared" si="15"/>
        <v>1.0423744809362023</v>
      </c>
      <c r="K97">
        <f t="shared" si="14"/>
        <v>1.0644244205657014</v>
      </c>
    </row>
    <row r="98" spans="1:11" x14ac:dyDescent="0.2">
      <c r="A98" s="1">
        <v>7</v>
      </c>
      <c r="B98" t="s">
        <v>67</v>
      </c>
      <c r="C98" s="3">
        <v>22090</v>
      </c>
      <c r="D98" s="3">
        <v>21313</v>
      </c>
      <c r="E98" s="3">
        <v>22090</v>
      </c>
      <c r="F98" s="6">
        <v>21202</v>
      </c>
      <c r="G98" s="6">
        <v>22090</v>
      </c>
      <c r="H98" s="6">
        <v>21996</v>
      </c>
      <c r="I98">
        <f t="shared" si="13"/>
        <v>1.0364566227185286</v>
      </c>
      <c r="J98">
        <f t="shared" si="15"/>
        <v>1.0418828412413923</v>
      </c>
      <c r="K98">
        <f t="shared" si="14"/>
        <v>1.0042735042735043</v>
      </c>
    </row>
    <row r="99" spans="1:11" x14ac:dyDescent="0.2">
      <c r="A99" s="1">
        <v>8</v>
      </c>
      <c r="B99" t="s">
        <v>67</v>
      </c>
      <c r="C99" s="3">
        <v>22090</v>
      </c>
      <c r="D99" s="3">
        <v>19619</v>
      </c>
      <c r="E99" s="3">
        <v>22090</v>
      </c>
      <c r="F99" s="6">
        <v>20676</v>
      </c>
      <c r="G99" s="6">
        <v>22090</v>
      </c>
      <c r="H99" s="6">
        <v>20872</v>
      </c>
      <c r="I99">
        <f t="shared" si="13"/>
        <v>1.1259493348284826</v>
      </c>
      <c r="J99">
        <f t="shared" si="15"/>
        <v>1.0683884697233508</v>
      </c>
      <c r="K99">
        <f t="shared" si="14"/>
        <v>1.0583556918359525</v>
      </c>
    </row>
    <row r="100" spans="1:11" x14ac:dyDescent="0.2">
      <c r="A100" s="1">
        <v>9</v>
      </c>
      <c r="B100" t="s">
        <v>67</v>
      </c>
      <c r="C100" s="3">
        <v>22090</v>
      </c>
      <c r="D100" s="3">
        <v>21322</v>
      </c>
      <c r="E100" s="3">
        <v>22090</v>
      </c>
      <c r="F100" s="6">
        <v>20925</v>
      </c>
      <c r="G100" s="6">
        <v>22090</v>
      </c>
      <c r="H100" s="6">
        <v>21404</v>
      </c>
      <c r="I100">
        <f t="shared" si="13"/>
        <v>1.0360191351655568</v>
      </c>
      <c r="J100">
        <f t="shared" si="15"/>
        <v>1.0556750298685782</v>
      </c>
      <c r="K100">
        <f t="shared" si="14"/>
        <v>1.0320500840964306</v>
      </c>
    </row>
    <row r="101" spans="1:11" x14ac:dyDescent="0.2">
      <c r="A101" s="1">
        <v>10</v>
      </c>
      <c r="B101" t="s">
        <v>67</v>
      </c>
      <c r="C101" s="3">
        <v>22090</v>
      </c>
      <c r="D101" s="3">
        <v>21545</v>
      </c>
      <c r="E101" s="3">
        <v>22090</v>
      </c>
      <c r="F101" s="6">
        <v>21107</v>
      </c>
      <c r="G101" s="6">
        <v>22090</v>
      </c>
      <c r="H101" s="6">
        <v>21472</v>
      </c>
      <c r="I101">
        <f t="shared" si="13"/>
        <v>1.0252958923184032</v>
      </c>
      <c r="J101">
        <f t="shared" si="15"/>
        <v>1.0465722272231961</v>
      </c>
      <c r="K101">
        <f t="shared" si="14"/>
        <v>1.0287816691505216</v>
      </c>
    </row>
    <row r="102" spans="1:11" x14ac:dyDescent="0.2">
      <c r="A102" s="1">
        <v>11</v>
      </c>
      <c r="B102" t="s">
        <v>67</v>
      </c>
      <c r="C102" s="3">
        <v>22090</v>
      </c>
      <c r="D102" s="3">
        <v>18440</v>
      </c>
      <c r="E102" s="3">
        <v>22090</v>
      </c>
      <c r="F102" s="6">
        <v>21240</v>
      </c>
      <c r="G102" s="6">
        <v>22090</v>
      </c>
      <c r="H102" s="6">
        <v>21636</v>
      </c>
      <c r="I102">
        <f t="shared" si="13"/>
        <v>1.1979392624728851</v>
      </c>
      <c r="J102">
        <f>E102/F102</f>
        <v>1.0400188323917137</v>
      </c>
      <c r="K102">
        <f t="shared" si="14"/>
        <v>1.0209835459419485</v>
      </c>
    </row>
    <row r="103" spans="1:11" x14ac:dyDescent="0.2">
      <c r="A103" s="1">
        <v>12</v>
      </c>
      <c r="B103" t="s">
        <v>67</v>
      </c>
      <c r="C103" s="3">
        <v>22090</v>
      </c>
      <c r="D103" s="3">
        <v>19928</v>
      </c>
      <c r="E103" s="3">
        <v>22090</v>
      </c>
      <c r="F103" s="6">
        <v>20962</v>
      </c>
      <c r="G103" s="6">
        <v>22090</v>
      </c>
      <c r="H103" s="6">
        <v>21602</v>
      </c>
      <c r="I103">
        <f t="shared" si="13"/>
        <v>1.1084905660377358</v>
      </c>
      <c r="J103">
        <f t="shared" si="15"/>
        <v>1.053811659192825</v>
      </c>
      <c r="K103">
        <f t="shared" si="14"/>
        <v>1.0225905008795482</v>
      </c>
    </row>
    <row r="104" spans="1:11" x14ac:dyDescent="0.2">
      <c r="A104" s="1">
        <v>13</v>
      </c>
      <c r="B104" t="s">
        <v>67</v>
      </c>
      <c r="C104" s="3">
        <v>22090</v>
      </c>
      <c r="D104" s="3">
        <v>22090</v>
      </c>
      <c r="E104" s="3">
        <v>22090</v>
      </c>
      <c r="F104" s="6">
        <v>19256</v>
      </c>
      <c r="G104" s="6">
        <v>22090</v>
      </c>
      <c r="H104" s="6">
        <v>21747</v>
      </c>
      <c r="I104">
        <f t="shared" si="13"/>
        <v>1</v>
      </c>
      <c r="J104">
        <f t="shared" si="15"/>
        <v>1.1471749065226422</v>
      </c>
      <c r="K104">
        <f t="shared" si="14"/>
        <v>1.0157722904308639</v>
      </c>
    </row>
    <row r="105" spans="1:11" x14ac:dyDescent="0.2">
      <c r="A105" s="1">
        <v>14</v>
      </c>
      <c r="B105" t="s">
        <v>67</v>
      </c>
      <c r="C105" s="3">
        <v>22090</v>
      </c>
      <c r="D105" s="3">
        <v>21915</v>
      </c>
      <c r="E105" s="3">
        <v>22090</v>
      </c>
      <c r="F105" s="6">
        <v>21323</v>
      </c>
      <c r="G105" s="6">
        <v>22090</v>
      </c>
      <c r="H105" s="6">
        <v>21571</v>
      </c>
      <c r="I105">
        <f t="shared" si="13"/>
        <v>1.0079853981291353</v>
      </c>
      <c r="J105">
        <f t="shared" si="15"/>
        <v>1.0359705482343009</v>
      </c>
      <c r="K105">
        <f t="shared" si="14"/>
        <v>1.0240600806638542</v>
      </c>
    </row>
    <row r="106" spans="1:11" x14ac:dyDescent="0.2">
      <c r="A106" s="1">
        <v>15</v>
      </c>
      <c r="B106" t="s">
        <v>67</v>
      </c>
      <c r="C106" s="3">
        <v>22090</v>
      </c>
      <c r="D106" s="3">
        <v>21674</v>
      </c>
      <c r="E106" s="3">
        <v>22090</v>
      </c>
      <c r="F106" s="6">
        <v>21954</v>
      </c>
      <c r="G106" s="6">
        <v>22090</v>
      </c>
      <c r="H106" s="6">
        <v>22027</v>
      </c>
      <c r="I106">
        <f t="shared" si="13"/>
        <v>1.0191935037371966</v>
      </c>
      <c r="J106">
        <f t="shared" si="15"/>
        <v>1.0061947708845769</v>
      </c>
      <c r="K106">
        <f t="shared" si="14"/>
        <v>1.0028601262087438</v>
      </c>
    </row>
    <row r="107" spans="1:11" x14ac:dyDescent="0.2">
      <c r="A107" s="1">
        <v>16</v>
      </c>
      <c r="B107" t="s">
        <v>67</v>
      </c>
      <c r="C107" s="3">
        <v>22090</v>
      </c>
      <c r="D107" s="5">
        <v>19747</v>
      </c>
      <c r="E107" s="3">
        <v>22090</v>
      </c>
      <c r="F107" s="6">
        <v>21394</v>
      </c>
      <c r="G107" s="6">
        <v>22090</v>
      </c>
      <c r="H107" s="6">
        <v>20620</v>
      </c>
      <c r="I107">
        <f t="shared" si="13"/>
        <v>1.1186509343191371</v>
      </c>
      <c r="J107">
        <f t="shared" si="15"/>
        <v>1.0325324857436664</v>
      </c>
      <c r="K107">
        <f t="shared" si="14"/>
        <v>1.071290009699321</v>
      </c>
    </row>
    <row r="108" spans="1:11" x14ac:dyDescent="0.2">
      <c r="A108" s="1">
        <v>17</v>
      </c>
      <c r="B108" t="s">
        <v>67</v>
      </c>
      <c r="C108" s="3">
        <v>22090</v>
      </c>
      <c r="D108" s="3">
        <v>16366</v>
      </c>
      <c r="E108" s="3">
        <v>22090</v>
      </c>
      <c r="F108" s="6">
        <v>20538</v>
      </c>
      <c r="G108" s="6">
        <v>22090</v>
      </c>
      <c r="H108" s="6">
        <v>21012</v>
      </c>
      <c r="I108">
        <f t="shared" si="13"/>
        <v>1.3497494806305756</v>
      </c>
      <c r="J108">
        <f t="shared" si="15"/>
        <v>1.075567241211413</v>
      </c>
      <c r="K108">
        <f t="shared" si="14"/>
        <v>1.051304016752332</v>
      </c>
    </row>
    <row r="109" spans="1:11" x14ac:dyDescent="0.2">
      <c r="A109" s="1">
        <v>18</v>
      </c>
      <c r="B109" t="s">
        <v>67</v>
      </c>
      <c r="C109" s="3">
        <v>22090</v>
      </c>
      <c r="D109" s="3">
        <v>21877</v>
      </c>
      <c r="E109" s="3">
        <v>22090</v>
      </c>
      <c r="F109" s="6">
        <v>21883</v>
      </c>
      <c r="G109" s="6">
        <v>22090</v>
      </c>
      <c r="H109" s="6">
        <v>21662</v>
      </c>
      <c r="I109">
        <f t="shared" si="13"/>
        <v>1.0097362526854687</v>
      </c>
      <c r="J109">
        <f t="shared" si="15"/>
        <v>1.0094593977059818</v>
      </c>
      <c r="K109">
        <f t="shared" si="14"/>
        <v>1.0197581017449913</v>
      </c>
    </row>
    <row r="110" spans="1:11" x14ac:dyDescent="0.2">
      <c r="A110" s="1">
        <v>19</v>
      </c>
      <c r="B110" t="s">
        <v>67</v>
      </c>
      <c r="C110" s="3">
        <v>22090</v>
      </c>
      <c r="D110" s="3">
        <v>19717</v>
      </c>
      <c r="E110" s="3">
        <v>22090</v>
      </c>
      <c r="F110" s="6">
        <v>22090</v>
      </c>
      <c r="G110" s="6">
        <v>22090</v>
      </c>
      <c r="H110" s="6">
        <v>21807</v>
      </c>
      <c r="I110">
        <f t="shared" si="13"/>
        <v>1.1203529948775168</v>
      </c>
      <c r="J110">
        <f t="shared" si="15"/>
        <v>1</v>
      </c>
      <c r="K110">
        <f t="shared" si="14"/>
        <v>1.012977484294034</v>
      </c>
    </row>
    <row r="111" spans="1:11" x14ac:dyDescent="0.2">
      <c r="A111" s="1">
        <v>20</v>
      </c>
      <c r="B111" t="s">
        <v>67</v>
      </c>
      <c r="C111" s="3">
        <v>22090</v>
      </c>
      <c r="D111" s="3">
        <v>18527</v>
      </c>
      <c r="E111" s="3">
        <v>22090</v>
      </c>
      <c r="F111" s="6">
        <v>21436</v>
      </c>
      <c r="G111" s="6">
        <v>22090</v>
      </c>
      <c r="H111" s="6">
        <v>19857</v>
      </c>
      <c r="I111">
        <f t="shared" si="13"/>
        <v>1.1923139202245372</v>
      </c>
      <c r="J111">
        <f t="shared" si="15"/>
        <v>1.0305094233998879</v>
      </c>
      <c r="K111">
        <f t="shared" si="14"/>
        <v>1.1124540464319888</v>
      </c>
    </row>
    <row r="112" spans="1:11" x14ac:dyDescent="0.2">
      <c r="A112" s="1">
        <v>21</v>
      </c>
      <c r="B112" t="s">
        <v>67</v>
      </c>
      <c r="C112" s="3">
        <v>22090</v>
      </c>
      <c r="D112" s="3">
        <v>18782</v>
      </c>
      <c r="E112" s="3">
        <v>22090</v>
      </c>
      <c r="F112" s="6">
        <v>22090</v>
      </c>
      <c r="G112" s="6">
        <v>22090</v>
      </c>
      <c r="H112" s="6">
        <v>21361</v>
      </c>
      <c r="I112">
        <f t="shared" si="13"/>
        <v>1.1761260781599403</v>
      </c>
      <c r="J112">
        <f t="shared" si="15"/>
        <v>1</v>
      </c>
      <c r="K112">
        <f t="shared" si="14"/>
        <v>1.0341276157483263</v>
      </c>
    </row>
    <row r="113" spans="1:11" x14ac:dyDescent="0.2">
      <c r="A113" s="1">
        <v>22</v>
      </c>
      <c r="B113" t="s">
        <v>67</v>
      </c>
      <c r="C113" s="3">
        <v>22090</v>
      </c>
      <c r="D113" s="3">
        <v>21710</v>
      </c>
      <c r="E113" s="3">
        <v>22090</v>
      </c>
      <c r="F113" s="6">
        <v>21653</v>
      </c>
      <c r="G113" s="6">
        <v>22090</v>
      </c>
      <c r="H113" s="6">
        <v>21471</v>
      </c>
      <c r="I113">
        <f t="shared" si="13"/>
        <v>1.0175034546292032</v>
      </c>
      <c r="J113">
        <f t="shared" si="15"/>
        <v>1.0201819609292015</v>
      </c>
      <c r="K113">
        <f t="shared" si="14"/>
        <v>1.0288295840901682</v>
      </c>
    </row>
    <row r="114" spans="1:11" x14ac:dyDescent="0.2">
      <c r="A114" s="1">
        <v>23</v>
      </c>
      <c r="B114" t="s">
        <v>67</v>
      </c>
      <c r="C114" s="3">
        <v>22090</v>
      </c>
      <c r="D114" s="3">
        <v>21833</v>
      </c>
      <c r="E114" s="3">
        <v>22090</v>
      </c>
      <c r="F114" s="6">
        <v>21579</v>
      </c>
      <c r="G114" s="6">
        <v>22090</v>
      </c>
      <c r="H114" s="6">
        <v>21578</v>
      </c>
      <c r="I114">
        <f t="shared" si="13"/>
        <v>1.0117711720789631</v>
      </c>
      <c r="J114">
        <f t="shared" si="15"/>
        <v>1.0236804300477316</v>
      </c>
      <c r="K114">
        <f t="shared" si="14"/>
        <v>1.0237278709797015</v>
      </c>
    </row>
    <row r="115" spans="1:11" x14ac:dyDescent="0.2">
      <c r="A115" s="1">
        <v>24</v>
      </c>
      <c r="B115" t="s">
        <v>67</v>
      </c>
      <c r="C115" s="3">
        <v>22090</v>
      </c>
      <c r="D115" s="3">
        <v>19786</v>
      </c>
      <c r="E115" s="3">
        <v>22090</v>
      </c>
      <c r="F115" s="6">
        <v>20356</v>
      </c>
      <c r="G115" s="6">
        <v>22090</v>
      </c>
      <c r="H115" s="6">
        <v>20750</v>
      </c>
      <c r="I115">
        <f t="shared" si="13"/>
        <v>1.1164459718993227</v>
      </c>
      <c r="J115">
        <f t="shared" si="15"/>
        <v>1.0851837296128906</v>
      </c>
      <c r="K115">
        <f t="shared" si="14"/>
        <v>1.064578313253012</v>
      </c>
    </row>
    <row r="116" spans="1:11" x14ac:dyDescent="0.2">
      <c r="A116" s="1">
        <v>25</v>
      </c>
      <c r="B116" t="s">
        <v>67</v>
      </c>
      <c r="C116" s="3">
        <v>22090</v>
      </c>
      <c r="D116" s="3">
        <v>20644</v>
      </c>
      <c r="E116" s="3">
        <v>22090</v>
      </c>
      <c r="F116" s="6">
        <v>20236</v>
      </c>
      <c r="G116" s="6">
        <v>22090</v>
      </c>
      <c r="H116" s="6">
        <v>21353</v>
      </c>
      <c r="I116">
        <f t="shared" si="13"/>
        <v>1.0700445650067816</v>
      </c>
      <c r="J116">
        <f t="shared" si="15"/>
        <v>1.0916188970152203</v>
      </c>
      <c r="K116">
        <f t="shared" si="14"/>
        <v>1.0345150564323515</v>
      </c>
    </row>
    <row r="117" spans="1:11" x14ac:dyDescent="0.2">
      <c r="A117" s="1">
        <v>26</v>
      </c>
      <c r="B117" t="s">
        <v>67</v>
      </c>
      <c r="C117" s="3">
        <v>22090</v>
      </c>
      <c r="D117" s="3">
        <v>14693</v>
      </c>
      <c r="E117" s="3">
        <v>22090</v>
      </c>
      <c r="F117" s="6">
        <v>19771</v>
      </c>
      <c r="G117" s="6">
        <v>22090</v>
      </c>
      <c r="H117" s="6">
        <v>20925</v>
      </c>
      <c r="I117">
        <f t="shared" si="13"/>
        <v>1.5034370108214796</v>
      </c>
      <c r="J117">
        <f t="shared" si="15"/>
        <v>1.1172930049061758</v>
      </c>
      <c r="K117">
        <f t="shared" si="14"/>
        <v>1.0556750298685782</v>
      </c>
    </row>
    <row r="118" spans="1:11" x14ac:dyDescent="0.2">
      <c r="A118" s="1">
        <v>27</v>
      </c>
      <c r="B118" t="s">
        <v>67</v>
      </c>
      <c r="C118" s="3">
        <v>22090</v>
      </c>
      <c r="D118" s="3">
        <v>21652</v>
      </c>
      <c r="E118" s="3">
        <v>22090</v>
      </c>
      <c r="F118" s="6">
        <v>21156</v>
      </c>
      <c r="G118" s="6">
        <v>22090</v>
      </c>
      <c r="H118" s="6">
        <v>21347</v>
      </c>
      <c r="I118">
        <f t="shared" si="13"/>
        <v>1.0202290781452059</v>
      </c>
      <c r="J118">
        <f t="shared" si="15"/>
        <v>1.0441482321799962</v>
      </c>
      <c r="K118">
        <f t="shared" si="14"/>
        <v>1.0348058275167471</v>
      </c>
    </row>
    <row r="119" spans="1:11" x14ac:dyDescent="0.2">
      <c r="A119" s="1">
        <v>28</v>
      </c>
      <c r="B119" t="s">
        <v>67</v>
      </c>
      <c r="C119" s="3">
        <v>22090</v>
      </c>
      <c r="D119" s="3">
        <v>15182</v>
      </c>
      <c r="E119" s="3">
        <v>22090</v>
      </c>
      <c r="F119" s="6">
        <v>20667</v>
      </c>
      <c r="G119" s="6">
        <v>22090</v>
      </c>
      <c r="H119" s="6">
        <v>20844</v>
      </c>
      <c r="I119">
        <f t="shared" si="13"/>
        <v>1.4550125148201818</v>
      </c>
      <c r="J119">
        <f t="shared" si="15"/>
        <v>1.0688537281656747</v>
      </c>
      <c r="K119">
        <f t="shared" si="14"/>
        <v>1.0597773939742852</v>
      </c>
    </row>
    <row r="120" spans="1:11" x14ac:dyDescent="0.2">
      <c r="A120" s="1">
        <v>29</v>
      </c>
      <c r="B120" t="s">
        <v>67</v>
      </c>
      <c r="C120" s="3">
        <v>22090</v>
      </c>
      <c r="D120" s="3">
        <v>20792</v>
      </c>
      <c r="E120" s="3">
        <v>22090</v>
      </c>
      <c r="F120" s="6">
        <v>20929</v>
      </c>
      <c r="G120" s="6">
        <v>22090</v>
      </c>
      <c r="H120" s="6">
        <v>21061</v>
      </c>
      <c r="I120">
        <f t="shared" si="13"/>
        <v>1.0624278568680261</v>
      </c>
      <c r="J120">
        <f t="shared" si="15"/>
        <v>1.0554732667590425</v>
      </c>
      <c r="K120">
        <f t="shared" si="14"/>
        <v>1.0488580789136319</v>
      </c>
    </row>
    <row r="121" spans="1:11" x14ac:dyDescent="0.2">
      <c r="A121" s="1">
        <v>30</v>
      </c>
      <c r="B121" t="s">
        <v>67</v>
      </c>
      <c r="C121" s="3">
        <v>22090</v>
      </c>
      <c r="D121" s="3">
        <v>21645</v>
      </c>
      <c r="E121" s="3">
        <v>22090</v>
      </c>
      <c r="F121" s="6">
        <v>21796</v>
      </c>
      <c r="G121" s="6">
        <v>22090</v>
      </c>
      <c r="H121" s="6">
        <v>21008</v>
      </c>
      <c r="I121">
        <f t="shared" si="13"/>
        <v>1.0205590205590205</v>
      </c>
      <c r="J121">
        <f t="shared" si="15"/>
        <v>1.0134887135254176</v>
      </c>
      <c r="K121">
        <f t="shared" si="14"/>
        <v>1.0515041888804264</v>
      </c>
    </row>
    <row r="122" spans="1:11" x14ac:dyDescent="0.2">
      <c r="A122" s="1">
        <v>1</v>
      </c>
      <c r="B122" t="s">
        <v>68</v>
      </c>
      <c r="C122" s="3">
        <v>22090</v>
      </c>
      <c r="D122" s="3">
        <v>9362</v>
      </c>
      <c r="E122" s="3">
        <v>22090</v>
      </c>
      <c r="F122" s="3">
        <v>21971</v>
      </c>
      <c r="G122" s="3">
        <v>22090</v>
      </c>
      <c r="H122" s="3">
        <v>22029</v>
      </c>
      <c r="I122">
        <f t="shared" ref="I122:I127" si="16">C122/D122</f>
        <v>2.3595385601367229</v>
      </c>
      <c r="J122">
        <f>E122/F122</f>
        <v>1.0054162304856402</v>
      </c>
      <c r="K122">
        <f t="shared" ref="K122:K127" si="17">G122/H122</f>
        <v>1.0027690771256073</v>
      </c>
    </row>
    <row r="123" spans="1:11" x14ac:dyDescent="0.2">
      <c r="A123" s="1">
        <v>2</v>
      </c>
      <c r="B123" t="s">
        <v>68</v>
      </c>
      <c r="C123" s="3">
        <v>22090</v>
      </c>
      <c r="D123" s="3">
        <v>8663</v>
      </c>
      <c r="E123" s="3">
        <v>22090</v>
      </c>
      <c r="F123" s="3">
        <v>21782</v>
      </c>
      <c r="G123" s="3">
        <v>22090</v>
      </c>
      <c r="H123" s="3">
        <v>22090</v>
      </c>
      <c r="I123">
        <f t="shared" si="16"/>
        <v>2.5499249682558007</v>
      </c>
      <c r="J123">
        <f>E123/F123</f>
        <v>1.0141401156918557</v>
      </c>
      <c r="K123">
        <f t="shared" si="17"/>
        <v>1</v>
      </c>
    </row>
    <row r="124" spans="1:11" x14ac:dyDescent="0.2">
      <c r="A124" s="1">
        <v>3</v>
      </c>
      <c r="B124" t="s">
        <v>68</v>
      </c>
      <c r="C124" s="3">
        <v>22090</v>
      </c>
      <c r="D124" s="3">
        <v>12491</v>
      </c>
      <c r="E124" s="3">
        <v>22090</v>
      </c>
      <c r="F124" s="3">
        <v>22022</v>
      </c>
      <c r="G124" s="3">
        <v>22090</v>
      </c>
      <c r="H124" s="3">
        <v>22090</v>
      </c>
      <c r="I124">
        <f t="shared" si="16"/>
        <v>1.7684733007765592</v>
      </c>
      <c r="J124">
        <f>E124/F124</f>
        <v>1.0030878212696395</v>
      </c>
      <c r="K124">
        <f t="shared" si="17"/>
        <v>1</v>
      </c>
    </row>
    <row r="125" spans="1:11" x14ac:dyDescent="0.2">
      <c r="A125" s="1">
        <v>4</v>
      </c>
      <c r="B125" t="s">
        <v>68</v>
      </c>
      <c r="C125" s="3">
        <v>22090</v>
      </c>
      <c r="D125" s="3">
        <v>12939</v>
      </c>
      <c r="E125" s="3">
        <v>22090</v>
      </c>
      <c r="F125" s="3">
        <v>21922</v>
      </c>
      <c r="G125" s="3">
        <v>22090</v>
      </c>
      <c r="H125" s="3">
        <v>22090</v>
      </c>
      <c r="I125">
        <f t="shared" si="16"/>
        <v>1.7072416724630961</v>
      </c>
      <c r="J125">
        <f>E125/F125</f>
        <v>1.0076635343490556</v>
      </c>
      <c r="K125">
        <f t="shared" si="17"/>
        <v>1</v>
      </c>
    </row>
    <row r="126" spans="1:11" x14ac:dyDescent="0.2">
      <c r="A126" s="1">
        <v>1</v>
      </c>
      <c r="B126" t="s">
        <v>69</v>
      </c>
      <c r="C126" s="3">
        <v>22090</v>
      </c>
      <c r="D126" s="3">
        <v>22090</v>
      </c>
      <c r="E126" s="3">
        <v>22090</v>
      </c>
      <c r="F126" s="3">
        <v>22090</v>
      </c>
      <c r="G126" s="3">
        <v>22090</v>
      </c>
      <c r="H126" s="3">
        <v>22090</v>
      </c>
      <c r="I126">
        <f t="shared" si="16"/>
        <v>1</v>
      </c>
      <c r="J126">
        <f>F126/G126</f>
        <v>1</v>
      </c>
      <c r="K126">
        <f t="shared" si="17"/>
        <v>1</v>
      </c>
    </row>
    <row r="127" spans="1:11" x14ac:dyDescent="0.2">
      <c r="A127" s="1">
        <v>2</v>
      </c>
      <c r="B127" t="s">
        <v>69</v>
      </c>
      <c r="C127" s="3">
        <v>22090</v>
      </c>
      <c r="D127" s="3">
        <v>22090</v>
      </c>
      <c r="E127" s="3">
        <v>22090</v>
      </c>
      <c r="F127" s="3">
        <v>20645</v>
      </c>
      <c r="G127" s="3">
        <v>22090</v>
      </c>
      <c r="H127" s="3">
        <v>22090</v>
      </c>
      <c r="I127">
        <f t="shared" si="16"/>
        <v>1</v>
      </c>
      <c r="J127">
        <f>E127/F127</f>
        <v>1.0699927343182369</v>
      </c>
      <c r="K127">
        <f t="shared" si="17"/>
        <v>1</v>
      </c>
    </row>
    <row r="128" spans="1:11" x14ac:dyDescent="0.2">
      <c r="A128" s="1">
        <v>3</v>
      </c>
      <c r="B128" t="s">
        <v>69</v>
      </c>
      <c r="C128" s="3">
        <v>22090</v>
      </c>
      <c r="D128">
        <v>0</v>
      </c>
      <c r="E128" s="3">
        <v>22090</v>
      </c>
      <c r="F128">
        <v>0</v>
      </c>
      <c r="G128" s="3">
        <v>22090</v>
      </c>
      <c r="H128">
        <v>0</v>
      </c>
      <c r="I128" s="3">
        <v>0</v>
      </c>
      <c r="J128">
        <v>0</v>
      </c>
      <c r="K128" s="3">
        <v>0</v>
      </c>
    </row>
    <row r="129" spans="1:11" x14ac:dyDescent="0.2">
      <c r="A129" s="1">
        <v>4</v>
      </c>
      <c r="B129" t="s">
        <v>69</v>
      </c>
      <c r="C129" s="3">
        <v>22090</v>
      </c>
      <c r="D129" s="3">
        <v>22090</v>
      </c>
      <c r="E129" s="3">
        <v>22090</v>
      </c>
      <c r="F129" s="3">
        <v>22069</v>
      </c>
      <c r="G129" s="3">
        <v>22090</v>
      </c>
      <c r="H129" s="3">
        <v>21963</v>
      </c>
      <c r="I129">
        <f>C129/D129</f>
        <v>1</v>
      </c>
      <c r="J129">
        <f>E129/F129</f>
        <v>1.0009515610131858</v>
      </c>
      <c r="K129">
        <f>G129/H129</f>
        <v>1.0057824523061512</v>
      </c>
    </row>
    <row r="130" spans="1:11" x14ac:dyDescent="0.2">
      <c r="A130" s="1">
        <v>1</v>
      </c>
      <c r="B130" t="s">
        <v>70</v>
      </c>
      <c r="C130" s="3">
        <v>22090</v>
      </c>
      <c r="D130" s="6">
        <v>0</v>
      </c>
      <c r="E130" s="3">
        <v>22090</v>
      </c>
      <c r="F130" s="3">
        <v>21869</v>
      </c>
      <c r="G130" s="3">
        <v>22090</v>
      </c>
      <c r="H130" s="3">
        <v>21948</v>
      </c>
      <c r="I130" s="3">
        <v>0</v>
      </c>
      <c r="J130">
        <f>E130/F130</f>
        <v>1.0101056289725181</v>
      </c>
      <c r="K130">
        <f>G130/H130</f>
        <v>1.0064698377984327</v>
      </c>
    </row>
    <row r="131" spans="1:11" x14ac:dyDescent="0.2">
      <c r="A131" s="1">
        <v>2</v>
      </c>
      <c r="B131" t="s">
        <v>70</v>
      </c>
      <c r="C131" s="3">
        <v>22090</v>
      </c>
      <c r="D131" s="1">
        <v>0</v>
      </c>
      <c r="E131" s="3">
        <v>22090</v>
      </c>
      <c r="F131">
        <v>0</v>
      </c>
      <c r="G131" s="3">
        <v>22090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3</v>
      </c>
      <c r="B132" t="s">
        <v>70</v>
      </c>
      <c r="C132" s="3">
        <v>22090</v>
      </c>
      <c r="D132" s="6">
        <v>20710</v>
      </c>
      <c r="E132" s="3">
        <v>22090</v>
      </c>
      <c r="F132" s="3">
        <v>22090</v>
      </c>
      <c r="G132" s="3">
        <v>22090</v>
      </c>
      <c r="H132" s="3">
        <v>21880</v>
      </c>
      <c r="I132">
        <f>C132/D132</f>
        <v>1.0666344760985031</v>
      </c>
      <c r="J132">
        <f>E132/F132</f>
        <v>1</v>
      </c>
      <c r="K132">
        <f>G132/H132</f>
        <v>1.009597806215722</v>
      </c>
    </row>
    <row r="133" spans="1:11" x14ac:dyDescent="0.2">
      <c r="A133" s="1">
        <v>4</v>
      </c>
      <c r="B133" t="s">
        <v>70</v>
      </c>
      <c r="C133" s="3">
        <v>22090</v>
      </c>
      <c r="D133" s="1">
        <v>0</v>
      </c>
      <c r="E133" s="3">
        <v>22090</v>
      </c>
      <c r="F133">
        <v>0</v>
      </c>
      <c r="G133" s="3">
        <v>22090</v>
      </c>
      <c r="H133">
        <v>0</v>
      </c>
      <c r="I133">
        <v>0</v>
      </c>
      <c r="J133">
        <v>0</v>
      </c>
      <c r="K133">
        <v>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3C3C-FCC5-1747-905A-F3175A748803}">
  <dimension ref="A1:T43"/>
  <sheetViews>
    <sheetView topLeftCell="E21" workbookViewId="0">
      <selection activeCell="N39" sqref="N39:N42"/>
    </sheetView>
  </sheetViews>
  <sheetFormatPr baseColWidth="10" defaultRowHeight="16" x14ac:dyDescent="0.2"/>
  <sheetData>
    <row r="1" spans="1:20" x14ac:dyDescent="0.2">
      <c r="A1" s="2" t="s">
        <v>8</v>
      </c>
      <c r="J1" s="2" t="s">
        <v>7</v>
      </c>
    </row>
    <row r="2" spans="1:2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</row>
    <row r="3" spans="1:20" x14ac:dyDescent="0.2">
      <c r="A3" s="1">
        <v>1</v>
      </c>
      <c r="B3" s="1"/>
      <c r="C3" s="1"/>
      <c r="D3" s="1"/>
      <c r="E3" s="1"/>
      <c r="J3" s="1">
        <v>1</v>
      </c>
      <c r="K3" s="6">
        <v>20403</v>
      </c>
      <c r="L3" s="6">
        <v>21517</v>
      </c>
      <c r="M3" s="6">
        <v>21934</v>
      </c>
      <c r="N3" s="6">
        <v>21355</v>
      </c>
    </row>
    <row r="4" spans="1:20" x14ac:dyDescent="0.2">
      <c r="A4" s="1">
        <v>2</v>
      </c>
      <c r="B4" s="1"/>
      <c r="C4" s="1"/>
      <c r="D4" s="1"/>
      <c r="E4" s="1"/>
      <c r="J4" s="1">
        <v>2</v>
      </c>
      <c r="K4" s="6">
        <v>21706</v>
      </c>
      <c r="L4" s="6">
        <v>21718</v>
      </c>
      <c r="M4" s="6">
        <v>19084</v>
      </c>
      <c r="N4" s="6">
        <v>19655</v>
      </c>
    </row>
    <row r="5" spans="1:20" x14ac:dyDescent="0.2">
      <c r="A5" s="1">
        <v>3</v>
      </c>
      <c r="B5" s="1"/>
      <c r="C5" s="1"/>
      <c r="D5" s="1"/>
      <c r="E5" s="1"/>
      <c r="J5" s="1">
        <v>3</v>
      </c>
      <c r="K5" s="6">
        <v>20842</v>
      </c>
      <c r="L5" s="6">
        <v>19939</v>
      </c>
      <c r="M5" s="6">
        <v>21895</v>
      </c>
      <c r="N5" s="6">
        <v>19899</v>
      </c>
      <c r="P5" t="s">
        <v>48</v>
      </c>
      <c r="Q5" t="s">
        <v>47</v>
      </c>
      <c r="R5" t="s">
        <v>50</v>
      </c>
      <c r="S5" t="s">
        <v>51</v>
      </c>
      <c r="T5" t="s">
        <v>52</v>
      </c>
    </row>
    <row r="6" spans="1:20" x14ac:dyDescent="0.2">
      <c r="A6" s="1">
        <v>4</v>
      </c>
      <c r="B6" s="1"/>
      <c r="C6" s="1"/>
      <c r="D6" s="1"/>
      <c r="E6" s="1"/>
      <c r="J6" s="1">
        <v>4</v>
      </c>
      <c r="K6" s="6">
        <v>21338</v>
      </c>
      <c r="L6" s="6">
        <v>19959</v>
      </c>
      <c r="M6" s="6">
        <v>20860</v>
      </c>
      <c r="N6" s="6">
        <v>21530</v>
      </c>
      <c r="P6" s="3">
        <v>2</v>
      </c>
      <c r="Q6" t="s">
        <v>1</v>
      </c>
      <c r="R6" s="3">
        <v>640610</v>
      </c>
      <c r="S6" s="3">
        <v>582229</v>
      </c>
      <c r="T6" s="3">
        <v>58381</v>
      </c>
    </row>
    <row r="7" spans="1:20" x14ac:dyDescent="0.2">
      <c r="A7" s="1">
        <v>5</v>
      </c>
      <c r="B7" s="1"/>
      <c r="C7" s="1"/>
      <c r="D7" s="1"/>
      <c r="E7" s="1"/>
      <c r="J7" s="1">
        <v>5</v>
      </c>
      <c r="K7" s="6">
        <v>17514</v>
      </c>
      <c r="L7" s="6">
        <v>21000</v>
      </c>
      <c r="M7" s="6">
        <v>21856</v>
      </c>
      <c r="N7" s="6">
        <v>21759</v>
      </c>
      <c r="P7" s="3">
        <v>2</v>
      </c>
      <c r="Q7" t="s">
        <v>2</v>
      </c>
      <c r="R7" s="3">
        <v>596430</v>
      </c>
      <c r="S7" s="3">
        <v>569552</v>
      </c>
      <c r="T7" s="3">
        <v>26878</v>
      </c>
    </row>
    <row r="8" spans="1:20" x14ac:dyDescent="0.2">
      <c r="A8" s="1">
        <v>6</v>
      </c>
      <c r="B8" s="1"/>
      <c r="C8" s="1"/>
      <c r="D8" s="1"/>
      <c r="E8" s="1"/>
      <c r="J8" s="1">
        <v>6</v>
      </c>
      <c r="K8" s="6">
        <v>22090</v>
      </c>
      <c r="L8" s="6">
        <v>22090</v>
      </c>
      <c r="M8" s="6">
        <v>22090</v>
      </c>
      <c r="N8" s="6">
        <v>21192</v>
      </c>
      <c r="P8" s="3">
        <v>2</v>
      </c>
      <c r="Q8" t="s">
        <v>3</v>
      </c>
      <c r="R8" s="3">
        <v>574340</v>
      </c>
      <c r="S8" s="3">
        <v>550117</v>
      </c>
      <c r="T8" s="3">
        <v>24223</v>
      </c>
    </row>
    <row r="9" spans="1:20" x14ac:dyDescent="0.2">
      <c r="A9" s="1">
        <v>7</v>
      </c>
      <c r="B9" s="1"/>
      <c r="C9" s="1"/>
      <c r="D9" s="1"/>
      <c r="E9" s="1"/>
      <c r="J9" s="1">
        <v>7</v>
      </c>
      <c r="K9" s="6">
        <v>20991</v>
      </c>
      <c r="L9" s="1">
        <v>0</v>
      </c>
      <c r="M9" s="6">
        <v>20586</v>
      </c>
      <c r="N9" s="6">
        <v>21202</v>
      </c>
      <c r="P9" s="3">
        <v>2</v>
      </c>
      <c r="Q9" t="s">
        <v>49</v>
      </c>
      <c r="R9" s="3">
        <v>662700</v>
      </c>
      <c r="S9" s="3">
        <v>631609</v>
      </c>
      <c r="T9" s="3">
        <v>31091</v>
      </c>
    </row>
    <row r="10" spans="1:20" x14ac:dyDescent="0.2">
      <c r="A10" s="1">
        <v>8</v>
      </c>
      <c r="B10" s="1"/>
      <c r="C10" s="1"/>
      <c r="D10" s="1"/>
      <c r="E10" s="1"/>
      <c r="J10" s="1">
        <v>8</v>
      </c>
      <c r="K10" s="6">
        <v>19886</v>
      </c>
      <c r="L10" s="6">
        <v>20798</v>
      </c>
      <c r="M10" s="6">
        <v>20584</v>
      </c>
      <c r="N10" s="6">
        <v>20676</v>
      </c>
    </row>
    <row r="11" spans="1:20" x14ac:dyDescent="0.2">
      <c r="A11" s="1">
        <v>9</v>
      </c>
      <c r="B11" s="1"/>
      <c r="C11" s="1"/>
      <c r="D11" s="1"/>
      <c r="E11" s="1"/>
      <c r="J11" s="1">
        <v>9</v>
      </c>
      <c r="K11" s="6">
        <v>20862</v>
      </c>
      <c r="L11" s="6">
        <v>20563</v>
      </c>
      <c r="M11" s="6">
        <v>21725</v>
      </c>
      <c r="N11" s="6">
        <v>20925</v>
      </c>
    </row>
    <row r="12" spans="1:20" x14ac:dyDescent="0.2">
      <c r="A12" s="1">
        <v>10</v>
      </c>
      <c r="B12" s="1"/>
      <c r="C12" s="1"/>
      <c r="D12" s="1"/>
      <c r="E12" s="1"/>
      <c r="J12" s="1">
        <v>10</v>
      </c>
      <c r="K12" s="6">
        <v>19410</v>
      </c>
      <c r="L12" s="6">
        <v>21946</v>
      </c>
      <c r="M12" s="6">
        <v>18384</v>
      </c>
      <c r="N12" s="6">
        <v>21107</v>
      </c>
    </row>
    <row r="13" spans="1:20" x14ac:dyDescent="0.2">
      <c r="A13" s="1">
        <v>11</v>
      </c>
      <c r="B13" s="1"/>
      <c r="C13" s="1"/>
      <c r="D13" s="1"/>
      <c r="E13" s="1"/>
      <c r="J13" s="1">
        <v>11</v>
      </c>
      <c r="K13" s="6">
        <v>19134</v>
      </c>
      <c r="L13" s="6">
        <v>21992</v>
      </c>
      <c r="M13" s="6">
        <v>22090</v>
      </c>
      <c r="N13" s="6">
        <v>21240</v>
      </c>
    </row>
    <row r="14" spans="1:20" x14ac:dyDescent="0.2">
      <c r="A14" s="1">
        <v>12</v>
      </c>
      <c r="B14" s="1"/>
      <c r="C14" s="1"/>
      <c r="D14" s="1"/>
      <c r="E14" s="1"/>
      <c r="J14" s="1">
        <v>12</v>
      </c>
      <c r="K14" s="6">
        <v>19248</v>
      </c>
      <c r="L14" s="6">
        <v>21743</v>
      </c>
      <c r="M14" s="1">
        <v>0</v>
      </c>
      <c r="N14" s="6">
        <v>20962</v>
      </c>
    </row>
    <row r="15" spans="1:20" x14ac:dyDescent="0.2">
      <c r="A15" s="1">
        <v>13</v>
      </c>
      <c r="B15" s="1"/>
      <c r="C15" s="1"/>
      <c r="D15" s="1"/>
      <c r="E15" s="1"/>
      <c r="J15" s="1">
        <v>13</v>
      </c>
      <c r="K15" s="6">
        <v>21269</v>
      </c>
      <c r="L15" s="6">
        <v>21029</v>
      </c>
      <c r="M15" s="6">
        <v>19963</v>
      </c>
      <c r="N15" s="6">
        <v>19256</v>
      </c>
    </row>
    <row r="16" spans="1:20" x14ac:dyDescent="0.2">
      <c r="A16" s="1">
        <v>14</v>
      </c>
      <c r="B16" s="1"/>
      <c r="C16" s="1"/>
      <c r="D16" s="1"/>
      <c r="E16" s="1"/>
      <c r="J16" s="1">
        <v>14</v>
      </c>
      <c r="K16" s="6">
        <v>22090</v>
      </c>
      <c r="L16" s="6">
        <v>21597</v>
      </c>
      <c r="M16" s="6">
        <v>21567</v>
      </c>
      <c r="N16" s="6">
        <v>21323</v>
      </c>
    </row>
    <row r="17" spans="1:14" x14ac:dyDescent="0.2">
      <c r="A17" s="1">
        <v>15</v>
      </c>
      <c r="B17" s="1"/>
      <c r="C17" s="1"/>
      <c r="D17" s="1"/>
      <c r="E17" s="1"/>
      <c r="J17" s="1">
        <v>15</v>
      </c>
      <c r="K17" s="6">
        <v>19671</v>
      </c>
      <c r="L17" s="6">
        <v>20078</v>
      </c>
      <c r="M17" s="1">
        <v>0</v>
      </c>
      <c r="N17" s="6">
        <v>21954</v>
      </c>
    </row>
    <row r="18" spans="1:14" x14ac:dyDescent="0.2">
      <c r="A18" s="1">
        <v>16</v>
      </c>
      <c r="B18" s="1"/>
      <c r="C18" s="1"/>
      <c r="D18" s="1"/>
      <c r="E18" s="1"/>
      <c r="J18" s="1">
        <v>16</v>
      </c>
      <c r="K18" s="6">
        <v>19292</v>
      </c>
      <c r="L18" s="1">
        <v>0</v>
      </c>
      <c r="M18" s="6">
        <v>21967</v>
      </c>
      <c r="N18" s="6">
        <v>21394</v>
      </c>
    </row>
    <row r="19" spans="1:14" x14ac:dyDescent="0.2">
      <c r="A19" s="1">
        <v>17</v>
      </c>
      <c r="B19" s="1"/>
      <c r="C19" s="1"/>
      <c r="D19" s="1"/>
      <c r="E19" s="1"/>
      <c r="J19" s="1">
        <v>17</v>
      </c>
      <c r="K19" s="6">
        <v>20488</v>
      </c>
      <c r="L19" s="6">
        <v>21487</v>
      </c>
      <c r="M19" s="1">
        <v>0</v>
      </c>
      <c r="N19" s="6">
        <v>20538</v>
      </c>
    </row>
    <row r="20" spans="1:14" x14ac:dyDescent="0.2">
      <c r="A20" s="1">
        <v>18</v>
      </c>
      <c r="B20" s="1"/>
      <c r="C20" s="1"/>
      <c r="D20" s="1"/>
      <c r="E20" s="1"/>
      <c r="J20" s="1">
        <v>18</v>
      </c>
      <c r="K20" s="6">
        <v>22090</v>
      </c>
      <c r="L20" s="6">
        <v>21703</v>
      </c>
      <c r="M20" s="6">
        <v>22090</v>
      </c>
      <c r="N20" s="6">
        <v>21883</v>
      </c>
    </row>
    <row r="21" spans="1:14" x14ac:dyDescent="0.2">
      <c r="A21" s="1">
        <v>19</v>
      </c>
      <c r="B21" s="1"/>
      <c r="C21" s="1"/>
      <c r="D21" s="1"/>
      <c r="E21" s="1"/>
      <c r="J21" s="1">
        <v>19</v>
      </c>
      <c r="K21" s="6">
        <v>20285</v>
      </c>
      <c r="L21" s="6">
        <v>21381</v>
      </c>
      <c r="M21" s="6">
        <v>21794</v>
      </c>
      <c r="N21" s="6">
        <v>22090</v>
      </c>
    </row>
    <row r="22" spans="1:14" x14ac:dyDescent="0.2">
      <c r="A22" s="1">
        <v>20</v>
      </c>
      <c r="B22" s="1"/>
      <c r="C22" s="1"/>
      <c r="D22" s="1"/>
      <c r="E22" s="1"/>
      <c r="J22" s="1">
        <v>20</v>
      </c>
      <c r="K22" s="6">
        <v>21339</v>
      </c>
      <c r="L22" s="6">
        <v>21511</v>
      </c>
      <c r="M22" s="6">
        <v>22019</v>
      </c>
      <c r="N22" s="6">
        <v>21436</v>
      </c>
    </row>
    <row r="23" spans="1:14" x14ac:dyDescent="0.2">
      <c r="A23" s="1">
        <v>21</v>
      </c>
      <c r="B23" s="1"/>
      <c r="C23" s="1"/>
      <c r="D23" s="1"/>
      <c r="E23" s="1"/>
      <c r="J23" s="1">
        <v>21</v>
      </c>
      <c r="K23" s="6">
        <v>21156</v>
      </c>
      <c r="L23" s="6">
        <v>20194</v>
      </c>
      <c r="M23" s="1">
        <v>0</v>
      </c>
      <c r="N23" s="6">
        <v>22090</v>
      </c>
    </row>
    <row r="24" spans="1:14" x14ac:dyDescent="0.2">
      <c r="A24" s="1">
        <v>22</v>
      </c>
      <c r="B24" s="1"/>
      <c r="C24" s="1"/>
      <c r="D24" s="1"/>
      <c r="E24" s="1"/>
      <c r="J24" s="1">
        <v>22</v>
      </c>
      <c r="K24" s="6">
        <v>18355</v>
      </c>
      <c r="L24" s="6">
        <v>20683</v>
      </c>
      <c r="M24" s="6">
        <v>21334</v>
      </c>
      <c r="N24" s="6">
        <v>21653</v>
      </c>
    </row>
    <row r="25" spans="1:14" x14ac:dyDescent="0.2">
      <c r="A25" s="1">
        <v>23</v>
      </c>
      <c r="B25" s="1"/>
      <c r="C25" s="1"/>
      <c r="D25" s="1"/>
      <c r="E25" s="1"/>
      <c r="J25" s="1">
        <v>23</v>
      </c>
      <c r="K25" s="6">
        <v>20145</v>
      </c>
      <c r="L25" s="6">
        <v>20962</v>
      </c>
      <c r="M25" s="6">
        <v>20547</v>
      </c>
      <c r="N25" s="6">
        <v>21579</v>
      </c>
    </row>
    <row r="26" spans="1:14" x14ac:dyDescent="0.2">
      <c r="A26" s="1">
        <v>24</v>
      </c>
      <c r="B26" s="1"/>
      <c r="C26" s="1"/>
      <c r="D26" s="1"/>
      <c r="E26" s="1"/>
      <c r="J26" s="1">
        <v>24</v>
      </c>
      <c r="K26" s="6">
        <v>17717</v>
      </c>
      <c r="L26" s="6">
        <v>21868</v>
      </c>
      <c r="M26" s="6">
        <v>21082</v>
      </c>
      <c r="N26" s="6">
        <v>20356</v>
      </c>
    </row>
    <row r="27" spans="1:14" x14ac:dyDescent="0.2">
      <c r="A27" s="1">
        <v>25</v>
      </c>
      <c r="B27" s="1"/>
      <c r="C27" s="1"/>
      <c r="D27" s="1"/>
      <c r="E27" s="1"/>
      <c r="J27" s="1">
        <v>25</v>
      </c>
      <c r="K27" s="6">
        <v>19949</v>
      </c>
      <c r="L27" s="1">
        <v>0</v>
      </c>
      <c r="M27" s="6">
        <v>22090</v>
      </c>
      <c r="N27" s="6">
        <v>20236</v>
      </c>
    </row>
    <row r="28" spans="1:14" x14ac:dyDescent="0.2">
      <c r="A28" s="1">
        <v>26</v>
      </c>
      <c r="B28" s="1"/>
      <c r="C28" s="1"/>
      <c r="D28" s="1"/>
      <c r="E28" s="1"/>
      <c r="J28" s="1">
        <v>26</v>
      </c>
      <c r="K28" s="6">
        <v>19017</v>
      </c>
      <c r="L28" s="6">
        <v>21910</v>
      </c>
      <c r="M28" s="6">
        <v>21212</v>
      </c>
      <c r="N28" s="6">
        <v>19771</v>
      </c>
    </row>
    <row r="29" spans="1:14" x14ac:dyDescent="0.2">
      <c r="A29" s="1">
        <v>27</v>
      </c>
      <c r="B29" s="1"/>
      <c r="C29" s="1"/>
      <c r="D29" s="1"/>
      <c r="E29" s="1"/>
      <c r="J29" s="1">
        <v>27</v>
      </c>
      <c r="K29" s="6">
        <v>18699</v>
      </c>
      <c r="L29" s="6">
        <v>20874</v>
      </c>
      <c r="M29" s="6">
        <v>20224</v>
      </c>
      <c r="N29" s="6">
        <v>21156</v>
      </c>
    </row>
    <row r="30" spans="1:14" x14ac:dyDescent="0.2">
      <c r="A30" s="1">
        <v>28</v>
      </c>
      <c r="B30" s="1"/>
      <c r="C30" s="1"/>
      <c r="D30" s="1"/>
      <c r="E30" s="1"/>
      <c r="J30" s="1">
        <v>28</v>
      </c>
      <c r="K30" s="6">
        <v>20063</v>
      </c>
      <c r="L30" s="6">
        <v>21130</v>
      </c>
      <c r="M30" s="6">
        <v>19288</v>
      </c>
      <c r="N30" s="6">
        <v>20667</v>
      </c>
    </row>
    <row r="31" spans="1:14" x14ac:dyDescent="0.2">
      <c r="A31" s="1">
        <v>29</v>
      </c>
      <c r="B31" s="1"/>
      <c r="C31" s="1"/>
      <c r="D31" s="1"/>
      <c r="E31" s="1"/>
      <c r="J31" s="1">
        <v>29</v>
      </c>
      <c r="K31" s="6">
        <v>17180</v>
      </c>
      <c r="L31" s="6">
        <v>18866</v>
      </c>
      <c r="M31" s="6">
        <v>22090</v>
      </c>
      <c r="N31" s="6">
        <v>20929</v>
      </c>
    </row>
    <row r="32" spans="1:14" x14ac:dyDescent="0.2">
      <c r="A32" s="1">
        <v>30</v>
      </c>
      <c r="B32" s="1"/>
      <c r="C32" s="1"/>
      <c r="D32" s="1"/>
      <c r="E32" s="1"/>
      <c r="J32" s="1">
        <v>30</v>
      </c>
      <c r="K32" s="1">
        <v>0</v>
      </c>
      <c r="L32" s="6">
        <v>20984</v>
      </c>
      <c r="M32" s="6">
        <v>21762</v>
      </c>
      <c r="N32" s="6">
        <v>21796</v>
      </c>
    </row>
    <row r="33" spans="1:14" x14ac:dyDescent="0.2">
      <c r="A33" s="1" t="s">
        <v>11</v>
      </c>
      <c r="J33" s="1" t="s">
        <v>46</v>
      </c>
      <c r="K33" s="3">
        <f>SUM(K3:K32)</f>
        <v>582229</v>
      </c>
      <c r="L33" s="3">
        <f>SUM(L3:L32)</f>
        <v>569522</v>
      </c>
      <c r="M33" s="3">
        <f>SUM(M3:M32)</f>
        <v>550117</v>
      </c>
      <c r="N33" s="3">
        <f>SUM(N3:N32)</f>
        <v>631609</v>
      </c>
    </row>
    <row r="34" spans="1:14" x14ac:dyDescent="0.2">
      <c r="A34" s="1" t="s">
        <v>12</v>
      </c>
      <c r="J34" s="1"/>
      <c r="L34" s="3"/>
      <c r="M34" s="3"/>
    </row>
    <row r="35" spans="1:14" x14ac:dyDescent="0.2">
      <c r="A35" s="1" t="s">
        <v>13</v>
      </c>
      <c r="J35" s="1"/>
      <c r="L35" s="3"/>
      <c r="N35" s="3"/>
    </row>
    <row r="36" spans="1:14" x14ac:dyDescent="0.2">
      <c r="A36" s="1" t="s">
        <v>14</v>
      </c>
      <c r="J36" s="1"/>
      <c r="L36" s="3"/>
      <c r="M36" s="3"/>
    </row>
    <row r="39" spans="1:14" x14ac:dyDescent="0.2">
      <c r="J39" s="1" t="s">
        <v>11</v>
      </c>
      <c r="L39" s="3">
        <v>21971</v>
      </c>
      <c r="M39" s="3">
        <v>22090</v>
      </c>
      <c r="N39" s="3">
        <v>21869</v>
      </c>
    </row>
    <row r="40" spans="1:14" x14ac:dyDescent="0.2">
      <c r="J40" s="1" t="s">
        <v>12</v>
      </c>
      <c r="L40" s="3">
        <v>21782</v>
      </c>
      <c r="M40" s="3">
        <v>20645</v>
      </c>
      <c r="N40">
        <v>0</v>
      </c>
    </row>
    <row r="41" spans="1:14" x14ac:dyDescent="0.2">
      <c r="J41" s="1" t="s">
        <v>13</v>
      </c>
      <c r="L41" s="3">
        <v>22022</v>
      </c>
      <c r="M41">
        <v>0</v>
      </c>
      <c r="N41" s="3">
        <v>22090</v>
      </c>
    </row>
    <row r="42" spans="1:14" x14ac:dyDescent="0.2">
      <c r="J42" s="1" t="s">
        <v>14</v>
      </c>
      <c r="L42" s="3">
        <v>21922</v>
      </c>
      <c r="M42" s="3">
        <v>22069</v>
      </c>
      <c r="N42">
        <v>0</v>
      </c>
    </row>
    <row r="43" spans="1:14" x14ac:dyDescent="0.2">
      <c r="J43" s="1" t="s">
        <v>46</v>
      </c>
      <c r="L43" s="3">
        <f>SUM(L39:L42)</f>
        <v>87697</v>
      </c>
      <c r="M43" s="3">
        <f>SUM(M39:M42)</f>
        <v>64804</v>
      </c>
      <c r="N43" s="3">
        <f>SUM(N39:N42)</f>
        <v>43959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4AC4-E84F-8E41-BE20-32476B70D6A1}">
  <dimension ref="A1:AB43"/>
  <sheetViews>
    <sheetView topLeftCell="C14" workbookViewId="0">
      <selection activeCell="O39" sqref="O39:O42"/>
    </sheetView>
  </sheetViews>
  <sheetFormatPr baseColWidth="10" defaultRowHeight="16" x14ac:dyDescent="0.2"/>
  <sheetData>
    <row r="1" spans="1:28" x14ac:dyDescent="0.2">
      <c r="A1" s="2" t="s">
        <v>9</v>
      </c>
      <c r="K1" s="2" t="s">
        <v>10</v>
      </c>
    </row>
    <row r="2" spans="1:28" x14ac:dyDescent="0.2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</row>
    <row r="3" spans="1:28" x14ac:dyDescent="0.2">
      <c r="A3" s="1">
        <v>1</v>
      </c>
      <c r="C3" s="1"/>
      <c r="D3" s="1"/>
      <c r="E3" s="1"/>
      <c r="F3" s="1"/>
      <c r="K3" s="1">
        <v>1</v>
      </c>
      <c r="L3" s="6">
        <v>20539</v>
      </c>
      <c r="M3" s="6">
        <v>15963</v>
      </c>
      <c r="N3" s="6">
        <v>21315</v>
      </c>
      <c r="O3" s="6">
        <v>21607</v>
      </c>
    </row>
    <row r="4" spans="1:28" x14ac:dyDescent="0.2">
      <c r="A4" s="1">
        <v>2</v>
      </c>
      <c r="C4" s="1"/>
      <c r="D4" s="1"/>
      <c r="E4" s="1"/>
      <c r="F4" s="1"/>
      <c r="K4" s="1">
        <v>2</v>
      </c>
      <c r="L4" s="6">
        <v>21262</v>
      </c>
      <c r="M4" s="6">
        <v>21225</v>
      </c>
      <c r="N4" s="6">
        <v>21208</v>
      </c>
      <c r="O4" s="6">
        <v>21757</v>
      </c>
    </row>
    <row r="5" spans="1:28" x14ac:dyDescent="0.2">
      <c r="A5" s="1">
        <v>3</v>
      </c>
      <c r="C5" s="1"/>
      <c r="D5" s="1"/>
      <c r="E5" s="1"/>
      <c r="F5" s="1"/>
      <c r="K5" s="1">
        <v>3</v>
      </c>
      <c r="L5" s="6">
        <v>21830</v>
      </c>
      <c r="M5" s="6">
        <v>21971</v>
      </c>
      <c r="N5" s="6">
        <v>21643</v>
      </c>
      <c r="O5" s="6">
        <v>21254</v>
      </c>
    </row>
    <row r="6" spans="1:28" x14ac:dyDescent="0.2">
      <c r="A6" s="1">
        <v>4</v>
      </c>
      <c r="C6" s="1"/>
      <c r="D6" s="1"/>
      <c r="E6" s="1"/>
      <c r="F6" s="1"/>
      <c r="K6" s="1">
        <v>4</v>
      </c>
      <c r="L6" s="6">
        <v>21556</v>
      </c>
      <c r="M6" s="6">
        <v>21527</v>
      </c>
      <c r="N6" s="6">
        <v>22006</v>
      </c>
      <c r="O6" s="6">
        <v>21547</v>
      </c>
      <c r="Q6" t="s">
        <v>48</v>
      </c>
      <c r="R6" t="s">
        <v>47</v>
      </c>
      <c r="S6" t="s">
        <v>50</v>
      </c>
      <c r="T6" t="s">
        <v>51</v>
      </c>
      <c r="U6" t="s">
        <v>52</v>
      </c>
    </row>
    <row r="7" spans="1:28" x14ac:dyDescent="0.2">
      <c r="A7" s="1">
        <v>5</v>
      </c>
      <c r="C7" s="1"/>
      <c r="D7" s="1"/>
      <c r="E7" s="1"/>
      <c r="F7" s="1"/>
      <c r="K7" s="1">
        <v>5</v>
      </c>
      <c r="L7" s="6">
        <v>21999</v>
      </c>
      <c r="M7" s="6">
        <v>22090</v>
      </c>
      <c r="N7" s="6">
        <v>21748</v>
      </c>
      <c r="O7" s="6">
        <v>20892</v>
      </c>
      <c r="Q7" s="3">
        <v>3</v>
      </c>
      <c r="R7" t="s">
        <v>1</v>
      </c>
      <c r="S7" s="3">
        <v>640610</v>
      </c>
      <c r="T7" s="3">
        <v>623941</v>
      </c>
      <c r="U7" s="3">
        <v>16669</v>
      </c>
    </row>
    <row r="8" spans="1:28" x14ac:dyDescent="0.2">
      <c r="A8" s="1">
        <v>6</v>
      </c>
      <c r="C8" s="1"/>
      <c r="D8" s="1"/>
      <c r="E8" s="1"/>
      <c r="F8" s="1"/>
      <c r="K8" s="1">
        <v>6</v>
      </c>
      <c r="L8" s="6">
        <v>21988</v>
      </c>
      <c r="M8" s="6">
        <v>21831</v>
      </c>
      <c r="N8" s="6">
        <v>21541</v>
      </c>
      <c r="O8" s="6">
        <v>20753</v>
      </c>
      <c r="Q8" s="3">
        <v>3</v>
      </c>
      <c r="R8" t="s">
        <v>2</v>
      </c>
      <c r="S8" s="3">
        <v>618520</v>
      </c>
      <c r="T8" s="3">
        <v>590850</v>
      </c>
      <c r="U8" s="3">
        <v>27670</v>
      </c>
    </row>
    <row r="9" spans="1:28" x14ac:dyDescent="0.2">
      <c r="A9" s="1">
        <v>7</v>
      </c>
      <c r="C9" s="1"/>
      <c r="D9" s="1"/>
      <c r="E9" s="1"/>
      <c r="F9" s="1"/>
      <c r="K9" s="1">
        <v>7</v>
      </c>
      <c r="L9" s="6">
        <v>19372</v>
      </c>
      <c r="M9" s="6">
        <v>20765</v>
      </c>
      <c r="N9" s="6">
        <v>21821</v>
      </c>
      <c r="O9" s="6">
        <v>21996</v>
      </c>
      <c r="Q9" s="3">
        <v>3</v>
      </c>
      <c r="R9" t="s">
        <v>3</v>
      </c>
      <c r="S9" s="3">
        <v>618520</v>
      </c>
      <c r="T9" s="3">
        <v>590168</v>
      </c>
      <c r="U9" s="3">
        <v>28352</v>
      </c>
    </row>
    <row r="10" spans="1:28" x14ac:dyDescent="0.2">
      <c r="A10" s="1">
        <v>8</v>
      </c>
      <c r="C10" s="1"/>
      <c r="D10" s="1"/>
      <c r="E10" s="1"/>
      <c r="F10" s="1"/>
      <c r="K10" s="1">
        <v>8</v>
      </c>
      <c r="L10" s="7">
        <v>22090</v>
      </c>
      <c r="M10" s="6">
        <v>21812</v>
      </c>
      <c r="N10" s="6">
        <v>22050</v>
      </c>
      <c r="O10" s="6">
        <v>20872</v>
      </c>
      <c r="Q10" s="3">
        <v>3</v>
      </c>
      <c r="R10" t="s">
        <v>49</v>
      </c>
      <c r="S10" s="3">
        <v>662700</v>
      </c>
      <c r="T10" s="3">
        <v>638793</v>
      </c>
      <c r="U10" s="3">
        <v>23907</v>
      </c>
    </row>
    <row r="11" spans="1:28" x14ac:dyDescent="0.2">
      <c r="A11" s="1">
        <v>9</v>
      </c>
      <c r="C11" s="1"/>
      <c r="D11" s="1"/>
      <c r="E11" s="1"/>
      <c r="F11" s="1"/>
      <c r="K11" s="1">
        <v>9</v>
      </c>
      <c r="L11" s="6">
        <v>21809</v>
      </c>
      <c r="M11" s="6">
        <v>22041</v>
      </c>
      <c r="N11" s="6">
        <v>22036</v>
      </c>
      <c r="O11" s="6">
        <v>21404</v>
      </c>
    </row>
    <row r="12" spans="1:28" x14ac:dyDescent="0.2">
      <c r="A12" s="1">
        <v>10</v>
      </c>
      <c r="C12" s="1"/>
      <c r="D12" s="1"/>
      <c r="E12" s="1"/>
      <c r="F12" s="1"/>
      <c r="K12" s="1">
        <v>10</v>
      </c>
      <c r="L12" s="6">
        <v>21872</v>
      </c>
      <c r="M12" s="6">
        <v>19742</v>
      </c>
      <c r="N12" s="6">
        <v>20941</v>
      </c>
      <c r="O12" s="6">
        <v>21472</v>
      </c>
    </row>
    <row r="13" spans="1:28" x14ac:dyDescent="0.2">
      <c r="A13" s="1">
        <v>11</v>
      </c>
      <c r="C13" s="1"/>
      <c r="D13" s="1"/>
      <c r="E13" s="1"/>
      <c r="F13" s="1"/>
      <c r="K13" s="1">
        <v>11</v>
      </c>
      <c r="L13" s="6">
        <v>21388</v>
      </c>
      <c r="M13" s="6">
        <v>22305</v>
      </c>
      <c r="N13" s="6">
        <v>20138</v>
      </c>
      <c r="O13" s="6">
        <v>21636</v>
      </c>
    </row>
    <row r="14" spans="1:28" x14ac:dyDescent="0.2">
      <c r="A14" s="1">
        <v>12</v>
      </c>
      <c r="C14" s="1"/>
      <c r="D14" s="1"/>
      <c r="E14" s="1"/>
      <c r="F14" s="1"/>
      <c r="K14" s="1">
        <v>12</v>
      </c>
      <c r="L14" s="6">
        <v>21817</v>
      </c>
      <c r="M14" s="6">
        <v>21882</v>
      </c>
      <c r="N14" s="6">
        <v>0</v>
      </c>
      <c r="O14" s="6">
        <v>21602</v>
      </c>
    </row>
    <row r="15" spans="1:28" x14ac:dyDescent="0.2">
      <c r="A15" s="1">
        <v>13</v>
      </c>
      <c r="C15" s="1"/>
      <c r="D15" s="1"/>
      <c r="E15" s="1"/>
      <c r="F15" s="1"/>
      <c r="K15" s="1">
        <v>13</v>
      </c>
      <c r="L15" s="6">
        <v>21699</v>
      </c>
      <c r="M15" s="6">
        <v>22090</v>
      </c>
      <c r="N15" s="6">
        <v>18918</v>
      </c>
      <c r="O15" s="6">
        <v>21747</v>
      </c>
      <c r="AB15" t="s">
        <v>45</v>
      </c>
    </row>
    <row r="16" spans="1:28" x14ac:dyDescent="0.2">
      <c r="A16" s="1">
        <v>14</v>
      </c>
      <c r="C16" s="1"/>
      <c r="D16" s="1"/>
      <c r="E16" s="1"/>
      <c r="F16" s="1"/>
      <c r="K16" s="1">
        <v>14</v>
      </c>
      <c r="L16" s="6">
        <v>22029</v>
      </c>
      <c r="M16" s="6">
        <v>18169</v>
      </c>
      <c r="N16" s="6">
        <v>22090</v>
      </c>
      <c r="O16" s="6">
        <v>21571</v>
      </c>
    </row>
    <row r="17" spans="1:15" x14ac:dyDescent="0.2">
      <c r="A17" s="1">
        <v>15</v>
      </c>
      <c r="C17" s="1"/>
      <c r="D17" s="1"/>
      <c r="E17" s="1"/>
      <c r="F17" s="1"/>
      <c r="K17" s="1">
        <v>15</v>
      </c>
      <c r="L17" s="6">
        <v>21599</v>
      </c>
      <c r="M17" s="6">
        <v>22090</v>
      </c>
      <c r="N17" s="1">
        <v>0</v>
      </c>
      <c r="O17" s="6">
        <v>22027</v>
      </c>
    </row>
    <row r="18" spans="1:15" x14ac:dyDescent="0.2">
      <c r="A18" s="1">
        <v>16</v>
      </c>
      <c r="C18" s="1"/>
      <c r="D18" s="1"/>
      <c r="E18" s="1"/>
      <c r="F18" s="1"/>
      <c r="K18" s="1">
        <v>16</v>
      </c>
      <c r="L18" s="6">
        <v>21917</v>
      </c>
      <c r="M18" s="1">
        <v>0</v>
      </c>
      <c r="N18" s="6">
        <v>21173</v>
      </c>
      <c r="O18" s="6">
        <v>20620</v>
      </c>
    </row>
    <row r="19" spans="1:15" x14ac:dyDescent="0.2">
      <c r="A19" s="1">
        <v>17</v>
      </c>
      <c r="C19" s="1"/>
      <c r="D19" s="1"/>
      <c r="E19" s="1"/>
      <c r="F19" s="1"/>
      <c r="K19" s="1">
        <v>17</v>
      </c>
      <c r="L19" s="6">
        <v>21978</v>
      </c>
      <c r="M19" s="6">
        <v>20937</v>
      </c>
      <c r="N19" s="6">
        <v>21167</v>
      </c>
      <c r="O19" s="6">
        <v>21012</v>
      </c>
    </row>
    <row r="20" spans="1:15" x14ac:dyDescent="0.2">
      <c r="A20" s="1">
        <v>18</v>
      </c>
      <c r="C20" s="1"/>
      <c r="D20" s="1"/>
      <c r="E20" s="1"/>
      <c r="F20" s="1"/>
      <c r="K20" s="1">
        <v>18</v>
      </c>
      <c r="L20" s="6">
        <v>22019</v>
      </c>
      <c r="M20" s="6">
        <v>22090</v>
      </c>
      <c r="N20" s="6">
        <v>21698</v>
      </c>
      <c r="O20" s="6">
        <v>21662</v>
      </c>
    </row>
    <row r="21" spans="1:15" x14ac:dyDescent="0.2">
      <c r="A21" s="1">
        <v>19</v>
      </c>
      <c r="C21" s="1"/>
      <c r="D21" s="1"/>
      <c r="E21" s="1"/>
      <c r="F21" s="1"/>
      <c r="K21" s="1">
        <v>19</v>
      </c>
      <c r="L21" s="6">
        <v>21234</v>
      </c>
      <c r="M21" s="6">
        <v>18146</v>
      </c>
      <c r="N21" s="6">
        <v>20735</v>
      </c>
      <c r="O21" s="6">
        <v>21807</v>
      </c>
    </row>
    <row r="22" spans="1:15" x14ac:dyDescent="0.2">
      <c r="A22" s="1">
        <v>20</v>
      </c>
      <c r="C22" s="1"/>
      <c r="D22" s="1"/>
      <c r="E22" s="1"/>
      <c r="F22" s="1"/>
      <c r="K22" s="1">
        <v>20</v>
      </c>
      <c r="L22" s="6">
        <v>21700</v>
      </c>
      <c r="M22" s="6">
        <v>21435</v>
      </c>
      <c r="N22" s="6">
        <v>19938</v>
      </c>
      <c r="O22" s="6">
        <v>19857</v>
      </c>
    </row>
    <row r="23" spans="1:15" x14ac:dyDescent="0.2">
      <c r="A23" s="1">
        <v>21</v>
      </c>
      <c r="C23" s="1"/>
      <c r="D23" s="1"/>
      <c r="E23" s="1"/>
      <c r="F23" s="1"/>
      <c r="K23" s="1">
        <v>21</v>
      </c>
      <c r="L23" s="6">
        <v>21001</v>
      </c>
      <c r="M23" s="6">
        <v>21486</v>
      </c>
      <c r="N23" s="6">
        <v>21140</v>
      </c>
      <c r="O23" s="6">
        <v>21361</v>
      </c>
    </row>
    <row r="24" spans="1:15" x14ac:dyDescent="0.2">
      <c r="A24" s="1">
        <v>22</v>
      </c>
      <c r="C24" s="1"/>
      <c r="D24" s="1"/>
      <c r="E24" s="1"/>
      <c r="F24" s="1"/>
      <c r="K24" s="1">
        <v>22</v>
      </c>
      <c r="L24" s="6">
        <v>21026</v>
      </c>
      <c r="M24" s="6">
        <v>22090</v>
      </c>
      <c r="N24" s="6">
        <v>21004</v>
      </c>
      <c r="O24" s="6">
        <v>21471</v>
      </c>
    </row>
    <row r="25" spans="1:15" x14ac:dyDescent="0.2">
      <c r="A25" s="1">
        <v>23</v>
      </c>
      <c r="C25" s="1"/>
      <c r="D25" s="1"/>
      <c r="E25" s="1"/>
      <c r="F25" s="1"/>
      <c r="K25" s="1">
        <v>23</v>
      </c>
      <c r="L25" s="6">
        <v>21485</v>
      </c>
      <c r="M25" s="6">
        <v>19440</v>
      </c>
      <c r="N25" s="6">
        <v>21840</v>
      </c>
      <c r="O25" s="6">
        <v>21578</v>
      </c>
    </row>
    <row r="26" spans="1:15" x14ac:dyDescent="0.2">
      <c r="A26" s="1">
        <v>24</v>
      </c>
      <c r="C26" s="1"/>
      <c r="D26" s="1"/>
      <c r="E26" s="1"/>
      <c r="F26" s="1"/>
      <c r="K26" s="1">
        <v>24</v>
      </c>
      <c r="L26" s="6">
        <v>21163</v>
      </c>
      <c r="M26" s="6">
        <v>21714</v>
      </c>
      <c r="N26" s="6">
        <v>20533</v>
      </c>
      <c r="O26" s="6">
        <v>20750</v>
      </c>
    </row>
    <row r="27" spans="1:15" x14ac:dyDescent="0.2">
      <c r="A27" s="1">
        <v>25</v>
      </c>
      <c r="C27" s="1"/>
      <c r="D27" s="1"/>
      <c r="E27" s="1"/>
      <c r="F27" s="1"/>
      <c r="K27" s="1">
        <v>25</v>
      </c>
      <c r="L27" s="6">
        <v>21410</v>
      </c>
      <c r="M27" s="1">
        <v>0</v>
      </c>
      <c r="N27" s="6">
        <v>21613</v>
      </c>
      <c r="O27" s="6">
        <v>21353</v>
      </c>
    </row>
    <row r="28" spans="1:15" x14ac:dyDescent="0.2">
      <c r="A28" s="1">
        <v>26</v>
      </c>
      <c r="C28" s="1"/>
      <c r="D28" s="1"/>
      <c r="E28" s="1"/>
      <c r="F28" s="1"/>
      <c r="K28" s="1">
        <v>26</v>
      </c>
      <c r="L28" s="6">
        <v>21870</v>
      </c>
      <c r="M28" s="6">
        <v>21760</v>
      </c>
      <c r="N28" s="6">
        <v>20746</v>
      </c>
      <c r="O28" s="6">
        <v>20925</v>
      </c>
    </row>
    <row r="29" spans="1:15" x14ac:dyDescent="0.2">
      <c r="A29" s="1">
        <v>27</v>
      </c>
      <c r="C29" s="1"/>
      <c r="D29" s="1"/>
      <c r="E29" s="1"/>
      <c r="F29" s="1"/>
      <c r="K29" s="1">
        <v>27</v>
      </c>
      <c r="L29" s="6">
        <v>21843</v>
      </c>
      <c r="M29" s="6">
        <v>21593</v>
      </c>
      <c r="N29" s="6">
        <v>20346</v>
      </c>
      <c r="O29" s="6">
        <v>21347</v>
      </c>
    </row>
    <row r="30" spans="1:15" x14ac:dyDescent="0.2">
      <c r="A30" s="1">
        <v>28</v>
      </c>
      <c r="C30" s="1"/>
      <c r="D30" s="1"/>
      <c r="E30" s="1"/>
      <c r="F30" s="1"/>
      <c r="K30" s="1">
        <v>28</v>
      </c>
      <c r="L30" s="6">
        <v>20581</v>
      </c>
      <c r="M30" s="6">
        <v>21894</v>
      </c>
      <c r="N30" s="6">
        <v>20090</v>
      </c>
      <c r="O30" s="6">
        <v>20844</v>
      </c>
    </row>
    <row r="31" spans="1:15" x14ac:dyDescent="0.2">
      <c r="A31" s="1">
        <v>29</v>
      </c>
      <c r="C31" s="1"/>
      <c r="D31" s="1"/>
      <c r="E31" s="1"/>
      <c r="F31" s="1"/>
      <c r="K31" s="1">
        <v>29</v>
      </c>
      <c r="L31" s="6">
        <v>21865</v>
      </c>
      <c r="M31" s="6">
        <v>20835</v>
      </c>
      <c r="N31" s="6">
        <v>21665</v>
      </c>
      <c r="O31" s="6">
        <v>21061</v>
      </c>
    </row>
    <row r="32" spans="1:15" x14ac:dyDescent="0.2">
      <c r="A32" s="1">
        <v>30</v>
      </c>
      <c r="C32" s="1"/>
      <c r="D32" s="1"/>
      <c r="E32" s="1"/>
      <c r="F32" s="1"/>
      <c r="K32" s="1">
        <v>30</v>
      </c>
      <c r="L32" s="1">
        <v>0</v>
      </c>
      <c r="M32" s="6">
        <v>21927</v>
      </c>
      <c r="N32" s="6">
        <v>19025</v>
      </c>
      <c r="O32" s="6">
        <v>21008</v>
      </c>
    </row>
    <row r="33" spans="1:15" x14ac:dyDescent="0.2">
      <c r="A33" s="1" t="s">
        <v>11</v>
      </c>
      <c r="K33" s="1" t="s">
        <v>46</v>
      </c>
      <c r="L33" s="3">
        <f>SUM(L3:L32)</f>
        <v>623941</v>
      </c>
      <c r="M33" s="3">
        <f>SUM(M3:M32)</f>
        <v>590850</v>
      </c>
      <c r="N33" s="3">
        <f>SUM(N3:N32)</f>
        <v>590168</v>
      </c>
      <c r="O33" s="3">
        <f>SUM(O3:O32)</f>
        <v>638793</v>
      </c>
    </row>
    <row r="34" spans="1:15" x14ac:dyDescent="0.2">
      <c r="A34" s="1" t="s">
        <v>12</v>
      </c>
      <c r="K34" s="1"/>
      <c r="M34" s="3"/>
      <c r="N34" s="3"/>
    </row>
    <row r="35" spans="1:15" x14ac:dyDescent="0.2">
      <c r="A35" s="1" t="s">
        <v>13</v>
      </c>
      <c r="K35" s="1"/>
      <c r="M35" s="3"/>
      <c r="O35" s="3"/>
    </row>
    <row r="36" spans="1:15" x14ac:dyDescent="0.2">
      <c r="A36" s="1" t="s">
        <v>14</v>
      </c>
      <c r="K36" s="1"/>
      <c r="M36" s="3"/>
      <c r="N36" s="3"/>
    </row>
    <row r="39" spans="1:15" x14ac:dyDescent="0.2">
      <c r="K39" s="1" t="s">
        <v>11</v>
      </c>
      <c r="M39" s="3">
        <v>22029</v>
      </c>
      <c r="N39" s="3">
        <v>22090</v>
      </c>
      <c r="O39" s="3">
        <v>21948</v>
      </c>
    </row>
    <row r="40" spans="1:15" x14ac:dyDescent="0.2">
      <c r="K40" s="1" t="s">
        <v>12</v>
      </c>
      <c r="M40" s="3">
        <v>22090</v>
      </c>
      <c r="N40" s="3">
        <v>22090</v>
      </c>
      <c r="O40">
        <v>0</v>
      </c>
    </row>
    <row r="41" spans="1:15" x14ac:dyDescent="0.2">
      <c r="K41" s="1" t="s">
        <v>13</v>
      </c>
      <c r="M41" s="3">
        <v>22090</v>
      </c>
      <c r="N41">
        <v>0</v>
      </c>
      <c r="O41" s="3">
        <v>21880</v>
      </c>
    </row>
    <row r="42" spans="1:15" x14ac:dyDescent="0.2">
      <c r="K42" s="1" t="s">
        <v>14</v>
      </c>
      <c r="M42" s="3">
        <v>22090</v>
      </c>
      <c r="N42" s="3">
        <v>21963</v>
      </c>
      <c r="O42">
        <v>0</v>
      </c>
    </row>
    <row r="43" spans="1:15" x14ac:dyDescent="0.2">
      <c r="K43" s="1" t="s">
        <v>46</v>
      </c>
      <c r="M43" s="3">
        <f>SUM(M39:M42)</f>
        <v>88299</v>
      </c>
      <c r="N43" s="3">
        <f>SUM(N39:N42)</f>
        <v>66143</v>
      </c>
      <c r="O43" s="3">
        <f>SUM(O39:O42)</f>
        <v>43828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Sheet1</vt:lpstr>
      <vt:lpstr>week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Ibrahim Araoye</cp:lastModifiedBy>
  <dcterms:created xsi:type="dcterms:W3CDTF">2023-05-28T04:59:34Z</dcterms:created>
  <dcterms:modified xsi:type="dcterms:W3CDTF">2024-02-13T02:19:07Z</dcterms:modified>
</cp:coreProperties>
</file>