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"/>
    </mc:Choice>
  </mc:AlternateContent>
  <xr:revisionPtr revIDLastSave="243" documentId="13_ncr:1_{EE19C269-39A6-4CBE-8C6F-FCFAD3BE3D3E}" xr6:coauthVersionLast="47" xr6:coauthVersionMax="47" xr10:uidLastSave="{41FF1242-CC66-4CCB-9499-47AB817194D7}"/>
  <bookViews>
    <workbookView xWindow="-110" yWindow="-110" windowWidth="19420" windowHeight="10300" xr2:uid="{6ABCDBD7-0142-4E9C-8ED2-36D9DA27FA4B}"/>
  </bookViews>
  <sheets>
    <sheet name="Tabelle1" sheetId="1" r:id="rId1"/>
    <sheet name="for 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0" i="1" l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69" i="1" s="1"/>
  <c r="N7" i="1"/>
  <c r="N3" i="1"/>
  <c r="F4" i="1"/>
  <c r="F5" i="1"/>
  <c r="F6" i="1"/>
  <c r="F8" i="1"/>
  <c r="F9" i="1"/>
  <c r="F10" i="1"/>
  <c r="F11" i="1"/>
  <c r="F12" i="1"/>
  <c r="F13" i="1"/>
  <c r="F15" i="1"/>
  <c r="F17" i="1"/>
  <c r="F20" i="1"/>
  <c r="F21" i="1"/>
  <c r="F22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N5" i="1" s="1"/>
  <c r="F54" i="1"/>
  <c r="F55" i="1"/>
  <c r="F56" i="1"/>
  <c r="F57" i="1"/>
  <c r="F59" i="1"/>
  <c r="F60" i="1"/>
  <c r="F61" i="1"/>
  <c r="F64" i="1"/>
  <c r="F65" i="1"/>
  <c r="F66" i="1"/>
  <c r="F67" i="1"/>
  <c r="F70" i="1"/>
  <c r="F71" i="1"/>
  <c r="F72" i="1"/>
  <c r="F73" i="1"/>
  <c r="F74" i="1"/>
  <c r="F75" i="1"/>
  <c r="F76" i="1"/>
  <c r="F77" i="1"/>
  <c r="F79" i="1"/>
  <c r="F80" i="1"/>
  <c r="F81" i="1"/>
  <c r="F82" i="1"/>
  <c r="F83" i="1"/>
  <c r="F84" i="1"/>
  <c r="F85" i="1"/>
  <c r="F86" i="1"/>
  <c r="F88" i="1"/>
  <c r="F89" i="1"/>
  <c r="F91" i="1"/>
  <c r="F92" i="1"/>
  <c r="F93" i="1"/>
  <c r="F94" i="1"/>
  <c r="F95" i="1"/>
  <c r="F96" i="1"/>
  <c r="F97" i="1"/>
  <c r="F99" i="1"/>
  <c r="F100" i="1"/>
  <c r="F101" i="1"/>
  <c r="F102" i="1"/>
  <c r="F105" i="1"/>
  <c r="F106" i="1"/>
  <c r="F107" i="1"/>
  <c r="F108" i="1"/>
  <c r="F110" i="1"/>
  <c r="F111" i="1"/>
  <c r="F112" i="1"/>
  <c r="F115" i="1"/>
  <c r="F116" i="1"/>
  <c r="F118" i="1"/>
  <c r="F119" i="1"/>
  <c r="F120" i="1"/>
  <c r="F121" i="1"/>
  <c r="F122" i="1"/>
  <c r="F124" i="1"/>
  <c r="F127" i="1"/>
  <c r="F128" i="1"/>
  <c r="F129" i="1"/>
  <c r="F131" i="1"/>
  <c r="F133" i="1"/>
  <c r="F134" i="1"/>
  <c r="F135" i="1"/>
  <c r="F136" i="1"/>
  <c r="F137" i="1"/>
  <c r="F3" i="1"/>
  <c r="H168" i="1" l="1"/>
  <c r="N4" i="1"/>
  <c r="N6" i="1"/>
</calcChain>
</file>

<file path=xl/sharedStrings.xml><?xml version="1.0" encoding="utf-8"?>
<sst xmlns="http://schemas.openxmlformats.org/spreadsheetml/2006/main" count="676" uniqueCount="253">
  <si>
    <t>24 Well Plate</t>
  </si>
  <si>
    <t>Space</t>
  </si>
  <si>
    <t>A1</t>
  </si>
  <si>
    <t>A2</t>
  </si>
  <si>
    <t>A3</t>
  </si>
  <si>
    <t>A4</t>
  </si>
  <si>
    <t>A5</t>
  </si>
  <si>
    <t>A6</t>
  </si>
  <si>
    <t>D1</t>
  </si>
  <si>
    <t>D2</t>
  </si>
  <si>
    <t>D3</t>
  </si>
  <si>
    <t>D4</t>
  </si>
  <si>
    <t>D5</t>
  </si>
  <si>
    <t>D6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</si>
  <si>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</si>
  <si>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</si>
  <si>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</si>
  <si>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</si>
  <si>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</si>
  <si>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</si>
  <si>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</si>
  <si>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</si>
  <si>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</si>
  <si>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</si>
  <si>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</si>
  <si>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</si>
  <si>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emtpy weight of Alu boat</t>
  </si>
  <si>
    <t>weight with freeze dried snail</t>
  </si>
  <si>
    <t>dw snail</t>
  </si>
  <si>
    <t>Snail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</si>
  <si>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</si>
  <si>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</si>
  <si>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</si>
  <si>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</si>
  <si>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</si>
  <si>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</si>
  <si>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</si>
  <si>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</si>
  <si>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</si>
  <si>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</si>
  <si>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</si>
  <si>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</si>
  <si>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</si>
  <si>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</si>
  <si>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</si>
  <si>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</si>
  <si>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</si>
  <si>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</si>
  <si>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</si>
  <si>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</si>
  <si>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NC21</t>
  </si>
  <si>
    <t>NC22</t>
  </si>
  <si>
    <t>NC23</t>
  </si>
  <si>
    <t>NC24</t>
  </si>
  <si>
    <t>Cip2</t>
  </si>
  <si>
    <t>Cip3</t>
  </si>
  <si>
    <t>Cip4</t>
  </si>
  <si>
    <t>Cip5</t>
  </si>
  <si>
    <t>Cip6</t>
  </si>
  <si>
    <t>Cip7</t>
  </si>
  <si>
    <t>Cip8</t>
  </si>
  <si>
    <t>Cip9</t>
  </si>
  <si>
    <t>Cip10</t>
  </si>
  <si>
    <t>Cip11</t>
  </si>
  <si>
    <t>Cip13</t>
  </si>
  <si>
    <t>Cip14</t>
  </si>
  <si>
    <t>Cip16</t>
  </si>
  <si>
    <t>Cip19</t>
  </si>
  <si>
    <t>Cip18</t>
  </si>
  <si>
    <t>Cip20</t>
  </si>
  <si>
    <t>Cip21</t>
  </si>
  <si>
    <t>Cip22</t>
  </si>
  <si>
    <t>Cip23</t>
  </si>
  <si>
    <t>Cip24</t>
  </si>
  <si>
    <t>Cip25</t>
  </si>
  <si>
    <t>Cip26</t>
  </si>
  <si>
    <t>Cip27</t>
  </si>
  <si>
    <t>Cip28</t>
  </si>
  <si>
    <t>Cip29</t>
  </si>
  <si>
    <t>Cip30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</si>
  <si>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</si>
  <si>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</si>
  <si>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</si>
  <si>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</si>
  <si>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</si>
  <si>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</si>
  <si>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</si>
  <si>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</si>
  <si>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</si>
  <si>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</si>
  <si>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</si>
  <si>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</si>
  <si>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NC25</t>
  </si>
  <si>
    <t>NC26</t>
  </si>
  <si>
    <t>NC27</t>
  </si>
  <si>
    <t>NC28</t>
  </si>
  <si>
    <t>NC29</t>
  </si>
  <si>
    <t>Pro13</t>
  </si>
  <si>
    <t>Pro14</t>
  </si>
  <si>
    <t>Pro15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</si>
  <si>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</si>
  <si>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</si>
  <si>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</si>
  <si>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</si>
  <si>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</si>
  <si>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</si>
  <si>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</si>
  <si>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</si>
  <si>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Pro26</t>
  </si>
  <si>
    <t>Pro27</t>
  </si>
  <si>
    <t>Pro28</t>
  </si>
  <si>
    <t>Pro29</t>
  </si>
  <si>
    <t>Pro30</t>
  </si>
  <si>
    <t>Mix1</t>
  </si>
  <si>
    <t>Mix2</t>
  </si>
  <si>
    <t>Mix3</t>
  </si>
  <si>
    <t>Mix4</t>
  </si>
  <si>
    <t>Mix5</t>
  </si>
  <si>
    <t>Mix6</t>
  </si>
  <si>
    <t>Mix7</t>
  </si>
  <si>
    <t>Mix8</t>
  </si>
  <si>
    <t>Mix9</t>
  </si>
  <si>
    <t>Mix10</t>
  </si>
  <si>
    <t>Mix11</t>
  </si>
  <si>
    <t>Mix12</t>
  </si>
  <si>
    <t>Mix13</t>
  </si>
  <si>
    <t>Mix14</t>
  </si>
  <si>
    <t>Mix15</t>
  </si>
  <si>
    <t>Mix16</t>
  </si>
  <si>
    <t>Mix17</t>
  </si>
  <si>
    <t>Mix18</t>
  </si>
  <si>
    <t>Mix19</t>
  </si>
  <si>
    <t>Mix20</t>
  </si>
  <si>
    <t>Mix21</t>
  </si>
  <si>
    <t>Mix22</t>
  </si>
  <si>
    <t>Mix23</t>
  </si>
  <si>
    <t>Mix24</t>
  </si>
  <si>
    <t>Mix25</t>
  </si>
  <si>
    <t>Mix26</t>
  </si>
  <si>
    <t>Mix27</t>
  </si>
  <si>
    <t>Mix28</t>
  </si>
  <si>
    <t>Mix29</t>
  </si>
  <si>
    <t>Mix30</t>
  </si>
  <si>
    <t>WB Pro 2</t>
  </si>
  <si>
    <t>WB Pro 1</t>
  </si>
  <si>
    <t>WB Cip 2</t>
  </si>
  <si>
    <t>WB Pro 4</t>
  </si>
  <si>
    <t>WB Pro 3</t>
  </si>
  <si>
    <t>WB Mix 1</t>
  </si>
  <si>
    <t>WB Cip 1</t>
  </si>
  <si>
    <t>WB Cip 4</t>
  </si>
  <si>
    <t>S2</t>
  </si>
  <si>
    <t>S3</t>
  </si>
  <si>
    <t>S4</t>
  </si>
  <si>
    <t>S5</t>
  </si>
  <si>
    <t>S6</t>
  </si>
  <si>
    <t>S7</t>
  </si>
  <si>
    <t>S9</t>
  </si>
  <si>
    <t>S10</t>
  </si>
  <si>
    <t>S11</t>
  </si>
  <si>
    <t>S12</t>
  </si>
  <si>
    <t>S13</t>
  </si>
  <si>
    <t>S14</t>
  </si>
  <si>
    <t>S15</t>
  </si>
  <si>
    <t>S16</t>
  </si>
  <si>
    <t>S18</t>
  </si>
  <si>
    <t>S19</t>
  </si>
  <si>
    <t>S20</t>
  </si>
  <si>
    <t>S21</t>
  </si>
  <si>
    <t>S22</t>
  </si>
  <si>
    <t>S23</t>
  </si>
  <si>
    <t>S24</t>
  </si>
  <si>
    <t>S25</t>
  </si>
  <si>
    <t>S27</t>
  </si>
  <si>
    <t>S30</t>
  </si>
  <si>
    <t>empty</t>
  </si>
  <si>
    <t>discarded weil kaputt gegangen:</t>
  </si>
  <si>
    <t xml:space="preserve">Cip  1 and Cip 17 </t>
  </si>
  <si>
    <t>nicht nehmen</t>
  </si>
  <si>
    <t>unit</t>
  </si>
  <si>
    <t>mg</t>
  </si>
  <si>
    <t>NC</t>
  </si>
  <si>
    <t>Cip</t>
  </si>
  <si>
    <t>Pro</t>
  </si>
  <si>
    <t>Mix</t>
  </si>
  <si>
    <t>durch Biofilm Futter zugenommen?</t>
  </si>
  <si>
    <t>WB Mix 2</t>
  </si>
  <si>
    <t>WB Mix 3/1 für FA extraktion</t>
  </si>
  <si>
    <t>WB Mix 1/2</t>
  </si>
  <si>
    <t>Name in R</t>
  </si>
  <si>
    <t>S_5</t>
  </si>
  <si>
    <t>S_6</t>
  </si>
  <si>
    <t>S_7</t>
  </si>
  <si>
    <t>S_8</t>
  </si>
  <si>
    <t>S_9</t>
  </si>
  <si>
    <t>S_10</t>
  </si>
  <si>
    <t>S_2</t>
  </si>
  <si>
    <t>S_3</t>
  </si>
  <si>
    <t xml:space="preserve">S_1 </t>
  </si>
  <si>
    <t>S_4</t>
  </si>
  <si>
    <t>S_11</t>
  </si>
  <si>
    <t>S_12</t>
  </si>
  <si>
    <t>S_13</t>
  </si>
  <si>
    <t>S_14</t>
  </si>
  <si>
    <t>S_15</t>
  </si>
  <si>
    <t>S_16</t>
  </si>
  <si>
    <t>S_17</t>
  </si>
  <si>
    <t>S_18</t>
  </si>
  <si>
    <t>S_19</t>
  </si>
  <si>
    <t>S_20</t>
  </si>
  <si>
    <t>S_21</t>
  </si>
  <si>
    <t>S_22</t>
  </si>
  <si>
    <t>S_23</t>
  </si>
  <si>
    <t>S_24</t>
  </si>
  <si>
    <t>Baseline "S"</t>
  </si>
  <si>
    <t>S_25</t>
  </si>
  <si>
    <t>S_26</t>
  </si>
  <si>
    <t>S_27</t>
  </si>
  <si>
    <t>S_28</t>
  </si>
  <si>
    <t>S_29</t>
  </si>
  <si>
    <t>S_30</t>
  </si>
  <si>
    <t>S_31</t>
  </si>
  <si>
    <t>S_32</t>
  </si>
  <si>
    <t>S_33</t>
  </si>
  <si>
    <t>S_34</t>
  </si>
  <si>
    <t>alle baseline Schnecken in anderem Blatt in excel "from culture Day 0_baseline"</t>
  </si>
  <si>
    <t>S3 wurde genutzt</t>
  </si>
  <si>
    <t>S4 wurde genutzt</t>
  </si>
  <si>
    <t>S6 wurde genutzt</t>
  </si>
  <si>
    <t>S7 wurde genutzt</t>
  </si>
  <si>
    <t>S9 wurde genutzt</t>
  </si>
  <si>
    <t>komische Ergebnisse - nicht nutzen</t>
  </si>
  <si>
    <r>
      <t>müsste in erster Testmessung S1, S2, S3 und S4 vorkommen als</t>
    </r>
    <r>
      <rPr>
        <b/>
        <sz val="11"/>
        <color theme="1"/>
        <rFont val="Calibri"/>
        <family val="2"/>
        <scheme val="minor"/>
      </rPr>
      <t xml:space="preserve"> S1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</si>
  <si>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in erster Testmessung beide Schnecken als </t>
    </r>
    <r>
      <rPr>
        <b/>
        <sz val="11"/>
        <color theme="1"/>
        <rFont val="Calibri"/>
        <family val="2"/>
        <scheme val="minor"/>
      </rPr>
      <t>S2</t>
    </r>
  </si>
  <si>
    <r>
      <t xml:space="preserve">Testmessung </t>
    </r>
    <r>
      <rPr>
        <b/>
        <sz val="11"/>
        <color theme="1"/>
        <rFont val="Calibri"/>
        <family val="2"/>
        <scheme val="minor"/>
      </rPr>
      <t>S3</t>
    </r>
  </si>
  <si>
    <r>
      <t xml:space="preserve">Testmessung </t>
    </r>
    <r>
      <rPr>
        <b/>
        <sz val="11"/>
        <color theme="1"/>
        <rFont val="Calibri"/>
        <family val="2"/>
        <scheme val="minor"/>
      </rPr>
      <t>S4</t>
    </r>
  </si>
  <si>
    <t>S_35</t>
  </si>
  <si>
    <t>S_36</t>
  </si>
  <si>
    <t>S_37</t>
  </si>
  <si>
    <t>S_38</t>
  </si>
  <si>
    <t>S_39</t>
  </si>
  <si>
    <t>S_40</t>
  </si>
  <si>
    <t>Auswahl für NLFA Extraktion</t>
  </si>
  <si>
    <t>WB Daten erstmal aus R Analysen weggelassen (Stand: 29.12.2023)</t>
  </si>
  <si>
    <t>Durchschnittsgewicht (Median) von allen ~30 Schnecken pro Treatment:</t>
  </si>
  <si>
    <t>treatment</t>
  </si>
  <si>
    <t>samples</t>
  </si>
  <si>
    <t>Culture</t>
  </si>
  <si>
    <t>dryweight_mg</t>
  </si>
  <si>
    <t>name_feeding_assay</t>
  </si>
  <si>
    <t>Cip1</t>
  </si>
  <si>
    <t>NA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</si>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</sst>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128</xdr:row>
      <xdr:rowOff>19050</xdr:rowOff>
    </xdr:from>
    <xdr:to>
      <xdr:col>8</xdr:col>
      <xdr:colOff>685800</xdr:colOff>
      <xdr:row>132</xdr:row>
      <xdr:rowOff>139700</xdr:rowOff>
    </xdr:to>
    <xdr:sp macro="" textlink="">
      <xdr:nvSpPr>
        <xdr:cNvPr id="2" name="Geschweifte Klammer rechts 1">
          <a:extLst>
            <a:ext uri="{FF2B5EF4-FFF2-40B4-BE49-F238E27FC236}">
              <a16:creationId xmlns:a16="http://schemas.microsoft.com/office/drawing/2014/main" id="{89E3665F-CCD9-C628-E9BE-D5BCF367C0FA}"/>
            </a:ext>
          </a:extLst>
        </xdr:cNvPr>
        <xdr:cNvSpPr/>
      </xdr:nvSpPr>
      <xdr:spPr>
        <a:xfrm>
          <a:off x="6340475" y="23545800"/>
          <a:ext cx="622300" cy="84455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638175</xdr:colOff>
      <xdr:row>132</xdr:row>
      <xdr:rowOff>171450</xdr:rowOff>
    </xdr:from>
    <xdr:to>
      <xdr:col>8</xdr:col>
      <xdr:colOff>282575</xdr:colOff>
      <xdr:row>136</xdr:row>
      <xdr:rowOff>158750</xdr:rowOff>
    </xdr:to>
    <xdr:sp macro="" textlink="">
      <xdr:nvSpPr>
        <xdr:cNvPr id="3" name="Geschweifte Klammer rechts 2">
          <a:extLst>
            <a:ext uri="{FF2B5EF4-FFF2-40B4-BE49-F238E27FC236}">
              <a16:creationId xmlns:a16="http://schemas.microsoft.com/office/drawing/2014/main" id="{ED6A7644-0B14-4276-B564-E773AAC3763F}"/>
            </a:ext>
          </a:extLst>
        </xdr:cNvPr>
        <xdr:cNvSpPr/>
      </xdr:nvSpPr>
      <xdr:spPr>
        <a:xfrm>
          <a:off x="6153150" y="24422100"/>
          <a:ext cx="406400" cy="711200"/>
        </a:xfrm>
        <a:prstGeom prst="rightBrac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46B8-77E8-4722-ADC0-CCE6D04A3DC1}">
  <dimension ref="A2:O170"/>
  <sheetViews>
    <sheetView tabSelected="1" workbookViewId="0">
      <selection activeCell="O8" sqref="O8"/>
    </sheetView>
  </sheetViews>
  <sheetFormatPr baseColWidth="10" defaultRowHeight="14.5" x14ac:dyDescent="0.35"/>
  <cols>
    <col min="5" max="5" width="13.54296875" customWidth="1"/>
    <col min="7" max="7" width="10.90625" style="3"/>
    <col min="12" max="12" width="12.6328125" customWidth="1"/>
  </cols>
  <sheetData>
    <row r="2" spans="1:15" s="1" customFormat="1" ht="43" customHeight="1" x14ac:dyDescent="0.35">
      <c r="A2" s="1" t="s">
        <v>0</v>
      </c>
      <c r="B2" s="1" t="s">
        <v>1</v>
      </c>
      <c r="C2" s="1" t="s">
        <v>29</v>
      </c>
      <c r="D2" s="1" t="s">
        <v>26</v>
      </c>
      <c r="E2" s="1" t="s">
        <v>27</v>
      </c>
      <c r="F2" s="1" t="s">
        <v>28</v>
      </c>
      <c r="G2" s="1" t="s">
        <v>179</v>
      </c>
      <c r="H2" s="1" t="s">
        <v>242</v>
      </c>
      <c r="I2" s="1" t="s">
        <v>189</v>
      </c>
      <c r="K2" s="1" t="s">
        <v>176</v>
      </c>
      <c r="M2" s="8" t="s">
        <v>244</v>
      </c>
      <c r="N2" s="5"/>
      <c r="O2" s="5"/>
    </row>
    <row r="3" spans="1:15" x14ac:dyDescent="0.35">
      <c r="A3">
        <v>1</v>
      </c>
      <c r="B3" t="s">
        <v>2</v>
      </c>
      <c r="C3" t="s">
        <v>30</v>
      </c>
      <c r="D3" s="2">
        <v>6.6418999999999997</v>
      </c>
      <c r="E3">
        <v>7.0263</v>
      </c>
      <c r="F3" s="2">
        <f>E3-D3</f>
        <v>0.3844000000000003</v>
      </c>
      <c r="G3" s="3" t="s">
        <v>180</v>
      </c>
      <c r="K3" t="s">
        <v>177</v>
      </c>
      <c r="M3" s="6" t="s">
        <v>181</v>
      </c>
      <c r="N3" s="7">
        <f>MEDIAN(F3:F17,F20:F26,F64:F67)</f>
        <v>0.6450499999999999</v>
      </c>
      <c r="O3" s="6" t="s">
        <v>180</v>
      </c>
    </row>
    <row r="4" spans="1:15" x14ac:dyDescent="0.35">
      <c r="B4" t="s">
        <v>3</v>
      </c>
      <c r="C4" t="s">
        <v>31</v>
      </c>
      <c r="D4">
        <v>6.5842000000000001</v>
      </c>
      <c r="E4">
        <v>6.9058999999999999</v>
      </c>
      <c r="F4" s="2">
        <f t="shared" ref="F4:F67" si="0">E4-D4</f>
        <v>0.32169999999999987</v>
      </c>
      <c r="G4" s="3" t="s">
        <v>180</v>
      </c>
      <c r="K4" t="s">
        <v>91</v>
      </c>
      <c r="M4" s="6" t="s">
        <v>182</v>
      </c>
      <c r="N4" s="7">
        <f>MEDIAN(F27:F52)</f>
        <v>0.58674999999999988</v>
      </c>
      <c r="O4" s="6" t="s">
        <v>180</v>
      </c>
    </row>
    <row r="5" spans="1:15" x14ac:dyDescent="0.35">
      <c r="B5" t="s">
        <v>4</v>
      </c>
      <c r="C5" t="s">
        <v>32</v>
      </c>
      <c r="D5">
        <v>6.6070000000000002</v>
      </c>
      <c r="E5">
        <v>7.2778</v>
      </c>
      <c r="F5" s="2">
        <f t="shared" si="0"/>
        <v>0.67079999999999984</v>
      </c>
      <c r="G5" s="3" t="s">
        <v>180</v>
      </c>
      <c r="H5" s="4">
        <v>5</v>
      </c>
      <c r="I5" t="s">
        <v>190</v>
      </c>
      <c r="K5" t="s">
        <v>98</v>
      </c>
      <c r="M5" s="6" t="s">
        <v>183</v>
      </c>
      <c r="N5" s="7">
        <f>MEDIAN(F53:F61,F70:F77)</f>
        <v>0.57715000000000005</v>
      </c>
      <c r="O5" s="6" t="s">
        <v>180</v>
      </c>
    </row>
    <row r="6" spans="1:15" x14ac:dyDescent="0.35">
      <c r="B6" t="s">
        <v>5</v>
      </c>
      <c r="C6" t="s">
        <v>33</v>
      </c>
      <c r="D6">
        <v>6.5705999999999998</v>
      </c>
      <c r="E6">
        <v>7.3265000000000002</v>
      </c>
      <c r="F6" s="2">
        <f t="shared" si="0"/>
        <v>0.75590000000000046</v>
      </c>
      <c r="G6" s="3" t="s">
        <v>180</v>
      </c>
      <c r="H6" s="4">
        <v>6</v>
      </c>
      <c r="I6" t="s">
        <v>191</v>
      </c>
      <c r="K6" t="s">
        <v>99</v>
      </c>
      <c r="M6" s="6" t="s">
        <v>184</v>
      </c>
      <c r="N6" s="7">
        <f>MEDIAN(F79:F102)</f>
        <v>0.61929999999999996</v>
      </c>
      <c r="O6" s="6" t="s">
        <v>180</v>
      </c>
    </row>
    <row r="7" spans="1:15" x14ac:dyDescent="0.35">
      <c r="B7" t="s">
        <v>6</v>
      </c>
      <c r="C7" t="s">
        <v>34</v>
      </c>
      <c r="D7">
        <v>6.6109</v>
      </c>
      <c r="E7" t="s">
        <v>178</v>
      </c>
      <c r="F7" s="2"/>
      <c r="K7" t="s">
        <v>100</v>
      </c>
      <c r="M7" s="6" t="s">
        <v>214</v>
      </c>
      <c r="N7" s="7">
        <f>MEDIAN(F115:F137)</f>
        <v>0.43379999999999974</v>
      </c>
      <c r="O7" s="6" t="s">
        <v>180</v>
      </c>
    </row>
    <row r="8" spans="1:15" x14ac:dyDescent="0.35">
      <c r="B8" t="s">
        <v>7</v>
      </c>
      <c r="C8" t="s">
        <v>35</v>
      </c>
      <c r="D8">
        <v>6.6600999999999999</v>
      </c>
      <c r="E8">
        <v>7.1597999999999997</v>
      </c>
      <c r="F8" s="2">
        <f t="shared" si="0"/>
        <v>0.49969999999999981</v>
      </c>
      <c r="G8" s="3" t="s">
        <v>180</v>
      </c>
      <c r="K8" t="s">
        <v>102</v>
      </c>
      <c r="M8" s="6" t="s">
        <v>185</v>
      </c>
      <c r="N8" s="6"/>
      <c r="O8" s="6"/>
    </row>
    <row r="9" spans="1:15" x14ac:dyDescent="0.35">
      <c r="B9" t="s">
        <v>14</v>
      </c>
      <c r="C9" t="s">
        <v>36</v>
      </c>
      <c r="D9">
        <v>6.6105999999999998</v>
      </c>
      <c r="E9">
        <v>7.2789999999999999</v>
      </c>
      <c r="F9" s="2">
        <f t="shared" si="0"/>
        <v>0.66840000000000011</v>
      </c>
      <c r="G9" s="3" t="s">
        <v>180</v>
      </c>
      <c r="H9" s="4">
        <v>7</v>
      </c>
      <c r="I9" t="s">
        <v>192</v>
      </c>
      <c r="K9" t="s">
        <v>105</v>
      </c>
      <c r="M9" s="6"/>
      <c r="N9" s="6"/>
      <c r="O9" s="6"/>
    </row>
    <row r="10" spans="1:15" x14ac:dyDescent="0.35">
      <c r="B10" t="s">
        <v>15</v>
      </c>
      <c r="C10" t="s">
        <v>37</v>
      </c>
      <c r="D10">
        <v>6.6048999999999998</v>
      </c>
      <c r="E10">
        <v>7.2401999999999997</v>
      </c>
      <c r="F10" s="2">
        <f t="shared" si="0"/>
        <v>0.63529999999999998</v>
      </c>
      <c r="G10" s="3" t="s">
        <v>180</v>
      </c>
      <c r="H10" s="4">
        <v>8</v>
      </c>
      <c r="I10" t="s">
        <v>193</v>
      </c>
      <c r="K10" t="s">
        <v>112</v>
      </c>
    </row>
    <row r="11" spans="1:15" x14ac:dyDescent="0.35">
      <c r="B11" t="s">
        <v>16</v>
      </c>
      <c r="C11" t="s">
        <v>38</v>
      </c>
      <c r="D11">
        <v>6.6501999999999999</v>
      </c>
      <c r="E11">
        <v>7.1970999999999998</v>
      </c>
      <c r="F11" s="2">
        <f t="shared" si="0"/>
        <v>0.54689999999999994</v>
      </c>
      <c r="G11" s="3" t="s">
        <v>180</v>
      </c>
      <c r="K11" t="s">
        <v>113</v>
      </c>
    </row>
    <row r="12" spans="1:15" x14ac:dyDescent="0.35">
      <c r="B12" t="s">
        <v>17</v>
      </c>
      <c r="C12" t="s">
        <v>39</v>
      </c>
      <c r="D12">
        <v>6.6303999999999998</v>
      </c>
      <c r="E12">
        <v>7.2309000000000001</v>
      </c>
      <c r="F12" s="2">
        <f t="shared" si="0"/>
        <v>0.60050000000000026</v>
      </c>
      <c r="G12" s="3" t="s">
        <v>180</v>
      </c>
      <c r="H12" s="4">
        <v>9</v>
      </c>
      <c r="I12" t="s">
        <v>194</v>
      </c>
      <c r="K12" t="s">
        <v>118</v>
      </c>
    </row>
    <row r="13" spans="1:15" x14ac:dyDescent="0.35">
      <c r="B13" t="s">
        <v>18</v>
      </c>
      <c r="C13" t="s">
        <v>40</v>
      </c>
      <c r="D13">
        <v>6.6630000000000003</v>
      </c>
      <c r="E13">
        <v>7.2317</v>
      </c>
      <c r="F13" s="2">
        <f t="shared" si="0"/>
        <v>0.56869999999999976</v>
      </c>
      <c r="G13" s="3" t="s">
        <v>180</v>
      </c>
      <c r="K13" t="s">
        <v>128</v>
      </c>
    </row>
    <row r="14" spans="1:15" x14ac:dyDescent="0.35">
      <c r="B14" t="s">
        <v>19</v>
      </c>
      <c r="C14" t="s">
        <v>41</v>
      </c>
      <c r="D14">
        <v>6.6067</v>
      </c>
      <c r="E14" t="s">
        <v>178</v>
      </c>
      <c r="F14" s="2"/>
      <c r="K14" t="s">
        <v>132</v>
      </c>
    </row>
    <row r="15" spans="1:15" x14ac:dyDescent="0.35">
      <c r="B15" t="s">
        <v>20</v>
      </c>
      <c r="C15" t="s">
        <v>42</v>
      </c>
      <c r="D15">
        <v>6.6167999999999996</v>
      </c>
      <c r="E15">
        <v>7.1130000000000004</v>
      </c>
      <c r="F15" s="2">
        <f t="shared" si="0"/>
        <v>0.49620000000000086</v>
      </c>
      <c r="G15" s="3" t="s">
        <v>180</v>
      </c>
    </row>
    <row r="16" spans="1:15" x14ac:dyDescent="0.35">
      <c r="B16" t="s">
        <v>21</v>
      </c>
      <c r="C16" t="s">
        <v>43</v>
      </c>
      <c r="D16">
        <v>6.6169000000000002</v>
      </c>
      <c r="E16" t="s">
        <v>178</v>
      </c>
      <c r="F16" s="2"/>
    </row>
    <row r="17" spans="1:9" x14ac:dyDescent="0.35">
      <c r="B17" t="s">
        <v>22</v>
      </c>
      <c r="C17" t="s">
        <v>44</v>
      </c>
      <c r="D17">
        <v>6.5907999999999998</v>
      </c>
      <c r="E17">
        <v>7.3929999999999998</v>
      </c>
      <c r="F17" s="2">
        <f t="shared" si="0"/>
        <v>0.80220000000000002</v>
      </c>
      <c r="G17" s="3" t="s">
        <v>180</v>
      </c>
      <c r="H17" s="4">
        <v>10</v>
      </c>
      <c r="I17" t="s">
        <v>195</v>
      </c>
    </row>
    <row r="18" spans="1:9" x14ac:dyDescent="0.35">
      <c r="B18" t="s">
        <v>23</v>
      </c>
      <c r="C18" t="s">
        <v>45</v>
      </c>
      <c r="D18">
        <v>6.5970000000000004</v>
      </c>
      <c r="E18" t="s">
        <v>178</v>
      </c>
      <c r="F18" s="2"/>
    </row>
    <row r="19" spans="1:9" x14ac:dyDescent="0.35">
      <c r="B19" t="s">
        <v>24</v>
      </c>
      <c r="C19" t="s">
        <v>46</v>
      </c>
      <c r="D19">
        <v>6.6158000000000001</v>
      </c>
      <c r="E19" t="s">
        <v>178</v>
      </c>
      <c r="F19" s="2"/>
    </row>
    <row r="20" spans="1:9" x14ac:dyDescent="0.35">
      <c r="B20" t="s">
        <v>25</v>
      </c>
      <c r="C20" t="s">
        <v>47</v>
      </c>
      <c r="D20">
        <v>6.6520999999999999</v>
      </c>
      <c r="E20">
        <v>7.8457999999999997</v>
      </c>
      <c r="F20" s="2">
        <f t="shared" si="0"/>
        <v>1.1936999999999998</v>
      </c>
      <c r="G20" s="3" t="s">
        <v>180</v>
      </c>
    </row>
    <row r="21" spans="1:9" x14ac:dyDescent="0.35">
      <c r="B21" t="s">
        <v>8</v>
      </c>
      <c r="C21" t="s">
        <v>48</v>
      </c>
      <c r="D21">
        <v>6.6844999999999999</v>
      </c>
      <c r="E21">
        <v>7.3605999999999998</v>
      </c>
      <c r="F21" s="2">
        <f t="shared" si="0"/>
        <v>0.67609999999999992</v>
      </c>
      <c r="G21" s="3" t="s">
        <v>180</v>
      </c>
    </row>
    <row r="22" spans="1:9" x14ac:dyDescent="0.35">
      <c r="B22" t="s">
        <v>9</v>
      </c>
      <c r="C22" t="s">
        <v>49</v>
      </c>
      <c r="D22">
        <v>6.6024000000000003</v>
      </c>
      <c r="E22">
        <v>7.2919</v>
      </c>
      <c r="F22" s="2">
        <f t="shared" si="0"/>
        <v>0.68949999999999978</v>
      </c>
      <c r="G22" s="3" t="s">
        <v>180</v>
      </c>
    </row>
    <row r="23" spans="1:9" x14ac:dyDescent="0.35">
      <c r="B23" t="s">
        <v>10</v>
      </c>
      <c r="C23" t="s">
        <v>50</v>
      </c>
      <c r="D23">
        <v>6.6581000000000001</v>
      </c>
      <c r="E23" t="s">
        <v>178</v>
      </c>
      <c r="F23" s="2"/>
    </row>
    <row r="24" spans="1:9" x14ac:dyDescent="0.35">
      <c r="B24" t="s">
        <v>11</v>
      </c>
      <c r="C24" t="s">
        <v>51</v>
      </c>
      <c r="D24">
        <v>6.6535000000000002</v>
      </c>
      <c r="E24">
        <v>7.3083</v>
      </c>
      <c r="F24" s="2">
        <f t="shared" si="0"/>
        <v>0.65479999999999983</v>
      </c>
      <c r="G24" s="3" t="s">
        <v>180</v>
      </c>
    </row>
    <row r="25" spans="1:9" x14ac:dyDescent="0.35">
      <c r="B25" t="s">
        <v>12</v>
      </c>
      <c r="C25" t="s">
        <v>52</v>
      </c>
      <c r="D25">
        <v>6.6186999999999996</v>
      </c>
      <c r="E25">
        <v>7.2740999999999998</v>
      </c>
      <c r="F25" s="2">
        <f t="shared" si="0"/>
        <v>0.6554000000000002</v>
      </c>
      <c r="G25" s="3" t="s">
        <v>180</v>
      </c>
    </row>
    <row r="26" spans="1:9" x14ac:dyDescent="0.35">
      <c r="B26" t="s">
        <v>13</v>
      </c>
      <c r="C26" t="s">
        <v>53</v>
      </c>
      <c r="D26">
        <v>6.6726000000000001</v>
      </c>
      <c r="E26">
        <v>7.2930999999999999</v>
      </c>
      <c r="F26" s="2">
        <f t="shared" si="0"/>
        <v>0.62049999999999983</v>
      </c>
      <c r="G26" s="3" t="s">
        <v>180</v>
      </c>
    </row>
    <row r="27" spans="1:9" x14ac:dyDescent="0.35">
      <c r="A27">
        <v>2</v>
      </c>
      <c r="B27" t="s">
        <v>2</v>
      </c>
      <c r="C27" t="s">
        <v>54</v>
      </c>
      <c r="D27">
        <v>6.5974000000000004</v>
      </c>
      <c r="E27">
        <v>7.2130000000000001</v>
      </c>
      <c r="F27" s="2">
        <f t="shared" si="0"/>
        <v>0.6155999999999997</v>
      </c>
      <c r="G27" s="3" t="s">
        <v>180</v>
      </c>
      <c r="H27" s="4">
        <v>1</v>
      </c>
      <c r="I27" t="s">
        <v>221</v>
      </c>
    </row>
    <row r="28" spans="1:9" x14ac:dyDescent="0.35">
      <c r="B28" t="s">
        <v>3</v>
      </c>
      <c r="C28" t="s">
        <v>55</v>
      </c>
      <c r="D28">
        <v>6.6242000000000001</v>
      </c>
      <c r="E28">
        <v>7.0308999999999999</v>
      </c>
      <c r="F28" s="2">
        <f t="shared" si="0"/>
        <v>0.40669999999999984</v>
      </c>
      <c r="G28" s="3" t="s">
        <v>180</v>
      </c>
      <c r="H28" s="4">
        <v>2</v>
      </c>
      <c r="I28" t="s">
        <v>222</v>
      </c>
    </row>
    <row r="29" spans="1:9" x14ac:dyDescent="0.35">
      <c r="B29" t="s">
        <v>4</v>
      </c>
      <c r="C29" t="s">
        <v>56</v>
      </c>
      <c r="D29">
        <v>6.6204000000000001</v>
      </c>
      <c r="E29">
        <v>7.2385999999999999</v>
      </c>
      <c r="F29" s="2">
        <f t="shared" si="0"/>
        <v>0.61819999999999986</v>
      </c>
      <c r="G29" s="3" t="s">
        <v>180</v>
      </c>
      <c r="H29" s="4">
        <v>3</v>
      </c>
      <c r="I29" t="s">
        <v>223</v>
      </c>
    </row>
    <row r="30" spans="1:9" x14ac:dyDescent="0.35">
      <c r="B30" t="s">
        <v>5</v>
      </c>
      <c r="C30" t="s">
        <v>57</v>
      </c>
      <c r="D30">
        <v>6.6376999999999997</v>
      </c>
      <c r="E30">
        <v>7.3712</v>
      </c>
      <c r="F30" s="2">
        <f t="shared" si="0"/>
        <v>0.73350000000000026</v>
      </c>
      <c r="G30" s="3" t="s">
        <v>180</v>
      </c>
    </row>
    <row r="31" spans="1:9" x14ac:dyDescent="0.35">
      <c r="B31" t="s">
        <v>6</v>
      </c>
      <c r="C31" t="s">
        <v>58</v>
      </c>
      <c r="D31">
        <v>6.6073000000000004</v>
      </c>
      <c r="E31">
        <v>7.1440000000000001</v>
      </c>
      <c r="F31" s="2">
        <f t="shared" si="0"/>
        <v>0.53669999999999973</v>
      </c>
      <c r="G31" s="3" t="s">
        <v>180</v>
      </c>
      <c r="H31" s="4">
        <v>5</v>
      </c>
      <c r="I31" t="s">
        <v>236</v>
      </c>
    </row>
    <row r="32" spans="1:9" x14ac:dyDescent="0.35">
      <c r="B32" t="s">
        <v>7</v>
      </c>
      <c r="C32" t="s">
        <v>59</v>
      </c>
      <c r="D32">
        <v>6.6017000000000001</v>
      </c>
      <c r="E32">
        <v>7.3158000000000003</v>
      </c>
      <c r="F32" s="2">
        <f t="shared" si="0"/>
        <v>0.71410000000000018</v>
      </c>
      <c r="G32" s="3" t="s">
        <v>180</v>
      </c>
      <c r="H32" s="4">
        <v>6</v>
      </c>
      <c r="I32" t="s">
        <v>237</v>
      </c>
    </row>
    <row r="33" spans="2:9" x14ac:dyDescent="0.35">
      <c r="B33" t="s">
        <v>14</v>
      </c>
      <c r="C33" t="s">
        <v>60</v>
      </c>
      <c r="D33">
        <v>6.5930999999999997</v>
      </c>
      <c r="E33" t="s">
        <v>178</v>
      </c>
      <c r="F33" s="2"/>
    </row>
    <row r="34" spans="2:9" x14ac:dyDescent="0.35">
      <c r="B34" t="s">
        <v>15</v>
      </c>
      <c r="C34" t="s">
        <v>61</v>
      </c>
      <c r="D34">
        <v>6.6094999999999997</v>
      </c>
      <c r="E34">
        <v>6.9298999999999999</v>
      </c>
      <c r="F34" s="2">
        <f t="shared" si="0"/>
        <v>0.32040000000000024</v>
      </c>
      <c r="G34" s="3" t="s">
        <v>180</v>
      </c>
    </row>
    <row r="35" spans="2:9" x14ac:dyDescent="0.35">
      <c r="B35" t="s">
        <v>16</v>
      </c>
      <c r="C35" t="s">
        <v>62</v>
      </c>
      <c r="D35">
        <v>6.6109999999999998</v>
      </c>
      <c r="E35">
        <v>7.2609000000000004</v>
      </c>
      <c r="F35" s="2">
        <f t="shared" si="0"/>
        <v>0.64990000000000059</v>
      </c>
      <c r="G35" s="3" t="s">
        <v>180</v>
      </c>
    </row>
    <row r="36" spans="2:9" x14ac:dyDescent="0.35">
      <c r="B36" t="s">
        <v>17</v>
      </c>
      <c r="C36" t="s">
        <v>63</v>
      </c>
      <c r="D36">
        <v>6.6573000000000002</v>
      </c>
      <c r="E36">
        <v>7.2260999999999997</v>
      </c>
      <c r="F36" s="2">
        <f t="shared" si="0"/>
        <v>0.56879999999999953</v>
      </c>
      <c r="G36" s="3" t="s">
        <v>180</v>
      </c>
      <c r="H36" s="4">
        <v>9</v>
      </c>
      <c r="I36" t="s">
        <v>240</v>
      </c>
    </row>
    <row r="37" spans="2:9" x14ac:dyDescent="0.35">
      <c r="B37" t="s">
        <v>18</v>
      </c>
      <c r="C37" t="s">
        <v>64</v>
      </c>
      <c r="D37">
        <v>6.6292999999999997</v>
      </c>
      <c r="E37">
        <v>7.3418999999999999</v>
      </c>
      <c r="F37" s="2">
        <f t="shared" si="0"/>
        <v>0.71260000000000012</v>
      </c>
      <c r="G37" s="3" t="s">
        <v>180</v>
      </c>
    </row>
    <row r="38" spans="2:9" x14ac:dyDescent="0.35">
      <c r="B38" t="s">
        <v>19</v>
      </c>
      <c r="C38" t="s">
        <v>65</v>
      </c>
      <c r="D38">
        <v>6.6262999999999996</v>
      </c>
      <c r="E38">
        <v>7.1216999999999997</v>
      </c>
      <c r="F38" s="2">
        <f t="shared" si="0"/>
        <v>0.49540000000000006</v>
      </c>
      <c r="G38" s="3" t="s">
        <v>180</v>
      </c>
      <c r="H38" s="4">
        <v>10</v>
      </c>
      <c r="I38" t="s">
        <v>241</v>
      </c>
    </row>
    <row r="39" spans="2:9" x14ac:dyDescent="0.35">
      <c r="B39" t="s">
        <v>20</v>
      </c>
      <c r="C39" t="s">
        <v>66</v>
      </c>
      <c r="D39">
        <v>6.6254</v>
      </c>
      <c r="E39">
        <v>7.0381999999999998</v>
      </c>
      <c r="F39" s="2">
        <f t="shared" si="0"/>
        <v>0.41279999999999983</v>
      </c>
      <c r="G39" s="3" t="s">
        <v>180</v>
      </c>
      <c r="H39" s="4">
        <v>7</v>
      </c>
      <c r="I39" t="s">
        <v>238</v>
      </c>
    </row>
    <row r="40" spans="2:9" x14ac:dyDescent="0.35">
      <c r="B40" t="s">
        <v>21</v>
      </c>
      <c r="C40" t="s">
        <v>68</v>
      </c>
      <c r="D40">
        <v>6.6272000000000002</v>
      </c>
      <c r="E40">
        <v>7.1440999999999999</v>
      </c>
      <c r="F40" s="2">
        <f t="shared" si="0"/>
        <v>0.51689999999999969</v>
      </c>
      <c r="G40" s="3" t="s">
        <v>180</v>
      </c>
      <c r="H40" s="4">
        <v>4</v>
      </c>
      <c r="I40" t="s">
        <v>224</v>
      </c>
    </row>
    <row r="41" spans="2:9" x14ac:dyDescent="0.35">
      <c r="B41" t="s">
        <v>22</v>
      </c>
      <c r="C41" t="s">
        <v>67</v>
      </c>
      <c r="D41">
        <v>6.6439000000000004</v>
      </c>
      <c r="E41">
        <v>7.1017999999999999</v>
      </c>
      <c r="F41" s="2">
        <f t="shared" si="0"/>
        <v>0.45789999999999953</v>
      </c>
      <c r="G41" s="3" t="s">
        <v>180</v>
      </c>
      <c r="H41" s="4">
        <v>8</v>
      </c>
      <c r="I41" t="s">
        <v>239</v>
      </c>
    </row>
    <row r="42" spans="2:9" x14ac:dyDescent="0.35">
      <c r="B42" t="s">
        <v>23</v>
      </c>
      <c r="C42" t="s">
        <v>69</v>
      </c>
      <c r="D42">
        <v>6.6444000000000001</v>
      </c>
      <c r="E42">
        <v>7.2428999999999997</v>
      </c>
      <c r="F42" s="2">
        <f t="shared" si="0"/>
        <v>0.59849999999999959</v>
      </c>
      <c r="G42" s="3" t="s">
        <v>180</v>
      </c>
    </row>
    <row r="43" spans="2:9" x14ac:dyDescent="0.35">
      <c r="B43" t="s">
        <v>24</v>
      </c>
      <c r="C43" t="s">
        <v>70</v>
      </c>
      <c r="D43">
        <v>6.6184000000000003</v>
      </c>
      <c r="E43">
        <v>7.2911999999999999</v>
      </c>
      <c r="F43" s="2">
        <f t="shared" si="0"/>
        <v>0.67279999999999962</v>
      </c>
      <c r="G43" s="3" t="s">
        <v>180</v>
      </c>
    </row>
    <row r="44" spans="2:9" x14ac:dyDescent="0.35">
      <c r="B44" t="s">
        <v>25</v>
      </c>
      <c r="C44" t="s">
        <v>71</v>
      </c>
      <c r="D44">
        <v>6.6241000000000003</v>
      </c>
      <c r="E44">
        <v>7.4196</v>
      </c>
      <c r="F44" s="2">
        <f t="shared" si="0"/>
        <v>0.79549999999999965</v>
      </c>
      <c r="G44" s="3" t="s">
        <v>180</v>
      </c>
    </row>
    <row r="45" spans="2:9" x14ac:dyDescent="0.35">
      <c r="B45" t="s">
        <v>8</v>
      </c>
      <c r="C45" t="s">
        <v>72</v>
      </c>
      <c r="D45">
        <v>6.6379000000000001</v>
      </c>
      <c r="E45" t="s">
        <v>178</v>
      </c>
      <c r="F45" s="2"/>
    </row>
    <row r="46" spans="2:9" x14ac:dyDescent="0.35">
      <c r="B46" t="s">
        <v>9</v>
      </c>
      <c r="C46" t="s">
        <v>73</v>
      </c>
      <c r="D46">
        <v>6.5831999999999997</v>
      </c>
      <c r="E46">
        <v>7.1219999999999999</v>
      </c>
      <c r="F46" s="2">
        <f t="shared" si="0"/>
        <v>0.53880000000000017</v>
      </c>
      <c r="G46" s="3" t="s">
        <v>180</v>
      </c>
    </row>
    <row r="47" spans="2:9" x14ac:dyDescent="0.35">
      <c r="B47" t="s">
        <v>10</v>
      </c>
      <c r="C47" t="s">
        <v>74</v>
      </c>
      <c r="D47">
        <v>6.6456999999999997</v>
      </c>
      <c r="E47">
        <v>7.5845000000000002</v>
      </c>
      <c r="F47" s="2">
        <f t="shared" si="0"/>
        <v>0.93880000000000052</v>
      </c>
      <c r="G47" s="3" t="s">
        <v>180</v>
      </c>
    </row>
    <row r="48" spans="2:9" x14ac:dyDescent="0.35">
      <c r="B48" t="s">
        <v>11</v>
      </c>
      <c r="C48" t="s">
        <v>75</v>
      </c>
      <c r="D48">
        <v>6.5952999999999999</v>
      </c>
      <c r="E48">
        <v>7.4062000000000001</v>
      </c>
      <c r="F48" s="2">
        <f t="shared" si="0"/>
        <v>0.81090000000000018</v>
      </c>
      <c r="G48" s="3" t="s">
        <v>180</v>
      </c>
    </row>
    <row r="49" spans="1:9" x14ac:dyDescent="0.35">
      <c r="B49" t="s">
        <v>12</v>
      </c>
      <c r="C49" t="s">
        <v>76</v>
      </c>
      <c r="D49">
        <v>6.5965999999999996</v>
      </c>
      <c r="E49">
        <v>7.1715999999999998</v>
      </c>
      <c r="F49" s="2">
        <f t="shared" si="0"/>
        <v>0.57500000000000018</v>
      </c>
      <c r="G49" s="3" t="s">
        <v>180</v>
      </c>
    </row>
    <row r="50" spans="1:9" x14ac:dyDescent="0.35">
      <c r="B50" t="s">
        <v>13</v>
      </c>
      <c r="C50" t="s">
        <v>77</v>
      </c>
      <c r="D50">
        <v>6.5964</v>
      </c>
      <c r="E50">
        <v>7.1616</v>
      </c>
      <c r="F50" s="2">
        <f t="shared" si="0"/>
        <v>0.56519999999999992</v>
      </c>
      <c r="G50" s="3" t="s">
        <v>180</v>
      </c>
    </row>
    <row r="51" spans="1:9" x14ac:dyDescent="0.35">
      <c r="A51">
        <v>3</v>
      </c>
      <c r="B51" t="s">
        <v>2</v>
      </c>
      <c r="C51" t="s">
        <v>78</v>
      </c>
      <c r="D51">
        <v>6.5987</v>
      </c>
      <c r="E51">
        <v>7.2416999999999998</v>
      </c>
      <c r="F51" s="2">
        <f t="shared" si="0"/>
        <v>0.64299999999999979</v>
      </c>
      <c r="G51" s="3" t="s">
        <v>180</v>
      </c>
    </row>
    <row r="52" spans="1:9" x14ac:dyDescent="0.35">
      <c r="B52" t="s">
        <v>3</v>
      </c>
      <c r="C52" t="s">
        <v>79</v>
      </c>
      <c r="D52">
        <v>6.6204999999999998</v>
      </c>
      <c r="E52">
        <v>7.1013000000000002</v>
      </c>
      <c r="F52" s="2">
        <f t="shared" si="0"/>
        <v>0.48080000000000034</v>
      </c>
      <c r="G52" s="3" t="s">
        <v>180</v>
      </c>
    </row>
    <row r="53" spans="1:9" x14ac:dyDescent="0.35">
      <c r="B53" t="s">
        <v>4</v>
      </c>
      <c r="C53" t="s">
        <v>80</v>
      </c>
      <c r="D53">
        <v>6.5980999999999996</v>
      </c>
      <c r="E53">
        <v>7.4340999999999999</v>
      </c>
      <c r="F53" s="2">
        <f t="shared" si="0"/>
        <v>0.8360000000000003</v>
      </c>
      <c r="G53" s="3" t="s">
        <v>180</v>
      </c>
    </row>
    <row r="54" spans="1:9" x14ac:dyDescent="0.35">
      <c r="B54" t="s">
        <v>5</v>
      </c>
      <c r="C54" t="s">
        <v>81</v>
      </c>
      <c r="D54">
        <v>6.6020000000000003</v>
      </c>
      <c r="E54">
        <v>7.1919000000000004</v>
      </c>
      <c r="F54" s="2">
        <f t="shared" si="0"/>
        <v>0.58990000000000009</v>
      </c>
      <c r="G54" s="3" t="s">
        <v>180</v>
      </c>
      <c r="H54" s="4">
        <v>1</v>
      </c>
      <c r="I54" t="s">
        <v>200</v>
      </c>
    </row>
    <row r="55" spans="1:9" x14ac:dyDescent="0.35">
      <c r="B55" t="s">
        <v>6</v>
      </c>
      <c r="C55" t="s">
        <v>82</v>
      </c>
      <c r="D55">
        <v>6.6157000000000004</v>
      </c>
      <c r="E55">
        <v>7.2637999999999998</v>
      </c>
      <c r="F55" s="2">
        <f t="shared" si="0"/>
        <v>0.64809999999999945</v>
      </c>
      <c r="G55" s="3" t="s">
        <v>180</v>
      </c>
    </row>
    <row r="56" spans="1:9" x14ac:dyDescent="0.35">
      <c r="B56" t="s">
        <v>7</v>
      </c>
      <c r="C56" t="s">
        <v>83</v>
      </c>
      <c r="D56">
        <v>6.5571000000000002</v>
      </c>
      <c r="E56">
        <v>7.4627999999999997</v>
      </c>
      <c r="F56" s="2">
        <f t="shared" si="0"/>
        <v>0.90569999999999951</v>
      </c>
      <c r="G56" s="3" t="s">
        <v>180</v>
      </c>
    </row>
    <row r="57" spans="1:9" x14ac:dyDescent="0.35">
      <c r="B57" t="s">
        <v>14</v>
      </c>
      <c r="C57" t="s">
        <v>84</v>
      </c>
      <c r="D57">
        <v>6.6387999999999998</v>
      </c>
      <c r="E57">
        <v>7.3365</v>
      </c>
      <c r="F57" s="2">
        <f t="shared" si="0"/>
        <v>0.69770000000000021</v>
      </c>
      <c r="G57" s="3" t="s">
        <v>180</v>
      </c>
    </row>
    <row r="58" spans="1:9" x14ac:dyDescent="0.35">
      <c r="B58" t="s">
        <v>15</v>
      </c>
      <c r="C58" t="s">
        <v>85</v>
      </c>
      <c r="D58">
        <v>6.5717999999999996</v>
      </c>
      <c r="E58" t="s">
        <v>178</v>
      </c>
      <c r="F58" s="2"/>
    </row>
    <row r="59" spans="1:9" x14ac:dyDescent="0.35">
      <c r="B59" t="s">
        <v>16</v>
      </c>
      <c r="C59" t="s">
        <v>86</v>
      </c>
      <c r="D59">
        <v>6.6045999999999996</v>
      </c>
      <c r="E59">
        <v>7.0284000000000004</v>
      </c>
      <c r="F59" s="2">
        <f t="shared" si="0"/>
        <v>0.42380000000000084</v>
      </c>
      <c r="G59" s="3" t="s">
        <v>180</v>
      </c>
      <c r="H59" s="4">
        <v>2</v>
      </c>
      <c r="I59" t="s">
        <v>201</v>
      </c>
    </row>
    <row r="60" spans="1:9" x14ac:dyDescent="0.35">
      <c r="B60" t="s">
        <v>17</v>
      </c>
      <c r="C60" t="s">
        <v>87</v>
      </c>
      <c r="D60">
        <v>6.6470000000000002</v>
      </c>
      <c r="E60">
        <v>7.2007000000000003</v>
      </c>
      <c r="F60" s="2">
        <f t="shared" si="0"/>
        <v>0.55370000000000008</v>
      </c>
      <c r="G60" s="3" t="s">
        <v>180</v>
      </c>
      <c r="H60" s="4">
        <v>3</v>
      </c>
      <c r="I60" t="s">
        <v>202</v>
      </c>
    </row>
    <row r="61" spans="1:9" x14ac:dyDescent="0.35">
      <c r="B61" t="s">
        <v>18</v>
      </c>
      <c r="C61" t="s">
        <v>88</v>
      </c>
      <c r="D61">
        <v>6.6007999999999996</v>
      </c>
      <c r="E61">
        <v>7.1894999999999998</v>
      </c>
      <c r="F61" s="2">
        <f t="shared" si="0"/>
        <v>0.58870000000000022</v>
      </c>
      <c r="G61" s="3" t="s">
        <v>180</v>
      </c>
      <c r="H61" s="4">
        <v>4</v>
      </c>
      <c r="I61" t="s">
        <v>203</v>
      </c>
    </row>
    <row r="62" spans="1:9" x14ac:dyDescent="0.35">
      <c r="B62" t="s">
        <v>19</v>
      </c>
      <c r="C62" t="s">
        <v>89</v>
      </c>
      <c r="D62">
        <v>6.6059000000000001</v>
      </c>
      <c r="E62" t="s">
        <v>178</v>
      </c>
      <c r="F62" s="2"/>
    </row>
    <row r="63" spans="1:9" x14ac:dyDescent="0.35">
      <c r="B63" t="s">
        <v>20</v>
      </c>
      <c r="C63" t="s">
        <v>90</v>
      </c>
      <c r="D63">
        <v>6.5940000000000003</v>
      </c>
      <c r="E63" t="s">
        <v>178</v>
      </c>
      <c r="F63" s="2"/>
    </row>
    <row r="64" spans="1:9" x14ac:dyDescent="0.35">
      <c r="B64" t="s">
        <v>21</v>
      </c>
      <c r="C64" t="s">
        <v>92</v>
      </c>
      <c r="D64">
        <v>6.6581000000000001</v>
      </c>
      <c r="E64">
        <v>7.0689000000000002</v>
      </c>
      <c r="F64" s="2">
        <f t="shared" si="0"/>
        <v>0.41080000000000005</v>
      </c>
      <c r="G64" s="3" t="s">
        <v>180</v>
      </c>
      <c r="H64" s="4">
        <v>1</v>
      </c>
      <c r="I64" t="s">
        <v>198</v>
      </c>
    </row>
    <row r="65" spans="1:9" x14ac:dyDescent="0.35">
      <c r="B65" t="s">
        <v>22</v>
      </c>
      <c r="C65" t="s">
        <v>93</v>
      </c>
      <c r="D65">
        <v>6.6595000000000004</v>
      </c>
      <c r="E65">
        <v>7.2667000000000002</v>
      </c>
      <c r="F65" s="2">
        <f t="shared" si="0"/>
        <v>0.60719999999999974</v>
      </c>
      <c r="G65" s="3" t="s">
        <v>180</v>
      </c>
      <c r="H65" s="4">
        <v>2</v>
      </c>
      <c r="I65" t="s">
        <v>196</v>
      </c>
    </row>
    <row r="66" spans="1:9" x14ac:dyDescent="0.35">
      <c r="B66" t="s">
        <v>23</v>
      </c>
      <c r="C66" t="s">
        <v>94</v>
      </c>
      <c r="D66">
        <v>6.6043000000000003</v>
      </c>
      <c r="E66">
        <v>7.5180999999999996</v>
      </c>
      <c r="F66" s="2">
        <f t="shared" si="0"/>
        <v>0.91379999999999928</v>
      </c>
      <c r="G66" s="3" t="s">
        <v>180</v>
      </c>
      <c r="H66" s="4">
        <v>3</v>
      </c>
      <c r="I66" t="s">
        <v>197</v>
      </c>
    </row>
    <row r="67" spans="1:9" x14ac:dyDescent="0.35">
      <c r="B67" t="s">
        <v>24</v>
      </c>
      <c r="C67" t="s">
        <v>95</v>
      </c>
      <c r="D67">
        <v>6.6218000000000004</v>
      </c>
      <c r="E67">
        <v>7.3453999999999997</v>
      </c>
      <c r="F67" s="2">
        <f t="shared" si="0"/>
        <v>0.72359999999999935</v>
      </c>
      <c r="G67" s="3" t="s">
        <v>180</v>
      </c>
      <c r="H67" s="4">
        <v>4</v>
      </c>
      <c r="I67" t="s">
        <v>199</v>
      </c>
    </row>
    <row r="68" spans="1:9" x14ac:dyDescent="0.35">
      <c r="B68" t="s">
        <v>25</v>
      </c>
      <c r="C68" t="s">
        <v>96</v>
      </c>
      <c r="D68">
        <v>6.6005000000000003</v>
      </c>
      <c r="E68" t="s">
        <v>178</v>
      </c>
      <c r="F68" s="2"/>
    </row>
    <row r="69" spans="1:9" x14ac:dyDescent="0.35">
      <c r="B69" t="s">
        <v>8</v>
      </c>
      <c r="C69" t="s">
        <v>97</v>
      </c>
      <c r="D69">
        <v>6.6456999999999997</v>
      </c>
      <c r="E69" t="s">
        <v>178</v>
      </c>
      <c r="F69" s="2"/>
    </row>
    <row r="70" spans="1:9" x14ac:dyDescent="0.35">
      <c r="B70" t="s">
        <v>9</v>
      </c>
      <c r="C70" t="s">
        <v>101</v>
      </c>
      <c r="D70">
        <v>6.6108000000000002</v>
      </c>
      <c r="E70">
        <v>7.2782999999999998</v>
      </c>
      <c r="F70" s="2">
        <f t="shared" ref="F70:F131" si="1">E70-D70</f>
        <v>0.66749999999999954</v>
      </c>
      <c r="G70" s="3" t="s">
        <v>180</v>
      </c>
      <c r="H70" s="4">
        <v>5</v>
      </c>
      <c r="I70" t="s">
        <v>204</v>
      </c>
    </row>
    <row r="71" spans="1:9" x14ac:dyDescent="0.35">
      <c r="B71" t="s">
        <v>10</v>
      </c>
      <c r="C71" t="s">
        <v>103</v>
      </c>
      <c r="D71">
        <v>6.5945</v>
      </c>
      <c r="E71">
        <v>7.0480999999999998</v>
      </c>
      <c r="F71" s="2">
        <f t="shared" si="1"/>
        <v>0.45359999999999978</v>
      </c>
      <c r="G71" s="3" t="s">
        <v>180</v>
      </c>
      <c r="H71" s="4">
        <v>6</v>
      </c>
      <c r="I71" t="s">
        <v>205</v>
      </c>
    </row>
    <row r="72" spans="1:9" x14ac:dyDescent="0.35">
      <c r="B72" t="s">
        <v>11</v>
      </c>
      <c r="C72" t="s">
        <v>104</v>
      </c>
      <c r="D72">
        <v>6.5670999999999999</v>
      </c>
      <c r="E72">
        <v>7.1306000000000003</v>
      </c>
      <c r="F72" s="2">
        <f t="shared" si="1"/>
        <v>0.56350000000000033</v>
      </c>
      <c r="G72" s="3" t="s">
        <v>180</v>
      </c>
      <c r="H72" s="4">
        <v>7</v>
      </c>
      <c r="I72" t="s">
        <v>206</v>
      </c>
    </row>
    <row r="73" spans="1:9" x14ac:dyDescent="0.35">
      <c r="B73" t="s">
        <v>12</v>
      </c>
      <c r="C73" t="s">
        <v>106</v>
      </c>
      <c r="D73">
        <v>6.6516000000000002</v>
      </c>
      <c r="E73">
        <v>7.3815999999999997</v>
      </c>
      <c r="F73" s="2">
        <f t="shared" si="1"/>
        <v>0.72999999999999954</v>
      </c>
      <c r="G73" s="3" t="s">
        <v>180</v>
      </c>
      <c r="H73" s="4">
        <v>8</v>
      </c>
      <c r="I73" t="s">
        <v>207</v>
      </c>
    </row>
    <row r="74" spans="1:9" x14ac:dyDescent="0.35">
      <c r="B74" t="s">
        <v>13</v>
      </c>
      <c r="C74" t="s">
        <v>107</v>
      </c>
      <c r="D74">
        <v>6.6475999999999997</v>
      </c>
      <c r="E74">
        <v>7.0994999999999999</v>
      </c>
      <c r="F74" s="2">
        <f t="shared" si="1"/>
        <v>0.45190000000000019</v>
      </c>
      <c r="G74" s="3" t="s">
        <v>180</v>
      </c>
      <c r="H74" s="4">
        <v>9</v>
      </c>
      <c r="I74" t="s">
        <v>208</v>
      </c>
    </row>
    <row r="75" spans="1:9" x14ac:dyDescent="0.35">
      <c r="A75">
        <v>4</v>
      </c>
      <c r="B75" t="s">
        <v>2</v>
      </c>
      <c r="C75" t="s">
        <v>108</v>
      </c>
      <c r="D75">
        <v>6.6619999999999999</v>
      </c>
      <c r="E75">
        <v>7.1688999999999998</v>
      </c>
      <c r="F75" s="2">
        <f t="shared" si="1"/>
        <v>0.50689999999999991</v>
      </c>
      <c r="G75" s="3" t="s">
        <v>180</v>
      </c>
      <c r="H75" s="4">
        <v>10</v>
      </c>
      <c r="I75" t="s">
        <v>209</v>
      </c>
    </row>
    <row r="76" spans="1:9" x14ac:dyDescent="0.35">
      <c r="B76" t="s">
        <v>3</v>
      </c>
      <c r="C76" t="s">
        <v>109</v>
      </c>
      <c r="D76">
        <v>6.6413000000000002</v>
      </c>
      <c r="E76">
        <v>7.2069000000000001</v>
      </c>
      <c r="F76" s="2">
        <f t="shared" si="1"/>
        <v>0.56559999999999988</v>
      </c>
      <c r="G76" s="3" t="s">
        <v>180</v>
      </c>
    </row>
    <row r="77" spans="1:9" x14ac:dyDescent="0.35">
      <c r="B77" t="s">
        <v>4</v>
      </c>
      <c r="C77" t="s">
        <v>110</v>
      </c>
      <c r="D77">
        <v>6.5757000000000003</v>
      </c>
      <c r="E77">
        <v>7.1151</v>
      </c>
      <c r="F77" s="2">
        <f t="shared" si="1"/>
        <v>0.53939999999999966</v>
      </c>
      <c r="G77" s="3" t="s">
        <v>180</v>
      </c>
    </row>
    <row r="78" spans="1:9" x14ac:dyDescent="0.35">
      <c r="B78" t="s">
        <v>5</v>
      </c>
      <c r="C78" t="s">
        <v>111</v>
      </c>
      <c r="D78">
        <v>6.6474000000000002</v>
      </c>
      <c r="E78" t="s">
        <v>178</v>
      </c>
      <c r="F78" s="2"/>
    </row>
    <row r="79" spans="1:9" x14ac:dyDescent="0.35">
      <c r="B79" t="s">
        <v>6</v>
      </c>
      <c r="C79" t="s">
        <v>114</v>
      </c>
      <c r="D79">
        <v>6.6169000000000002</v>
      </c>
      <c r="E79">
        <v>7.3853999999999997</v>
      </c>
      <c r="F79" s="2">
        <f t="shared" si="1"/>
        <v>0.76849999999999952</v>
      </c>
      <c r="G79" s="3" t="s">
        <v>180</v>
      </c>
    </row>
    <row r="80" spans="1:9" x14ac:dyDescent="0.35">
      <c r="B80" t="s">
        <v>7</v>
      </c>
      <c r="C80" t="s">
        <v>115</v>
      </c>
      <c r="D80">
        <v>6.5830000000000002</v>
      </c>
      <c r="E80">
        <v>7.3445999999999998</v>
      </c>
      <c r="F80" s="2">
        <f t="shared" si="1"/>
        <v>0.76159999999999961</v>
      </c>
      <c r="G80" s="3" t="s">
        <v>180</v>
      </c>
    </row>
    <row r="81" spans="2:9" x14ac:dyDescent="0.35">
      <c r="B81" t="s">
        <v>14</v>
      </c>
      <c r="C81" t="s">
        <v>116</v>
      </c>
      <c r="D81">
        <v>6.6292999999999997</v>
      </c>
      <c r="E81">
        <v>7.1702000000000004</v>
      </c>
      <c r="F81" s="2">
        <f t="shared" si="1"/>
        <v>0.5409000000000006</v>
      </c>
      <c r="G81" s="3" t="s">
        <v>180</v>
      </c>
      <c r="H81" s="4">
        <v>1</v>
      </c>
      <c r="I81" t="s">
        <v>210</v>
      </c>
    </row>
    <row r="82" spans="2:9" x14ac:dyDescent="0.35">
      <c r="B82" t="s">
        <v>15</v>
      </c>
      <c r="C82" t="s">
        <v>117</v>
      </c>
      <c r="D82">
        <v>6.5919999999999996</v>
      </c>
      <c r="E82">
        <v>7.4090999999999996</v>
      </c>
      <c r="F82" s="2">
        <f t="shared" si="1"/>
        <v>0.81709999999999994</v>
      </c>
      <c r="G82" s="3" t="s">
        <v>180</v>
      </c>
    </row>
    <row r="83" spans="2:9" x14ac:dyDescent="0.35">
      <c r="B83" t="s">
        <v>16</v>
      </c>
      <c r="C83" t="s">
        <v>119</v>
      </c>
      <c r="D83">
        <v>6.5829000000000004</v>
      </c>
      <c r="E83">
        <v>7.0491999999999999</v>
      </c>
      <c r="F83" s="2">
        <f t="shared" si="1"/>
        <v>0.46629999999999949</v>
      </c>
      <c r="G83" s="3" t="s">
        <v>180</v>
      </c>
      <c r="H83" s="4">
        <v>2</v>
      </c>
      <c r="I83" t="s">
        <v>211</v>
      </c>
    </row>
    <row r="84" spans="2:9" x14ac:dyDescent="0.35">
      <c r="B84" t="s">
        <v>17</v>
      </c>
      <c r="C84" t="s">
        <v>120</v>
      </c>
      <c r="D84">
        <v>6.5834999999999999</v>
      </c>
      <c r="E84">
        <v>7.4484000000000004</v>
      </c>
      <c r="F84" s="2">
        <f t="shared" si="1"/>
        <v>0.86490000000000045</v>
      </c>
      <c r="G84" s="3" t="s">
        <v>180</v>
      </c>
    </row>
    <row r="85" spans="2:9" x14ac:dyDescent="0.35">
      <c r="B85" t="s">
        <v>18</v>
      </c>
      <c r="C85" t="s">
        <v>121</v>
      </c>
      <c r="D85">
        <v>6.6395</v>
      </c>
      <c r="E85">
        <v>7.2007000000000003</v>
      </c>
      <c r="F85" s="2">
        <f t="shared" si="1"/>
        <v>0.56120000000000037</v>
      </c>
      <c r="G85" s="3" t="s">
        <v>180</v>
      </c>
      <c r="H85" s="4">
        <v>3</v>
      </c>
      <c r="I85" t="s">
        <v>212</v>
      </c>
    </row>
    <row r="86" spans="2:9" x14ac:dyDescent="0.35">
      <c r="B86" t="s">
        <v>19</v>
      </c>
      <c r="C86" t="s">
        <v>122</v>
      </c>
      <c r="D86">
        <v>6.5724999999999998</v>
      </c>
      <c r="E86">
        <v>7.1917999999999997</v>
      </c>
      <c r="F86" s="2">
        <f t="shared" si="1"/>
        <v>0.61929999999999996</v>
      </c>
      <c r="G86" s="3" t="s">
        <v>180</v>
      </c>
      <c r="H86" s="4">
        <v>4</v>
      </c>
      <c r="I86" t="s">
        <v>213</v>
      </c>
    </row>
    <row r="87" spans="2:9" x14ac:dyDescent="0.35">
      <c r="B87" t="s">
        <v>20</v>
      </c>
      <c r="C87" t="s">
        <v>123</v>
      </c>
      <c r="D87">
        <v>6.6139999999999999</v>
      </c>
      <c r="E87" t="s">
        <v>178</v>
      </c>
      <c r="F87" s="2"/>
    </row>
    <row r="88" spans="2:9" x14ac:dyDescent="0.35">
      <c r="B88" t="s">
        <v>21</v>
      </c>
      <c r="C88" t="s">
        <v>124</v>
      </c>
      <c r="D88">
        <v>6.6105</v>
      </c>
      <c r="E88">
        <v>7.2302999999999997</v>
      </c>
      <c r="F88" s="2">
        <f t="shared" si="1"/>
        <v>0.61979999999999968</v>
      </c>
      <c r="G88" s="3" t="s">
        <v>180</v>
      </c>
      <c r="H88" s="4">
        <v>5</v>
      </c>
      <c r="I88" t="s">
        <v>215</v>
      </c>
    </row>
    <row r="89" spans="2:9" x14ac:dyDescent="0.35">
      <c r="B89" t="s">
        <v>22</v>
      </c>
      <c r="C89" t="s">
        <v>125</v>
      </c>
      <c r="D89">
        <v>6.6135000000000002</v>
      </c>
      <c r="E89">
        <v>7.0892999999999997</v>
      </c>
      <c r="F89" s="2">
        <f t="shared" si="1"/>
        <v>0.47579999999999956</v>
      </c>
      <c r="G89" s="3" t="s">
        <v>180</v>
      </c>
      <c r="H89" s="4">
        <v>6</v>
      </c>
      <c r="I89" t="s">
        <v>216</v>
      </c>
    </row>
    <row r="90" spans="2:9" x14ac:dyDescent="0.35">
      <c r="B90" t="s">
        <v>23</v>
      </c>
      <c r="C90" t="s">
        <v>126</v>
      </c>
      <c r="D90">
        <v>6.5955000000000004</v>
      </c>
      <c r="E90" t="s">
        <v>178</v>
      </c>
      <c r="F90" s="2"/>
    </row>
    <row r="91" spans="2:9" x14ac:dyDescent="0.35">
      <c r="B91" t="s">
        <v>24</v>
      </c>
      <c r="C91" t="s">
        <v>127</v>
      </c>
      <c r="D91">
        <v>6.6163999999999996</v>
      </c>
      <c r="E91">
        <v>6.9775</v>
      </c>
      <c r="F91" s="2">
        <f t="shared" si="1"/>
        <v>0.36110000000000042</v>
      </c>
      <c r="G91" s="3" t="s">
        <v>180</v>
      </c>
      <c r="H91" s="4">
        <v>7</v>
      </c>
      <c r="I91" t="s">
        <v>217</v>
      </c>
    </row>
    <row r="92" spans="2:9" x14ac:dyDescent="0.35">
      <c r="B92" t="s">
        <v>25</v>
      </c>
      <c r="C92" t="s">
        <v>129</v>
      </c>
      <c r="D92">
        <v>6.6193999999999997</v>
      </c>
      <c r="E92">
        <v>7.1675000000000004</v>
      </c>
      <c r="F92" s="2">
        <f t="shared" si="1"/>
        <v>0.5481000000000007</v>
      </c>
      <c r="G92" s="3" t="s">
        <v>180</v>
      </c>
      <c r="H92" s="4">
        <v>8</v>
      </c>
      <c r="I92" t="s">
        <v>218</v>
      </c>
    </row>
    <row r="93" spans="2:9" x14ac:dyDescent="0.35">
      <c r="B93" t="s">
        <v>8</v>
      </c>
      <c r="C93" t="s">
        <v>130</v>
      </c>
      <c r="D93">
        <v>6.6077000000000004</v>
      </c>
      <c r="E93">
        <v>6.9775999999999998</v>
      </c>
      <c r="F93" s="2">
        <f t="shared" si="1"/>
        <v>0.36989999999999945</v>
      </c>
      <c r="G93" s="3" t="s">
        <v>180</v>
      </c>
      <c r="H93" s="4">
        <v>9</v>
      </c>
      <c r="I93" t="s">
        <v>219</v>
      </c>
    </row>
    <row r="94" spans="2:9" x14ac:dyDescent="0.35">
      <c r="B94" t="s">
        <v>9</v>
      </c>
      <c r="C94" t="s">
        <v>131</v>
      </c>
      <c r="D94">
        <v>6.6791</v>
      </c>
      <c r="E94">
        <v>7.5720999999999998</v>
      </c>
      <c r="F94" s="2">
        <f t="shared" si="1"/>
        <v>0.89299999999999979</v>
      </c>
      <c r="G94" s="3" t="s">
        <v>180</v>
      </c>
    </row>
    <row r="95" spans="2:9" x14ac:dyDescent="0.35">
      <c r="B95" t="s">
        <v>10</v>
      </c>
      <c r="C95" t="s">
        <v>133</v>
      </c>
      <c r="D95">
        <v>6.6303000000000001</v>
      </c>
      <c r="E95">
        <v>7.3455000000000004</v>
      </c>
      <c r="F95" s="2">
        <f t="shared" si="1"/>
        <v>0.71520000000000028</v>
      </c>
      <c r="G95" s="3" t="s">
        <v>180</v>
      </c>
    </row>
    <row r="96" spans="2:9" x14ac:dyDescent="0.35">
      <c r="B96" t="s">
        <v>11</v>
      </c>
      <c r="C96" t="s">
        <v>134</v>
      </c>
      <c r="D96">
        <v>6.5964</v>
      </c>
      <c r="E96">
        <v>6.9203999999999999</v>
      </c>
      <c r="F96" s="2">
        <f t="shared" si="1"/>
        <v>0.32399999999999984</v>
      </c>
      <c r="G96" s="3" t="s">
        <v>180</v>
      </c>
    </row>
    <row r="97" spans="1:10" x14ac:dyDescent="0.35">
      <c r="B97" t="s">
        <v>12</v>
      </c>
      <c r="C97" t="s">
        <v>135</v>
      </c>
      <c r="D97">
        <v>6.6708999999999996</v>
      </c>
      <c r="E97">
        <v>7.0159000000000002</v>
      </c>
      <c r="F97" s="2">
        <f t="shared" si="1"/>
        <v>0.34500000000000064</v>
      </c>
      <c r="G97" s="3" t="s">
        <v>180</v>
      </c>
    </row>
    <row r="98" spans="1:10" x14ac:dyDescent="0.35">
      <c r="B98" t="s">
        <v>13</v>
      </c>
      <c r="C98" t="s">
        <v>136</v>
      </c>
      <c r="D98">
        <v>6.6520999999999999</v>
      </c>
      <c r="E98" t="s">
        <v>178</v>
      </c>
      <c r="F98" s="2"/>
    </row>
    <row r="99" spans="1:10" x14ac:dyDescent="0.35">
      <c r="A99">
        <v>5</v>
      </c>
      <c r="B99" t="s">
        <v>2</v>
      </c>
      <c r="C99" t="s">
        <v>137</v>
      </c>
      <c r="D99">
        <v>6.6337000000000002</v>
      </c>
      <c r="E99">
        <v>7.3596000000000004</v>
      </c>
      <c r="F99" s="2">
        <f t="shared" si="1"/>
        <v>0.72590000000000021</v>
      </c>
      <c r="G99" s="3" t="s">
        <v>180</v>
      </c>
    </row>
    <row r="100" spans="1:10" x14ac:dyDescent="0.35">
      <c r="B100" t="s">
        <v>3</v>
      </c>
      <c r="C100" t="s">
        <v>138</v>
      </c>
      <c r="D100">
        <v>6.5796999999999999</v>
      </c>
      <c r="E100">
        <v>7.0915999999999997</v>
      </c>
      <c r="F100" s="2">
        <f t="shared" si="1"/>
        <v>0.5118999999999998</v>
      </c>
      <c r="G100" s="3" t="s">
        <v>180</v>
      </c>
      <c r="H100" s="4">
        <v>10</v>
      </c>
      <c r="I100" t="s">
        <v>220</v>
      </c>
    </row>
    <row r="101" spans="1:10" x14ac:dyDescent="0.35">
      <c r="B101" t="s">
        <v>4</v>
      </c>
      <c r="C101" t="s">
        <v>139</v>
      </c>
      <c r="D101">
        <v>6.6048</v>
      </c>
      <c r="E101">
        <v>7.5125000000000002</v>
      </c>
      <c r="F101" s="2">
        <f t="shared" si="1"/>
        <v>0.90770000000000017</v>
      </c>
      <c r="G101" s="3" t="s">
        <v>180</v>
      </c>
    </row>
    <row r="102" spans="1:10" x14ac:dyDescent="0.35">
      <c r="B102" t="s">
        <v>5</v>
      </c>
      <c r="C102" t="s">
        <v>140</v>
      </c>
      <c r="D102">
        <v>6.6257000000000001</v>
      </c>
      <c r="E102">
        <v>7.3036000000000003</v>
      </c>
      <c r="F102" s="2">
        <f t="shared" si="1"/>
        <v>0.67790000000000017</v>
      </c>
      <c r="G102" s="3" t="s">
        <v>180</v>
      </c>
    </row>
    <row r="103" spans="1:10" x14ac:dyDescent="0.35">
      <c r="B103" t="s">
        <v>6</v>
      </c>
      <c r="C103" t="s">
        <v>141</v>
      </c>
      <c r="D103">
        <v>6.5838000000000001</v>
      </c>
      <c r="E103" t="s">
        <v>178</v>
      </c>
      <c r="F103" s="2"/>
    </row>
    <row r="104" spans="1:10" x14ac:dyDescent="0.35">
      <c r="B104" t="s">
        <v>7</v>
      </c>
      <c r="C104" t="s">
        <v>142</v>
      </c>
      <c r="D104">
        <v>6.5913000000000004</v>
      </c>
      <c r="E104" t="s">
        <v>178</v>
      </c>
      <c r="F104" s="2"/>
    </row>
    <row r="105" spans="1:10" x14ac:dyDescent="0.35">
      <c r="B105" t="s">
        <v>14</v>
      </c>
      <c r="C105" t="s">
        <v>143</v>
      </c>
      <c r="D105">
        <v>6.9539</v>
      </c>
      <c r="E105">
        <v>7.2460000000000004</v>
      </c>
      <c r="F105" s="2">
        <f t="shared" si="1"/>
        <v>0.29210000000000047</v>
      </c>
      <c r="G105" s="3" t="s">
        <v>180</v>
      </c>
      <c r="H105" s="4" t="s">
        <v>143</v>
      </c>
      <c r="J105" t="s">
        <v>243</v>
      </c>
    </row>
    <row r="106" spans="1:10" x14ac:dyDescent="0.35">
      <c r="B106" t="s">
        <v>15</v>
      </c>
      <c r="C106" t="s">
        <v>187</v>
      </c>
      <c r="D106">
        <v>6.6074999999999999</v>
      </c>
      <c r="E106">
        <v>7.0265000000000004</v>
      </c>
      <c r="F106" s="2">
        <f t="shared" si="1"/>
        <v>0.41900000000000048</v>
      </c>
      <c r="G106" s="3" t="s">
        <v>180</v>
      </c>
      <c r="H106" s="4" t="s">
        <v>148</v>
      </c>
    </row>
    <row r="107" spans="1:10" x14ac:dyDescent="0.35">
      <c r="B107" t="s">
        <v>16</v>
      </c>
      <c r="C107" t="s">
        <v>144</v>
      </c>
      <c r="D107">
        <v>6.5975999999999999</v>
      </c>
      <c r="E107">
        <v>7.0857000000000001</v>
      </c>
      <c r="F107" s="2">
        <f t="shared" si="1"/>
        <v>0.4881000000000002</v>
      </c>
      <c r="G107" s="3" t="s">
        <v>180</v>
      </c>
      <c r="H107" s="4" t="s">
        <v>144</v>
      </c>
    </row>
    <row r="108" spans="1:10" x14ac:dyDescent="0.35">
      <c r="B108" t="s">
        <v>17</v>
      </c>
      <c r="C108" t="s">
        <v>145</v>
      </c>
      <c r="D108">
        <v>6.6440000000000001</v>
      </c>
      <c r="E108">
        <v>7.0465999999999998</v>
      </c>
      <c r="F108" s="2">
        <f t="shared" si="1"/>
        <v>0.40259999999999962</v>
      </c>
      <c r="G108" s="3" t="s">
        <v>180</v>
      </c>
      <c r="H108" s="4" t="s">
        <v>145</v>
      </c>
    </row>
    <row r="109" spans="1:10" x14ac:dyDescent="0.35">
      <c r="B109" t="s">
        <v>18</v>
      </c>
      <c r="C109" t="s">
        <v>146</v>
      </c>
      <c r="D109">
        <v>6.6824000000000003</v>
      </c>
      <c r="E109" t="s">
        <v>178</v>
      </c>
      <c r="F109" s="2"/>
    </row>
    <row r="110" spans="1:10" x14ac:dyDescent="0.35">
      <c r="B110" t="s">
        <v>19</v>
      </c>
      <c r="C110" t="s">
        <v>147</v>
      </c>
      <c r="D110">
        <v>6.6859999999999999</v>
      </c>
      <c r="E110">
        <v>7.1319999999999997</v>
      </c>
      <c r="F110" s="2">
        <f t="shared" si="1"/>
        <v>0.44599999999999973</v>
      </c>
      <c r="G110" s="3" t="s">
        <v>180</v>
      </c>
    </row>
    <row r="111" spans="1:10" x14ac:dyDescent="0.35">
      <c r="B111" t="s">
        <v>20</v>
      </c>
      <c r="C111" t="s">
        <v>188</v>
      </c>
      <c r="D111">
        <v>6.6388999999999996</v>
      </c>
      <c r="E111">
        <v>6.8665000000000003</v>
      </c>
      <c r="F111" s="2">
        <f t="shared" si="1"/>
        <v>0.22760000000000069</v>
      </c>
      <c r="G111" s="3" t="s">
        <v>180</v>
      </c>
      <c r="H111" s="4" t="s">
        <v>186</v>
      </c>
    </row>
    <row r="112" spans="1:10" x14ac:dyDescent="0.35">
      <c r="B112" t="s">
        <v>21</v>
      </c>
      <c r="C112" t="s">
        <v>149</v>
      </c>
      <c r="D112">
        <v>6.6040999999999999</v>
      </c>
      <c r="E112">
        <v>7.5270999999999999</v>
      </c>
      <c r="F112" s="2">
        <f t="shared" si="1"/>
        <v>0.92300000000000004</v>
      </c>
      <c r="G112" s="3" t="s">
        <v>180</v>
      </c>
      <c r="H112" s="4" t="s">
        <v>149</v>
      </c>
    </row>
    <row r="113" spans="1:11" x14ac:dyDescent="0.35">
      <c r="B113" t="s">
        <v>22</v>
      </c>
      <c r="C113" t="s">
        <v>150</v>
      </c>
      <c r="D113">
        <v>6.6047000000000002</v>
      </c>
      <c r="E113" t="s">
        <v>178</v>
      </c>
      <c r="F113" s="2"/>
    </row>
    <row r="114" spans="1:11" x14ac:dyDescent="0.35">
      <c r="B114" t="s">
        <v>23</v>
      </c>
      <c r="C114" t="s">
        <v>151</v>
      </c>
      <c r="D114">
        <v>6.6551</v>
      </c>
      <c r="E114" t="s">
        <v>178</v>
      </c>
      <c r="F114" s="2"/>
    </row>
    <row r="115" spans="1:11" x14ac:dyDescent="0.35">
      <c r="B115" t="s">
        <v>24</v>
      </c>
      <c r="C115" t="s">
        <v>152</v>
      </c>
      <c r="D115">
        <v>6.6578999999999997</v>
      </c>
      <c r="E115">
        <v>6.9757999999999996</v>
      </c>
      <c r="F115" s="2">
        <f t="shared" si="1"/>
        <v>0.31789999999999985</v>
      </c>
      <c r="G115" s="3" t="s">
        <v>180</v>
      </c>
      <c r="H115" s="4">
        <v>2</v>
      </c>
      <c r="I115" t="s">
        <v>226</v>
      </c>
      <c r="K115" t="s">
        <v>225</v>
      </c>
    </row>
    <row r="116" spans="1:11" x14ac:dyDescent="0.35">
      <c r="B116" t="s">
        <v>25</v>
      </c>
      <c r="C116" t="s">
        <v>153</v>
      </c>
      <c r="D116">
        <v>6.5998000000000001</v>
      </c>
      <c r="E116">
        <v>6.9377000000000004</v>
      </c>
      <c r="F116" s="2">
        <f t="shared" si="1"/>
        <v>0.33790000000000031</v>
      </c>
      <c r="G116" s="3" t="s">
        <v>180</v>
      </c>
      <c r="H116" s="4">
        <v>3</v>
      </c>
      <c r="I116" t="s">
        <v>227</v>
      </c>
    </row>
    <row r="117" spans="1:11" x14ac:dyDescent="0.35">
      <c r="B117" t="s">
        <v>8</v>
      </c>
      <c r="C117" t="s">
        <v>154</v>
      </c>
      <c r="D117">
        <v>6.6410999999999998</v>
      </c>
      <c r="E117" t="s">
        <v>178</v>
      </c>
      <c r="F117" s="2"/>
    </row>
    <row r="118" spans="1:11" x14ac:dyDescent="0.35">
      <c r="B118" t="s">
        <v>9</v>
      </c>
      <c r="C118" t="s">
        <v>155</v>
      </c>
      <c r="D118">
        <v>6.6298000000000004</v>
      </c>
      <c r="E118">
        <v>7.1204000000000001</v>
      </c>
      <c r="F118" s="2">
        <f t="shared" si="1"/>
        <v>0.4905999999999997</v>
      </c>
      <c r="G118" s="3" t="s">
        <v>180</v>
      </c>
      <c r="H118" s="4">
        <v>4</v>
      </c>
      <c r="I118" t="s">
        <v>228</v>
      </c>
    </row>
    <row r="119" spans="1:11" x14ac:dyDescent="0.35">
      <c r="B119" t="s">
        <v>10</v>
      </c>
      <c r="C119" t="s">
        <v>156</v>
      </c>
      <c r="D119">
        <v>6.6866000000000003</v>
      </c>
      <c r="E119">
        <v>7.2542999999999997</v>
      </c>
      <c r="F119" s="2">
        <f t="shared" si="1"/>
        <v>0.56769999999999943</v>
      </c>
      <c r="G119" s="3" t="s">
        <v>180</v>
      </c>
      <c r="H119" s="4">
        <v>5</v>
      </c>
      <c r="I119" t="s">
        <v>229</v>
      </c>
    </row>
    <row r="120" spans="1:11" x14ac:dyDescent="0.35">
      <c r="B120" t="s">
        <v>11</v>
      </c>
      <c r="C120" t="s">
        <v>157</v>
      </c>
      <c r="D120">
        <v>6.5968</v>
      </c>
      <c r="E120">
        <v>7.2461000000000002</v>
      </c>
      <c r="F120" s="2">
        <f t="shared" si="1"/>
        <v>0.64930000000000021</v>
      </c>
      <c r="G120" s="3" t="s">
        <v>180</v>
      </c>
      <c r="H120" s="4">
        <v>6</v>
      </c>
      <c r="I120" t="s">
        <v>230</v>
      </c>
    </row>
    <row r="121" spans="1:11" x14ac:dyDescent="0.35">
      <c r="B121" t="s">
        <v>12</v>
      </c>
      <c r="C121" t="s">
        <v>158</v>
      </c>
      <c r="D121">
        <v>6.5968999999999998</v>
      </c>
      <c r="E121">
        <v>7.1380999999999997</v>
      </c>
      <c r="F121" s="2">
        <f t="shared" si="1"/>
        <v>0.5411999999999999</v>
      </c>
      <c r="G121" s="3" t="s">
        <v>180</v>
      </c>
      <c r="H121" s="4">
        <v>7</v>
      </c>
      <c r="I121" t="s">
        <v>231</v>
      </c>
    </row>
    <row r="122" spans="1:11" x14ac:dyDescent="0.35">
      <c r="B122" t="s">
        <v>13</v>
      </c>
      <c r="C122" t="s">
        <v>159</v>
      </c>
      <c r="D122">
        <v>6.6626000000000003</v>
      </c>
      <c r="E122">
        <v>7.1630000000000003</v>
      </c>
      <c r="F122" s="2">
        <f t="shared" si="1"/>
        <v>0.50039999999999996</v>
      </c>
      <c r="G122" s="3" t="s">
        <v>180</v>
      </c>
      <c r="H122" s="4">
        <v>8</v>
      </c>
      <c r="I122" t="s">
        <v>231</v>
      </c>
    </row>
    <row r="123" spans="1:11" x14ac:dyDescent="0.35">
      <c r="A123">
        <v>6</v>
      </c>
      <c r="B123" t="s">
        <v>2</v>
      </c>
      <c r="C123" t="s">
        <v>160</v>
      </c>
      <c r="D123">
        <v>6.6341000000000001</v>
      </c>
      <c r="E123" t="s">
        <v>178</v>
      </c>
      <c r="F123" s="2"/>
    </row>
    <row r="124" spans="1:11" x14ac:dyDescent="0.35">
      <c r="B124" t="s">
        <v>3</v>
      </c>
      <c r="C124" t="s">
        <v>161</v>
      </c>
      <c r="D124">
        <v>6.5635000000000003</v>
      </c>
      <c r="E124">
        <v>6.9151999999999996</v>
      </c>
      <c r="F124" s="2">
        <f t="shared" si="1"/>
        <v>0.35169999999999924</v>
      </c>
      <c r="G124" s="3" t="s">
        <v>180</v>
      </c>
      <c r="H124" s="4">
        <v>1</v>
      </c>
      <c r="I124" t="s">
        <v>232</v>
      </c>
    </row>
    <row r="125" spans="1:11" x14ac:dyDescent="0.35">
      <c r="B125" t="s">
        <v>4</v>
      </c>
      <c r="C125" t="s">
        <v>162</v>
      </c>
      <c r="D125">
        <v>6.6020000000000003</v>
      </c>
      <c r="E125" t="s">
        <v>178</v>
      </c>
      <c r="F125" s="2"/>
    </row>
    <row r="126" spans="1:11" x14ac:dyDescent="0.35">
      <c r="B126" t="s">
        <v>5</v>
      </c>
      <c r="C126" t="s">
        <v>163</v>
      </c>
      <c r="D126">
        <v>6.6117999999999997</v>
      </c>
      <c r="E126" t="s">
        <v>178</v>
      </c>
      <c r="F126" s="2"/>
    </row>
    <row r="127" spans="1:11" x14ac:dyDescent="0.35">
      <c r="B127" t="s">
        <v>6</v>
      </c>
      <c r="C127" t="s">
        <v>164</v>
      </c>
      <c r="D127">
        <v>6.6349</v>
      </c>
      <c r="E127">
        <v>6.9211999999999998</v>
      </c>
      <c r="F127" s="2">
        <f t="shared" si="1"/>
        <v>0.28629999999999978</v>
      </c>
      <c r="G127" s="3" t="s">
        <v>180</v>
      </c>
      <c r="H127" s="9" t="s">
        <v>233</v>
      </c>
    </row>
    <row r="128" spans="1:11" x14ac:dyDescent="0.35">
      <c r="B128" t="s">
        <v>7</v>
      </c>
      <c r="C128" t="s">
        <v>165</v>
      </c>
      <c r="D128">
        <v>6.6580000000000004</v>
      </c>
      <c r="E128">
        <v>7.2537000000000003</v>
      </c>
      <c r="F128" s="2">
        <f t="shared" si="1"/>
        <v>0.5956999999999999</v>
      </c>
      <c r="G128" s="3" t="s">
        <v>180</v>
      </c>
      <c r="H128" s="9"/>
    </row>
    <row r="129" spans="2:10" x14ac:dyDescent="0.35">
      <c r="B129" t="s">
        <v>14</v>
      </c>
      <c r="C129" t="s">
        <v>166</v>
      </c>
      <c r="D129">
        <v>6.6092000000000004</v>
      </c>
      <c r="E129">
        <v>7.0430000000000001</v>
      </c>
      <c r="F129" s="2">
        <f t="shared" si="1"/>
        <v>0.43379999999999974</v>
      </c>
      <c r="G129" s="3" t="s">
        <v>180</v>
      </c>
      <c r="H129" t="s">
        <v>152</v>
      </c>
    </row>
    <row r="130" spans="2:10" x14ac:dyDescent="0.35">
      <c r="B130" t="s">
        <v>15</v>
      </c>
      <c r="C130" t="s">
        <v>167</v>
      </c>
      <c r="D130">
        <v>6.6032999999999999</v>
      </c>
      <c r="E130" t="s">
        <v>178</v>
      </c>
      <c r="F130" s="2"/>
    </row>
    <row r="131" spans="2:10" x14ac:dyDescent="0.35">
      <c r="B131" t="s">
        <v>16</v>
      </c>
      <c r="C131" t="s">
        <v>168</v>
      </c>
      <c r="D131">
        <v>6.6147999999999998</v>
      </c>
      <c r="E131">
        <v>7.0648</v>
      </c>
      <c r="F131" s="2">
        <f t="shared" si="1"/>
        <v>0.45000000000000018</v>
      </c>
      <c r="G131" s="3" t="s">
        <v>180</v>
      </c>
      <c r="H131" t="s">
        <v>152</v>
      </c>
      <c r="J131" t="s">
        <v>234</v>
      </c>
    </row>
    <row r="132" spans="2:10" x14ac:dyDescent="0.35">
      <c r="B132" t="s">
        <v>17</v>
      </c>
      <c r="C132" t="s">
        <v>169</v>
      </c>
      <c r="D132">
        <v>6.6558999999999999</v>
      </c>
      <c r="E132" t="s">
        <v>178</v>
      </c>
      <c r="F132" s="2"/>
    </row>
    <row r="133" spans="2:10" x14ac:dyDescent="0.35">
      <c r="B133" t="s">
        <v>18</v>
      </c>
      <c r="C133" t="s">
        <v>170</v>
      </c>
      <c r="D133">
        <v>6.6280999999999999</v>
      </c>
      <c r="E133">
        <v>7.1932</v>
      </c>
      <c r="F133" s="2">
        <f t="shared" ref="F133:F137" si="2">E133-D133</f>
        <v>0.56510000000000016</v>
      </c>
      <c r="G133" s="3" t="s">
        <v>180</v>
      </c>
      <c r="H133" t="s">
        <v>152</v>
      </c>
    </row>
    <row r="134" spans="2:10" x14ac:dyDescent="0.35">
      <c r="B134" t="s">
        <v>19</v>
      </c>
      <c r="C134" t="s">
        <v>171</v>
      </c>
      <c r="D134">
        <v>6.6285999999999996</v>
      </c>
      <c r="E134">
        <v>6.98</v>
      </c>
      <c r="F134" s="2">
        <f t="shared" si="2"/>
        <v>0.35140000000000082</v>
      </c>
      <c r="G134" s="3" t="s">
        <v>180</v>
      </c>
      <c r="H134" t="s">
        <v>153</v>
      </c>
    </row>
    <row r="135" spans="2:10" x14ac:dyDescent="0.35">
      <c r="B135" t="s">
        <v>20</v>
      </c>
      <c r="C135" t="s">
        <v>172</v>
      </c>
      <c r="D135">
        <v>6.6059000000000001</v>
      </c>
      <c r="E135">
        <v>6.8883000000000001</v>
      </c>
      <c r="F135" s="2">
        <f t="shared" si="2"/>
        <v>0.28239999999999998</v>
      </c>
      <c r="G135" s="3" t="s">
        <v>180</v>
      </c>
      <c r="H135" t="s">
        <v>153</v>
      </c>
      <c r="J135" t="s">
        <v>235</v>
      </c>
    </row>
    <row r="136" spans="2:10" x14ac:dyDescent="0.35">
      <c r="B136" t="s">
        <v>21</v>
      </c>
      <c r="C136" t="s">
        <v>173</v>
      </c>
      <c r="D136">
        <v>6.6432000000000002</v>
      </c>
      <c r="E136">
        <v>7.0650000000000004</v>
      </c>
      <c r="F136" s="2">
        <f t="shared" si="2"/>
        <v>0.42180000000000017</v>
      </c>
      <c r="G136" s="3" t="s">
        <v>180</v>
      </c>
      <c r="H136" t="s">
        <v>153</v>
      </c>
    </row>
    <row r="137" spans="2:10" x14ac:dyDescent="0.35">
      <c r="B137" t="s">
        <v>22</v>
      </c>
      <c r="C137" t="s">
        <v>174</v>
      </c>
      <c r="D137">
        <v>6.5731999999999999</v>
      </c>
      <c r="E137">
        <v>6.8860999999999999</v>
      </c>
      <c r="F137" s="2">
        <f t="shared" si="2"/>
        <v>0.31289999999999996</v>
      </c>
      <c r="G137" s="3" t="s">
        <v>180</v>
      </c>
      <c r="H137" t="s">
        <v>153</v>
      </c>
    </row>
    <row r="138" spans="2:10" x14ac:dyDescent="0.35">
      <c r="B138" t="s">
        <v>23</v>
      </c>
      <c r="C138" t="s">
        <v>175</v>
      </c>
      <c r="D138">
        <v>6.5823</v>
      </c>
    </row>
    <row r="139" spans="2:10" x14ac:dyDescent="0.35">
      <c r="B139" t="s">
        <v>24</v>
      </c>
      <c r="C139" t="s">
        <v>175</v>
      </c>
      <c r="D139">
        <v>6.6300999999999997</v>
      </c>
    </row>
    <row r="140" spans="2:10" x14ac:dyDescent="0.35">
      <c r="B140" t="s">
        <v>25</v>
      </c>
      <c r="C140" t="s">
        <v>175</v>
      </c>
      <c r="D140">
        <v>6.5792000000000002</v>
      </c>
    </row>
    <row r="141" spans="2:10" x14ac:dyDescent="0.35">
      <c r="B141" t="s">
        <v>8</v>
      </c>
      <c r="C141" t="s">
        <v>175</v>
      </c>
      <c r="D141">
        <v>6.6531000000000002</v>
      </c>
    </row>
    <row r="142" spans="2:10" x14ac:dyDescent="0.35">
      <c r="B142" t="s">
        <v>9</v>
      </c>
      <c r="C142" t="s">
        <v>175</v>
      </c>
      <c r="D142">
        <v>6.6364000000000001</v>
      </c>
    </row>
    <row r="143" spans="2:10" x14ac:dyDescent="0.35">
      <c r="B143" t="s">
        <v>10</v>
      </c>
      <c r="C143" t="s">
        <v>175</v>
      </c>
      <c r="D143">
        <v>6.6096000000000004</v>
      </c>
    </row>
    <row r="144" spans="2:10" x14ac:dyDescent="0.35">
      <c r="B144" t="s">
        <v>11</v>
      </c>
      <c r="C144" t="s">
        <v>175</v>
      </c>
      <c r="D144">
        <v>6.6532</v>
      </c>
    </row>
    <row r="145" spans="2:9" x14ac:dyDescent="0.35">
      <c r="B145" t="s">
        <v>12</v>
      </c>
      <c r="C145" t="s">
        <v>175</v>
      </c>
      <c r="D145">
        <v>6.6135000000000002</v>
      </c>
    </row>
    <row r="146" spans="2:9" x14ac:dyDescent="0.35">
      <c r="B146" t="s">
        <v>13</v>
      </c>
      <c r="C146" t="s">
        <v>175</v>
      </c>
      <c r="D146">
        <v>6.5975999999999999</v>
      </c>
    </row>
    <row r="149" spans="2:9" x14ac:dyDescent="0.35">
      <c r="G149"/>
      <c r="H149" s="2"/>
      <c r="I149" s="3"/>
    </row>
    <row r="150" spans="2:9" x14ac:dyDescent="0.35">
      <c r="E150" t="s">
        <v>152</v>
      </c>
      <c r="F150">
        <v>6.6578999999999997</v>
      </c>
      <c r="G150">
        <v>6.9757999999999996</v>
      </c>
      <c r="H150" s="2">
        <f t="shared" ref="H150:H151" si="3">G150-F150</f>
        <v>0.31789999999999985</v>
      </c>
      <c r="I150" s="3" t="s">
        <v>180</v>
      </c>
    </row>
    <row r="151" spans="2:9" x14ac:dyDescent="0.35">
      <c r="E151" t="s">
        <v>153</v>
      </c>
      <c r="F151">
        <v>6.5998000000000001</v>
      </c>
      <c r="G151">
        <v>6.9377000000000004</v>
      </c>
      <c r="H151" s="2">
        <f t="shared" si="3"/>
        <v>0.33790000000000031</v>
      </c>
      <c r="I151" s="3" t="s">
        <v>180</v>
      </c>
    </row>
    <row r="152" spans="2:9" x14ac:dyDescent="0.35">
      <c r="E152" t="s">
        <v>155</v>
      </c>
      <c r="F152">
        <v>6.6298000000000004</v>
      </c>
      <c r="G152">
        <v>7.1204000000000001</v>
      </c>
      <c r="H152" s="2">
        <f t="shared" ref="H152:H161" si="4">G152-F152</f>
        <v>0.4905999999999997</v>
      </c>
      <c r="I152" s="3" t="s">
        <v>180</v>
      </c>
    </row>
    <row r="153" spans="2:9" x14ac:dyDescent="0.35">
      <c r="E153" t="s">
        <v>156</v>
      </c>
      <c r="F153">
        <v>6.6866000000000003</v>
      </c>
      <c r="G153">
        <v>7.2542999999999997</v>
      </c>
      <c r="H153" s="2">
        <f t="shared" si="4"/>
        <v>0.56769999999999943</v>
      </c>
      <c r="I153" s="3" t="s">
        <v>180</v>
      </c>
    </row>
    <row r="154" spans="2:9" x14ac:dyDescent="0.35">
      <c r="E154" t="s">
        <v>157</v>
      </c>
      <c r="F154">
        <v>6.5968</v>
      </c>
      <c r="G154">
        <v>7.2461000000000002</v>
      </c>
      <c r="H154" s="2">
        <f t="shared" si="4"/>
        <v>0.64930000000000021</v>
      </c>
      <c r="I154" s="3" t="s">
        <v>180</v>
      </c>
    </row>
    <row r="155" spans="2:9" x14ac:dyDescent="0.35">
      <c r="E155" t="s">
        <v>158</v>
      </c>
      <c r="F155">
        <v>6.5968999999999998</v>
      </c>
      <c r="G155">
        <v>7.1380999999999997</v>
      </c>
      <c r="H155" s="2">
        <f t="shared" si="4"/>
        <v>0.5411999999999999</v>
      </c>
      <c r="I155" s="3" t="s">
        <v>180</v>
      </c>
    </row>
    <row r="156" spans="2:9" x14ac:dyDescent="0.35">
      <c r="E156" t="s">
        <v>159</v>
      </c>
      <c r="F156">
        <v>6.6626000000000003</v>
      </c>
      <c r="G156">
        <v>7.1630000000000003</v>
      </c>
      <c r="H156" s="2">
        <f t="shared" si="4"/>
        <v>0.50039999999999996</v>
      </c>
      <c r="I156" s="3" t="s">
        <v>180</v>
      </c>
    </row>
    <row r="157" spans="2:9" x14ac:dyDescent="0.35">
      <c r="E157" t="s">
        <v>161</v>
      </c>
      <c r="F157">
        <v>6.5635000000000003</v>
      </c>
      <c r="G157">
        <v>6.9151999999999996</v>
      </c>
      <c r="H157" s="2">
        <f t="shared" si="4"/>
        <v>0.35169999999999924</v>
      </c>
      <c r="I157" s="3" t="s">
        <v>180</v>
      </c>
    </row>
    <row r="158" spans="2:9" x14ac:dyDescent="0.35">
      <c r="E158" t="s">
        <v>164</v>
      </c>
      <c r="F158">
        <v>6.6349</v>
      </c>
      <c r="G158">
        <v>6.9211999999999998</v>
      </c>
      <c r="H158" s="2">
        <f t="shared" si="4"/>
        <v>0.28629999999999978</v>
      </c>
      <c r="I158" s="3" t="s">
        <v>180</v>
      </c>
    </row>
    <row r="159" spans="2:9" x14ac:dyDescent="0.35">
      <c r="E159" t="s">
        <v>165</v>
      </c>
      <c r="F159">
        <v>6.6580000000000004</v>
      </c>
      <c r="G159">
        <v>7.2537000000000003</v>
      </c>
      <c r="H159" s="2">
        <f t="shared" si="4"/>
        <v>0.5956999999999999</v>
      </c>
      <c r="I159" s="3" t="s">
        <v>180</v>
      </c>
    </row>
    <row r="160" spans="2:9" x14ac:dyDescent="0.35">
      <c r="E160" t="s">
        <v>166</v>
      </c>
      <c r="F160">
        <v>6.6092000000000004</v>
      </c>
      <c r="G160">
        <v>7.0430000000000001</v>
      </c>
      <c r="H160" s="2">
        <f t="shared" si="4"/>
        <v>0.43379999999999974</v>
      </c>
      <c r="I160" s="3" t="s">
        <v>180</v>
      </c>
    </row>
    <row r="161" spans="5:9" x14ac:dyDescent="0.35">
      <c r="E161" t="s">
        <v>168</v>
      </c>
      <c r="F161">
        <v>6.6147999999999998</v>
      </c>
      <c r="G161">
        <v>7.0648</v>
      </c>
      <c r="H161" s="2">
        <f t="shared" si="4"/>
        <v>0.45000000000000018</v>
      </c>
      <c r="I161" s="3" t="s">
        <v>180</v>
      </c>
    </row>
    <row r="162" spans="5:9" x14ac:dyDescent="0.35">
      <c r="E162" t="s">
        <v>170</v>
      </c>
      <c r="F162">
        <v>6.6280999999999999</v>
      </c>
      <c r="G162">
        <v>7.1932</v>
      </c>
      <c r="H162" s="2">
        <f t="shared" ref="H162:H166" si="5">G162-F162</f>
        <v>0.56510000000000016</v>
      </c>
      <c r="I162" s="3" t="s">
        <v>180</v>
      </c>
    </row>
    <row r="163" spans="5:9" x14ac:dyDescent="0.35">
      <c r="E163" t="s">
        <v>171</v>
      </c>
      <c r="F163">
        <v>6.6285999999999996</v>
      </c>
      <c r="G163">
        <v>6.98</v>
      </c>
      <c r="H163" s="2">
        <f t="shared" si="5"/>
        <v>0.35140000000000082</v>
      </c>
      <c r="I163" s="3" t="s">
        <v>180</v>
      </c>
    </row>
    <row r="164" spans="5:9" x14ac:dyDescent="0.35">
      <c r="E164" t="s">
        <v>172</v>
      </c>
      <c r="F164">
        <v>6.6059000000000001</v>
      </c>
      <c r="G164">
        <v>6.8883000000000001</v>
      </c>
      <c r="H164" s="2">
        <f t="shared" si="5"/>
        <v>0.28239999999999998</v>
      </c>
      <c r="I164" s="3" t="s">
        <v>180</v>
      </c>
    </row>
    <row r="165" spans="5:9" x14ac:dyDescent="0.35">
      <c r="E165" t="s">
        <v>173</v>
      </c>
      <c r="F165">
        <v>6.6432000000000002</v>
      </c>
      <c r="G165">
        <v>7.0650000000000004</v>
      </c>
      <c r="H165" s="2">
        <f t="shared" si="5"/>
        <v>0.42180000000000017</v>
      </c>
      <c r="I165" s="3" t="s">
        <v>180</v>
      </c>
    </row>
    <row r="166" spans="5:9" x14ac:dyDescent="0.35">
      <c r="E166" t="s">
        <v>174</v>
      </c>
      <c r="F166">
        <v>6.5731999999999999</v>
      </c>
      <c r="G166">
        <v>6.8860999999999999</v>
      </c>
      <c r="H166" s="2">
        <f t="shared" si="5"/>
        <v>0.31289999999999996</v>
      </c>
      <c r="I166" s="3" t="s">
        <v>180</v>
      </c>
    </row>
    <row r="168" spans="5:9" x14ac:dyDescent="0.35">
      <c r="G168" s="3" t="s">
        <v>252</v>
      </c>
      <c r="H168" s="2">
        <f>AVERAGE(H150:H166)</f>
        <v>0.4385941176470588</v>
      </c>
    </row>
    <row r="169" spans="5:9" x14ac:dyDescent="0.35">
      <c r="H169" s="3">
        <f>_xlfn.STDEV.P(H150:H166)</f>
        <v>0.11440070171827271</v>
      </c>
    </row>
    <row r="170" spans="5:9" x14ac:dyDescent="0.35">
      <c r="H170">
        <f>_xlfn.STDEV.S(H150:H166)</f>
        <v>0.11792154420730457</v>
      </c>
    </row>
  </sheetData>
  <mergeCells count="1">
    <mergeCell ref="H127:H128"/>
  </mergeCells>
  <phoneticPr fontId="1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FD44-6C71-40C6-A0F0-205C98A2576D}">
  <dimension ref="A1:D58"/>
  <sheetViews>
    <sheetView topLeftCell="A40" zoomScale="90" zoomScaleNormal="90" workbookViewId="0">
      <selection activeCell="H50" sqref="H50"/>
    </sheetView>
  </sheetViews>
  <sheetFormatPr baseColWidth="10" defaultRowHeight="14.5" x14ac:dyDescent="0.35"/>
  <cols>
    <col min="3" max="3" width="25.1796875" customWidth="1"/>
    <col min="4" max="4" width="15.81640625" customWidth="1"/>
    <col min="6" max="6" width="11.90625" customWidth="1"/>
  </cols>
  <sheetData>
    <row r="1" spans="1:4" x14ac:dyDescent="0.35">
      <c r="A1" t="s">
        <v>246</v>
      </c>
      <c r="B1" t="s">
        <v>245</v>
      </c>
      <c r="C1" t="s">
        <v>249</v>
      </c>
      <c r="D1" t="s">
        <v>248</v>
      </c>
    </row>
    <row r="2" spans="1:4" x14ac:dyDescent="0.35">
      <c r="A2">
        <v>1</v>
      </c>
      <c r="B2" t="s">
        <v>181</v>
      </c>
      <c r="C2" t="s">
        <v>30</v>
      </c>
      <c r="D2">
        <v>0.67079999999999995</v>
      </c>
    </row>
    <row r="3" spans="1:4" x14ac:dyDescent="0.35">
      <c r="A3">
        <v>2</v>
      </c>
      <c r="B3" t="s">
        <v>181</v>
      </c>
      <c r="C3" t="s">
        <v>31</v>
      </c>
      <c r="D3">
        <v>0.75590000000000002</v>
      </c>
    </row>
    <row r="4" spans="1:4" x14ac:dyDescent="0.35">
      <c r="A4">
        <v>3</v>
      </c>
      <c r="B4" t="s">
        <v>181</v>
      </c>
      <c r="C4" t="s">
        <v>32</v>
      </c>
      <c r="D4">
        <v>0.66839999999999999</v>
      </c>
    </row>
    <row r="5" spans="1:4" x14ac:dyDescent="0.35">
      <c r="A5">
        <v>4</v>
      </c>
      <c r="B5" t="s">
        <v>181</v>
      </c>
      <c r="C5" t="s">
        <v>33</v>
      </c>
      <c r="D5">
        <v>0.63529999999999998</v>
      </c>
    </row>
    <row r="6" spans="1:4" x14ac:dyDescent="0.35">
      <c r="A6">
        <v>5</v>
      </c>
      <c r="B6" t="s">
        <v>181</v>
      </c>
      <c r="C6" t="s">
        <v>34</v>
      </c>
      <c r="D6">
        <v>0.60050000000000003</v>
      </c>
    </row>
    <row r="7" spans="1:4" x14ac:dyDescent="0.35">
      <c r="A7">
        <v>6</v>
      </c>
      <c r="B7" t="s">
        <v>181</v>
      </c>
      <c r="C7" t="s">
        <v>35</v>
      </c>
      <c r="D7">
        <v>0.80220000000000002</v>
      </c>
    </row>
    <row r="8" spans="1:4" x14ac:dyDescent="0.35">
      <c r="A8">
        <v>7</v>
      </c>
      <c r="B8" t="s">
        <v>181</v>
      </c>
      <c r="C8" t="s">
        <v>36</v>
      </c>
      <c r="D8">
        <v>0.4108</v>
      </c>
    </row>
    <row r="9" spans="1:4" x14ac:dyDescent="0.35">
      <c r="A9">
        <v>8</v>
      </c>
      <c r="B9" t="s">
        <v>181</v>
      </c>
      <c r="C9" t="s">
        <v>37</v>
      </c>
      <c r="D9">
        <v>0.60719999999999996</v>
      </c>
    </row>
    <row r="10" spans="1:4" x14ac:dyDescent="0.35">
      <c r="A10">
        <v>9</v>
      </c>
      <c r="B10" t="s">
        <v>181</v>
      </c>
      <c r="C10" t="s">
        <v>38</v>
      </c>
      <c r="D10">
        <v>0.91379999999999995</v>
      </c>
    </row>
    <row r="11" spans="1:4" x14ac:dyDescent="0.35">
      <c r="A11">
        <v>10</v>
      </c>
      <c r="B11" t="s">
        <v>181</v>
      </c>
      <c r="C11" t="s">
        <v>39</v>
      </c>
      <c r="D11">
        <v>0.72360000000000002</v>
      </c>
    </row>
    <row r="12" spans="1:4" x14ac:dyDescent="0.35">
      <c r="A12">
        <v>11</v>
      </c>
      <c r="B12" t="s">
        <v>183</v>
      </c>
      <c r="C12" t="s">
        <v>80</v>
      </c>
      <c r="D12">
        <v>0.58989999999999998</v>
      </c>
    </row>
    <row r="13" spans="1:4" x14ac:dyDescent="0.35">
      <c r="A13">
        <v>12</v>
      </c>
      <c r="B13" t="s">
        <v>183</v>
      </c>
      <c r="C13" t="s">
        <v>81</v>
      </c>
      <c r="D13">
        <v>0.42380000000000001</v>
      </c>
    </row>
    <row r="14" spans="1:4" x14ac:dyDescent="0.35">
      <c r="A14">
        <v>13</v>
      </c>
      <c r="B14" t="s">
        <v>183</v>
      </c>
      <c r="C14" t="s">
        <v>82</v>
      </c>
      <c r="D14">
        <v>0.55369999999999997</v>
      </c>
    </row>
    <row r="15" spans="1:4" x14ac:dyDescent="0.35">
      <c r="A15">
        <v>14</v>
      </c>
      <c r="B15" t="s">
        <v>183</v>
      </c>
      <c r="C15" t="s">
        <v>83</v>
      </c>
      <c r="D15">
        <v>0.5887</v>
      </c>
    </row>
    <row r="16" spans="1:4" x14ac:dyDescent="0.35">
      <c r="A16">
        <v>15</v>
      </c>
      <c r="B16" t="s">
        <v>183</v>
      </c>
      <c r="C16" t="s">
        <v>84</v>
      </c>
      <c r="D16">
        <v>0.66749999999999998</v>
      </c>
    </row>
    <row r="17" spans="1:4" x14ac:dyDescent="0.35">
      <c r="A17">
        <v>16</v>
      </c>
      <c r="B17" t="s">
        <v>183</v>
      </c>
      <c r="C17" t="s">
        <v>85</v>
      </c>
      <c r="D17">
        <v>0.4536</v>
      </c>
    </row>
    <row r="18" spans="1:4" x14ac:dyDescent="0.35">
      <c r="A18">
        <v>17</v>
      </c>
      <c r="B18" t="s">
        <v>183</v>
      </c>
      <c r="C18" t="s">
        <v>86</v>
      </c>
      <c r="D18">
        <v>0.5635</v>
      </c>
    </row>
    <row r="19" spans="1:4" x14ac:dyDescent="0.35">
      <c r="A19">
        <v>18</v>
      </c>
      <c r="B19" t="s">
        <v>183</v>
      </c>
      <c r="C19" t="s">
        <v>87</v>
      </c>
      <c r="D19">
        <v>0.73</v>
      </c>
    </row>
    <row r="20" spans="1:4" x14ac:dyDescent="0.35">
      <c r="A20">
        <v>19</v>
      </c>
      <c r="B20" t="s">
        <v>183</v>
      </c>
      <c r="C20" t="s">
        <v>88</v>
      </c>
      <c r="D20">
        <v>0.45190000000000002</v>
      </c>
    </row>
    <row r="21" spans="1:4" x14ac:dyDescent="0.35">
      <c r="A21">
        <v>20</v>
      </c>
      <c r="B21" t="s">
        <v>183</v>
      </c>
      <c r="C21" t="s">
        <v>89</v>
      </c>
      <c r="D21">
        <v>0.50690000000000002</v>
      </c>
    </row>
    <row r="22" spans="1:4" x14ac:dyDescent="0.35">
      <c r="A22">
        <v>21</v>
      </c>
      <c r="B22" t="s">
        <v>182</v>
      </c>
      <c r="C22" t="s">
        <v>250</v>
      </c>
      <c r="D22">
        <v>0.61560000000000004</v>
      </c>
    </row>
    <row r="23" spans="1:4" x14ac:dyDescent="0.35">
      <c r="A23">
        <v>22</v>
      </c>
      <c r="B23" t="s">
        <v>182</v>
      </c>
      <c r="C23" t="s">
        <v>54</v>
      </c>
      <c r="D23">
        <v>0.40670000000000001</v>
      </c>
    </row>
    <row r="24" spans="1:4" x14ac:dyDescent="0.35">
      <c r="A24">
        <v>23</v>
      </c>
      <c r="B24" t="s">
        <v>182</v>
      </c>
      <c r="C24" t="s">
        <v>55</v>
      </c>
      <c r="D24">
        <v>0.61819999999999997</v>
      </c>
    </row>
    <row r="25" spans="1:4" x14ac:dyDescent="0.35">
      <c r="A25">
        <v>24</v>
      </c>
      <c r="B25" t="s">
        <v>182</v>
      </c>
      <c r="C25" t="s">
        <v>56</v>
      </c>
      <c r="D25">
        <v>0.53669999999999995</v>
      </c>
    </row>
    <row r="26" spans="1:4" x14ac:dyDescent="0.35">
      <c r="A26">
        <v>25</v>
      </c>
      <c r="B26" t="s">
        <v>182</v>
      </c>
      <c r="C26" t="s">
        <v>57</v>
      </c>
      <c r="D26">
        <v>0.71409999999999996</v>
      </c>
    </row>
    <row r="27" spans="1:4" x14ac:dyDescent="0.35">
      <c r="A27">
        <v>26</v>
      </c>
      <c r="B27" t="s">
        <v>182</v>
      </c>
      <c r="C27" t="s">
        <v>58</v>
      </c>
      <c r="D27">
        <v>0.56879999999999997</v>
      </c>
    </row>
    <row r="28" spans="1:4" x14ac:dyDescent="0.35">
      <c r="A28">
        <v>27</v>
      </c>
      <c r="B28" t="s">
        <v>182</v>
      </c>
      <c r="C28" t="s">
        <v>59</v>
      </c>
      <c r="D28">
        <v>0.49540000000000001</v>
      </c>
    </row>
    <row r="29" spans="1:4" x14ac:dyDescent="0.35">
      <c r="A29">
        <v>28</v>
      </c>
      <c r="B29" t="s">
        <v>182</v>
      </c>
      <c r="C29" t="s">
        <v>60</v>
      </c>
      <c r="D29">
        <v>0.4128</v>
      </c>
    </row>
    <row r="30" spans="1:4" x14ac:dyDescent="0.35">
      <c r="A30">
        <v>29</v>
      </c>
      <c r="B30" t="s">
        <v>182</v>
      </c>
      <c r="C30" t="s">
        <v>61</v>
      </c>
      <c r="D30">
        <v>0.51690000000000003</v>
      </c>
    </row>
    <row r="31" spans="1:4" x14ac:dyDescent="0.35">
      <c r="A31">
        <v>30</v>
      </c>
      <c r="B31" t="s">
        <v>182</v>
      </c>
      <c r="C31" t="s">
        <v>62</v>
      </c>
      <c r="D31">
        <v>0.45789999999999997</v>
      </c>
    </row>
    <row r="32" spans="1:4" x14ac:dyDescent="0.35">
      <c r="A32">
        <v>31</v>
      </c>
      <c r="B32" t="s">
        <v>184</v>
      </c>
      <c r="C32" t="s">
        <v>113</v>
      </c>
      <c r="D32">
        <v>0.54090000000000005</v>
      </c>
    </row>
    <row r="33" spans="1:4" x14ac:dyDescent="0.35">
      <c r="A33">
        <v>32</v>
      </c>
      <c r="B33" t="s">
        <v>184</v>
      </c>
      <c r="C33" t="s">
        <v>114</v>
      </c>
      <c r="D33">
        <v>0.46629999999999999</v>
      </c>
    </row>
    <row r="34" spans="1:4" x14ac:dyDescent="0.35">
      <c r="A34">
        <v>33</v>
      </c>
      <c r="B34" t="s">
        <v>184</v>
      </c>
      <c r="C34" t="s">
        <v>115</v>
      </c>
      <c r="D34">
        <v>0.56120000000000003</v>
      </c>
    </row>
    <row r="35" spans="1:4" x14ac:dyDescent="0.35">
      <c r="A35">
        <v>34</v>
      </c>
      <c r="B35" t="s">
        <v>184</v>
      </c>
      <c r="C35" t="s">
        <v>116</v>
      </c>
      <c r="D35">
        <v>0.61929999999999996</v>
      </c>
    </row>
    <row r="36" spans="1:4" x14ac:dyDescent="0.35">
      <c r="A36">
        <v>35</v>
      </c>
      <c r="B36" t="s">
        <v>184</v>
      </c>
      <c r="C36" t="s">
        <v>117</v>
      </c>
      <c r="D36">
        <v>0.61980000000000002</v>
      </c>
    </row>
    <row r="37" spans="1:4" x14ac:dyDescent="0.35">
      <c r="A37">
        <v>36</v>
      </c>
      <c r="B37" t="s">
        <v>184</v>
      </c>
      <c r="C37" t="s">
        <v>118</v>
      </c>
      <c r="D37">
        <v>0.4758</v>
      </c>
    </row>
    <row r="38" spans="1:4" x14ac:dyDescent="0.35">
      <c r="A38">
        <v>37</v>
      </c>
      <c r="B38" t="s">
        <v>184</v>
      </c>
      <c r="C38" t="s">
        <v>119</v>
      </c>
      <c r="D38">
        <v>0.36109999999999998</v>
      </c>
    </row>
    <row r="39" spans="1:4" x14ac:dyDescent="0.35">
      <c r="A39">
        <v>38</v>
      </c>
      <c r="B39" t="s">
        <v>184</v>
      </c>
      <c r="C39" t="s">
        <v>120</v>
      </c>
      <c r="D39">
        <v>0.54810000000000003</v>
      </c>
    </row>
    <row r="40" spans="1:4" x14ac:dyDescent="0.35">
      <c r="A40">
        <v>39</v>
      </c>
      <c r="B40" t="s">
        <v>184</v>
      </c>
      <c r="C40" t="s">
        <v>121</v>
      </c>
      <c r="D40">
        <v>0.36990000000000001</v>
      </c>
    </row>
    <row r="41" spans="1:4" x14ac:dyDescent="0.35">
      <c r="A41">
        <v>40</v>
      </c>
      <c r="B41" t="s">
        <v>184</v>
      </c>
      <c r="C41" t="s">
        <v>122</v>
      </c>
      <c r="D41">
        <v>0.51190000000000002</v>
      </c>
    </row>
    <row r="42" spans="1:4" x14ac:dyDescent="0.35">
      <c r="A42">
        <v>41</v>
      </c>
      <c r="B42" t="s">
        <v>247</v>
      </c>
      <c r="C42" t="s">
        <v>251</v>
      </c>
      <c r="D42">
        <v>0.31790000000000002</v>
      </c>
    </row>
    <row r="43" spans="1:4" x14ac:dyDescent="0.35">
      <c r="A43">
        <v>42</v>
      </c>
      <c r="B43" t="s">
        <v>247</v>
      </c>
      <c r="C43" t="s">
        <v>251</v>
      </c>
      <c r="D43">
        <v>0.33789999999999998</v>
      </c>
    </row>
    <row r="44" spans="1:4" x14ac:dyDescent="0.35">
      <c r="A44">
        <v>43</v>
      </c>
      <c r="B44" t="s">
        <v>247</v>
      </c>
      <c r="C44" t="s">
        <v>251</v>
      </c>
      <c r="D44">
        <v>0.49059999999999998</v>
      </c>
    </row>
    <row r="45" spans="1:4" x14ac:dyDescent="0.35">
      <c r="A45">
        <v>44</v>
      </c>
      <c r="B45" t="s">
        <v>247</v>
      </c>
      <c r="C45" t="s">
        <v>251</v>
      </c>
      <c r="D45">
        <v>0.56769999999999998</v>
      </c>
    </row>
    <row r="46" spans="1:4" x14ac:dyDescent="0.35">
      <c r="A46">
        <v>45</v>
      </c>
      <c r="B46" t="s">
        <v>247</v>
      </c>
      <c r="C46" t="s">
        <v>251</v>
      </c>
      <c r="D46">
        <v>0.64929999999999999</v>
      </c>
    </row>
    <row r="47" spans="1:4" x14ac:dyDescent="0.35">
      <c r="A47">
        <v>46</v>
      </c>
      <c r="B47" t="s">
        <v>247</v>
      </c>
      <c r="C47" t="s">
        <v>251</v>
      </c>
      <c r="D47">
        <v>0.35170000000000001</v>
      </c>
    </row>
    <row r="48" spans="1:4" x14ac:dyDescent="0.35">
      <c r="A48">
        <v>47</v>
      </c>
      <c r="B48" t="s">
        <v>247</v>
      </c>
      <c r="C48" t="s">
        <v>251</v>
      </c>
      <c r="D48">
        <v>0.43380000000000002</v>
      </c>
    </row>
    <row r="49" spans="1:4" x14ac:dyDescent="0.35">
      <c r="A49">
        <v>48</v>
      </c>
      <c r="B49" t="s">
        <v>247</v>
      </c>
      <c r="C49" t="s">
        <v>251</v>
      </c>
      <c r="D49">
        <v>0.45</v>
      </c>
    </row>
    <row r="50" spans="1:4" x14ac:dyDescent="0.35">
      <c r="A50">
        <v>49</v>
      </c>
      <c r="B50" t="s">
        <v>247</v>
      </c>
      <c r="C50" t="s">
        <v>251</v>
      </c>
      <c r="D50">
        <v>0.35139999999999999</v>
      </c>
    </row>
    <row r="51" spans="1:4" x14ac:dyDescent="0.35">
      <c r="A51">
        <v>50</v>
      </c>
      <c r="B51" t="s">
        <v>247</v>
      </c>
      <c r="C51" t="s">
        <v>251</v>
      </c>
      <c r="D51">
        <v>0.56510000000000005</v>
      </c>
    </row>
    <row r="52" spans="1:4" x14ac:dyDescent="0.35">
      <c r="A52">
        <v>51</v>
      </c>
      <c r="B52" t="s">
        <v>247</v>
      </c>
      <c r="C52" t="s">
        <v>251</v>
      </c>
      <c r="D52">
        <v>0.5411999999999999</v>
      </c>
    </row>
    <row r="53" spans="1:4" x14ac:dyDescent="0.35">
      <c r="A53">
        <v>52</v>
      </c>
      <c r="B53" t="s">
        <v>247</v>
      </c>
      <c r="C53" t="s">
        <v>251</v>
      </c>
      <c r="D53">
        <v>0.50039999999999996</v>
      </c>
    </row>
    <row r="54" spans="1:4" x14ac:dyDescent="0.35">
      <c r="A54">
        <v>53</v>
      </c>
      <c r="B54" t="s">
        <v>247</v>
      </c>
      <c r="C54" t="s">
        <v>251</v>
      </c>
      <c r="D54">
        <v>0.28629999999999978</v>
      </c>
    </row>
    <row r="55" spans="1:4" x14ac:dyDescent="0.35">
      <c r="A55">
        <v>54</v>
      </c>
      <c r="B55" t="s">
        <v>247</v>
      </c>
      <c r="C55" t="s">
        <v>251</v>
      </c>
      <c r="D55">
        <v>0.5956999999999999</v>
      </c>
    </row>
    <row r="56" spans="1:4" x14ac:dyDescent="0.35">
      <c r="A56">
        <v>55</v>
      </c>
      <c r="B56" t="s">
        <v>247</v>
      </c>
      <c r="C56" t="s">
        <v>251</v>
      </c>
      <c r="D56">
        <v>0.28239999999999998</v>
      </c>
    </row>
    <row r="57" spans="1:4" x14ac:dyDescent="0.35">
      <c r="A57">
        <v>56</v>
      </c>
      <c r="B57" t="s">
        <v>247</v>
      </c>
      <c r="C57" t="s">
        <v>251</v>
      </c>
      <c r="D57">
        <v>0.42180000000000017</v>
      </c>
    </row>
    <row r="58" spans="1:4" x14ac:dyDescent="0.35">
      <c r="A58">
        <v>57</v>
      </c>
      <c r="B58" t="s">
        <v>247</v>
      </c>
      <c r="C58" t="s">
        <v>251</v>
      </c>
      <c r="D58">
        <v>0.31289999999999996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Oster</dc:creator>
  <cp:lastModifiedBy>Sophie Oster</cp:lastModifiedBy>
  <dcterms:created xsi:type="dcterms:W3CDTF">2023-06-13T13:10:33Z</dcterms:created>
  <dcterms:modified xsi:type="dcterms:W3CDTF">2024-07-03T08:47:07Z</dcterms:modified>
</cp:coreProperties>
</file>