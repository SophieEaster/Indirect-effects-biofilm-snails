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"/>
    </mc:Choice>
  </mc:AlternateContent>
  <xr:revisionPtr revIDLastSave="92" documentId="13_ncr:1_{0AAFD5E1-69EB-4F52-A1B6-21135D2479A7}" xr6:coauthVersionLast="47" xr6:coauthVersionMax="47" xr10:uidLastSave="{E84E271E-CB7A-42A0-BC83-548E67C64443}"/>
  <bookViews>
    <workbookView xWindow="-110" yWindow="-110" windowWidth="19420" windowHeight="10300" activeTab="3" xr2:uid="{05785C28-39F1-4F2D-B290-475F167C64A3}"/>
  </bookViews>
  <sheets>
    <sheet name="all FA" sheetId="1" r:id="rId1"/>
    <sheet name="Alt Blanks" sheetId="2" r:id="rId2"/>
    <sheet name="22.10.2024 alles neu" sheetId="3" r:id="rId3"/>
    <sheet name="09.03.2025 alles neu" sheetId="4" r:id="rId4"/>
    <sheet name="Tabelle1" sheetId="5" r:id="rId5"/>
  </sheets>
  <definedNames>
    <definedName name="_xlnm._FilterDatabase" localSheetId="3" hidden="1">'09.03.2025 alles neu'!$A$1:$M$409</definedName>
    <definedName name="_xlnm._FilterDatabase" localSheetId="2" hidden="1">'22.10.2024 alles neu'!$A$1:$M$409</definedName>
    <definedName name="_xlnm._FilterDatabase" localSheetId="0" hidden="1">'all FA'!$A$1:$L$421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9" i="4" l="1"/>
  <c r="J409" i="4" s="1"/>
  <c r="I408" i="4"/>
  <c r="J408" i="4" s="1"/>
  <c r="I407" i="4"/>
  <c r="J407" i="4" s="1"/>
  <c r="I406" i="4"/>
  <c r="J406" i="4" s="1"/>
  <c r="I405" i="4"/>
  <c r="J405" i="4" s="1"/>
  <c r="I404" i="4"/>
  <c r="J404" i="4" s="1"/>
  <c r="J403" i="4"/>
  <c r="I403" i="4"/>
  <c r="I402" i="4"/>
  <c r="J402" i="4" s="1"/>
  <c r="I401" i="4"/>
  <c r="J401" i="4" s="1"/>
  <c r="I400" i="4"/>
  <c r="J400" i="4" s="1"/>
  <c r="I399" i="4"/>
  <c r="J399" i="4" s="1"/>
  <c r="I398" i="4"/>
  <c r="J398" i="4" s="1"/>
  <c r="I397" i="4"/>
  <c r="J397" i="4" s="1"/>
  <c r="I396" i="4"/>
  <c r="J396" i="4" s="1"/>
  <c r="I395" i="4"/>
  <c r="J395" i="4" s="1"/>
  <c r="I394" i="4"/>
  <c r="J394" i="4" s="1"/>
  <c r="I393" i="4"/>
  <c r="J393" i="4" s="1"/>
  <c r="I392" i="4"/>
  <c r="J392" i="4" s="1"/>
  <c r="I391" i="4"/>
  <c r="J391" i="4" s="1"/>
  <c r="I390" i="4"/>
  <c r="J390" i="4" s="1"/>
  <c r="I389" i="4"/>
  <c r="J389" i="4" s="1"/>
  <c r="I388" i="4"/>
  <c r="J388" i="4" s="1"/>
  <c r="I387" i="4"/>
  <c r="J387" i="4" s="1"/>
  <c r="I386" i="4"/>
  <c r="J386" i="4" s="1"/>
  <c r="I385" i="4"/>
  <c r="J385" i="4" s="1"/>
  <c r="I384" i="4"/>
  <c r="J384" i="4" s="1"/>
  <c r="I383" i="4"/>
  <c r="J383" i="4" s="1"/>
  <c r="I382" i="4"/>
  <c r="J382" i="4" s="1"/>
  <c r="I381" i="4"/>
  <c r="J381" i="4" s="1"/>
  <c r="I380" i="4"/>
  <c r="J380" i="4" s="1"/>
  <c r="I379" i="4"/>
  <c r="J379" i="4" s="1"/>
  <c r="I378" i="4"/>
  <c r="J378" i="4" s="1"/>
  <c r="I377" i="4"/>
  <c r="J377" i="4" s="1"/>
  <c r="I376" i="4"/>
  <c r="J376" i="4" s="1"/>
  <c r="I375" i="4"/>
  <c r="J375" i="4" s="1"/>
  <c r="I374" i="4"/>
  <c r="J374" i="4" s="1"/>
  <c r="I373" i="4"/>
  <c r="J373" i="4" s="1"/>
  <c r="I372" i="4"/>
  <c r="J372" i="4" s="1"/>
  <c r="I371" i="4"/>
  <c r="J371" i="4" s="1"/>
  <c r="I370" i="4"/>
  <c r="J370" i="4" s="1"/>
  <c r="I369" i="4"/>
  <c r="J369" i="4" s="1"/>
  <c r="I368" i="4"/>
  <c r="J368" i="4" s="1"/>
  <c r="I367" i="4"/>
  <c r="J367" i="4" s="1"/>
  <c r="I366" i="4"/>
  <c r="J366" i="4" s="1"/>
  <c r="I365" i="4"/>
  <c r="J365" i="4" s="1"/>
  <c r="I364" i="4"/>
  <c r="J364" i="4" s="1"/>
  <c r="I363" i="4"/>
  <c r="J363" i="4" s="1"/>
  <c r="I362" i="4"/>
  <c r="J362" i="4" s="1"/>
  <c r="I361" i="4"/>
  <c r="J361" i="4" s="1"/>
  <c r="I360" i="4"/>
  <c r="J360" i="4" s="1"/>
  <c r="I359" i="4"/>
  <c r="J359" i="4" s="1"/>
  <c r="J358" i="4"/>
  <c r="I358" i="4"/>
  <c r="I357" i="4"/>
  <c r="J357" i="4" s="1"/>
  <c r="I356" i="4"/>
  <c r="J356" i="4" s="1"/>
  <c r="J355" i="4"/>
  <c r="I355" i="4"/>
  <c r="I354" i="4"/>
  <c r="J354" i="4" s="1"/>
  <c r="I353" i="4"/>
  <c r="J353" i="4" s="1"/>
  <c r="I352" i="4"/>
  <c r="J352" i="4" s="1"/>
  <c r="I351" i="4"/>
  <c r="J351" i="4" s="1"/>
  <c r="I350" i="4"/>
  <c r="J350" i="4" s="1"/>
  <c r="I349" i="4"/>
  <c r="J349" i="4" s="1"/>
  <c r="I348" i="4"/>
  <c r="J348" i="4" s="1"/>
  <c r="I347" i="4"/>
  <c r="J347" i="4" s="1"/>
  <c r="I346" i="4"/>
  <c r="J346" i="4" s="1"/>
  <c r="I345" i="4"/>
  <c r="J345" i="4" s="1"/>
  <c r="I344" i="4"/>
  <c r="J344" i="4" s="1"/>
  <c r="I343" i="4"/>
  <c r="J343" i="4" s="1"/>
  <c r="I342" i="4"/>
  <c r="J342" i="4" s="1"/>
  <c r="I341" i="4"/>
  <c r="J341" i="4" s="1"/>
  <c r="I340" i="4"/>
  <c r="J340" i="4" s="1"/>
  <c r="I339" i="4"/>
  <c r="J339" i="4" s="1"/>
  <c r="I338" i="4"/>
  <c r="J338" i="4" s="1"/>
  <c r="I337" i="4"/>
  <c r="J337" i="4" s="1"/>
  <c r="I336" i="4"/>
  <c r="J336" i="4" s="1"/>
  <c r="I335" i="4"/>
  <c r="J335" i="4" s="1"/>
  <c r="I334" i="4"/>
  <c r="J334" i="4" s="1"/>
  <c r="I333" i="4"/>
  <c r="J333" i="4" s="1"/>
  <c r="I332" i="4"/>
  <c r="J332" i="4" s="1"/>
  <c r="I331" i="4"/>
  <c r="J331" i="4" s="1"/>
  <c r="I330" i="4"/>
  <c r="J330" i="4" s="1"/>
  <c r="I329" i="4"/>
  <c r="J329" i="4" s="1"/>
  <c r="I328" i="4"/>
  <c r="J328" i="4" s="1"/>
  <c r="I327" i="4"/>
  <c r="J327" i="4" s="1"/>
  <c r="I326" i="4"/>
  <c r="J326" i="4" s="1"/>
  <c r="I325" i="4"/>
  <c r="J325" i="4" s="1"/>
  <c r="I324" i="4"/>
  <c r="J324" i="4" s="1"/>
  <c r="I323" i="4"/>
  <c r="J323" i="4" s="1"/>
  <c r="I322" i="4"/>
  <c r="J322" i="4" s="1"/>
  <c r="I321" i="4"/>
  <c r="J321" i="4" s="1"/>
  <c r="I320" i="4"/>
  <c r="J320" i="4" s="1"/>
  <c r="I319" i="4"/>
  <c r="J319" i="4" s="1"/>
  <c r="I318" i="4"/>
  <c r="J318" i="4" s="1"/>
  <c r="I317" i="4"/>
  <c r="J317" i="4" s="1"/>
  <c r="I316" i="4"/>
  <c r="J316" i="4" s="1"/>
  <c r="I315" i="4"/>
  <c r="J315" i="4" s="1"/>
  <c r="I314" i="4"/>
  <c r="J314" i="4" s="1"/>
  <c r="I313" i="4"/>
  <c r="J313" i="4" s="1"/>
  <c r="I312" i="4"/>
  <c r="J312" i="4" s="1"/>
  <c r="I311" i="4"/>
  <c r="J311" i="4" s="1"/>
  <c r="I310" i="4"/>
  <c r="J310" i="4" s="1"/>
  <c r="I309" i="4"/>
  <c r="J309" i="4" s="1"/>
  <c r="I308" i="4"/>
  <c r="J308" i="4" s="1"/>
  <c r="I307" i="4"/>
  <c r="J307" i="4" s="1"/>
  <c r="I306" i="4"/>
  <c r="J306" i="4" s="1"/>
  <c r="I305" i="4"/>
  <c r="J305" i="4" s="1"/>
  <c r="J304" i="4"/>
  <c r="I304" i="4"/>
  <c r="I303" i="4"/>
  <c r="J303" i="4" s="1"/>
  <c r="I302" i="4"/>
  <c r="J302" i="4" s="1"/>
  <c r="I301" i="4"/>
  <c r="J301" i="4" s="1"/>
  <c r="I300" i="4"/>
  <c r="J300" i="4" s="1"/>
  <c r="I299" i="4"/>
  <c r="J299" i="4" s="1"/>
  <c r="I298" i="4"/>
  <c r="J298" i="4" s="1"/>
  <c r="I297" i="4"/>
  <c r="J297" i="4" s="1"/>
  <c r="I296" i="4"/>
  <c r="J296" i="4" s="1"/>
  <c r="I295" i="4"/>
  <c r="J295" i="4" s="1"/>
  <c r="I294" i="4"/>
  <c r="J294" i="4" s="1"/>
  <c r="I293" i="4"/>
  <c r="J293" i="4" s="1"/>
  <c r="I292" i="4"/>
  <c r="J292" i="4" s="1"/>
  <c r="I291" i="4"/>
  <c r="J291" i="4" s="1"/>
  <c r="I290" i="4"/>
  <c r="J290" i="4" s="1"/>
  <c r="I289" i="4"/>
  <c r="J289" i="4" s="1"/>
  <c r="I288" i="4"/>
  <c r="J288" i="4" s="1"/>
  <c r="I287" i="4"/>
  <c r="J287" i="4" s="1"/>
  <c r="I286" i="4"/>
  <c r="J286" i="4" s="1"/>
  <c r="I285" i="4"/>
  <c r="J285" i="4" s="1"/>
  <c r="I284" i="4"/>
  <c r="J284" i="4" s="1"/>
  <c r="I283" i="4"/>
  <c r="J283" i="4" s="1"/>
  <c r="I282" i="4"/>
  <c r="J282" i="4" s="1"/>
  <c r="I281" i="4"/>
  <c r="J281" i="4" s="1"/>
  <c r="I280" i="4"/>
  <c r="J280" i="4" s="1"/>
  <c r="I279" i="4"/>
  <c r="J279" i="4" s="1"/>
  <c r="I278" i="4"/>
  <c r="J278" i="4" s="1"/>
  <c r="I277" i="4"/>
  <c r="J277" i="4" s="1"/>
  <c r="I276" i="4"/>
  <c r="J276" i="4" s="1"/>
  <c r="I275" i="4"/>
  <c r="J275" i="4" s="1"/>
  <c r="I274" i="4"/>
  <c r="J274" i="4" s="1"/>
  <c r="I273" i="4"/>
  <c r="J273" i="4" s="1"/>
  <c r="I272" i="4"/>
  <c r="J272" i="4" s="1"/>
  <c r="I271" i="4"/>
  <c r="J271" i="4" s="1"/>
  <c r="I270" i="4"/>
  <c r="J270" i="4" s="1"/>
  <c r="I269" i="4"/>
  <c r="J269" i="4" s="1"/>
  <c r="I268" i="4"/>
  <c r="J268" i="4" s="1"/>
  <c r="I267" i="4"/>
  <c r="J267" i="4" s="1"/>
  <c r="I266" i="4"/>
  <c r="J266" i="4" s="1"/>
  <c r="I265" i="4"/>
  <c r="J265" i="4" s="1"/>
  <c r="I264" i="4"/>
  <c r="J264" i="4" s="1"/>
  <c r="I263" i="4"/>
  <c r="J263" i="4" s="1"/>
  <c r="I262" i="4"/>
  <c r="J262" i="4" s="1"/>
  <c r="I261" i="4"/>
  <c r="J261" i="4" s="1"/>
  <c r="I260" i="4"/>
  <c r="J260" i="4" s="1"/>
  <c r="I259" i="4"/>
  <c r="J259" i="4" s="1"/>
  <c r="I258" i="4"/>
  <c r="J258" i="4" s="1"/>
  <c r="I257" i="4"/>
  <c r="J257" i="4" s="1"/>
  <c r="I256" i="4"/>
  <c r="J256" i="4" s="1"/>
  <c r="I255" i="4"/>
  <c r="J255" i="4" s="1"/>
  <c r="I254" i="4"/>
  <c r="J254" i="4" s="1"/>
  <c r="I253" i="4"/>
  <c r="J253" i="4" s="1"/>
  <c r="I252" i="4"/>
  <c r="J252" i="4" s="1"/>
  <c r="I251" i="4"/>
  <c r="J251" i="4" s="1"/>
  <c r="I250" i="4"/>
  <c r="J250" i="4" s="1"/>
  <c r="I249" i="4"/>
  <c r="J249" i="4" s="1"/>
  <c r="I248" i="4"/>
  <c r="J248" i="4" s="1"/>
  <c r="I247" i="4"/>
  <c r="J247" i="4" s="1"/>
  <c r="I246" i="4"/>
  <c r="J246" i="4" s="1"/>
  <c r="I245" i="4"/>
  <c r="J245" i="4" s="1"/>
  <c r="I244" i="4"/>
  <c r="J244" i="4" s="1"/>
  <c r="I243" i="4"/>
  <c r="J243" i="4" s="1"/>
  <c r="I242" i="4"/>
  <c r="J242" i="4" s="1"/>
  <c r="I241" i="4"/>
  <c r="J241" i="4" s="1"/>
  <c r="I240" i="4"/>
  <c r="J240" i="4" s="1"/>
  <c r="I239" i="4"/>
  <c r="J239" i="4" s="1"/>
  <c r="I238" i="4"/>
  <c r="J238" i="4" s="1"/>
  <c r="I237" i="4"/>
  <c r="J237" i="4" s="1"/>
  <c r="I236" i="4"/>
  <c r="J236" i="4" s="1"/>
  <c r="I235" i="4"/>
  <c r="J235" i="4" s="1"/>
  <c r="I234" i="4"/>
  <c r="J234" i="4" s="1"/>
  <c r="I233" i="4"/>
  <c r="J233" i="4" s="1"/>
  <c r="I232" i="4"/>
  <c r="J232" i="4" s="1"/>
  <c r="I231" i="4"/>
  <c r="J231" i="4" s="1"/>
  <c r="I230" i="4"/>
  <c r="J230" i="4" s="1"/>
  <c r="J229" i="4"/>
  <c r="I229" i="4"/>
  <c r="I228" i="4"/>
  <c r="J228" i="4" s="1"/>
  <c r="I227" i="4"/>
  <c r="J227" i="4" s="1"/>
  <c r="I226" i="4"/>
  <c r="J226" i="4" s="1"/>
  <c r="I225" i="4"/>
  <c r="J225" i="4" s="1"/>
  <c r="I224" i="4"/>
  <c r="J224" i="4" s="1"/>
  <c r="I223" i="4"/>
  <c r="J223" i="4" s="1"/>
  <c r="I222" i="4"/>
  <c r="J222" i="4" s="1"/>
  <c r="I221" i="4"/>
  <c r="J221" i="4" s="1"/>
  <c r="I220" i="4"/>
  <c r="J220" i="4" s="1"/>
  <c r="I219" i="4"/>
  <c r="J219" i="4" s="1"/>
  <c r="I218" i="4"/>
  <c r="J218" i="4" s="1"/>
  <c r="I217" i="4"/>
  <c r="J217" i="4" s="1"/>
  <c r="I216" i="4"/>
  <c r="J216" i="4" s="1"/>
  <c r="I215" i="4"/>
  <c r="J215" i="4" s="1"/>
  <c r="I214" i="4"/>
  <c r="J214" i="4" s="1"/>
  <c r="I213" i="4"/>
  <c r="J213" i="4" s="1"/>
  <c r="I212" i="4"/>
  <c r="J212" i="4" s="1"/>
  <c r="I211" i="4"/>
  <c r="J211" i="4" s="1"/>
  <c r="I210" i="4"/>
  <c r="J210" i="4" s="1"/>
  <c r="I209" i="4"/>
  <c r="J209" i="4" s="1"/>
  <c r="I208" i="4"/>
  <c r="J208" i="4" s="1"/>
  <c r="I207" i="4"/>
  <c r="J207" i="4" s="1"/>
  <c r="I206" i="4"/>
  <c r="J206" i="4" s="1"/>
  <c r="I205" i="4"/>
  <c r="J205" i="4" s="1"/>
  <c r="I204" i="4"/>
  <c r="J204" i="4" s="1"/>
  <c r="I203" i="4"/>
  <c r="J203" i="4" s="1"/>
  <c r="I202" i="4"/>
  <c r="J202" i="4" s="1"/>
  <c r="I201" i="4"/>
  <c r="J201" i="4" s="1"/>
  <c r="I200" i="4"/>
  <c r="J200" i="4" s="1"/>
  <c r="I199" i="4"/>
  <c r="J199" i="4" s="1"/>
  <c r="I198" i="4"/>
  <c r="J198" i="4" s="1"/>
  <c r="I197" i="4"/>
  <c r="J197" i="4" s="1"/>
  <c r="I196" i="4"/>
  <c r="J196" i="4" s="1"/>
  <c r="I195" i="4"/>
  <c r="J195" i="4" s="1"/>
  <c r="I194" i="4"/>
  <c r="J194" i="4" s="1"/>
  <c r="I193" i="4"/>
  <c r="J193" i="4" s="1"/>
  <c r="I192" i="4"/>
  <c r="J192" i="4" s="1"/>
  <c r="I191" i="4"/>
  <c r="J191" i="4" s="1"/>
  <c r="I190" i="4"/>
  <c r="J190" i="4" s="1"/>
  <c r="I189" i="4"/>
  <c r="J189" i="4" s="1"/>
  <c r="I188" i="4"/>
  <c r="J188" i="4" s="1"/>
  <c r="I187" i="4"/>
  <c r="J187" i="4" s="1"/>
  <c r="I186" i="4"/>
  <c r="J186" i="4" s="1"/>
  <c r="I185" i="4"/>
  <c r="J185" i="4" s="1"/>
  <c r="I184" i="4"/>
  <c r="J184" i="4" s="1"/>
  <c r="I183" i="4"/>
  <c r="J183" i="4" s="1"/>
  <c r="I182" i="4"/>
  <c r="J182" i="4" s="1"/>
  <c r="I181" i="4"/>
  <c r="J181" i="4" s="1"/>
  <c r="I180" i="4"/>
  <c r="J180" i="4" s="1"/>
  <c r="I179" i="4"/>
  <c r="J179" i="4" s="1"/>
  <c r="I178" i="4"/>
  <c r="J178" i="4" s="1"/>
  <c r="I177" i="4"/>
  <c r="J177" i="4" s="1"/>
  <c r="I176" i="4"/>
  <c r="J176" i="4" s="1"/>
  <c r="J175" i="4"/>
  <c r="I175" i="4"/>
  <c r="I174" i="4"/>
  <c r="J174" i="4" s="1"/>
  <c r="I173" i="4"/>
  <c r="J173" i="4" s="1"/>
  <c r="I172" i="4"/>
  <c r="J172" i="4" s="1"/>
  <c r="I171" i="4"/>
  <c r="J171" i="4" s="1"/>
  <c r="I170" i="4"/>
  <c r="J170" i="4" s="1"/>
  <c r="I169" i="4"/>
  <c r="J169" i="4" s="1"/>
  <c r="I168" i="4"/>
  <c r="J168" i="4" s="1"/>
  <c r="I167" i="4"/>
  <c r="J167" i="4" s="1"/>
  <c r="I166" i="4"/>
  <c r="J166" i="4" s="1"/>
  <c r="I165" i="4"/>
  <c r="J165" i="4" s="1"/>
  <c r="I164" i="4"/>
  <c r="J164" i="4" s="1"/>
  <c r="I163" i="4"/>
  <c r="J163" i="4" s="1"/>
  <c r="I162" i="4"/>
  <c r="J162" i="4" s="1"/>
  <c r="I161" i="4"/>
  <c r="J161" i="4" s="1"/>
  <c r="I160" i="4"/>
  <c r="J160" i="4" s="1"/>
  <c r="I159" i="4"/>
  <c r="J159" i="4" s="1"/>
  <c r="I158" i="4"/>
  <c r="J158" i="4" s="1"/>
  <c r="I157" i="4"/>
  <c r="J157" i="4" s="1"/>
  <c r="I156" i="4"/>
  <c r="J156" i="4" s="1"/>
  <c r="I155" i="4"/>
  <c r="J155" i="4" s="1"/>
  <c r="I154" i="4"/>
  <c r="J154" i="4" s="1"/>
  <c r="I153" i="4"/>
  <c r="J153" i="4" s="1"/>
  <c r="I152" i="4"/>
  <c r="J152" i="4" s="1"/>
  <c r="I151" i="4"/>
  <c r="J151" i="4" s="1"/>
  <c r="I150" i="4"/>
  <c r="J150" i="4" s="1"/>
  <c r="I149" i="4"/>
  <c r="J149" i="4" s="1"/>
  <c r="I148" i="4"/>
  <c r="J148" i="4" s="1"/>
  <c r="I147" i="4"/>
  <c r="J147" i="4" s="1"/>
  <c r="I146" i="4"/>
  <c r="J146" i="4" s="1"/>
  <c r="I145" i="4"/>
  <c r="J145" i="4" s="1"/>
  <c r="I144" i="4"/>
  <c r="J144" i="4" s="1"/>
  <c r="I143" i="4"/>
  <c r="J143" i="4" s="1"/>
  <c r="I142" i="4"/>
  <c r="J142" i="4" s="1"/>
  <c r="J141" i="4"/>
  <c r="I141" i="4"/>
  <c r="I140" i="4"/>
  <c r="J140" i="4" s="1"/>
  <c r="I139" i="4"/>
  <c r="J139" i="4" s="1"/>
  <c r="I138" i="4"/>
  <c r="J138" i="4" s="1"/>
  <c r="I137" i="4"/>
  <c r="J137" i="4" s="1"/>
  <c r="I136" i="4"/>
  <c r="J136" i="4" s="1"/>
  <c r="I135" i="4"/>
  <c r="J135" i="4" s="1"/>
  <c r="I134" i="4"/>
  <c r="J134" i="4" s="1"/>
  <c r="I133" i="4"/>
  <c r="J133" i="4" s="1"/>
  <c r="J132" i="4"/>
  <c r="I132" i="4"/>
  <c r="I131" i="4"/>
  <c r="J131" i="4" s="1"/>
  <c r="I130" i="4"/>
  <c r="J130" i="4" s="1"/>
  <c r="I129" i="4"/>
  <c r="J129" i="4" s="1"/>
  <c r="I128" i="4"/>
  <c r="J128" i="4" s="1"/>
  <c r="I127" i="4"/>
  <c r="J127" i="4" s="1"/>
  <c r="I126" i="4"/>
  <c r="J126" i="4" s="1"/>
  <c r="J125" i="4"/>
  <c r="I125" i="4"/>
  <c r="I124" i="4"/>
  <c r="J124" i="4" s="1"/>
  <c r="I123" i="4"/>
  <c r="J123" i="4" s="1"/>
  <c r="I122" i="4"/>
  <c r="J122" i="4" s="1"/>
  <c r="I121" i="4"/>
  <c r="J121" i="4" s="1"/>
  <c r="J120" i="4"/>
  <c r="I120" i="4"/>
  <c r="I119" i="4"/>
  <c r="J119" i="4" s="1"/>
  <c r="I118" i="4"/>
  <c r="J118" i="4" s="1"/>
  <c r="I117" i="4"/>
  <c r="J117" i="4" s="1"/>
  <c r="I116" i="4"/>
  <c r="J116" i="4" s="1"/>
  <c r="I115" i="4"/>
  <c r="J115" i="4" s="1"/>
  <c r="I114" i="4"/>
  <c r="J114" i="4" s="1"/>
  <c r="J113" i="4"/>
  <c r="I113" i="4"/>
  <c r="I112" i="4"/>
  <c r="J112" i="4" s="1"/>
  <c r="I111" i="4"/>
  <c r="J111" i="4" s="1"/>
  <c r="I110" i="4"/>
  <c r="J110" i="4" s="1"/>
  <c r="I109" i="4"/>
  <c r="J109" i="4" s="1"/>
  <c r="I108" i="4"/>
  <c r="J108" i="4" s="1"/>
  <c r="I107" i="4"/>
  <c r="J107" i="4" s="1"/>
  <c r="I106" i="4"/>
  <c r="J106" i="4" s="1"/>
  <c r="I105" i="4"/>
  <c r="J105" i="4" s="1"/>
  <c r="I104" i="4"/>
  <c r="J104" i="4" s="1"/>
  <c r="I103" i="4"/>
  <c r="J103" i="4" s="1"/>
  <c r="I102" i="4"/>
  <c r="J102" i="4" s="1"/>
  <c r="I101" i="4"/>
  <c r="J101" i="4" s="1"/>
  <c r="I100" i="4"/>
  <c r="J100" i="4" s="1"/>
  <c r="I99" i="4"/>
  <c r="J99" i="4" s="1"/>
  <c r="I98" i="4"/>
  <c r="J98" i="4" s="1"/>
  <c r="I97" i="4"/>
  <c r="J97" i="4" s="1"/>
  <c r="I96" i="4"/>
  <c r="J96" i="4" s="1"/>
  <c r="I95" i="4"/>
  <c r="J95" i="4" s="1"/>
  <c r="I94" i="4"/>
  <c r="J94" i="4" s="1"/>
  <c r="I93" i="4"/>
  <c r="J93" i="4" s="1"/>
  <c r="I92" i="4"/>
  <c r="J92" i="4" s="1"/>
  <c r="I91" i="4"/>
  <c r="J91" i="4" s="1"/>
  <c r="I90" i="4"/>
  <c r="J90" i="4" s="1"/>
  <c r="I89" i="4"/>
  <c r="J89" i="4" s="1"/>
  <c r="I88" i="4"/>
  <c r="J88" i="4" s="1"/>
  <c r="I87" i="4"/>
  <c r="J87" i="4" s="1"/>
  <c r="I86" i="4"/>
  <c r="J86" i="4" s="1"/>
  <c r="I85" i="4"/>
  <c r="J85" i="4" s="1"/>
  <c r="I84" i="4"/>
  <c r="J84" i="4" s="1"/>
  <c r="I83" i="4"/>
  <c r="J83" i="4" s="1"/>
  <c r="I82" i="4"/>
  <c r="J82" i="4" s="1"/>
  <c r="I81" i="4"/>
  <c r="J81" i="4" s="1"/>
  <c r="I80" i="4"/>
  <c r="J80" i="4" s="1"/>
  <c r="I79" i="4"/>
  <c r="J79" i="4" s="1"/>
  <c r="I78" i="4"/>
  <c r="J78" i="4" s="1"/>
  <c r="I77" i="4"/>
  <c r="J77" i="4" s="1"/>
  <c r="I76" i="4"/>
  <c r="J76" i="4" s="1"/>
  <c r="I75" i="4"/>
  <c r="J75" i="4" s="1"/>
  <c r="I74" i="4"/>
  <c r="J74" i="4" s="1"/>
  <c r="I73" i="4"/>
  <c r="J73" i="4" s="1"/>
  <c r="I72" i="4"/>
  <c r="J72" i="4" s="1"/>
  <c r="I71" i="4"/>
  <c r="J71" i="4" s="1"/>
  <c r="I70" i="4"/>
  <c r="J70" i="4" s="1"/>
  <c r="I69" i="4"/>
  <c r="J69" i="4" s="1"/>
  <c r="I68" i="4"/>
  <c r="J68" i="4" s="1"/>
  <c r="I67" i="4"/>
  <c r="J67" i="4" s="1"/>
  <c r="I66" i="4"/>
  <c r="J66" i="4" s="1"/>
  <c r="I65" i="4"/>
  <c r="J65" i="4" s="1"/>
  <c r="I64" i="4"/>
  <c r="J64" i="4" s="1"/>
  <c r="I63" i="4"/>
  <c r="J63" i="4" s="1"/>
  <c r="I62" i="4"/>
  <c r="J62" i="4" s="1"/>
  <c r="I61" i="4"/>
  <c r="J61" i="4" s="1"/>
  <c r="I60" i="4"/>
  <c r="J60" i="4" s="1"/>
  <c r="I59" i="4"/>
  <c r="J59" i="4" s="1"/>
  <c r="I58" i="4"/>
  <c r="J58" i="4" s="1"/>
  <c r="I57" i="4"/>
  <c r="J57" i="4" s="1"/>
  <c r="J56" i="4"/>
  <c r="I56" i="4"/>
  <c r="I55" i="4"/>
  <c r="J55" i="4" s="1"/>
  <c r="I54" i="4"/>
  <c r="J54" i="4" s="1"/>
  <c r="I53" i="4"/>
  <c r="J53" i="4" s="1"/>
  <c r="I52" i="4"/>
  <c r="J52" i="4" s="1"/>
  <c r="J51" i="4"/>
  <c r="I51" i="4"/>
  <c r="I50" i="4"/>
  <c r="J50" i="4" s="1"/>
  <c r="I49" i="4"/>
  <c r="J49" i="4" s="1"/>
  <c r="I48" i="4"/>
  <c r="J48" i="4" s="1"/>
  <c r="I47" i="4"/>
  <c r="J47" i="4" s="1"/>
  <c r="I46" i="4"/>
  <c r="J46" i="4" s="1"/>
  <c r="I45" i="4"/>
  <c r="J45" i="4" s="1"/>
  <c r="I44" i="4"/>
  <c r="J44" i="4" s="1"/>
  <c r="I43" i="4"/>
  <c r="J43" i="4" s="1"/>
  <c r="I42" i="4"/>
  <c r="J42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6" i="4"/>
  <c r="J26" i="4" s="1"/>
  <c r="I25" i="4"/>
  <c r="J25" i="4" s="1"/>
  <c r="J24" i="4"/>
  <c r="I24" i="4"/>
  <c r="I23" i="4"/>
  <c r="J23" i="4" s="1"/>
  <c r="I22" i="4"/>
  <c r="J22" i="4" s="1"/>
  <c r="I21" i="4"/>
  <c r="J21" i="4" s="1"/>
  <c r="I20" i="4"/>
  <c r="J20" i="4" s="1"/>
  <c r="I19" i="4"/>
  <c r="J19" i="4" s="1"/>
  <c r="J18" i="4"/>
  <c r="I18" i="4"/>
  <c r="I17" i="4"/>
  <c r="J17" i="4" s="1"/>
  <c r="I16" i="4"/>
  <c r="J16" i="4" s="1"/>
  <c r="I15" i="4"/>
  <c r="J15" i="4" s="1"/>
  <c r="I14" i="4"/>
  <c r="J14" i="4" s="1"/>
  <c r="I13" i="4"/>
  <c r="J13" i="4" s="1"/>
  <c r="I12" i="4"/>
  <c r="J12" i="4" s="1"/>
  <c r="J11" i="4"/>
  <c r="I11" i="4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  <c r="I409" i="3"/>
  <c r="J409" i="3" s="1"/>
  <c r="I408" i="3"/>
  <c r="J408" i="3" s="1"/>
  <c r="I407" i="3"/>
  <c r="J407" i="3" s="1"/>
  <c r="I406" i="3"/>
  <c r="J406" i="3" s="1"/>
  <c r="I405" i="3"/>
  <c r="J405" i="3" s="1"/>
  <c r="I404" i="3"/>
  <c r="J404" i="3" s="1"/>
  <c r="I403" i="3"/>
  <c r="J403" i="3" s="1"/>
  <c r="I402" i="3"/>
  <c r="J402" i="3" s="1"/>
  <c r="I401" i="3"/>
  <c r="J401" i="3" s="1"/>
  <c r="I400" i="3"/>
  <c r="J400" i="3" s="1"/>
  <c r="I399" i="3"/>
  <c r="J399" i="3" s="1"/>
  <c r="I398" i="3"/>
  <c r="J398" i="3" s="1"/>
  <c r="I397" i="3"/>
  <c r="J397" i="3" s="1"/>
  <c r="I396" i="3"/>
  <c r="J396" i="3" s="1"/>
  <c r="I395" i="3"/>
  <c r="J395" i="3" s="1"/>
  <c r="I394" i="3"/>
  <c r="J394" i="3" s="1"/>
  <c r="I393" i="3"/>
  <c r="J393" i="3" s="1"/>
  <c r="I392" i="3"/>
  <c r="J392" i="3" s="1"/>
  <c r="I391" i="3"/>
  <c r="J391" i="3" s="1"/>
  <c r="I390" i="3"/>
  <c r="J390" i="3" s="1"/>
  <c r="I389" i="3"/>
  <c r="J389" i="3" s="1"/>
  <c r="I388" i="3"/>
  <c r="J388" i="3" s="1"/>
  <c r="I387" i="3"/>
  <c r="J387" i="3" s="1"/>
  <c r="I386" i="3"/>
  <c r="J386" i="3" s="1"/>
  <c r="I385" i="3"/>
  <c r="J385" i="3" s="1"/>
  <c r="I384" i="3"/>
  <c r="J384" i="3" s="1"/>
  <c r="I383" i="3"/>
  <c r="J383" i="3" s="1"/>
  <c r="I382" i="3"/>
  <c r="J382" i="3" s="1"/>
  <c r="I381" i="3"/>
  <c r="J381" i="3" s="1"/>
  <c r="I380" i="3"/>
  <c r="J380" i="3" s="1"/>
  <c r="I379" i="3"/>
  <c r="J379" i="3" s="1"/>
  <c r="I378" i="3"/>
  <c r="J378" i="3" s="1"/>
  <c r="I377" i="3"/>
  <c r="J377" i="3" s="1"/>
  <c r="I376" i="3"/>
  <c r="J376" i="3" s="1"/>
  <c r="I375" i="3"/>
  <c r="J375" i="3" s="1"/>
  <c r="I374" i="3"/>
  <c r="J374" i="3" s="1"/>
  <c r="I373" i="3"/>
  <c r="J373" i="3" s="1"/>
  <c r="I372" i="3"/>
  <c r="J372" i="3" s="1"/>
  <c r="I371" i="3"/>
  <c r="J371" i="3" s="1"/>
  <c r="I370" i="3"/>
  <c r="J370" i="3" s="1"/>
  <c r="I369" i="3"/>
  <c r="J369" i="3" s="1"/>
  <c r="I368" i="3"/>
  <c r="J368" i="3" s="1"/>
  <c r="I367" i="3"/>
  <c r="J367" i="3" s="1"/>
  <c r="I366" i="3"/>
  <c r="J366" i="3" s="1"/>
  <c r="I365" i="3"/>
  <c r="J365" i="3" s="1"/>
  <c r="I364" i="3"/>
  <c r="J364" i="3" s="1"/>
  <c r="I363" i="3"/>
  <c r="J363" i="3" s="1"/>
  <c r="I362" i="3"/>
  <c r="J362" i="3" s="1"/>
  <c r="I361" i="3"/>
  <c r="J361" i="3" s="1"/>
  <c r="I360" i="3"/>
  <c r="J360" i="3" s="1"/>
  <c r="I359" i="3"/>
  <c r="J359" i="3" s="1"/>
  <c r="I358" i="3"/>
  <c r="J358" i="3" s="1"/>
  <c r="I357" i="3"/>
  <c r="J357" i="3" s="1"/>
  <c r="I356" i="3"/>
  <c r="J356" i="3" s="1"/>
  <c r="I355" i="3"/>
  <c r="J355" i="3" s="1"/>
  <c r="I354" i="3"/>
  <c r="J354" i="3" s="1"/>
  <c r="I353" i="3"/>
  <c r="J353" i="3" s="1"/>
  <c r="I352" i="3"/>
  <c r="J352" i="3" s="1"/>
  <c r="I351" i="3"/>
  <c r="J351" i="3" s="1"/>
  <c r="I350" i="3"/>
  <c r="J350" i="3" s="1"/>
  <c r="I349" i="3"/>
  <c r="J349" i="3" s="1"/>
  <c r="I348" i="3"/>
  <c r="J348" i="3" s="1"/>
  <c r="I347" i="3"/>
  <c r="J347" i="3" s="1"/>
  <c r="I346" i="3"/>
  <c r="J346" i="3" s="1"/>
  <c r="I345" i="3"/>
  <c r="J345" i="3" s="1"/>
  <c r="I344" i="3"/>
  <c r="J344" i="3" s="1"/>
  <c r="I343" i="3"/>
  <c r="J343" i="3" s="1"/>
  <c r="I342" i="3"/>
  <c r="J342" i="3" s="1"/>
  <c r="I341" i="3"/>
  <c r="J341" i="3" s="1"/>
  <c r="I340" i="3"/>
  <c r="J340" i="3" s="1"/>
  <c r="I339" i="3"/>
  <c r="J339" i="3" s="1"/>
  <c r="J338" i="3"/>
  <c r="I338" i="3"/>
  <c r="I337" i="3"/>
  <c r="J337" i="3" s="1"/>
  <c r="I336" i="3"/>
  <c r="J336" i="3" s="1"/>
  <c r="I335" i="3"/>
  <c r="J335" i="3" s="1"/>
  <c r="I334" i="3"/>
  <c r="J334" i="3" s="1"/>
  <c r="I333" i="3"/>
  <c r="J333" i="3" s="1"/>
  <c r="I332" i="3"/>
  <c r="J332" i="3" s="1"/>
  <c r="I331" i="3"/>
  <c r="J331" i="3" s="1"/>
  <c r="I330" i="3"/>
  <c r="J330" i="3" s="1"/>
  <c r="I329" i="3"/>
  <c r="J329" i="3" s="1"/>
  <c r="I328" i="3"/>
  <c r="J328" i="3" s="1"/>
  <c r="I327" i="3"/>
  <c r="J327" i="3" s="1"/>
  <c r="I326" i="3"/>
  <c r="J326" i="3" s="1"/>
  <c r="I325" i="3"/>
  <c r="J325" i="3" s="1"/>
  <c r="I324" i="3"/>
  <c r="J324" i="3" s="1"/>
  <c r="I323" i="3"/>
  <c r="J323" i="3" s="1"/>
  <c r="I322" i="3"/>
  <c r="J322" i="3" s="1"/>
  <c r="I321" i="3"/>
  <c r="J321" i="3" s="1"/>
  <c r="I320" i="3"/>
  <c r="J320" i="3" s="1"/>
  <c r="I319" i="3"/>
  <c r="J319" i="3" s="1"/>
  <c r="I318" i="3"/>
  <c r="J318" i="3" s="1"/>
  <c r="I317" i="3"/>
  <c r="J317" i="3" s="1"/>
  <c r="I316" i="3"/>
  <c r="J316" i="3" s="1"/>
  <c r="J315" i="3"/>
  <c r="I315" i="3"/>
  <c r="I314" i="3"/>
  <c r="J314" i="3" s="1"/>
  <c r="I313" i="3"/>
  <c r="J313" i="3" s="1"/>
  <c r="I312" i="3"/>
  <c r="J312" i="3" s="1"/>
  <c r="I311" i="3"/>
  <c r="J311" i="3" s="1"/>
  <c r="I310" i="3"/>
  <c r="J310" i="3" s="1"/>
  <c r="I309" i="3"/>
  <c r="J309" i="3" s="1"/>
  <c r="I308" i="3"/>
  <c r="J308" i="3" s="1"/>
  <c r="I307" i="3"/>
  <c r="J307" i="3" s="1"/>
  <c r="I306" i="3"/>
  <c r="J306" i="3" s="1"/>
  <c r="I305" i="3"/>
  <c r="J305" i="3" s="1"/>
  <c r="I304" i="3"/>
  <c r="J304" i="3" s="1"/>
  <c r="I303" i="3"/>
  <c r="J303" i="3" s="1"/>
  <c r="I302" i="3"/>
  <c r="J302" i="3" s="1"/>
  <c r="I301" i="3"/>
  <c r="J301" i="3" s="1"/>
  <c r="I300" i="3"/>
  <c r="J300" i="3" s="1"/>
  <c r="I299" i="3"/>
  <c r="J299" i="3" s="1"/>
  <c r="I298" i="3"/>
  <c r="J298" i="3" s="1"/>
  <c r="I297" i="3"/>
  <c r="J297" i="3" s="1"/>
  <c r="I296" i="3"/>
  <c r="J296" i="3" s="1"/>
  <c r="I295" i="3"/>
  <c r="J295" i="3" s="1"/>
  <c r="I294" i="3"/>
  <c r="J294" i="3" s="1"/>
  <c r="I293" i="3"/>
  <c r="J293" i="3" s="1"/>
  <c r="I292" i="3"/>
  <c r="J292" i="3" s="1"/>
  <c r="I291" i="3"/>
  <c r="J291" i="3" s="1"/>
  <c r="I290" i="3"/>
  <c r="J290" i="3" s="1"/>
  <c r="I289" i="3"/>
  <c r="J289" i="3" s="1"/>
  <c r="I288" i="3"/>
  <c r="J288" i="3" s="1"/>
  <c r="I287" i="3"/>
  <c r="J287" i="3" s="1"/>
  <c r="I286" i="3"/>
  <c r="J286" i="3" s="1"/>
  <c r="I285" i="3"/>
  <c r="J285" i="3" s="1"/>
  <c r="I284" i="3"/>
  <c r="J284" i="3" s="1"/>
  <c r="I283" i="3"/>
  <c r="J283" i="3" s="1"/>
  <c r="I282" i="3"/>
  <c r="J282" i="3" s="1"/>
  <c r="I281" i="3"/>
  <c r="J281" i="3" s="1"/>
  <c r="I280" i="3"/>
  <c r="J280" i="3" s="1"/>
  <c r="I279" i="3"/>
  <c r="J279" i="3" s="1"/>
  <c r="I278" i="3"/>
  <c r="J278" i="3" s="1"/>
  <c r="I277" i="3"/>
  <c r="J277" i="3" s="1"/>
  <c r="I276" i="3"/>
  <c r="J276" i="3" s="1"/>
  <c r="I275" i="3"/>
  <c r="J275" i="3" s="1"/>
  <c r="I274" i="3"/>
  <c r="J274" i="3" s="1"/>
  <c r="I273" i="3"/>
  <c r="J273" i="3" s="1"/>
  <c r="I272" i="3"/>
  <c r="J272" i="3" s="1"/>
  <c r="I271" i="3"/>
  <c r="J271" i="3" s="1"/>
  <c r="I270" i="3"/>
  <c r="J270" i="3" s="1"/>
  <c r="I269" i="3"/>
  <c r="J269" i="3" s="1"/>
  <c r="I268" i="3"/>
  <c r="J268" i="3" s="1"/>
  <c r="I267" i="3"/>
  <c r="J267" i="3" s="1"/>
  <c r="I266" i="3"/>
  <c r="J266" i="3" s="1"/>
  <c r="I265" i="3"/>
  <c r="J265" i="3" s="1"/>
  <c r="I264" i="3"/>
  <c r="J264" i="3" s="1"/>
  <c r="I263" i="3"/>
  <c r="J263" i="3" s="1"/>
  <c r="I262" i="3"/>
  <c r="J262" i="3" s="1"/>
  <c r="I261" i="3"/>
  <c r="J261" i="3" s="1"/>
  <c r="I260" i="3"/>
  <c r="J260" i="3" s="1"/>
  <c r="I259" i="3"/>
  <c r="J259" i="3" s="1"/>
  <c r="I258" i="3"/>
  <c r="J258" i="3" s="1"/>
  <c r="I257" i="3"/>
  <c r="J257" i="3" s="1"/>
  <c r="I256" i="3"/>
  <c r="J256" i="3" s="1"/>
  <c r="I255" i="3"/>
  <c r="J255" i="3" s="1"/>
  <c r="I254" i="3"/>
  <c r="J254" i="3" s="1"/>
  <c r="I253" i="3"/>
  <c r="J253" i="3" s="1"/>
  <c r="I252" i="3"/>
  <c r="J252" i="3" s="1"/>
  <c r="I251" i="3"/>
  <c r="J251" i="3" s="1"/>
  <c r="I250" i="3"/>
  <c r="J250" i="3" s="1"/>
  <c r="I249" i="3"/>
  <c r="J249" i="3" s="1"/>
  <c r="I248" i="3"/>
  <c r="J248" i="3" s="1"/>
  <c r="I247" i="3"/>
  <c r="J247" i="3" s="1"/>
  <c r="I246" i="3"/>
  <c r="J246" i="3" s="1"/>
  <c r="I245" i="3"/>
  <c r="J245" i="3" s="1"/>
  <c r="I244" i="3"/>
  <c r="J244" i="3" s="1"/>
  <c r="I243" i="3"/>
  <c r="J243" i="3" s="1"/>
  <c r="I242" i="3"/>
  <c r="J242" i="3" s="1"/>
  <c r="I241" i="3"/>
  <c r="J241" i="3" s="1"/>
  <c r="I240" i="3"/>
  <c r="J240" i="3" s="1"/>
  <c r="I239" i="3"/>
  <c r="J239" i="3" s="1"/>
  <c r="I238" i="3"/>
  <c r="J238" i="3" s="1"/>
  <c r="I237" i="3"/>
  <c r="J237" i="3" s="1"/>
  <c r="I236" i="3"/>
  <c r="J236" i="3" s="1"/>
  <c r="I235" i="3"/>
  <c r="J235" i="3" s="1"/>
  <c r="I234" i="3"/>
  <c r="J234" i="3" s="1"/>
  <c r="I233" i="3"/>
  <c r="J233" i="3" s="1"/>
  <c r="I232" i="3"/>
  <c r="J232" i="3" s="1"/>
  <c r="I231" i="3"/>
  <c r="J231" i="3" s="1"/>
  <c r="I230" i="3"/>
  <c r="J230" i="3" s="1"/>
  <c r="I229" i="3"/>
  <c r="J229" i="3" s="1"/>
  <c r="I228" i="3"/>
  <c r="J228" i="3" s="1"/>
  <c r="I227" i="3"/>
  <c r="J227" i="3" s="1"/>
  <c r="I226" i="3"/>
  <c r="J226" i="3" s="1"/>
  <c r="I225" i="3"/>
  <c r="J225" i="3" s="1"/>
  <c r="I224" i="3"/>
  <c r="J224" i="3" s="1"/>
  <c r="I223" i="3"/>
  <c r="J223" i="3" s="1"/>
  <c r="I222" i="3"/>
  <c r="J222" i="3" s="1"/>
  <c r="I221" i="3"/>
  <c r="J221" i="3" s="1"/>
  <c r="I220" i="3"/>
  <c r="J220" i="3" s="1"/>
  <c r="I219" i="3"/>
  <c r="J219" i="3" s="1"/>
  <c r="I218" i="3"/>
  <c r="J218" i="3" s="1"/>
  <c r="I217" i="3"/>
  <c r="J217" i="3" s="1"/>
  <c r="I216" i="3"/>
  <c r="J216" i="3" s="1"/>
  <c r="I215" i="3"/>
  <c r="J215" i="3" s="1"/>
  <c r="I214" i="3"/>
  <c r="J214" i="3" s="1"/>
  <c r="I213" i="3"/>
  <c r="J213" i="3" s="1"/>
  <c r="I212" i="3"/>
  <c r="J212" i="3" s="1"/>
  <c r="I211" i="3"/>
  <c r="J211" i="3" s="1"/>
  <c r="I210" i="3"/>
  <c r="J210" i="3" s="1"/>
  <c r="I209" i="3"/>
  <c r="J209" i="3" s="1"/>
  <c r="I208" i="3"/>
  <c r="J208" i="3" s="1"/>
  <c r="I207" i="3"/>
  <c r="J207" i="3" s="1"/>
  <c r="I206" i="3"/>
  <c r="J206" i="3" s="1"/>
  <c r="I205" i="3"/>
  <c r="J205" i="3" s="1"/>
  <c r="I204" i="3"/>
  <c r="J204" i="3" s="1"/>
  <c r="I203" i="3"/>
  <c r="J203" i="3" s="1"/>
  <c r="I202" i="3"/>
  <c r="J202" i="3" s="1"/>
  <c r="I201" i="3"/>
  <c r="J201" i="3" s="1"/>
  <c r="I200" i="3"/>
  <c r="J200" i="3" s="1"/>
  <c r="I199" i="3"/>
  <c r="J199" i="3" s="1"/>
  <c r="I198" i="3"/>
  <c r="J198" i="3" s="1"/>
  <c r="I197" i="3"/>
  <c r="J197" i="3" s="1"/>
  <c r="I196" i="3"/>
  <c r="J196" i="3" s="1"/>
  <c r="I195" i="3"/>
  <c r="J195" i="3" s="1"/>
  <c r="I194" i="3"/>
  <c r="J194" i="3" s="1"/>
  <c r="I193" i="3"/>
  <c r="J193" i="3" s="1"/>
  <c r="I192" i="3"/>
  <c r="J192" i="3" s="1"/>
  <c r="I191" i="3"/>
  <c r="J191" i="3" s="1"/>
  <c r="I190" i="3"/>
  <c r="J190" i="3" s="1"/>
  <c r="I189" i="3"/>
  <c r="J189" i="3" s="1"/>
  <c r="I188" i="3"/>
  <c r="J188" i="3" s="1"/>
  <c r="I187" i="3"/>
  <c r="J187" i="3" s="1"/>
  <c r="I186" i="3"/>
  <c r="J186" i="3" s="1"/>
  <c r="I185" i="3"/>
  <c r="J185" i="3" s="1"/>
  <c r="I184" i="3"/>
  <c r="J184" i="3" s="1"/>
  <c r="I183" i="3"/>
  <c r="J183" i="3" s="1"/>
  <c r="I182" i="3"/>
  <c r="J182" i="3" s="1"/>
  <c r="I181" i="3"/>
  <c r="J181" i="3" s="1"/>
  <c r="I180" i="3"/>
  <c r="J180" i="3" s="1"/>
  <c r="I179" i="3"/>
  <c r="J179" i="3" s="1"/>
  <c r="I178" i="3"/>
  <c r="J178" i="3" s="1"/>
  <c r="I177" i="3"/>
  <c r="J177" i="3" s="1"/>
  <c r="I176" i="3"/>
  <c r="J176" i="3" s="1"/>
  <c r="I175" i="3"/>
  <c r="J175" i="3" s="1"/>
  <c r="I174" i="3"/>
  <c r="J174" i="3" s="1"/>
  <c r="I173" i="3"/>
  <c r="J173" i="3" s="1"/>
  <c r="I172" i="3"/>
  <c r="J172" i="3" s="1"/>
  <c r="I171" i="3"/>
  <c r="J171" i="3" s="1"/>
  <c r="I170" i="3"/>
  <c r="J170" i="3" s="1"/>
  <c r="I169" i="3"/>
  <c r="J169" i="3" s="1"/>
  <c r="I168" i="3"/>
  <c r="J168" i="3" s="1"/>
  <c r="I167" i="3"/>
  <c r="J167" i="3" s="1"/>
  <c r="I166" i="3"/>
  <c r="J166" i="3" s="1"/>
  <c r="I165" i="3"/>
  <c r="J165" i="3" s="1"/>
  <c r="I164" i="3"/>
  <c r="J164" i="3" s="1"/>
  <c r="I163" i="3"/>
  <c r="J163" i="3" s="1"/>
  <c r="I162" i="3"/>
  <c r="J162" i="3" s="1"/>
  <c r="I161" i="3"/>
  <c r="J161" i="3" s="1"/>
  <c r="I160" i="3"/>
  <c r="J160" i="3" s="1"/>
  <c r="I159" i="3"/>
  <c r="J159" i="3" s="1"/>
  <c r="I158" i="3"/>
  <c r="J158" i="3" s="1"/>
  <c r="I157" i="3"/>
  <c r="J157" i="3" s="1"/>
  <c r="I156" i="3"/>
  <c r="J156" i="3" s="1"/>
  <c r="I155" i="3"/>
  <c r="J155" i="3" s="1"/>
  <c r="I154" i="3"/>
  <c r="J154" i="3" s="1"/>
  <c r="I153" i="3"/>
  <c r="J153" i="3" s="1"/>
  <c r="I152" i="3"/>
  <c r="J152" i="3" s="1"/>
  <c r="I151" i="3"/>
  <c r="J151" i="3" s="1"/>
  <c r="I150" i="3"/>
  <c r="J150" i="3" s="1"/>
  <c r="I149" i="3"/>
  <c r="J149" i="3" s="1"/>
  <c r="I148" i="3"/>
  <c r="J148" i="3" s="1"/>
  <c r="I147" i="3"/>
  <c r="J147" i="3" s="1"/>
  <c r="I146" i="3"/>
  <c r="J146" i="3" s="1"/>
  <c r="I145" i="3"/>
  <c r="J145" i="3" s="1"/>
  <c r="I144" i="3"/>
  <c r="J144" i="3" s="1"/>
  <c r="I143" i="3"/>
  <c r="J143" i="3" s="1"/>
  <c r="I142" i="3"/>
  <c r="J142" i="3" s="1"/>
  <c r="I141" i="3"/>
  <c r="J141" i="3" s="1"/>
  <c r="I140" i="3"/>
  <c r="J140" i="3" s="1"/>
  <c r="I139" i="3"/>
  <c r="J139" i="3" s="1"/>
  <c r="I138" i="3"/>
  <c r="J138" i="3" s="1"/>
  <c r="I137" i="3"/>
  <c r="J137" i="3" s="1"/>
  <c r="I136" i="3"/>
  <c r="J136" i="3" s="1"/>
  <c r="I135" i="3"/>
  <c r="J135" i="3" s="1"/>
  <c r="I134" i="3"/>
  <c r="J134" i="3" s="1"/>
  <c r="I133" i="3"/>
  <c r="J133" i="3" s="1"/>
  <c r="I132" i="3"/>
  <c r="J132" i="3" s="1"/>
  <c r="I131" i="3"/>
  <c r="J131" i="3" s="1"/>
  <c r="I130" i="3"/>
  <c r="J130" i="3" s="1"/>
  <c r="I129" i="3"/>
  <c r="J129" i="3" s="1"/>
  <c r="I128" i="3"/>
  <c r="J128" i="3" s="1"/>
  <c r="I127" i="3"/>
  <c r="J127" i="3" s="1"/>
  <c r="I126" i="3"/>
  <c r="J126" i="3" s="1"/>
  <c r="I125" i="3"/>
  <c r="J125" i="3" s="1"/>
  <c r="I124" i="3"/>
  <c r="J124" i="3" s="1"/>
  <c r="I123" i="3"/>
  <c r="J123" i="3" s="1"/>
  <c r="I122" i="3"/>
  <c r="J122" i="3" s="1"/>
  <c r="I121" i="3"/>
  <c r="J121" i="3" s="1"/>
  <c r="I120" i="3"/>
  <c r="J120" i="3" s="1"/>
  <c r="I119" i="3"/>
  <c r="J119" i="3" s="1"/>
  <c r="I118" i="3"/>
  <c r="J118" i="3" s="1"/>
  <c r="I117" i="3"/>
  <c r="J117" i="3" s="1"/>
  <c r="I116" i="3"/>
  <c r="J116" i="3" s="1"/>
  <c r="I115" i="3"/>
  <c r="J115" i="3" s="1"/>
  <c r="I114" i="3"/>
  <c r="J114" i="3" s="1"/>
  <c r="I113" i="3"/>
  <c r="J113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J98" i="3" s="1"/>
  <c r="I97" i="3"/>
  <c r="J97" i="3" s="1"/>
  <c r="I96" i="3"/>
  <c r="J96" i="3" s="1"/>
  <c r="I95" i="3"/>
  <c r="J95" i="3" s="1"/>
  <c r="I94" i="3"/>
  <c r="J94" i="3" s="1"/>
  <c r="I93" i="3"/>
  <c r="J93" i="3" s="1"/>
  <c r="I92" i="3"/>
  <c r="J92" i="3" s="1"/>
  <c r="I91" i="3"/>
  <c r="J91" i="3" s="1"/>
  <c r="I90" i="3"/>
  <c r="J90" i="3" s="1"/>
  <c r="I89" i="3"/>
  <c r="J89" i="3" s="1"/>
  <c r="I88" i="3"/>
  <c r="J88" i="3" s="1"/>
  <c r="I87" i="3"/>
  <c r="J87" i="3" s="1"/>
  <c r="I86" i="3"/>
  <c r="J86" i="3" s="1"/>
  <c r="I85" i="3"/>
  <c r="J85" i="3" s="1"/>
  <c r="I84" i="3"/>
  <c r="J84" i="3" s="1"/>
  <c r="I83" i="3"/>
  <c r="J83" i="3" s="1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G107" i="1"/>
  <c r="H107" i="1" s="1"/>
  <c r="I107" i="1" s="1"/>
  <c r="G108" i="1"/>
  <c r="H108" i="1" s="1"/>
  <c r="I108" i="1" s="1"/>
  <c r="G109" i="1"/>
  <c r="H109" i="1" s="1"/>
  <c r="I109" i="1" s="1"/>
  <c r="G110" i="1"/>
  <c r="H110" i="1" s="1"/>
  <c r="I110" i="1" s="1"/>
  <c r="G111" i="1"/>
  <c r="H111" i="1" s="1"/>
  <c r="I111" i="1" s="1"/>
  <c r="G112" i="1"/>
  <c r="H112" i="1" s="1"/>
  <c r="I112" i="1" s="1"/>
  <c r="G113" i="1"/>
  <c r="H113" i="1" s="1"/>
  <c r="I113" i="1" s="1"/>
  <c r="G114" i="1"/>
  <c r="H114" i="1" s="1"/>
  <c r="I114" i="1" s="1"/>
  <c r="G115" i="1"/>
  <c r="H115" i="1" s="1"/>
  <c r="I115" i="1" s="1"/>
  <c r="G116" i="1"/>
  <c r="H116" i="1" s="1"/>
  <c r="I116" i="1" s="1"/>
  <c r="G117" i="1"/>
  <c r="H117" i="1" s="1"/>
  <c r="I117" i="1" s="1"/>
  <c r="G118" i="1"/>
  <c r="H118" i="1" s="1"/>
  <c r="I118" i="1" s="1"/>
  <c r="G119" i="1"/>
  <c r="H119" i="1" s="1"/>
  <c r="I119" i="1" s="1"/>
  <c r="G120" i="1"/>
  <c r="H120" i="1" s="1"/>
  <c r="I120" i="1" s="1"/>
  <c r="G121" i="1"/>
  <c r="H121" i="1" s="1"/>
  <c r="I121" i="1" s="1"/>
  <c r="G122" i="1"/>
  <c r="H122" i="1" s="1"/>
  <c r="I122" i="1" s="1"/>
  <c r="G123" i="1"/>
  <c r="H123" i="1" s="1"/>
  <c r="I123" i="1" s="1"/>
  <c r="G124" i="1"/>
  <c r="H124" i="1" s="1"/>
  <c r="I124" i="1" s="1"/>
  <c r="G125" i="1"/>
  <c r="H125" i="1" s="1"/>
  <c r="I125" i="1" s="1"/>
  <c r="G126" i="1"/>
  <c r="H126" i="1" s="1"/>
  <c r="I126" i="1" s="1"/>
  <c r="G127" i="1"/>
  <c r="H127" i="1" s="1"/>
  <c r="I127" i="1" s="1"/>
  <c r="G128" i="1"/>
  <c r="H128" i="1" s="1"/>
  <c r="I128" i="1" s="1"/>
  <c r="G129" i="1"/>
  <c r="H129" i="1" s="1"/>
  <c r="I129" i="1" s="1"/>
  <c r="G130" i="1"/>
  <c r="H130" i="1" s="1"/>
  <c r="I130" i="1" s="1"/>
  <c r="G131" i="1"/>
  <c r="H131" i="1" s="1"/>
  <c r="I131" i="1" s="1"/>
  <c r="G132" i="1"/>
  <c r="H132" i="1" s="1"/>
  <c r="I132" i="1" s="1"/>
  <c r="G133" i="1"/>
  <c r="H133" i="1" s="1"/>
  <c r="I133" i="1" s="1"/>
  <c r="G134" i="1"/>
  <c r="H134" i="1" s="1"/>
  <c r="I134" i="1" s="1"/>
  <c r="G135" i="1"/>
  <c r="H135" i="1" s="1"/>
  <c r="I135" i="1" s="1"/>
  <c r="G136" i="1"/>
  <c r="H136" i="1" s="1"/>
  <c r="I136" i="1" s="1"/>
  <c r="G137" i="1"/>
  <c r="H137" i="1" s="1"/>
  <c r="I137" i="1" s="1"/>
  <c r="G138" i="1"/>
  <c r="H138" i="1" s="1"/>
  <c r="I138" i="1" s="1"/>
  <c r="G139" i="1"/>
  <c r="H139" i="1" s="1"/>
  <c r="I139" i="1" s="1"/>
  <c r="G140" i="1"/>
  <c r="H140" i="1" s="1"/>
  <c r="I140" i="1" s="1"/>
  <c r="G141" i="1"/>
  <c r="H141" i="1" s="1"/>
  <c r="I141" i="1" s="1"/>
  <c r="G142" i="1"/>
  <c r="H142" i="1" s="1"/>
  <c r="I142" i="1" s="1"/>
  <c r="G143" i="1"/>
  <c r="H143" i="1" s="1"/>
  <c r="I143" i="1" s="1"/>
  <c r="G144" i="1"/>
  <c r="H144" i="1" s="1"/>
  <c r="I144" i="1" s="1"/>
  <c r="G145" i="1"/>
  <c r="H145" i="1" s="1"/>
  <c r="I145" i="1" s="1"/>
  <c r="G146" i="1"/>
  <c r="H146" i="1" s="1"/>
  <c r="I146" i="1" s="1"/>
  <c r="G147" i="1"/>
  <c r="H147" i="1" s="1"/>
  <c r="I147" i="1" s="1"/>
  <c r="G148" i="1"/>
  <c r="H148" i="1" s="1"/>
  <c r="I148" i="1" s="1"/>
  <c r="G149" i="1"/>
  <c r="H149" i="1" s="1"/>
  <c r="I149" i="1" s="1"/>
  <c r="G150" i="1"/>
  <c r="H150" i="1" s="1"/>
  <c r="I150" i="1" s="1"/>
  <c r="G151" i="1"/>
  <c r="H151" i="1" s="1"/>
  <c r="I151" i="1" s="1"/>
  <c r="G152" i="1"/>
  <c r="H152" i="1" s="1"/>
  <c r="I152" i="1" s="1"/>
  <c r="G153" i="1"/>
  <c r="H153" i="1" s="1"/>
  <c r="I153" i="1" s="1"/>
  <c r="G154" i="1"/>
  <c r="H154" i="1" s="1"/>
  <c r="I154" i="1" s="1"/>
  <c r="G155" i="1"/>
  <c r="H155" i="1" s="1"/>
  <c r="I155" i="1" s="1"/>
  <c r="G156" i="1"/>
  <c r="H156" i="1" s="1"/>
  <c r="I156" i="1" s="1"/>
  <c r="G157" i="1"/>
  <c r="H157" i="1" s="1"/>
  <c r="I157" i="1" s="1"/>
  <c r="G158" i="1"/>
  <c r="H158" i="1" s="1"/>
  <c r="I158" i="1" s="1"/>
  <c r="G159" i="1"/>
  <c r="H159" i="1" s="1"/>
  <c r="I159" i="1" s="1"/>
  <c r="G160" i="1"/>
  <c r="H160" i="1" s="1"/>
  <c r="I160" i="1" s="1"/>
  <c r="G161" i="1"/>
  <c r="H161" i="1" s="1"/>
  <c r="I161" i="1" s="1"/>
  <c r="G162" i="1"/>
  <c r="H162" i="1" s="1"/>
  <c r="I162" i="1" s="1"/>
  <c r="G163" i="1"/>
  <c r="H163" i="1" s="1"/>
  <c r="I163" i="1" s="1"/>
  <c r="G164" i="1"/>
  <c r="H164" i="1" s="1"/>
  <c r="I164" i="1" s="1"/>
  <c r="G165" i="1"/>
  <c r="H165" i="1" s="1"/>
  <c r="I165" i="1" s="1"/>
  <c r="G166" i="1"/>
  <c r="H166" i="1" s="1"/>
  <c r="I166" i="1" s="1"/>
  <c r="G167" i="1"/>
  <c r="H167" i="1" s="1"/>
  <c r="I167" i="1" s="1"/>
  <c r="G168" i="1"/>
  <c r="H168" i="1" s="1"/>
  <c r="I168" i="1" s="1"/>
  <c r="G169" i="1"/>
  <c r="H169" i="1" s="1"/>
  <c r="I169" i="1" s="1"/>
  <c r="G170" i="1"/>
  <c r="H170" i="1" s="1"/>
  <c r="I170" i="1" s="1"/>
  <c r="G171" i="1"/>
  <c r="H171" i="1" s="1"/>
  <c r="I171" i="1" s="1"/>
  <c r="G172" i="1"/>
  <c r="H172" i="1" s="1"/>
  <c r="I172" i="1" s="1"/>
  <c r="G173" i="1"/>
  <c r="H173" i="1" s="1"/>
  <c r="I173" i="1" s="1"/>
  <c r="G174" i="1"/>
  <c r="H174" i="1" s="1"/>
  <c r="I174" i="1" s="1"/>
  <c r="G175" i="1"/>
  <c r="H175" i="1" s="1"/>
  <c r="I175" i="1" s="1"/>
  <c r="G176" i="1"/>
  <c r="H176" i="1" s="1"/>
  <c r="I176" i="1" s="1"/>
  <c r="G177" i="1"/>
  <c r="H177" i="1" s="1"/>
  <c r="I177" i="1" s="1"/>
  <c r="G178" i="1"/>
  <c r="H178" i="1" s="1"/>
  <c r="I178" i="1" s="1"/>
  <c r="G179" i="1"/>
  <c r="H179" i="1" s="1"/>
  <c r="I179" i="1" s="1"/>
  <c r="G180" i="1"/>
  <c r="H180" i="1" s="1"/>
  <c r="I180" i="1" s="1"/>
  <c r="G181" i="1"/>
  <c r="H181" i="1" s="1"/>
  <c r="I181" i="1" s="1"/>
  <c r="G182" i="1"/>
  <c r="H182" i="1" s="1"/>
  <c r="I182" i="1" s="1"/>
  <c r="G183" i="1"/>
  <c r="H183" i="1" s="1"/>
  <c r="I183" i="1" s="1"/>
  <c r="G184" i="1"/>
  <c r="H184" i="1" s="1"/>
  <c r="I184" i="1" s="1"/>
  <c r="G185" i="1"/>
  <c r="H185" i="1" s="1"/>
  <c r="I185" i="1" s="1"/>
  <c r="G186" i="1"/>
  <c r="H186" i="1" s="1"/>
  <c r="I186" i="1" s="1"/>
  <c r="G187" i="1"/>
  <c r="H187" i="1" s="1"/>
  <c r="I187" i="1" s="1"/>
  <c r="G188" i="1"/>
  <c r="H188" i="1" s="1"/>
  <c r="I188" i="1" s="1"/>
  <c r="G189" i="1"/>
  <c r="H189" i="1" s="1"/>
  <c r="I189" i="1" s="1"/>
  <c r="G190" i="1"/>
  <c r="H190" i="1" s="1"/>
  <c r="I190" i="1" s="1"/>
  <c r="G191" i="1"/>
  <c r="H191" i="1" s="1"/>
  <c r="I191" i="1" s="1"/>
  <c r="G192" i="1"/>
  <c r="H192" i="1" s="1"/>
  <c r="I192" i="1" s="1"/>
  <c r="G193" i="1"/>
  <c r="H193" i="1" s="1"/>
  <c r="I193" i="1" s="1"/>
  <c r="G194" i="1"/>
  <c r="H194" i="1" s="1"/>
  <c r="I194" i="1" s="1"/>
  <c r="G195" i="1"/>
  <c r="H195" i="1" s="1"/>
  <c r="I195" i="1" s="1"/>
  <c r="G196" i="1"/>
  <c r="H196" i="1" s="1"/>
  <c r="I196" i="1" s="1"/>
  <c r="G197" i="1"/>
  <c r="H197" i="1" s="1"/>
  <c r="I197" i="1" s="1"/>
  <c r="G198" i="1"/>
  <c r="H198" i="1" s="1"/>
  <c r="I198" i="1" s="1"/>
  <c r="G199" i="1"/>
  <c r="H199" i="1" s="1"/>
  <c r="I199" i="1" s="1"/>
  <c r="G200" i="1"/>
  <c r="H200" i="1" s="1"/>
  <c r="I200" i="1" s="1"/>
  <c r="G201" i="1"/>
  <c r="H201" i="1" s="1"/>
  <c r="I201" i="1" s="1"/>
  <c r="G202" i="1"/>
  <c r="H202" i="1" s="1"/>
  <c r="I202" i="1" s="1"/>
  <c r="G203" i="1"/>
  <c r="H203" i="1" s="1"/>
  <c r="I203" i="1" s="1"/>
  <c r="G204" i="1"/>
  <c r="H204" i="1" s="1"/>
  <c r="I204" i="1" s="1"/>
  <c r="G205" i="1"/>
  <c r="H205" i="1" s="1"/>
  <c r="I205" i="1" s="1"/>
  <c r="G206" i="1"/>
  <c r="H206" i="1" s="1"/>
  <c r="I206" i="1" s="1"/>
  <c r="G207" i="1"/>
  <c r="H207" i="1" s="1"/>
  <c r="I207" i="1" s="1"/>
  <c r="G208" i="1"/>
  <c r="H208" i="1" s="1"/>
  <c r="I208" i="1" s="1"/>
  <c r="G209" i="1"/>
  <c r="H209" i="1" s="1"/>
  <c r="I209" i="1" s="1"/>
  <c r="G210" i="1"/>
  <c r="H210" i="1" s="1"/>
  <c r="I210" i="1" s="1"/>
  <c r="G211" i="1"/>
  <c r="H211" i="1" s="1"/>
  <c r="I211" i="1" s="1"/>
  <c r="G212" i="1"/>
  <c r="H212" i="1" s="1"/>
  <c r="I212" i="1" s="1"/>
  <c r="G213" i="1"/>
  <c r="H213" i="1" s="1"/>
  <c r="I213" i="1" s="1"/>
  <c r="G214" i="1"/>
  <c r="H214" i="1" s="1"/>
  <c r="I214" i="1" s="1"/>
  <c r="G215" i="1"/>
  <c r="H215" i="1" s="1"/>
  <c r="I215" i="1" s="1"/>
  <c r="G216" i="1"/>
  <c r="H216" i="1" s="1"/>
  <c r="I216" i="1" s="1"/>
  <c r="G217" i="1"/>
  <c r="H217" i="1" s="1"/>
  <c r="I217" i="1" s="1"/>
  <c r="G218" i="1"/>
  <c r="H218" i="1" s="1"/>
  <c r="I218" i="1" s="1"/>
  <c r="G219" i="1"/>
  <c r="H219" i="1" s="1"/>
  <c r="I219" i="1" s="1"/>
  <c r="G220" i="1"/>
  <c r="H220" i="1" s="1"/>
  <c r="I220" i="1" s="1"/>
  <c r="G221" i="1"/>
  <c r="H221" i="1" s="1"/>
  <c r="I221" i="1" s="1"/>
  <c r="G222" i="1"/>
  <c r="H222" i="1" s="1"/>
  <c r="I222" i="1" s="1"/>
  <c r="G223" i="1"/>
  <c r="H223" i="1" s="1"/>
  <c r="I223" i="1" s="1"/>
  <c r="G224" i="1"/>
  <c r="H224" i="1" s="1"/>
  <c r="I224" i="1" s="1"/>
  <c r="G225" i="1"/>
  <c r="H225" i="1" s="1"/>
  <c r="I225" i="1" s="1"/>
  <c r="G226" i="1"/>
  <c r="H226" i="1" s="1"/>
  <c r="I226" i="1" s="1"/>
  <c r="G227" i="1"/>
  <c r="H227" i="1" s="1"/>
  <c r="I227" i="1" s="1"/>
  <c r="G228" i="1"/>
  <c r="H228" i="1" s="1"/>
  <c r="I228" i="1" s="1"/>
  <c r="G229" i="1"/>
  <c r="H229" i="1" s="1"/>
  <c r="I229" i="1" s="1"/>
  <c r="G230" i="1"/>
  <c r="H230" i="1" s="1"/>
  <c r="I230" i="1" s="1"/>
  <c r="G231" i="1"/>
  <c r="H231" i="1" s="1"/>
  <c r="I231" i="1" s="1"/>
  <c r="G232" i="1"/>
  <c r="H232" i="1" s="1"/>
  <c r="I232" i="1" s="1"/>
  <c r="G233" i="1"/>
  <c r="H233" i="1" s="1"/>
  <c r="I233" i="1" s="1"/>
  <c r="G234" i="1"/>
  <c r="H234" i="1" s="1"/>
  <c r="I234" i="1" s="1"/>
  <c r="G235" i="1"/>
  <c r="H235" i="1" s="1"/>
  <c r="I235" i="1" s="1"/>
  <c r="G236" i="1"/>
  <c r="H236" i="1" s="1"/>
  <c r="I236" i="1" s="1"/>
  <c r="G237" i="1"/>
  <c r="H237" i="1" s="1"/>
  <c r="I237" i="1" s="1"/>
  <c r="G238" i="1"/>
  <c r="H238" i="1" s="1"/>
  <c r="I238" i="1" s="1"/>
  <c r="G239" i="1"/>
  <c r="H239" i="1" s="1"/>
  <c r="I239" i="1" s="1"/>
  <c r="G240" i="1"/>
  <c r="H240" i="1" s="1"/>
  <c r="I240" i="1" s="1"/>
  <c r="G241" i="1"/>
  <c r="H241" i="1" s="1"/>
  <c r="I241" i="1" s="1"/>
  <c r="G242" i="1"/>
  <c r="H242" i="1" s="1"/>
  <c r="I242" i="1" s="1"/>
  <c r="G243" i="1"/>
  <c r="H243" i="1" s="1"/>
  <c r="I243" i="1" s="1"/>
  <c r="G244" i="1"/>
  <c r="H244" i="1" s="1"/>
  <c r="I244" i="1" s="1"/>
  <c r="G245" i="1"/>
  <c r="H245" i="1" s="1"/>
  <c r="I245" i="1" s="1"/>
  <c r="G246" i="1"/>
  <c r="H246" i="1" s="1"/>
  <c r="I246" i="1" s="1"/>
  <c r="G247" i="1"/>
  <c r="H247" i="1" s="1"/>
  <c r="I247" i="1" s="1"/>
  <c r="G248" i="1"/>
  <c r="H248" i="1" s="1"/>
  <c r="I248" i="1" s="1"/>
  <c r="G249" i="1"/>
  <c r="H249" i="1" s="1"/>
  <c r="I249" i="1" s="1"/>
  <c r="G250" i="1"/>
  <c r="H250" i="1" s="1"/>
  <c r="I250" i="1" s="1"/>
  <c r="G251" i="1"/>
  <c r="H251" i="1" s="1"/>
  <c r="I251" i="1" s="1"/>
  <c r="G252" i="1"/>
  <c r="H252" i="1" s="1"/>
  <c r="I252" i="1" s="1"/>
  <c r="G253" i="1"/>
  <c r="H253" i="1" s="1"/>
  <c r="I253" i="1" s="1"/>
  <c r="G254" i="1"/>
  <c r="H254" i="1" s="1"/>
  <c r="I254" i="1" s="1"/>
  <c r="G255" i="1"/>
  <c r="H255" i="1" s="1"/>
  <c r="I255" i="1" s="1"/>
  <c r="G256" i="1"/>
  <c r="H256" i="1" s="1"/>
  <c r="I256" i="1" s="1"/>
  <c r="G257" i="1"/>
  <c r="H257" i="1" s="1"/>
  <c r="I257" i="1" s="1"/>
  <c r="G258" i="1"/>
  <c r="H258" i="1" s="1"/>
  <c r="I258" i="1" s="1"/>
  <c r="G259" i="1"/>
  <c r="H259" i="1" s="1"/>
  <c r="I259" i="1" s="1"/>
  <c r="G260" i="1"/>
  <c r="H260" i="1" s="1"/>
  <c r="I260" i="1" s="1"/>
  <c r="G261" i="1"/>
  <c r="H261" i="1" s="1"/>
  <c r="I261" i="1" s="1"/>
  <c r="G262" i="1"/>
  <c r="H262" i="1" s="1"/>
  <c r="I262" i="1" s="1"/>
  <c r="G263" i="1"/>
  <c r="H263" i="1" s="1"/>
  <c r="I263" i="1" s="1"/>
  <c r="G264" i="1"/>
  <c r="H264" i="1" s="1"/>
  <c r="I264" i="1" s="1"/>
  <c r="G265" i="1"/>
  <c r="H265" i="1" s="1"/>
  <c r="I265" i="1" s="1"/>
  <c r="G266" i="1"/>
  <c r="H266" i="1" s="1"/>
  <c r="I266" i="1" s="1"/>
  <c r="G267" i="1"/>
  <c r="H267" i="1" s="1"/>
  <c r="I267" i="1" s="1"/>
  <c r="G268" i="1"/>
  <c r="H268" i="1" s="1"/>
  <c r="I268" i="1" s="1"/>
  <c r="G269" i="1"/>
  <c r="H269" i="1" s="1"/>
  <c r="I269" i="1" s="1"/>
  <c r="G270" i="1"/>
  <c r="H270" i="1" s="1"/>
  <c r="I270" i="1" s="1"/>
  <c r="G271" i="1"/>
  <c r="H271" i="1" s="1"/>
  <c r="I271" i="1" s="1"/>
  <c r="G272" i="1"/>
  <c r="H272" i="1" s="1"/>
  <c r="I272" i="1" s="1"/>
  <c r="G273" i="1"/>
  <c r="H273" i="1" s="1"/>
  <c r="I273" i="1" s="1"/>
  <c r="G274" i="1"/>
  <c r="H274" i="1" s="1"/>
  <c r="I274" i="1" s="1"/>
  <c r="G275" i="1"/>
  <c r="H275" i="1" s="1"/>
  <c r="I275" i="1" s="1"/>
  <c r="G276" i="1"/>
  <c r="H276" i="1" s="1"/>
  <c r="I276" i="1" s="1"/>
  <c r="G277" i="1"/>
  <c r="H277" i="1" s="1"/>
  <c r="I277" i="1" s="1"/>
  <c r="G278" i="1"/>
  <c r="H278" i="1" s="1"/>
  <c r="I278" i="1" s="1"/>
  <c r="G279" i="1"/>
  <c r="H279" i="1" s="1"/>
  <c r="I279" i="1" s="1"/>
  <c r="G280" i="1"/>
  <c r="H280" i="1" s="1"/>
  <c r="I280" i="1" s="1"/>
  <c r="G281" i="1"/>
  <c r="H281" i="1" s="1"/>
  <c r="I281" i="1" s="1"/>
  <c r="G282" i="1"/>
  <c r="H282" i="1" s="1"/>
  <c r="I282" i="1" s="1"/>
  <c r="G283" i="1"/>
  <c r="H283" i="1" s="1"/>
  <c r="I283" i="1" s="1"/>
  <c r="G284" i="1"/>
  <c r="H284" i="1" s="1"/>
  <c r="I284" i="1" s="1"/>
  <c r="G285" i="1"/>
  <c r="H285" i="1" s="1"/>
  <c r="I285" i="1" s="1"/>
  <c r="G286" i="1"/>
  <c r="H286" i="1" s="1"/>
  <c r="I286" i="1" s="1"/>
  <c r="G287" i="1"/>
  <c r="H287" i="1" s="1"/>
  <c r="I287" i="1" s="1"/>
  <c r="G288" i="1"/>
  <c r="H288" i="1" s="1"/>
  <c r="I288" i="1" s="1"/>
  <c r="G289" i="1"/>
  <c r="H289" i="1" s="1"/>
  <c r="I289" i="1" s="1"/>
  <c r="G290" i="1"/>
  <c r="H290" i="1" s="1"/>
  <c r="I290" i="1" s="1"/>
  <c r="G291" i="1"/>
  <c r="H291" i="1" s="1"/>
  <c r="I291" i="1" s="1"/>
  <c r="G292" i="1"/>
  <c r="H292" i="1" s="1"/>
  <c r="I292" i="1" s="1"/>
  <c r="G293" i="1"/>
  <c r="H293" i="1" s="1"/>
  <c r="I293" i="1" s="1"/>
  <c r="G294" i="1"/>
  <c r="H294" i="1" s="1"/>
  <c r="I294" i="1" s="1"/>
  <c r="G295" i="1"/>
  <c r="H295" i="1" s="1"/>
  <c r="I295" i="1" s="1"/>
  <c r="G296" i="1"/>
  <c r="H296" i="1" s="1"/>
  <c r="I296" i="1" s="1"/>
  <c r="G297" i="1"/>
  <c r="H297" i="1" s="1"/>
  <c r="I297" i="1" s="1"/>
  <c r="G298" i="1"/>
  <c r="H298" i="1" s="1"/>
  <c r="I298" i="1" s="1"/>
  <c r="G299" i="1"/>
  <c r="H299" i="1" s="1"/>
  <c r="I299" i="1" s="1"/>
  <c r="G300" i="1"/>
  <c r="H300" i="1" s="1"/>
  <c r="I300" i="1" s="1"/>
  <c r="G301" i="1"/>
  <c r="H301" i="1" s="1"/>
  <c r="I301" i="1" s="1"/>
  <c r="G302" i="1"/>
  <c r="H302" i="1" s="1"/>
  <c r="I302" i="1" s="1"/>
  <c r="G303" i="1"/>
  <c r="H303" i="1" s="1"/>
  <c r="I303" i="1" s="1"/>
  <c r="G304" i="1"/>
  <c r="H304" i="1" s="1"/>
  <c r="I304" i="1" s="1"/>
  <c r="G305" i="1"/>
  <c r="H305" i="1" s="1"/>
  <c r="I305" i="1" s="1"/>
  <c r="G306" i="1"/>
  <c r="H306" i="1" s="1"/>
  <c r="I306" i="1" s="1"/>
  <c r="G307" i="1"/>
  <c r="H307" i="1" s="1"/>
  <c r="I307" i="1" s="1"/>
  <c r="G308" i="1"/>
  <c r="H308" i="1" s="1"/>
  <c r="I308" i="1" s="1"/>
  <c r="G309" i="1"/>
  <c r="H309" i="1" s="1"/>
  <c r="I309" i="1" s="1"/>
  <c r="G310" i="1"/>
  <c r="H310" i="1" s="1"/>
  <c r="I310" i="1" s="1"/>
  <c r="G311" i="1"/>
  <c r="H311" i="1" s="1"/>
  <c r="I311" i="1" s="1"/>
  <c r="G312" i="1"/>
  <c r="H312" i="1" s="1"/>
  <c r="I312" i="1" s="1"/>
  <c r="G313" i="1"/>
  <c r="H313" i="1" s="1"/>
  <c r="I313" i="1" s="1"/>
  <c r="G314" i="1"/>
  <c r="H314" i="1" s="1"/>
  <c r="I314" i="1" s="1"/>
  <c r="G315" i="1"/>
  <c r="H315" i="1" s="1"/>
  <c r="I315" i="1" s="1"/>
  <c r="G316" i="1"/>
  <c r="H316" i="1" s="1"/>
  <c r="I316" i="1" s="1"/>
  <c r="G317" i="1"/>
  <c r="H317" i="1" s="1"/>
  <c r="I317" i="1" s="1"/>
  <c r="G318" i="1"/>
  <c r="H318" i="1" s="1"/>
  <c r="I318" i="1" s="1"/>
  <c r="G319" i="1"/>
  <c r="H319" i="1" s="1"/>
  <c r="I319" i="1" s="1"/>
  <c r="G320" i="1"/>
  <c r="H320" i="1" s="1"/>
  <c r="I320" i="1" s="1"/>
  <c r="G321" i="1"/>
  <c r="H321" i="1" s="1"/>
  <c r="I321" i="1" s="1"/>
  <c r="G322" i="1"/>
  <c r="H322" i="1" s="1"/>
  <c r="I322" i="1" s="1"/>
  <c r="G323" i="1"/>
  <c r="H323" i="1" s="1"/>
  <c r="I323" i="1" s="1"/>
  <c r="G324" i="1"/>
  <c r="H324" i="1" s="1"/>
  <c r="I324" i="1" s="1"/>
  <c r="G325" i="1"/>
  <c r="H325" i="1" s="1"/>
  <c r="I325" i="1" s="1"/>
  <c r="G326" i="1"/>
  <c r="H326" i="1" s="1"/>
  <c r="I326" i="1" s="1"/>
  <c r="G327" i="1"/>
  <c r="H327" i="1" s="1"/>
  <c r="I327" i="1" s="1"/>
  <c r="G328" i="1"/>
  <c r="H328" i="1" s="1"/>
  <c r="I328" i="1" s="1"/>
  <c r="G329" i="1"/>
  <c r="H329" i="1" s="1"/>
  <c r="I329" i="1" s="1"/>
  <c r="G330" i="1"/>
  <c r="H330" i="1" s="1"/>
  <c r="I330" i="1" s="1"/>
  <c r="G331" i="1"/>
  <c r="H331" i="1" s="1"/>
  <c r="I331" i="1" s="1"/>
  <c r="G332" i="1"/>
  <c r="H332" i="1" s="1"/>
  <c r="I332" i="1" s="1"/>
  <c r="G333" i="1"/>
  <c r="H333" i="1" s="1"/>
  <c r="I333" i="1" s="1"/>
  <c r="G334" i="1"/>
  <c r="H334" i="1" s="1"/>
  <c r="I334" i="1" s="1"/>
  <c r="G335" i="1"/>
  <c r="H335" i="1" s="1"/>
  <c r="I335" i="1" s="1"/>
  <c r="G336" i="1"/>
  <c r="H336" i="1" s="1"/>
  <c r="I336" i="1" s="1"/>
  <c r="G337" i="1"/>
  <c r="H337" i="1" s="1"/>
  <c r="I337" i="1" s="1"/>
  <c r="G338" i="1"/>
  <c r="H338" i="1" s="1"/>
  <c r="I338" i="1" s="1"/>
  <c r="G339" i="1"/>
  <c r="H339" i="1" s="1"/>
  <c r="I339" i="1" s="1"/>
  <c r="G340" i="1"/>
  <c r="H340" i="1" s="1"/>
  <c r="I340" i="1" s="1"/>
  <c r="G341" i="1"/>
  <c r="H341" i="1" s="1"/>
  <c r="I341" i="1" s="1"/>
  <c r="G342" i="1"/>
  <c r="H342" i="1" s="1"/>
  <c r="I342" i="1" s="1"/>
  <c r="G343" i="1"/>
  <c r="H343" i="1" s="1"/>
  <c r="I343" i="1" s="1"/>
  <c r="G344" i="1"/>
  <c r="H344" i="1" s="1"/>
  <c r="I344" i="1" s="1"/>
  <c r="G345" i="1"/>
  <c r="H345" i="1" s="1"/>
  <c r="I345" i="1" s="1"/>
  <c r="G346" i="1"/>
  <c r="H346" i="1" s="1"/>
  <c r="I346" i="1" s="1"/>
  <c r="G347" i="1"/>
  <c r="H347" i="1" s="1"/>
  <c r="I347" i="1" s="1"/>
  <c r="G348" i="1"/>
  <c r="H348" i="1" s="1"/>
  <c r="I348" i="1" s="1"/>
  <c r="G349" i="1"/>
  <c r="H349" i="1" s="1"/>
  <c r="I349" i="1" s="1"/>
  <c r="G350" i="1"/>
  <c r="H350" i="1" s="1"/>
  <c r="I350" i="1" s="1"/>
  <c r="G351" i="1"/>
  <c r="H351" i="1" s="1"/>
  <c r="I351" i="1" s="1"/>
  <c r="G352" i="1"/>
  <c r="H352" i="1" s="1"/>
  <c r="I352" i="1" s="1"/>
  <c r="G353" i="1"/>
  <c r="H353" i="1" s="1"/>
  <c r="I353" i="1" s="1"/>
  <c r="G354" i="1"/>
  <c r="H354" i="1" s="1"/>
  <c r="I354" i="1" s="1"/>
  <c r="G355" i="1"/>
  <c r="H355" i="1" s="1"/>
  <c r="I355" i="1" s="1"/>
  <c r="G356" i="1"/>
  <c r="H356" i="1" s="1"/>
  <c r="I356" i="1" s="1"/>
  <c r="G357" i="1"/>
  <c r="H357" i="1" s="1"/>
  <c r="I357" i="1" s="1"/>
  <c r="G358" i="1"/>
  <c r="H358" i="1" s="1"/>
  <c r="I358" i="1" s="1"/>
  <c r="G359" i="1"/>
  <c r="H359" i="1" s="1"/>
  <c r="I359" i="1" s="1"/>
  <c r="G360" i="1"/>
  <c r="H360" i="1" s="1"/>
  <c r="I360" i="1" s="1"/>
  <c r="G361" i="1"/>
  <c r="H361" i="1" s="1"/>
  <c r="I361" i="1" s="1"/>
  <c r="G362" i="1"/>
  <c r="H362" i="1" s="1"/>
  <c r="I362" i="1" s="1"/>
  <c r="G363" i="1"/>
  <c r="H363" i="1" s="1"/>
  <c r="I363" i="1" s="1"/>
  <c r="G364" i="1"/>
  <c r="H364" i="1" s="1"/>
  <c r="I364" i="1" s="1"/>
  <c r="G365" i="1"/>
  <c r="H365" i="1" s="1"/>
  <c r="I365" i="1" s="1"/>
  <c r="G366" i="1"/>
  <c r="H366" i="1" s="1"/>
  <c r="I366" i="1" s="1"/>
  <c r="G367" i="1"/>
  <c r="H367" i="1" s="1"/>
  <c r="I367" i="1" s="1"/>
  <c r="G368" i="1"/>
  <c r="H368" i="1" s="1"/>
  <c r="I368" i="1" s="1"/>
  <c r="G369" i="1"/>
  <c r="H369" i="1" s="1"/>
  <c r="I369" i="1" s="1"/>
  <c r="G370" i="1"/>
  <c r="H370" i="1" s="1"/>
  <c r="I370" i="1" s="1"/>
  <c r="G371" i="1"/>
  <c r="H371" i="1" s="1"/>
  <c r="I371" i="1" s="1"/>
  <c r="G372" i="1"/>
  <c r="H372" i="1" s="1"/>
  <c r="I372" i="1" s="1"/>
  <c r="G373" i="1"/>
  <c r="H373" i="1" s="1"/>
  <c r="I373" i="1" s="1"/>
  <c r="G374" i="1"/>
  <c r="H374" i="1" s="1"/>
  <c r="I374" i="1" s="1"/>
  <c r="G375" i="1"/>
  <c r="H375" i="1" s="1"/>
  <c r="I375" i="1" s="1"/>
  <c r="G376" i="1"/>
  <c r="H376" i="1" s="1"/>
  <c r="I376" i="1" s="1"/>
  <c r="G377" i="1"/>
  <c r="H377" i="1" s="1"/>
  <c r="I377" i="1" s="1"/>
  <c r="G378" i="1"/>
  <c r="H378" i="1" s="1"/>
  <c r="I378" i="1" s="1"/>
  <c r="G379" i="1"/>
  <c r="H379" i="1" s="1"/>
  <c r="I379" i="1" s="1"/>
  <c r="G380" i="1"/>
  <c r="H380" i="1" s="1"/>
  <c r="I380" i="1" s="1"/>
  <c r="G381" i="1"/>
  <c r="H381" i="1" s="1"/>
  <c r="I381" i="1" s="1"/>
  <c r="G382" i="1"/>
  <c r="H382" i="1" s="1"/>
  <c r="I382" i="1" s="1"/>
  <c r="G383" i="1"/>
  <c r="H383" i="1" s="1"/>
  <c r="I383" i="1" s="1"/>
  <c r="G384" i="1"/>
  <c r="H384" i="1" s="1"/>
  <c r="I384" i="1" s="1"/>
  <c r="G385" i="1"/>
  <c r="H385" i="1" s="1"/>
  <c r="I385" i="1" s="1"/>
  <c r="G386" i="1"/>
  <c r="H386" i="1" s="1"/>
  <c r="I386" i="1" s="1"/>
  <c r="G387" i="1"/>
  <c r="H387" i="1" s="1"/>
  <c r="I387" i="1" s="1"/>
  <c r="G388" i="1"/>
  <c r="H388" i="1" s="1"/>
  <c r="I388" i="1" s="1"/>
  <c r="G389" i="1"/>
  <c r="H389" i="1" s="1"/>
  <c r="I389" i="1" s="1"/>
  <c r="G390" i="1"/>
  <c r="H390" i="1" s="1"/>
  <c r="I390" i="1" s="1"/>
  <c r="G391" i="1"/>
  <c r="H391" i="1" s="1"/>
  <c r="I391" i="1" s="1"/>
  <c r="G392" i="1"/>
  <c r="H392" i="1" s="1"/>
  <c r="I392" i="1" s="1"/>
  <c r="G393" i="1"/>
  <c r="H393" i="1" s="1"/>
  <c r="I393" i="1" s="1"/>
  <c r="G394" i="1"/>
  <c r="H394" i="1" s="1"/>
  <c r="I394" i="1" s="1"/>
  <c r="G395" i="1"/>
  <c r="H395" i="1" s="1"/>
  <c r="I395" i="1" s="1"/>
  <c r="G396" i="1"/>
  <c r="H396" i="1" s="1"/>
  <c r="I396" i="1" s="1"/>
  <c r="G397" i="1"/>
  <c r="H397" i="1" s="1"/>
  <c r="I397" i="1" s="1"/>
  <c r="G398" i="1"/>
  <c r="H398" i="1" s="1"/>
  <c r="I398" i="1" s="1"/>
  <c r="G399" i="1"/>
  <c r="H399" i="1" s="1"/>
  <c r="I399" i="1" s="1"/>
  <c r="G400" i="1"/>
  <c r="H400" i="1" s="1"/>
  <c r="I400" i="1" s="1"/>
  <c r="G401" i="1"/>
  <c r="H401" i="1" s="1"/>
  <c r="I401" i="1" s="1"/>
  <c r="G402" i="1"/>
  <c r="H402" i="1" s="1"/>
  <c r="I402" i="1" s="1"/>
  <c r="G403" i="1"/>
  <c r="H403" i="1" s="1"/>
  <c r="I403" i="1" s="1"/>
  <c r="G404" i="1"/>
  <c r="H404" i="1" s="1"/>
  <c r="I404" i="1" s="1"/>
  <c r="G405" i="1"/>
  <c r="H405" i="1" s="1"/>
  <c r="I405" i="1" s="1"/>
  <c r="G406" i="1"/>
  <c r="H406" i="1" s="1"/>
  <c r="I406" i="1" s="1"/>
  <c r="G407" i="1"/>
  <c r="H407" i="1" s="1"/>
  <c r="I407" i="1" s="1"/>
  <c r="G408" i="1"/>
  <c r="H408" i="1" s="1"/>
  <c r="I408" i="1" s="1"/>
  <c r="G409" i="1"/>
  <c r="H409" i="1" s="1"/>
  <c r="I409" i="1" s="1"/>
  <c r="G410" i="1"/>
  <c r="H410" i="1" s="1"/>
  <c r="I410" i="1" s="1"/>
  <c r="G411" i="1"/>
  <c r="H411" i="1" s="1"/>
  <c r="I411" i="1" s="1"/>
  <c r="G412" i="1"/>
  <c r="H412" i="1" s="1"/>
  <c r="I412" i="1" s="1"/>
  <c r="G413" i="1"/>
  <c r="H413" i="1" s="1"/>
  <c r="I413" i="1" s="1"/>
  <c r="G414" i="1"/>
  <c r="H414" i="1" s="1"/>
  <c r="I414" i="1" s="1"/>
  <c r="G415" i="1"/>
  <c r="H415" i="1" s="1"/>
  <c r="I415" i="1" s="1"/>
  <c r="G416" i="1"/>
  <c r="H416" i="1" s="1"/>
  <c r="I416" i="1" s="1"/>
  <c r="G417" i="1"/>
  <c r="H417" i="1" s="1"/>
  <c r="I417" i="1" s="1"/>
  <c r="G418" i="1"/>
  <c r="H418" i="1" s="1"/>
  <c r="I418" i="1" s="1"/>
  <c r="G419" i="1"/>
  <c r="H419" i="1" s="1"/>
  <c r="I419" i="1" s="1"/>
  <c r="G420" i="1"/>
  <c r="H420" i="1" s="1"/>
  <c r="I420" i="1" s="1"/>
  <c r="G421" i="1"/>
  <c r="H421" i="1" s="1"/>
  <c r="I421" i="1" s="1"/>
  <c r="G72" i="1"/>
  <c r="H72" i="1" s="1"/>
  <c r="I72" i="1" s="1"/>
  <c r="G73" i="1"/>
  <c r="H73" i="1" s="1"/>
  <c r="I73" i="1" s="1"/>
  <c r="G74" i="1"/>
  <c r="H74" i="1" s="1"/>
  <c r="I74" i="1" s="1"/>
  <c r="G75" i="1"/>
  <c r="H75" i="1" s="1"/>
  <c r="I75" i="1" s="1"/>
  <c r="G76" i="1"/>
  <c r="H76" i="1" s="1"/>
  <c r="I76" i="1" s="1"/>
  <c r="G77" i="1"/>
  <c r="H77" i="1" s="1"/>
  <c r="I77" i="1" s="1"/>
  <c r="G78" i="1"/>
  <c r="H78" i="1" s="1"/>
  <c r="I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92" i="1"/>
  <c r="H92" i="1" s="1"/>
  <c r="I92" i="1" s="1"/>
  <c r="G93" i="1"/>
  <c r="H93" i="1" s="1"/>
  <c r="I93" i="1" s="1"/>
  <c r="G94" i="1"/>
  <c r="H94" i="1" s="1"/>
  <c r="I94" i="1" s="1"/>
  <c r="G95" i="1"/>
  <c r="H95" i="1" s="1"/>
  <c r="I95" i="1" s="1"/>
  <c r="G96" i="1"/>
  <c r="H96" i="1" s="1"/>
  <c r="I96" i="1" s="1"/>
  <c r="G97" i="1"/>
  <c r="H97" i="1" s="1"/>
  <c r="I97" i="1" s="1"/>
  <c r="G98" i="1"/>
  <c r="H98" i="1" s="1"/>
  <c r="I98" i="1" s="1"/>
  <c r="G99" i="1"/>
  <c r="H99" i="1" s="1"/>
  <c r="I99" i="1" s="1"/>
  <c r="G100" i="1"/>
  <c r="H100" i="1" s="1"/>
  <c r="I100" i="1" s="1"/>
  <c r="G101" i="1"/>
  <c r="H101" i="1" s="1"/>
  <c r="I101" i="1" s="1"/>
  <c r="G102" i="1"/>
  <c r="H102" i="1" s="1"/>
  <c r="I102" i="1" s="1"/>
  <c r="G103" i="1"/>
  <c r="H103" i="1" s="1"/>
  <c r="I103" i="1" s="1"/>
  <c r="G104" i="1"/>
  <c r="H104" i="1" s="1"/>
  <c r="I104" i="1" s="1"/>
  <c r="G105" i="1"/>
  <c r="H105" i="1" s="1"/>
  <c r="I105" i="1" s="1"/>
  <c r="G106" i="1"/>
  <c r="H106" i="1" s="1"/>
  <c r="I106" i="1" s="1"/>
  <c r="G38" i="1"/>
  <c r="H38" i="1" s="1"/>
  <c r="I38" i="1" s="1"/>
  <c r="G39" i="1"/>
  <c r="H39" i="1" s="1"/>
  <c r="I39" i="1" s="1"/>
  <c r="G40" i="1"/>
  <c r="H40" i="1" s="1"/>
  <c r="I40" i="1" s="1"/>
  <c r="G41" i="1"/>
  <c r="H41" i="1" s="1"/>
  <c r="I41" i="1" s="1"/>
  <c r="G42" i="1"/>
  <c r="H42" i="1" s="1"/>
  <c r="I42" i="1" s="1"/>
  <c r="G43" i="1"/>
  <c r="H43" i="1" s="1"/>
  <c r="I43" i="1" s="1"/>
  <c r="G44" i="1"/>
  <c r="H44" i="1" s="1"/>
  <c r="I44" i="1" s="1"/>
  <c r="G45" i="1"/>
  <c r="H45" i="1" s="1"/>
  <c r="I45" i="1" s="1"/>
  <c r="G46" i="1"/>
  <c r="H46" i="1" s="1"/>
  <c r="I46" i="1" s="1"/>
  <c r="G47" i="1"/>
  <c r="H47" i="1" s="1"/>
  <c r="I47" i="1" s="1"/>
  <c r="G48" i="1"/>
  <c r="H48" i="1" s="1"/>
  <c r="I48" i="1" s="1"/>
  <c r="G49" i="1"/>
  <c r="H49" i="1" s="1"/>
  <c r="I49" i="1" s="1"/>
  <c r="G50" i="1"/>
  <c r="H50" i="1" s="1"/>
  <c r="I50" i="1" s="1"/>
  <c r="G51" i="1"/>
  <c r="H51" i="1" s="1"/>
  <c r="I51" i="1" s="1"/>
  <c r="G52" i="1"/>
  <c r="H52" i="1" s="1"/>
  <c r="I52" i="1" s="1"/>
  <c r="G53" i="1"/>
  <c r="H53" i="1" s="1"/>
  <c r="I53" i="1" s="1"/>
  <c r="G54" i="1"/>
  <c r="H54" i="1" s="1"/>
  <c r="I54" i="1" s="1"/>
  <c r="G55" i="1"/>
  <c r="H55" i="1" s="1"/>
  <c r="I55" i="1" s="1"/>
  <c r="G56" i="1"/>
  <c r="H56" i="1" s="1"/>
  <c r="I56" i="1" s="1"/>
  <c r="G57" i="1"/>
  <c r="H57" i="1" s="1"/>
  <c r="I57" i="1" s="1"/>
  <c r="G58" i="1"/>
  <c r="H58" i="1" s="1"/>
  <c r="I58" i="1" s="1"/>
  <c r="G59" i="1"/>
  <c r="H59" i="1" s="1"/>
  <c r="I59" i="1" s="1"/>
  <c r="G60" i="1"/>
  <c r="H60" i="1" s="1"/>
  <c r="I60" i="1" s="1"/>
  <c r="G61" i="1"/>
  <c r="H61" i="1" s="1"/>
  <c r="I61" i="1" s="1"/>
  <c r="G62" i="1"/>
  <c r="H62" i="1" s="1"/>
  <c r="I62" i="1" s="1"/>
  <c r="G63" i="1"/>
  <c r="H63" i="1" s="1"/>
  <c r="I63" i="1" s="1"/>
  <c r="G64" i="1"/>
  <c r="H64" i="1" s="1"/>
  <c r="I64" i="1" s="1"/>
  <c r="G65" i="1"/>
  <c r="H65" i="1" s="1"/>
  <c r="I65" i="1" s="1"/>
  <c r="G66" i="1"/>
  <c r="H66" i="1" s="1"/>
  <c r="I66" i="1" s="1"/>
  <c r="G67" i="1"/>
  <c r="H67" i="1" s="1"/>
  <c r="I67" i="1" s="1"/>
  <c r="G68" i="1"/>
  <c r="H68" i="1" s="1"/>
  <c r="I68" i="1" s="1"/>
  <c r="G69" i="1"/>
  <c r="H69" i="1" s="1"/>
  <c r="I69" i="1" s="1"/>
  <c r="G70" i="1"/>
  <c r="H70" i="1" s="1"/>
  <c r="I70" i="1" s="1"/>
  <c r="G71" i="1"/>
  <c r="H71" i="1" s="1"/>
  <c r="I71" i="1" s="1"/>
  <c r="G37" i="1"/>
  <c r="H37" i="1" s="1"/>
  <c r="I37" i="1" s="1"/>
  <c r="G36" i="1"/>
  <c r="H36" i="1" s="1"/>
  <c r="I36" i="1" s="1"/>
  <c r="G35" i="1"/>
  <c r="H35" i="1" s="1"/>
  <c r="I35" i="1" s="1"/>
  <c r="G34" i="1"/>
  <c r="H34" i="1" s="1"/>
  <c r="I34" i="1" s="1"/>
  <c r="G33" i="1"/>
  <c r="H33" i="1" s="1"/>
  <c r="I33" i="1" s="1"/>
  <c r="G32" i="1"/>
  <c r="H32" i="1" s="1"/>
  <c r="I32" i="1" s="1"/>
  <c r="G31" i="1"/>
  <c r="H31" i="1" s="1"/>
  <c r="I31" i="1" s="1"/>
  <c r="G30" i="1"/>
  <c r="H30" i="1" s="1"/>
  <c r="I30" i="1" s="1"/>
  <c r="G29" i="1"/>
  <c r="H29" i="1" s="1"/>
  <c r="I29" i="1" s="1"/>
  <c r="G28" i="1"/>
  <c r="H28" i="1" s="1"/>
  <c r="I28" i="1" s="1"/>
  <c r="G27" i="1"/>
  <c r="H27" i="1" s="1"/>
  <c r="I27" i="1" s="1"/>
  <c r="G26" i="1"/>
  <c r="H26" i="1" s="1"/>
  <c r="I26" i="1" s="1"/>
  <c r="G25" i="1"/>
  <c r="H25" i="1" s="1"/>
  <c r="I25" i="1" s="1"/>
  <c r="G24" i="1"/>
  <c r="H24" i="1" s="1"/>
  <c r="I24" i="1" s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17" i="1"/>
  <c r="H17" i="1" s="1"/>
  <c r="I17" i="1" s="1"/>
  <c r="G16" i="1"/>
  <c r="H16" i="1" s="1"/>
  <c r="I16" i="1" s="1"/>
  <c r="G15" i="1"/>
  <c r="H15" i="1" s="1"/>
  <c r="I15" i="1" s="1"/>
  <c r="G14" i="1"/>
  <c r="H14" i="1" s="1"/>
  <c r="I14" i="1" s="1"/>
  <c r="G13" i="1"/>
  <c r="H13" i="1" s="1"/>
  <c r="I13" i="1" s="1"/>
  <c r="G12" i="1"/>
  <c r="H12" i="1" s="1"/>
  <c r="I12" i="1" s="1"/>
  <c r="G11" i="1"/>
  <c r="H11" i="1" s="1"/>
  <c r="I11" i="1" s="1"/>
  <c r="G10" i="1"/>
  <c r="H10" i="1" s="1"/>
  <c r="I10" i="1" s="1"/>
  <c r="G9" i="1"/>
  <c r="H9" i="1" s="1"/>
  <c r="I9" i="1" s="1"/>
  <c r="G8" i="1"/>
  <c r="H8" i="1" s="1"/>
  <c r="I8" i="1" s="1"/>
  <c r="G7" i="1"/>
  <c r="H7" i="1" s="1"/>
  <c r="I7" i="1" s="1"/>
  <c r="G6" i="1"/>
  <c r="H6" i="1" s="1"/>
  <c r="I6" i="1" s="1"/>
  <c r="G5" i="1"/>
  <c r="H5" i="1" s="1"/>
  <c r="I5" i="1" s="1"/>
  <c r="G4" i="1"/>
  <c r="H4" i="1" s="1"/>
  <c r="I4" i="1" s="1"/>
  <c r="G3" i="1"/>
  <c r="H3" i="1" s="1"/>
  <c r="I3" i="1" s="1"/>
  <c r="G2" i="1"/>
  <c r="H2" i="1" s="1"/>
  <c r="I2" i="1" s="1"/>
</calcChain>
</file>

<file path=xl/sharedStrings.xml><?xml version="1.0" encoding="utf-8"?>
<sst xmlns="http://schemas.openxmlformats.org/spreadsheetml/2006/main" count="6464" uniqueCount="87">
  <si>
    <t>Oldname</t>
  </si>
  <si>
    <t>RUNINFO</t>
  </si>
  <si>
    <t>Name</t>
  </si>
  <si>
    <t>Treatment</t>
  </si>
  <si>
    <t>Replicate</t>
  </si>
  <si>
    <t>FA_µg_sample</t>
  </si>
  <si>
    <t>µg_FA_per_mg</t>
  </si>
  <si>
    <t>C08:0</t>
  </si>
  <si>
    <t>NC</t>
  </si>
  <si>
    <t>C10:0</t>
  </si>
  <si>
    <t>C11:0</t>
  </si>
  <si>
    <t>C12:0</t>
  </si>
  <si>
    <t>C13:0</t>
  </si>
  <si>
    <t>C14:0</t>
  </si>
  <si>
    <t>C14:1</t>
  </si>
  <si>
    <t>C15:0</t>
  </si>
  <si>
    <t>C15:1</t>
  </si>
  <si>
    <t>C16:0</t>
  </si>
  <si>
    <t>C16:1</t>
  </si>
  <si>
    <t>C17:0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</si>
  <si>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</si>
  <si>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</si>
  <si>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</si>
  <si>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</si>
  <si>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</si>
  <si>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</si>
  <si>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</si>
  <si>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</si>
  <si>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</si>
  <si>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</si>
  <si>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</si>
  <si>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</si>
  <si>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</si>
  <si>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</si>
  <si>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</si>
  <si>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</si>
  <si>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</si>
  <si>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</si>
  <si>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</si>
  <si>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</si>
  <si>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</si>
  <si>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</si>
  <si>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</si>
  <si>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B_1</t>
  </si>
  <si>
    <t>W1NC</t>
  </si>
  <si>
    <t>Week</t>
  </si>
  <si>
    <t>W1Cip</t>
  </si>
  <si>
    <t>B_2</t>
  </si>
  <si>
    <t>W1Pro</t>
  </si>
  <si>
    <t>B_3</t>
  </si>
  <si>
    <t>Pro</t>
  </si>
  <si>
    <t>Cip</t>
  </si>
  <si>
    <t>W1Mix</t>
  </si>
  <si>
    <t>B_4</t>
  </si>
  <si>
    <t>Mix</t>
  </si>
  <si>
    <t>B_5</t>
  </si>
  <si>
    <t>B_6</t>
  </si>
  <si>
    <t>B_7</t>
  </si>
  <si>
    <t>B_8</t>
  </si>
  <si>
    <t>W2NC</t>
  </si>
  <si>
    <t>W2Cip</t>
  </si>
  <si>
    <t>W2Pro</t>
  </si>
  <si>
    <t>W2Mix</t>
  </si>
  <si>
    <t>W3NC</t>
  </si>
  <si>
    <t>W3Cip</t>
  </si>
  <si>
    <t>W3Pro</t>
  </si>
  <si>
    <t>W3Mix</t>
  </si>
  <si>
    <t>B_9</t>
  </si>
  <si>
    <t>B_10</t>
  </si>
  <si>
    <t>B_11</t>
  </si>
  <si>
    <t>B_12</t>
  </si>
  <si>
    <t>a) in Spalte FA_ug_sample, bei #NV Angabe stand in Patricks aufgeräumter Liste "ND"</t>
  </si>
  <si>
    <t>b) negative values set to 0 (as there was a data, but the blank median was higher)</t>
  </si>
  <si>
    <t>median</t>
  </si>
  <si>
    <t>Blank1</t>
  </si>
  <si>
    <t>NA</t>
  </si>
  <si>
    <t>Blank2</t>
  </si>
  <si>
    <t>Blank3</t>
  </si>
  <si>
    <t>blank deduction</t>
  </si>
  <si>
    <t>negative values?</t>
  </si>
  <si>
    <t>Neu FA_µg_sample</t>
  </si>
  <si>
    <t>Alt FA_µg_sample</t>
  </si>
  <si>
    <t>replicate</t>
  </si>
  <si>
    <t>fa</t>
  </si>
  <si>
    <t>week</t>
  </si>
  <si>
    <t>treatment</t>
  </si>
  <si>
    <t>fa_conc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</si>
</sst>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2" fontId="0" fillId="3" borderId="0" xfId="0" applyNumberFormat="1" applyFill="1"/>
    <xf numFmtId="0" fontId="0" fillId="0" borderId="0" xfId="0" applyAlignment="1">
      <alignment vertical="center"/>
    </xf>
    <xf numFmtId="0" fontId="0" fillId="0" borderId="1" xfId="0" applyBorder="1"/>
    <xf numFmtId="165" fontId="0" fillId="0" borderId="0" xfId="0" applyNumberFormat="1"/>
    <xf numFmtId="165" fontId="0" fillId="0" borderId="1" xfId="0" applyNumberFormat="1" applyBorder="1"/>
    <xf numFmtId="164" fontId="0" fillId="4" borderId="0" xfId="0" applyNumberFormat="1" applyFill="1"/>
    <xf numFmtId="165" fontId="0" fillId="4" borderId="0" xfId="0" applyNumberFormat="1" applyFill="1"/>
    <xf numFmtId="165" fontId="0" fillId="4" borderId="1" xfId="0" applyNumberFormat="1" applyFill="1" applyBorder="1"/>
    <xf numFmtId="0" fontId="0" fillId="4" borderId="0" xfId="0" applyFill="1"/>
    <xf numFmtId="0" fontId="0" fillId="4" borderId="1" xfId="0" applyFill="1" applyBorder="1"/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5E16-E609-4CF4-9CBC-2265370A3C75}">
  <dimension ref="A1:L421"/>
  <sheetViews>
    <sheetView workbookViewId="0">
      <selection activeCell="L1" sqref="L1:Q4"/>
    </sheetView>
  </sheetViews>
  <sheetFormatPr baseColWidth="10" defaultRowHeight="14.5" x14ac:dyDescent="0.35"/>
  <cols>
    <col min="6" max="8" width="23.6328125" customWidth="1"/>
    <col min="9" max="9" width="21.1796875" customWidth="1"/>
  </cols>
  <sheetData>
    <row r="1" spans="1:12" ht="27.5" customHeight="1" x14ac:dyDescent="0.35">
      <c r="A1" t="s">
        <v>0</v>
      </c>
      <c r="B1" s="1" t="s">
        <v>1</v>
      </c>
      <c r="C1" s="2" t="s">
        <v>2</v>
      </c>
      <c r="D1" s="1" t="s">
        <v>3</v>
      </c>
      <c r="E1" s="1" t="s">
        <v>45</v>
      </c>
      <c r="F1" s="3" t="s">
        <v>5</v>
      </c>
      <c r="G1" s="3" t="s">
        <v>78</v>
      </c>
      <c r="H1" s="3" t="s">
        <v>79</v>
      </c>
      <c r="I1" s="6" t="s">
        <v>6</v>
      </c>
      <c r="L1" s="4" t="s">
        <v>71</v>
      </c>
    </row>
    <row r="2" spans="1:12" x14ac:dyDescent="0.35">
      <c r="A2" t="s">
        <v>44</v>
      </c>
      <c r="B2" t="s">
        <v>43</v>
      </c>
      <c r="C2" t="s">
        <v>7</v>
      </c>
      <c r="D2" t="s">
        <v>8</v>
      </c>
      <c r="E2">
        <v>1</v>
      </c>
      <c r="F2">
        <v>8.4897928</v>
      </c>
      <c r="G2">
        <f>IFERROR(F2-'Alt Blanks'!$I$2,F2)</f>
        <v>1.7832516999999992</v>
      </c>
      <c r="H2">
        <f t="shared" ref="H2:H8" si="0">IF(G2&lt;0,0,G2)</f>
        <v>1.7832516999999992</v>
      </c>
      <c r="I2">
        <f>H2/2</f>
        <v>0.89162584999999961</v>
      </c>
      <c r="L2" t="s">
        <v>72</v>
      </c>
    </row>
    <row r="3" spans="1:12" x14ac:dyDescent="0.35">
      <c r="A3" t="s">
        <v>44</v>
      </c>
      <c r="B3" t="s">
        <v>43</v>
      </c>
      <c r="C3" t="s">
        <v>9</v>
      </c>
      <c r="D3" t="s">
        <v>8</v>
      </c>
      <c r="E3">
        <v>1</v>
      </c>
      <c r="F3">
        <v>3.5278461000000001</v>
      </c>
      <c r="G3">
        <f>IFERROR(F3-'Alt Blanks'!$I$3,F3)</f>
        <v>3.5278461000000001</v>
      </c>
      <c r="H3">
        <f t="shared" si="0"/>
        <v>3.5278461000000001</v>
      </c>
      <c r="I3">
        <f>H3/2</f>
        <v>1.76392305</v>
      </c>
    </row>
    <row r="4" spans="1:12" x14ac:dyDescent="0.35">
      <c r="A4" t="s">
        <v>44</v>
      </c>
      <c r="B4" t="s">
        <v>43</v>
      </c>
      <c r="C4" t="s">
        <v>10</v>
      </c>
      <c r="D4" t="s">
        <v>8</v>
      </c>
      <c r="E4">
        <v>1</v>
      </c>
      <c r="F4">
        <v>0.26215820000000001</v>
      </c>
      <c r="G4">
        <f>IFERROR(F4-'Alt Blanks'!$I$4,F4)</f>
        <v>0.26215820000000001</v>
      </c>
      <c r="H4">
        <f t="shared" si="0"/>
        <v>0.26215820000000001</v>
      </c>
      <c r="I4">
        <f>H4/2</f>
        <v>0.1310791</v>
      </c>
    </row>
    <row r="5" spans="1:12" x14ac:dyDescent="0.35">
      <c r="A5" t="s">
        <v>44</v>
      </c>
      <c r="B5" t="s">
        <v>43</v>
      </c>
      <c r="C5" t="s">
        <v>11</v>
      </c>
      <c r="D5" t="s">
        <v>8</v>
      </c>
      <c r="E5">
        <v>1</v>
      </c>
      <c r="F5">
        <v>17.347754000000002</v>
      </c>
      <c r="G5">
        <f>IFERROR(F5-'Alt Blanks'!$I$5,F5)</f>
        <v>17.347754000000002</v>
      </c>
      <c r="H5">
        <f t="shared" si="0"/>
        <v>17.347754000000002</v>
      </c>
      <c r="I5">
        <f t="shared" ref="I5:I68" si="1">H5/2</f>
        <v>8.6738770000000009</v>
      </c>
    </row>
    <row r="6" spans="1:12" x14ac:dyDescent="0.35">
      <c r="A6" t="s">
        <v>44</v>
      </c>
      <c r="B6" t="s">
        <v>43</v>
      </c>
      <c r="C6" t="s">
        <v>12</v>
      </c>
      <c r="D6" t="s">
        <v>8</v>
      </c>
      <c r="E6">
        <v>1</v>
      </c>
      <c r="F6">
        <v>89.994023100000007</v>
      </c>
      <c r="G6">
        <f>IFERROR(F6-'Alt Blanks'!$I$6,F6)</f>
        <v>89.994023100000007</v>
      </c>
      <c r="H6">
        <f t="shared" si="0"/>
        <v>89.994023100000007</v>
      </c>
      <c r="I6">
        <f t="shared" si="1"/>
        <v>44.997011550000003</v>
      </c>
    </row>
    <row r="7" spans="1:12" x14ac:dyDescent="0.35">
      <c r="A7" t="s">
        <v>44</v>
      </c>
      <c r="B7" t="s">
        <v>43</v>
      </c>
      <c r="C7" t="s">
        <v>13</v>
      </c>
      <c r="D7" t="s">
        <v>8</v>
      </c>
      <c r="E7">
        <v>1</v>
      </c>
      <c r="F7">
        <v>260.69207849999998</v>
      </c>
      <c r="G7">
        <f>IFERROR(F7-'Alt Blanks'!$I$7,F7)</f>
        <v>260.69207849999998</v>
      </c>
      <c r="H7">
        <f t="shared" si="0"/>
        <v>260.69207849999998</v>
      </c>
      <c r="I7">
        <f t="shared" si="1"/>
        <v>130.34603924999999</v>
      </c>
    </row>
    <row r="8" spans="1:12" x14ac:dyDescent="0.35">
      <c r="A8" t="s">
        <v>44</v>
      </c>
      <c r="B8" t="s">
        <v>43</v>
      </c>
      <c r="C8" t="s">
        <v>14</v>
      </c>
      <c r="D8" t="s">
        <v>8</v>
      </c>
      <c r="E8">
        <v>1</v>
      </c>
      <c r="F8">
        <v>0</v>
      </c>
      <c r="G8">
        <f>IFERROR(F8-'Alt Blanks'!$I$8,F8)</f>
        <v>0</v>
      </c>
      <c r="H8">
        <f t="shared" si="0"/>
        <v>0</v>
      </c>
      <c r="I8">
        <f t="shared" si="1"/>
        <v>0</v>
      </c>
    </row>
    <row r="9" spans="1:12" x14ac:dyDescent="0.35">
      <c r="A9" t="s">
        <v>44</v>
      </c>
      <c r="B9" t="s">
        <v>43</v>
      </c>
      <c r="C9" t="s">
        <v>15</v>
      </c>
      <c r="D9" t="s">
        <v>8</v>
      </c>
      <c r="E9">
        <v>1</v>
      </c>
      <c r="F9">
        <v>11.053502</v>
      </c>
      <c r="G9">
        <f>IFERROR(F9-'Alt Blanks'!$I$9,F9)</f>
        <v>11.053502</v>
      </c>
      <c r="H9">
        <f t="shared" ref="H9:H72" si="2">IF(G9&lt;0,0,G9)</f>
        <v>11.053502</v>
      </c>
      <c r="I9">
        <f t="shared" si="1"/>
        <v>5.526751</v>
      </c>
    </row>
    <row r="10" spans="1:12" x14ac:dyDescent="0.35">
      <c r="A10" t="s">
        <v>44</v>
      </c>
      <c r="B10" t="s">
        <v>43</v>
      </c>
      <c r="C10" t="s">
        <v>16</v>
      </c>
      <c r="D10" t="s">
        <v>8</v>
      </c>
      <c r="E10">
        <v>1</v>
      </c>
      <c r="F10">
        <v>0</v>
      </c>
      <c r="G10">
        <f>IFERROR(F10-'Alt Blanks'!$I$10,F10)</f>
        <v>0</v>
      </c>
      <c r="H10">
        <f t="shared" si="2"/>
        <v>0</v>
      </c>
      <c r="I10">
        <f t="shared" si="1"/>
        <v>0</v>
      </c>
    </row>
    <row r="11" spans="1:12" x14ac:dyDescent="0.35">
      <c r="A11" t="s">
        <v>44</v>
      </c>
      <c r="B11" t="s">
        <v>43</v>
      </c>
      <c r="C11" t="s">
        <v>17</v>
      </c>
      <c r="D11" t="s">
        <v>8</v>
      </c>
      <c r="E11">
        <v>1</v>
      </c>
      <c r="F11">
        <v>3439.1469898999999</v>
      </c>
      <c r="G11">
        <f>IFERROR(F11-'Alt Blanks'!$I$11,F11)</f>
        <v>2633.9303001999997</v>
      </c>
      <c r="H11">
        <f t="shared" si="2"/>
        <v>2633.9303001999997</v>
      </c>
      <c r="I11">
        <f t="shared" si="1"/>
        <v>1316.9651500999998</v>
      </c>
    </row>
    <row r="12" spans="1:12" x14ac:dyDescent="0.35">
      <c r="A12" t="s">
        <v>44</v>
      </c>
      <c r="B12" t="s">
        <v>43</v>
      </c>
      <c r="C12" t="s">
        <v>18</v>
      </c>
      <c r="D12" t="s">
        <v>8</v>
      </c>
      <c r="E12">
        <v>1</v>
      </c>
      <c r="F12">
        <v>412.95174489999999</v>
      </c>
      <c r="G12">
        <f>IFERROR(F12-'Alt Blanks'!$I$12,F12)</f>
        <v>412.95174489999999</v>
      </c>
      <c r="H12">
        <f t="shared" si="2"/>
        <v>412.95174489999999</v>
      </c>
      <c r="I12">
        <f t="shared" si="1"/>
        <v>206.47587245</v>
      </c>
    </row>
    <row r="13" spans="1:12" x14ac:dyDescent="0.35">
      <c r="A13" t="s">
        <v>44</v>
      </c>
      <c r="B13" t="s">
        <v>43</v>
      </c>
      <c r="C13" t="s">
        <v>19</v>
      </c>
      <c r="D13" t="s">
        <v>8</v>
      </c>
      <c r="E13">
        <v>1</v>
      </c>
      <c r="F13">
        <v>12.4028837</v>
      </c>
      <c r="G13">
        <f>IFERROR(F13-'Alt Blanks'!$I$13,F13)</f>
        <v>11.5501702</v>
      </c>
      <c r="H13">
        <f t="shared" si="2"/>
        <v>11.5501702</v>
      </c>
      <c r="I13">
        <f t="shared" si="1"/>
        <v>5.7750851000000001</v>
      </c>
    </row>
    <row r="14" spans="1:12" x14ac:dyDescent="0.35">
      <c r="A14" t="s">
        <v>44</v>
      </c>
      <c r="B14" t="s">
        <v>43</v>
      </c>
      <c r="C14" t="s">
        <v>20</v>
      </c>
      <c r="D14" t="s">
        <v>8</v>
      </c>
      <c r="E14">
        <v>1</v>
      </c>
      <c r="F14">
        <v>13.9425282</v>
      </c>
      <c r="G14">
        <f>IFERROR(F14-'Alt Blanks'!$I$14,F14)</f>
        <v>13.9425282</v>
      </c>
      <c r="H14">
        <f t="shared" si="2"/>
        <v>13.9425282</v>
      </c>
      <c r="I14">
        <f t="shared" si="1"/>
        <v>6.9712641</v>
      </c>
    </row>
    <row r="15" spans="1:12" x14ac:dyDescent="0.35">
      <c r="A15" t="s">
        <v>44</v>
      </c>
      <c r="B15" t="s">
        <v>43</v>
      </c>
      <c r="C15" t="s">
        <v>21</v>
      </c>
      <c r="D15" t="s">
        <v>8</v>
      </c>
      <c r="E15">
        <v>1</v>
      </c>
      <c r="F15">
        <v>546.45375150000007</v>
      </c>
      <c r="G15">
        <f>IFERROR(F15-'Alt Blanks'!$I$15,F15)</f>
        <v>277.83035440000009</v>
      </c>
      <c r="H15">
        <f t="shared" si="2"/>
        <v>277.83035440000009</v>
      </c>
      <c r="I15">
        <f t="shared" si="1"/>
        <v>138.91517720000004</v>
      </c>
    </row>
    <row r="16" spans="1:12" x14ac:dyDescent="0.35">
      <c r="A16" t="s">
        <v>44</v>
      </c>
      <c r="B16" t="s">
        <v>43</v>
      </c>
      <c r="C16" t="s">
        <v>22</v>
      </c>
      <c r="D16" t="s">
        <v>8</v>
      </c>
      <c r="E16">
        <v>1</v>
      </c>
      <c r="F16">
        <v>1231.4861953</v>
      </c>
      <c r="G16">
        <f>IFERROR(F16-'Alt Blanks'!$I$16,F16)</f>
        <v>1213.0202821</v>
      </c>
      <c r="H16">
        <f t="shared" si="2"/>
        <v>1213.0202821</v>
      </c>
      <c r="I16">
        <f t="shared" si="1"/>
        <v>606.51014105000002</v>
      </c>
    </row>
    <row r="17" spans="1:9" x14ac:dyDescent="0.35">
      <c r="A17" t="s">
        <v>44</v>
      </c>
      <c r="B17" t="s">
        <v>43</v>
      </c>
      <c r="C17" t="s">
        <v>23</v>
      </c>
      <c r="D17" t="s">
        <v>8</v>
      </c>
      <c r="E17">
        <v>1</v>
      </c>
      <c r="F17">
        <v>0.26798680000000002</v>
      </c>
      <c r="G17">
        <f>IFERROR(F17-'Alt Blanks'!$I$17,F17)</f>
        <v>-6.3966599999999985E-2</v>
      </c>
      <c r="H17">
        <f t="shared" si="2"/>
        <v>0</v>
      </c>
      <c r="I17">
        <f t="shared" si="1"/>
        <v>0</v>
      </c>
    </row>
    <row r="18" spans="1:9" x14ac:dyDescent="0.35">
      <c r="A18" t="s">
        <v>44</v>
      </c>
      <c r="B18" t="s">
        <v>43</v>
      </c>
      <c r="C18" t="s">
        <v>24</v>
      </c>
      <c r="D18" t="s">
        <v>8</v>
      </c>
      <c r="E18">
        <v>1</v>
      </c>
      <c r="F18">
        <v>1203.1442397000001</v>
      </c>
      <c r="G18">
        <f>IFERROR(F18-'Alt Blanks'!$I$18,F18)</f>
        <v>1197.1407801</v>
      </c>
      <c r="H18">
        <f t="shared" si="2"/>
        <v>1197.1407801</v>
      </c>
      <c r="I18">
        <f t="shared" si="1"/>
        <v>598.57039005000001</v>
      </c>
    </row>
    <row r="19" spans="1:9" x14ac:dyDescent="0.35">
      <c r="A19" t="s">
        <v>44</v>
      </c>
      <c r="B19" t="s">
        <v>43</v>
      </c>
      <c r="C19" t="s">
        <v>25</v>
      </c>
      <c r="D19" t="s">
        <v>8</v>
      </c>
      <c r="E19">
        <v>1</v>
      </c>
      <c r="F19">
        <v>104.461106</v>
      </c>
      <c r="G19">
        <f>IFERROR(F19-'Alt Blanks'!$I$19,F19)</f>
        <v>104.461106</v>
      </c>
      <c r="H19">
        <f t="shared" si="2"/>
        <v>104.461106</v>
      </c>
      <c r="I19">
        <f t="shared" si="1"/>
        <v>52.230553</v>
      </c>
    </row>
    <row r="20" spans="1:9" x14ac:dyDescent="0.35">
      <c r="A20" t="s">
        <v>44</v>
      </c>
      <c r="B20" t="s">
        <v>43</v>
      </c>
      <c r="C20" t="s">
        <v>26</v>
      </c>
      <c r="D20" t="s">
        <v>8</v>
      </c>
      <c r="E20">
        <v>1</v>
      </c>
      <c r="F20">
        <v>1589.8427466999999</v>
      </c>
      <c r="G20">
        <f>IFERROR(F20-'Alt Blanks'!$I$20,F20)</f>
        <v>1587.9047713</v>
      </c>
      <c r="H20">
        <f t="shared" si="2"/>
        <v>1587.9047713</v>
      </c>
      <c r="I20">
        <f t="shared" si="1"/>
        <v>793.95238565</v>
      </c>
    </row>
    <row r="21" spans="1:9" x14ac:dyDescent="0.35">
      <c r="A21" t="s">
        <v>44</v>
      </c>
      <c r="B21" t="s">
        <v>43</v>
      </c>
      <c r="C21" t="s">
        <v>27</v>
      </c>
      <c r="D21" t="s">
        <v>8</v>
      </c>
      <c r="E21">
        <v>1</v>
      </c>
      <c r="F21">
        <v>119.4432929</v>
      </c>
      <c r="G21">
        <f>IFERROR(F21-'Alt Blanks'!$I$21,F21)</f>
        <v>119.2287838</v>
      </c>
      <c r="H21">
        <f t="shared" si="2"/>
        <v>119.2287838</v>
      </c>
      <c r="I21">
        <f t="shared" si="1"/>
        <v>59.614391900000001</v>
      </c>
    </row>
    <row r="22" spans="1:9" x14ac:dyDescent="0.35">
      <c r="A22" t="s">
        <v>44</v>
      </c>
      <c r="B22" t="s">
        <v>43</v>
      </c>
      <c r="C22" t="s">
        <v>28</v>
      </c>
      <c r="D22" t="s">
        <v>8</v>
      </c>
      <c r="E22">
        <v>1</v>
      </c>
      <c r="F22">
        <v>38.122469599999995</v>
      </c>
      <c r="G22">
        <f>IFERROR(F22-'Alt Blanks'!$I$22,F22)</f>
        <v>36.527748199999998</v>
      </c>
      <c r="H22">
        <f t="shared" si="2"/>
        <v>36.527748199999998</v>
      </c>
      <c r="I22">
        <f t="shared" si="1"/>
        <v>18.263874099999999</v>
      </c>
    </row>
    <row r="23" spans="1:9" x14ac:dyDescent="0.35">
      <c r="A23" t="s">
        <v>44</v>
      </c>
      <c r="B23" t="s">
        <v>43</v>
      </c>
      <c r="C23" t="s">
        <v>29</v>
      </c>
      <c r="D23" t="s">
        <v>8</v>
      </c>
      <c r="E23">
        <v>1</v>
      </c>
      <c r="F23">
        <v>25.829833799999999</v>
      </c>
      <c r="G23">
        <f>IFERROR(F23-'Alt Blanks'!$I$23,F23)</f>
        <v>25.7090964</v>
      </c>
      <c r="H23">
        <f t="shared" si="2"/>
        <v>25.7090964</v>
      </c>
      <c r="I23">
        <f t="shared" si="1"/>
        <v>12.8545482</v>
      </c>
    </row>
    <row r="24" spans="1:9" x14ac:dyDescent="0.35">
      <c r="A24" t="s">
        <v>44</v>
      </c>
      <c r="B24" t="s">
        <v>43</v>
      </c>
      <c r="C24" t="s">
        <v>30</v>
      </c>
      <c r="D24" t="s">
        <v>8</v>
      </c>
      <c r="E24">
        <v>1</v>
      </c>
      <c r="F24">
        <v>17.306898099999998</v>
      </c>
      <c r="G24">
        <f>IFERROR(F24-'Alt Blanks'!$I$24,F24)</f>
        <v>17.059728499999999</v>
      </c>
      <c r="H24">
        <f t="shared" si="2"/>
        <v>17.059728499999999</v>
      </c>
      <c r="I24">
        <f t="shared" si="1"/>
        <v>8.5298642499999993</v>
      </c>
    </row>
    <row r="25" spans="1:9" x14ac:dyDescent="0.35">
      <c r="A25" t="s">
        <v>44</v>
      </c>
      <c r="B25" t="s">
        <v>43</v>
      </c>
      <c r="C25" t="s">
        <v>31</v>
      </c>
      <c r="D25" t="s">
        <v>8</v>
      </c>
      <c r="E25">
        <v>1</v>
      </c>
      <c r="F25">
        <v>4.9322325000000005</v>
      </c>
      <c r="G25">
        <f>IFERROR(F25-'Alt Blanks'!$I$25,F25)</f>
        <v>4.4599917000000007</v>
      </c>
      <c r="H25">
        <f t="shared" si="2"/>
        <v>4.4599917000000007</v>
      </c>
      <c r="I25">
        <f t="shared" si="1"/>
        <v>2.2299958500000003</v>
      </c>
    </row>
    <row r="26" spans="1:9" x14ac:dyDescent="0.35">
      <c r="A26" t="s">
        <v>44</v>
      </c>
      <c r="B26" t="s">
        <v>43</v>
      </c>
      <c r="C26" t="s">
        <v>32</v>
      </c>
      <c r="D26" t="s">
        <v>8</v>
      </c>
      <c r="E26">
        <v>1</v>
      </c>
      <c r="F26">
        <v>34.410478300000001</v>
      </c>
      <c r="G26">
        <f>IFERROR(F26-'Alt Blanks'!$I$26,F26)</f>
        <v>33.830302000000003</v>
      </c>
      <c r="H26">
        <f t="shared" si="2"/>
        <v>33.830302000000003</v>
      </c>
      <c r="I26">
        <f t="shared" si="1"/>
        <v>16.915151000000002</v>
      </c>
    </row>
    <row r="27" spans="1:9" x14ac:dyDescent="0.35">
      <c r="A27" t="s">
        <v>44</v>
      </c>
      <c r="B27" t="s">
        <v>43</v>
      </c>
      <c r="C27" t="s">
        <v>33</v>
      </c>
      <c r="D27" t="s">
        <v>8</v>
      </c>
      <c r="E27">
        <v>1</v>
      </c>
      <c r="F27">
        <v>0</v>
      </c>
      <c r="G27">
        <f>IFERROR(F27-'Alt Blanks'!$I$27,F27)</f>
        <v>0</v>
      </c>
      <c r="H27">
        <f t="shared" si="2"/>
        <v>0</v>
      </c>
      <c r="I27">
        <f t="shared" si="1"/>
        <v>0</v>
      </c>
    </row>
    <row r="28" spans="1:9" x14ac:dyDescent="0.35">
      <c r="A28" t="s">
        <v>44</v>
      </c>
      <c r="B28" t="s">
        <v>43</v>
      </c>
      <c r="C28" t="s">
        <v>34</v>
      </c>
      <c r="D28" t="s">
        <v>8</v>
      </c>
      <c r="E28">
        <v>1</v>
      </c>
      <c r="F28">
        <v>0</v>
      </c>
      <c r="G28">
        <f>IFERROR(F28-'Alt Blanks'!$I$28,F28)</f>
        <v>0</v>
      </c>
      <c r="H28">
        <f t="shared" si="2"/>
        <v>0</v>
      </c>
      <c r="I28">
        <f t="shared" si="1"/>
        <v>0</v>
      </c>
    </row>
    <row r="29" spans="1:9" x14ac:dyDescent="0.35">
      <c r="A29" t="s">
        <v>44</v>
      </c>
      <c r="B29" t="s">
        <v>43</v>
      </c>
      <c r="C29" t="s">
        <v>35</v>
      </c>
      <c r="D29" t="s">
        <v>8</v>
      </c>
      <c r="E29">
        <v>1</v>
      </c>
      <c r="F29">
        <v>93.22772040000001</v>
      </c>
      <c r="G29">
        <f>IFERROR(F29-'Alt Blanks'!$I$29,F29)</f>
        <v>92.61609940000001</v>
      </c>
      <c r="H29">
        <f t="shared" si="2"/>
        <v>92.61609940000001</v>
      </c>
      <c r="I29">
        <f t="shared" si="1"/>
        <v>46.308049700000005</v>
      </c>
    </row>
    <row r="30" spans="1:9" x14ac:dyDescent="0.35">
      <c r="A30" t="s">
        <v>44</v>
      </c>
      <c r="B30" t="s">
        <v>43</v>
      </c>
      <c r="C30" t="s">
        <v>36</v>
      </c>
      <c r="D30" t="s">
        <v>8</v>
      </c>
      <c r="E30">
        <v>1</v>
      </c>
      <c r="F30">
        <v>7.7498567999999999</v>
      </c>
      <c r="G30">
        <f>IFERROR(F30-'Alt Blanks'!$I$30,F30)</f>
        <v>7.7498567999999999</v>
      </c>
      <c r="H30">
        <f t="shared" si="2"/>
        <v>7.7498567999999999</v>
      </c>
      <c r="I30">
        <f t="shared" si="1"/>
        <v>3.8749283999999999</v>
      </c>
    </row>
    <row r="31" spans="1:9" x14ac:dyDescent="0.35">
      <c r="A31" t="s">
        <v>44</v>
      </c>
      <c r="B31" t="s">
        <v>43</v>
      </c>
      <c r="C31" t="s">
        <v>37</v>
      </c>
      <c r="D31" t="s">
        <v>8</v>
      </c>
      <c r="E31">
        <v>1</v>
      </c>
      <c r="F31">
        <v>72.887250199999997</v>
      </c>
      <c r="G31">
        <f>IFERROR(F31-'Alt Blanks'!$I$31,F31)</f>
        <v>-29.567383399999997</v>
      </c>
      <c r="H31">
        <f t="shared" si="2"/>
        <v>0</v>
      </c>
      <c r="I31">
        <f t="shared" si="1"/>
        <v>0</v>
      </c>
    </row>
    <row r="32" spans="1:9" x14ac:dyDescent="0.35">
      <c r="A32" t="s">
        <v>44</v>
      </c>
      <c r="B32" t="s">
        <v>43</v>
      </c>
      <c r="C32" t="s">
        <v>38</v>
      </c>
      <c r="D32" t="s">
        <v>8</v>
      </c>
      <c r="E32">
        <v>1</v>
      </c>
      <c r="F32">
        <v>1.9283764000000001</v>
      </c>
      <c r="G32">
        <f>IFERROR(F32-'Alt Blanks'!$I$32,F32)</f>
        <v>8.0790000000008355E-4</v>
      </c>
      <c r="H32">
        <f t="shared" si="2"/>
        <v>8.0790000000008355E-4</v>
      </c>
      <c r="I32">
        <f t="shared" si="1"/>
        <v>4.0395000000004178E-4</v>
      </c>
    </row>
    <row r="33" spans="1:9" x14ac:dyDescent="0.35">
      <c r="A33" t="s">
        <v>44</v>
      </c>
      <c r="B33" t="s">
        <v>43</v>
      </c>
      <c r="C33" t="s">
        <v>39</v>
      </c>
      <c r="D33" t="s">
        <v>8</v>
      </c>
      <c r="E33">
        <v>1</v>
      </c>
      <c r="F33">
        <v>0</v>
      </c>
      <c r="G33">
        <f>IFERROR(F33-'Alt Blanks'!$I$33,F33)</f>
        <v>0</v>
      </c>
      <c r="H33">
        <f t="shared" si="2"/>
        <v>0</v>
      </c>
      <c r="I33">
        <f t="shared" si="1"/>
        <v>0</v>
      </c>
    </row>
    <row r="34" spans="1:9" x14ac:dyDescent="0.35">
      <c r="A34" t="s">
        <v>44</v>
      </c>
      <c r="B34" t="s">
        <v>43</v>
      </c>
      <c r="C34" t="s">
        <v>40</v>
      </c>
      <c r="D34" t="s">
        <v>8</v>
      </c>
      <c r="E34">
        <v>1</v>
      </c>
      <c r="F34">
        <v>5.6614434000000005</v>
      </c>
      <c r="G34">
        <f>IFERROR(F34-'Alt Blanks'!$I$34,F34)</f>
        <v>5.6614434000000005</v>
      </c>
      <c r="H34">
        <f t="shared" si="2"/>
        <v>5.6614434000000005</v>
      </c>
      <c r="I34">
        <f t="shared" si="1"/>
        <v>2.8307217000000002</v>
      </c>
    </row>
    <row r="35" spans="1:9" x14ac:dyDescent="0.35">
      <c r="A35" t="s">
        <v>44</v>
      </c>
      <c r="B35" t="s">
        <v>43</v>
      </c>
      <c r="C35" t="s">
        <v>41</v>
      </c>
      <c r="D35" t="s">
        <v>8</v>
      </c>
      <c r="E35">
        <v>1</v>
      </c>
      <c r="F35">
        <v>64.036195899999996</v>
      </c>
      <c r="G35">
        <f>IFERROR(F35-'Alt Blanks'!$I$35,F35)</f>
        <v>64.036195899999996</v>
      </c>
      <c r="H35">
        <f t="shared" si="2"/>
        <v>64.036195899999996</v>
      </c>
      <c r="I35">
        <f t="shared" si="1"/>
        <v>32.018097949999998</v>
      </c>
    </row>
    <row r="36" spans="1:9" x14ac:dyDescent="0.35">
      <c r="A36" t="s">
        <v>44</v>
      </c>
      <c r="B36" t="s">
        <v>43</v>
      </c>
      <c r="C36" t="s">
        <v>42</v>
      </c>
      <c r="D36" t="s">
        <v>8</v>
      </c>
      <c r="E36">
        <v>1</v>
      </c>
      <c r="F36">
        <v>0</v>
      </c>
      <c r="G36">
        <f>IFERROR(F36-'Alt Blanks'!$I$36,F36)</f>
        <v>0</v>
      </c>
      <c r="H36">
        <f t="shared" si="2"/>
        <v>0</v>
      </c>
      <c r="I36">
        <f t="shared" si="1"/>
        <v>0</v>
      </c>
    </row>
    <row r="37" spans="1:9" x14ac:dyDescent="0.35">
      <c r="A37" t="s">
        <v>46</v>
      </c>
      <c r="B37" t="s">
        <v>47</v>
      </c>
      <c r="C37" t="s">
        <v>7</v>
      </c>
      <c r="D37" t="s">
        <v>51</v>
      </c>
      <c r="E37">
        <v>1</v>
      </c>
      <c r="F37">
        <v>6.7110905000000001</v>
      </c>
      <c r="G37">
        <f>IFERROR(F37-'Alt Blanks'!$I$2,F37)</f>
        <v>4.5493999999992596E-3</v>
      </c>
      <c r="H37">
        <f t="shared" si="2"/>
        <v>4.5493999999992596E-3</v>
      </c>
      <c r="I37">
        <f t="shared" si="1"/>
        <v>2.2746999999996298E-3</v>
      </c>
    </row>
    <row r="38" spans="1:9" x14ac:dyDescent="0.35">
      <c r="A38" t="s">
        <v>46</v>
      </c>
      <c r="B38" t="s">
        <v>47</v>
      </c>
      <c r="C38" t="s">
        <v>9</v>
      </c>
      <c r="D38" t="s">
        <v>51</v>
      </c>
      <c r="E38">
        <v>1</v>
      </c>
      <c r="F38">
        <v>0</v>
      </c>
      <c r="G38">
        <f>IFERROR(F38-'Alt Blanks'!$I$3,F38)</f>
        <v>0</v>
      </c>
      <c r="H38">
        <f t="shared" si="2"/>
        <v>0</v>
      </c>
      <c r="I38">
        <f t="shared" si="1"/>
        <v>0</v>
      </c>
    </row>
    <row r="39" spans="1:9" x14ac:dyDescent="0.35">
      <c r="A39" t="s">
        <v>46</v>
      </c>
      <c r="B39" t="s">
        <v>47</v>
      </c>
      <c r="C39" t="s">
        <v>10</v>
      </c>
      <c r="D39" t="s">
        <v>51</v>
      </c>
      <c r="E39">
        <v>1</v>
      </c>
      <c r="F39">
        <v>0</v>
      </c>
      <c r="G39">
        <f>IFERROR(F39-'Alt Blanks'!$I$4,F39)</f>
        <v>0</v>
      </c>
      <c r="H39">
        <f t="shared" si="2"/>
        <v>0</v>
      </c>
      <c r="I39">
        <f t="shared" si="1"/>
        <v>0</v>
      </c>
    </row>
    <row r="40" spans="1:9" x14ac:dyDescent="0.35">
      <c r="A40" t="s">
        <v>46</v>
      </c>
      <c r="B40" t="s">
        <v>47</v>
      </c>
      <c r="C40" t="s">
        <v>11</v>
      </c>
      <c r="D40" t="s">
        <v>51</v>
      </c>
      <c r="E40">
        <v>1</v>
      </c>
      <c r="F40">
        <v>3.4789967000000002</v>
      </c>
      <c r="G40">
        <f>IFERROR(F40-'Alt Blanks'!$I$5,F40)</f>
        <v>3.4789967000000002</v>
      </c>
      <c r="H40">
        <f t="shared" si="2"/>
        <v>3.4789967000000002</v>
      </c>
      <c r="I40">
        <f t="shared" si="1"/>
        <v>1.7394983500000001</v>
      </c>
    </row>
    <row r="41" spans="1:9" x14ac:dyDescent="0.35">
      <c r="A41" t="s">
        <v>46</v>
      </c>
      <c r="B41" t="s">
        <v>47</v>
      </c>
      <c r="C41" t="s">
        <v>12</v>
      </c>
      <c r="D41" t="s">
        <v>51</v>
      </c>
      <c r="E41">
        <v>1</v>
      </c>
      <c r="F41">
        <v>76.516698599999998</v>
      </c>
      <c r="G41">
        <f>IFERROR(F41-'Alt Blanks'!$I$6,F41)</f>
        <v>76.516698599999998</v>
      </c>
      <c r="H41">
        <f t="shared" si="2"/>
        <v>76.516698599999998</v>
      </c>
      <c r="I41">
        <f t="shared" si="1"/>
        <v>38.258349299999999</v>
      </c>
    </row>
    <row r="42" spans="1:9" x14ac:dyDescent="0.35">
      <c r="A42" t="s">
        <v>46</v>
      </c>
      <c r="B42" t="s">
        <v>47</v>
      </c>
      <c r="C42" t="s">
        <v>13</v>
      </c>
      <c r="D42" t="s">
        <v>51</v>
      </c>
      <c r="E42">
        <v>1</v>
      </c>
      <c r="F42">
        <v>268.58298239999999</v>
      </c>
      <c r="G42">
        <f>IFERROR(F42-'Alt Blanks'!$I$7,F42)</f>
        <v>268.58298239999999</v>
      </c>
      <c r="H42">
        <f t="shared" si="2"/>
        <v>268.58298239999999</v>
      </c>
      <c r="I42">
        <f t="shared" si="1"/>
        <v>134.2914912</v>
      </c>
    </row>
    <row r="43" spans="1:9" x14ac:dyDescent="0.35">
      <c r="A43" t="s">
        <v>46</v>
      </c>
      <c r="B43" t="s">
        <v>47</v>
      </c>
      <c r="C43" t="s">
        <v>14</v>
      </c>
      <c r="D43" t="s">
        <v>51</v>
      </c>
      <c r="E43">
        <v>1</v>
      </c>
      <c r="F43">
        <v>0</v>
      </c>
      <c r="G43">
        <f>IFERROR(F43-'Alt Blanks'!$I$8,F43)</f>
        <v>0</v>
      </c>
      <c r="H43">
        <f t="shared" si="2"/>
        <v>0</v>
      </c>
      <c r="I43">
        <f t="shared" si="1"/>
        <v>0</v>
      </c>
    </row>
    <row r="44" spans="1:9" x14ac:dyDescent="0.35">
      <c r="A44" t="s">
        <v>46</v>
      </c>
      <c r="B44" t="s">
        <v>47</v>
      </c>
      <c r="C44" t="s">
        <v>15</v>
      </c>
      <c r="D44" t="s">
        <v>51</v>
      </c>
      <c r="E44">
        <v>1</v>
      </c>
      <c r="F44">
        <v>11.525569600000001</v>
      </c>
      <c r="G44">
        <f>IFERROR(F44-'Alt Blanks'!$I$9,F44)</f>
        <v>11.525569600000001</v>
      </c>
      <c r="H44">
        <f t="shared" si="2"/>
        <v>11.525569600000001</v>
      </c>
      <c r="I44">
        <f t="shared" si="1"/>
        <v>5.7627848000000004</v>
      </c>
    </row>
    <row r="45" spans="1:9" x14ac:dyDescent="0.35">
      <c r="A45" t="s">
        <v>46</v>
      </c>
      <c r="B45" t="s">
        <v>47</v>
      </c>
      <c r="C45" t="s">
        <v>16</v>
      </c>
      <c r="D45" t="s">
        <v>51</v>
      </c>
      <c r="E45">
        <v>1</v>
      </c>
      <c r="F45">
        <v>0</v>
      </c>
      <c r="G45">
        <f>IFERROR(F45-'Alt Blanks'!$I$10,F45)</f>
        <v>0</v>
      </c>
      <c r="H45">
        <f t="shared" si="2"/>
        <v>0</v>
      </c>
      <c r="I45">
        <f t="shared" si="1"/>
        <v>0</v>
      </c>
    </row>
    <row r="46" spans="1:9" x14ac:dyDescent="0.35">
      <c r="A46" t="s">
        <v>46</v>
      </c>
      <c r="B46" t="s">
        <v>47</v>
      </c>
      <c r="C46" t="s">
        <v>17</v>
      </c>
      <c r="D46" t="s">
        <v>51</v>
      </c>
      <c r="E46">
        <v>1</v>
      </c>
      <c r="F46">
        <v>2916.7312256</v>
      </c>
      <c r="G46">
        <f>IFERROR(F46-'Alt Blanks'!$I$11,F46)</f>
        <v>2111.5145358999998</v>
      </c>
      <c r="H46">
        <f t="shared" si="2"/>
        <v>2111.5145358999998</v>
      </c>
      <c r="I46">
        <f t="shared" si="1"/>
        <v>1055.7572679499999</v>
      </c>
    </row>
    <row r="47" spans="1:9" x14ac:dyDescent="0.35">
      <c r="A47" t="s">
        <v>46</v>
      </c>
      <c r="B47" t="s">
        <v>47</v>
      </c>
      <c r="C47" t="s">
        <v>18</v>
      </c>
      <c r="D47" t="s">
        <v>51</v>
      </c>
      <c r="E47">
        <v>1</v>
      </c>
      <c r="F47">
        <v>522.45979290000002</v>
      </c>
      <c r="G47">
        <f>IFERROR(F47-'Alt Blanks'!$I$12,F47)</f>
        <v>522.45979290000002</v>
      </c>
      <c r="H47">
        <f t="shared" si="2"/>
        <v>522.45979290000002</v>
      </c>
      <c r="I47">
        <f t="shared" si="1"/>
        <v>261.22989645000001</v>
      </c>
    </row>
    <row r="48" spans="1:9" x14ac:dyDescent="0.35">
      <c r="A48" t="s">
        <v>46</v>
      </c>
      <c r="B48" t="s">
        <v>47</v>
      </c>
      <c r="C48" t="s">
        <v>19</v>
      </c>
      <c r="D48" t="s">
        <v>51</v>
      </c>
      <c r="E48">
        <v>1</v>
      </c>
      <c r="F48">
        <v>8.0118439000000006</v>
      </c>
      <c r="G48">
        <f>IFERROR(F48-'Alt Blanks'!$I$13,F48)</f>
        <v>7.1591304000000004</v>
      </c>
      <c r="H48">
        <f t="shared" si="2"/>
        <v>7.1591304000000004</v>
      </c>
      <c r="I48">
        <f t="shared" si="1"/>
        <v>3.5795652000000002</v>
      </c>
    </row>
    <row r="49" spans="1:9" x14ac:dyDescent="0.35">
      <c r="A49" t="s">
        <v>46</v>
      </c>
      <c r="B49" t="s">
        <v>47</v>
      </c>
      <c r="C49" t="s">
        <v>20</v>
      </c>
      <c r="D49" t="s">
        <v>51</v>
      </c>
      <c r="E49">
        <v>1</v>
      </c>
      <c r="F49">
        <v>12.7936728</v>
      </c>
      <c r="G49">
        <f>IFERROR(F49-'Alt Blanks'!$I$14,F49)</f>
        <v>12.7936728</v>
      </c>
      <c r="H49">
        <f t="shared" si="2"/>
        <v>12.7936728</v>
      </c>
      <c r="I49">
        <f t="shared" si="1"/>
        <v>6.3968363999999998</v>
      </c>
    </row>
    <row r="50" spans="1:9" x14ac:dyDescent="0.35">
      <c r="A50" t="s">
        <v>46</v>
      </c>
      <c r="B50" t="s">
        <v>47</v>
      </c>
      <c r="C50" t="s">
        <v>21</v>
      </c>
      <c r="D50" t="s">
        <v>51</v>
      </c>
      <c r="E50">
        <v>1</v>
      </c>
      <c r="F50">
        <v>350.5571999</v>
      </c>
      <c r="G50">
        <f>IFERROR(F50-'Alt Blanks'!$I$15,F50)</f>
        <v>81.933802800000024</v>
      </c>
      <c r="H50">
        <f t="shared" si="2"/>
        <v>81.933802800000024</v>
      </c>
      <c r="I50">
        <f t="shared" si="1"/>
        <v>40.966901400000012</v>
      </c>
    </row>
    <row r="51" spans="1:9" x14ac:dyDescent="0.35">
      <c r="A51" t="s">
        <v>46</v>
      </c>
      <c r="B51" t="s">
        <v>47</v>
      </c>
      <c r="C51" t="s">
        <v>22</v>
      </c>
      <c r="D51" t="s">
        <v>51</v>
      </c>
      <c r="E51">
        <v>1</v>
      </c>
      <c r="F51">
        <v>874.31958989999998</v>
      </c>
      <c r="G51">
        <f>IFERROR(F51-'Alt Blanks'!$I$16,F51)</f>
        <v>855.85367669999994</v>
      </c>
      <c r="H51">
        <f t="shared" si="2"/>
        <v>855.85367669999994</v>
      </c>
      <c r="I51">
        <f t="shared" si="1"/>
        <v>427.92683834999997</v>
      </c>
    </row>
    <row r="52" spans="1:9" x14ac:dyDescent="0.35">
      <c r="A52" t="s">
        <v>46</v>
      </c>
      <c r="B52" t="s">
        <v>47</v>
      </c>
      <c r="C52" t="s">
        <v>23</v>
      </c>
      <c r="D52" t="s">
        <v>51</v>
      </c>
      <c r="E52">
        <v>1</v>
      </c>
      <c r="F52">
        <v>0</v>
      </c>
      <c r="G52">
        <f>IFERROR(F52-'Alt Blanks'!$I$17,F52)</f>
        <v>-0.33195340000000001</v>
      </c>
      <c r="H52">
        <f t="shared" si="2"/>
        <v>0</v>
      </c>
      <c r="I52">
        <f t="shared" si="1"/>
        <v>0</v>
      </c>
    </row>
    <row r="53" spans="1:9" x14ac:dyDescent="0.35">
      <c r="A53" t="s">
        <v>46</v>
      </c>
      <c r="B53" t="s">
        <v>47</v>
      </c>
      <c r="C53" t="s">
        <v>24</v>
      </c>
      <c r="D53" t="s">
        <v>51</v>
      </c>
      <c r="E53">
        <v>1</v>
      </c>
      <c r="F53">
        <v>1061.4238134000002</v>
      </c>
      <c r="G53">
        <f>IFERROR(F53-'Alt Blanks'!$I$18,F53)</f>
        <v>1055.4203538000002</v>
      </c>
      <c r="H53">
        <f t="shared" si="2"/>
        <v>1055.4203538000002</v>
      </c>
      <c r="I53">
        <f t="shared" si="1"/>
        <v>527.71017690000008</v>
      </c>
    </row>
    <row r="54" spans="1:9" x14ac:dyDescent="0.35">
      <c r="A54" t="s">
        <v>46</v>
      </c>
      <c r="B54" t="s">
        <v>47</v>
      </c>
      <c r="C54" t="s">
        <v>25</v>
      </c>
      <c r="D54" t="s">
        <v>51</v>
      </c>
      <c r="E54">
        <v>1</v>
      </c>
      <c r="F54">
        <v>144.85453709999999</v>
      </c>
      <c r="G54">
        <f>IFERROR(F54-'Alt Blanks'!$I$19,F54)</f>
        <v>144.85453709999999</v>
      </c>
      <c r="H54">
        <f t="shared" si="2"/>
        <v>144.85453709999999</v>
      </c>
      <c r="I54">
        <f t="shared" si="1"/>
        <v>72.427268549999994</v>
      </c>
    </row>
    <row r="55" spans="1:9" x14ac:dyDescent="0.35">
      <c r="A55" t="s">
        <v>46</v>
      </c>
      <c r="B55" t="s">
        <v>47</v>
      </c>
      <c r="C55" t="s">
        <v>26</v>
      </c>
      <c r="D55" t="s">
        <v>51</v>
      </c>
      <c r="E55">
        <v>1</v>
      </c>
      <c r="F55">
        <v>1271.6816639000001</v>
      </c>
      <c r="G55">
        <f>IFERROR(F55-'Alt Blanks'!$I$20,F55)</f>
        <v>1269.7436885000002</v>
      </c>
      <c r="H55">
        <f t="shared" si="2"/>
        <v>1269.7436885000002</v>
      </c>
      <c r="I55">
        <f t="shared" si="1"/>
        <v>634.87184425000009</v>
      </c>
    </row>
    <row r="56" spans="1:9" x14ac:dyDescent="0.35">
      <c r="A56" t="s">
        <v>46</v>
      </c>
      <c r="B56" t="s">
        <v>47</v>
      </c>
      <c r="C56" t="s">
        <v>27</v>
      </c>
      <c r="D56" t="s">
        <v>51</v>
      </c>
      <c r="E56">
        <v>1</v>
      </c>
      <c r="F56">
        <v>132.0314176</v>
      </c>
      <c r="G56">
        <f>IFERROR(F56-'Alt Blanks'!$I$21,F56)</f>
        <v>131.81690850000001</v>
      </c>
      <c r="H56">
        <f t="shared" si="2"/>
        <v>131.81690850000001</v>
      </c>
      <c r="I56">
        <f t="shared" si="1"/>
        <v>65.908454250000005</v>
      </c>
    </row>
    <row r="57" spans="1:9" x14ac:dyDescent="0.35">
      <c r="A57" t="s">
        <v>46</v>
      </c>
      <c r="B57" t="s">
        <v>47</v>
      </c>
      <c r="C57" t="s">
        <v>28</v>
      </c>
      <c r="D57" t="s">
        <v>51</v>
      </c>
      <c r="E57">
        <v>1</v>
      </c>
      <c r="F57">
        <v>33.025971699999999</v>
      </c>
      <c r="G57">
        <f>IFERROR(F57-'Alt Blanks'!$I$22,F57)</f>
        <v>31.431250299999999</v>
      </c>
      <c r="H57">
        <f t="shared" si="2"/>
        <v>31.431250299999999</v>
      </c>
      <c r="I57">
        <f t="shared" si="1"/>
        <v>15.715625149999999</v>
      </c>
    </row>
    <row r="58" spans="1:9" x14ac:dyDescent="0.35">
      <c r="A58" t="s">
        <v>46</v>
      </c>
      <c r="B58" t="s">
        <v>47</v>
      </c>
      <c r="C58" t="s">
        <v>29</v>
      </c>
      <c r="D58" t="s">
        <v>51</v>
      </c>
      <c r="E58">
        <v>1</v>
      </c>
      <c r="F58">
        <v>12.2454357</v>
      </c>
      <c r="G58">
        <f>IFERROR(F58-'Alt Blanks'!$I$23,F58)</f>
        <v>12.1246983</v>
      </c>
      <c r="H58">
        <f t="shared" si="2"/>
        <v>12.1246983</v>
      </c>
      <c r="I58">
        <f t="shared" si="1"/>
        <v>6.0623491500000002</v>
      </c>
    </row>
    <row r="59" spans="1:9" x14ac:dyDescent="0.35">
      <c r="A59" t="s">
        <v>46</v>
      </c>
      <c r="B59" t="s">
        <v>47</v>
      </c>
      <c r="C59" t="s">
        <v>30</v>
      </c>
      <c r="D59" t="s">
        <v>51</v>
      </c>
      <c r="E59">
        <v>1</v>
      </c>
      <c r="F59">
        <v>51.282988500000002</v>
      </c>
      <c r="G59">
        <f>IFERROR(F59-'Alt Blanks'!$I$24,F59)</f>
        <v>51.035818900000002</v>
      </c>
      <c r="H59">
        <f t="shared" si="2"/>
        <v>51.035818900000002</v>
      </c>
      <c r="I59">
        <f t="shared" si="1"/>
        <v>25.517909450000001</v>
      </c>
    </row>
    <row r="60" spans="1:9" x14ac:dyDescent="0.35">
      <c r="A60" t="s">
        <v>46</v>
      </c>
      <c r="B60" t="s">
        <v>47</v>
      </c>
      <c r="C60" t="s">
        <v>31</v>
      </c>
      <c r="D60" t="s">
        <v>51</v>
      </c>
      <c r="E60">
        <v>1</v>
      </c>
      <c r="F60">
        <v>10.8751377</v>
      </c>
      <c r="G60">
        <f>IFERROR(F60-'Alt Blanks'!$I$25,F60)</f>
        <v>10.4028969</v>
      </c>
      <c r="H60">
        <f t="shared" si="2"/>
        <v>10.4028969</v>
      </c>
      <c r="I60">
        <f t="shared" si="1"/>
        <v>5.20144845</v>
      </c>
    </row>
    <row r="61" spans="1:9" x14ac:dyDescent="0.35">
      <c r="A61" t="s">
        <v>46</v>
      </c>
      <c r="B61" t="s">
        <v>47</v>
      </c>
      <c r="C61" t="s">
        <v>32</v>
      </c>
      <c r="D61" t="s">
        <v>51</v>
      </c>
      <c r="E61">
        <v>1</v>
      </c>
      <c r="F61">
        <v>55.3590248</v>
      </c>
      <c r="G61">
        <f>IFERROR(F61-'Alt Blanks'!$I$26,F61)</f>
        <v>54.778848500000002</v>
      </c>
      <c r="H61">
        <f t="shared" si="2"/>
        <v>54.778848500000002</v>
      </c>
      <c r="I61">
        <f t="shared" si="1"/>
        <v>27.389424250000001</v>
      </c>
    </row>
    <row r="62" spans="1:9" x14ac:dyDescent="0.35">
      <c r="A62" t="s">
        <v>46</v>
      </c>
      <c r="B62" t="s">
        <v>47</v>
      </c>
      <c r="C62" t="s">
        <v>33</v>
      </c>
      <c r="D62" t="s">
        <v>51</v>
      </c>
      <c r="E62">
        <v>1</v>
      </c>
      <c r="F62">
        <v>9.1917089000000001</v>
      </c>
      <c r="G62">
        <f>IFERROR(F62-'Alt Blanks'!$I$27,F62)</f>
        <v>9.1917089000000001</v>
      </c>
      <c r="H62">
        <f t="shared" si="2"/>
        <v>9.1917089000000001</v>
      </c>
      <c r="I62">
        <f t="shared" si="1"/>
        <v>4.59585445</v>
      </c>
    </row>
    <row r="63" spans="1:9" x14ac:dyDescent="0.35">
      <c r="A63" t="s">
        <v>46</v>
      </c>
      <c r="B63" t="s">
        <v>47</v>
      </c>
      <c r="C63" t="s">
        <v>34</v>
      </c>
      <c r="D63" t="s">
        <v>51</v>
      </c>
      <c r="E63">
        <v>1</v>
      </c>
      <c r="F63">
        <v>0</v>
      </c>
      <c r="G63">
        <f>IFERROR(F63-'Alt Blanks'!$I$28,F63)</f>
        <v>0</v>
      </c>
      <c r="H63">
        <f t="shared" si="2"/>
        <v>0</v>
      </c>
      <c r="I63">
        <f t="shared" si="1"/>
        <v>0</v>
      </c>
    </row>
    <row r="64" spans="1:9" x14ac:dyDescent="0.35">
      <c r="A64" t="s">
        <v>46</v>
      </c>
      <c r="B64" t="s">
        <v>47</v>
      </c>
      <c r="C64" t="s">
        <v>35</v>
      </c>
      <c r="D64" t="s">
        <v>51</v>
      </c>
      <c r="E64">
        <v>1</v>
      </c>
      <c r="F64">
        <v>133.8922096</v>
      </c>
      <c r="G64">
        <f>IFERROR(F64-'Alt Blanks'!$I$29,F64)</f>
        <v>133.28058859999999</v>
      </c>
      <c r="H64">
        <f t="shared" si="2"/>
        <v>133.28058859999999</v>
      </c>
      <c r="I64">
        <f t="shared" si="1"/>
        <v>66.640294299999994</v>
      </c>
    </row>
    <row r="65" spans="1:9" x14ac:dyDescent="0.35">
      <c r="A65" t="s">
        <v>46</v>
      </c>
      <c r="B65" t="s">
        <v>47</v>
      </c>
      <c r="C65" t="s">
        <v>36</v>
      </c>
      <c r="D65" t="s">
        <v>51</v>
      </c>
      <c r="E65">
        <v>1</v>
      </c>
      <c r="F65">
        <v>9.4802548000000009</v>
      </c>
      <c r="G65">
        <f>IFERROR(F65-'Alt Blanks'!$I$30,F65)</f>
        <v>9.4802548000000009</v>
      </c>
      <c r="H65">
        <f t="shared" si="2"/>
        <v>9.4802548000000009</v>
      </c>
      <c r="I65">
        <f t="shared" si="1"/>
        <v>4.7401274000000004</v>
      </c>
    </row>
    <row r="66" spans="1:9" x14ac:dyDescent="0.35">
      <c r="A66" t="s">
        <v>46</v>
      </c>
      <c r="B66" t="s">
        <v>47</v>
      </c>
      <c r="C66" t="s">
        <v>37</v>
      </c>
      <c r="D66" t="s">
        <v>51</v>
      </c>
      <c r="E66">
        <v>1</v>
      </c>
      <c r="F66">
        <v>61.976930500000002</v>
      </c>
      <c r="G66">
        <f>IFERROR(F66-'Alt Blanks'!$I$31,F66)</f>
        <v>-40.477703099999992</v>
      </c>
      <c r="H66">
        <f t="shared" si="2"/>
        <v>0</v>
      </c>
      <c r="I66">
        <f t="shared" si="1"/>
        <v>0</v>
      </c>
    </row>
    <row r="67" spans="1:9" x14ac:dyDescent="0.35">
      <c r="A67" t="s">
        <v>46</v>
      </c>
      <c r="B67" t="s">
        <v>47</v>
      </c>
      <c r="C67" t="s">
        <v>38</v>
      </c>
      <c r="D67" t="s">
        <v>51</v>
      </c>
      <c r="E67">
        <v>1</v>
      </c>
      <c r="F67">
        <v>1.9349927</v>
      </c>
      <c r="G67">
        <f>IFERROR(F67-'Alt Blanks'!$I$32,F67)</f>
        <v>7.4241999999999919E-3</v>
      </c>
      <c r="H67">
        <f t="shared" si="2"/>
        <v>7.4241999999999919E-3</v>
      </c>
      <c r="I67">
        <f t="shared" si="1"/>
        <v>3.712099999999996E-3</v>
      </c>
    </row>
    <row r="68" spans="1:9" x14ac:dyDescent="0.35">
      <c r="A68" t="s">
        <v>46</v>
      </c>
      <c r="B68" t="s">
        <v>47</v>
      </c>
      <c r="C68" t="s">
        <v>39</v>
      </c>
      <c r="D68" t="s">
        <v>51</v>
      </c>
      <c r="E68">
        <v>1</v>
      </c>
      <c r="F68">
        <v>0.44111860000000003</v>
      </c>
      <c r="G68">
        <f>IFERROR(F68-'Alt Blanks'!$I$33,F68)</f>
        <v>0.44111860000000003</v>
      </c>
      <c r="H68">
        <f t="shared" si="2"/>
        <v>0.44111860000000003</v>
      </c>
      <c r="I68">
        <f t="shared" si="1"/>
        <v>0.22055930000000001</v>
      </c>
    </row>
    <row r="69" spans="1:9" x14ac:dyDescent="0.35">
      <c r="A69" t="s">
        <v>46</v>
      </c>
      <c r="B69" t="s">
        <v>47</v>
      </c>
      <c r="C69" t="s">
        <v>40</v>
      </c>
      <c r="D69" t="s">
        <v>51</v>
      </c>
      <c r="E69">
        <v>1</v>
      </c>
      <c r="F69">
        <v>14.5842812</v>
      </c>
      <c r="G69">
        <f>IFERROR(F69-'Alt Blanks'!$I$34,F69)</f>
        <v>14.5842812</v>
      </c>
      <c r="H69">
        <f t="shared" si="2"/>
        <v>14.5842812</v>
      </c>
      <c r="I69">
        <f t="shared" ref="I69:I132" si="3">H69/2</f>
        <v>7.2921405999999998</v>
      </c>
    </row>
    <row r="70" spans="1:9" x14ac:dyDescent="0.35">
      <c r="A70" t="s">
        <v>46</v>
      </c>
      <c r="B70" t="s">
        <v>47</v>
      </c>
      <c r="C70" t="s">
        <v>41</v>
      </c>
      <c r="D70" t="s">
        <v>51</v>
      </c>
      <c r="E70">
        <v>1</v>
      </c>
      <c r="F70">
        <v>98.077004100000011</v>
      </c>
      <c r="G70">
        <f>IFERROR(F70-'Alt Blanks'!$I$35,F70)</f>
        <v>98.077004100000011</v>
      </c>
      <c r="H70">
        <f t="shared" si="2"/>
        <v>98.077004100000011</v>
      </c>
      <c r="I70">
        <f t="shared" si="3"/>
        <v>49.038502050000005</v>
      </c>
    </row>
    <row r="71" spans="1:9" x14ac:dyDescent="0.35">
      <c r="A71" t="s">
        <v>46</v>
      </c>
      <c r="B71" t="s">
        <v>47</v>
      </c>
      <c r="C71" t="s">
        <v>42</v>
      </c>
      <c r="D71" t="s">
        <v>51</v>
      </c>
      <c r="E71">
        <v>1</v>
      </c>
      <c r="F71">
        <v>0</v>
      </c>
      <c r="G71">
        <f>IFERROR(F71-'Alt Blanks'!$I$36,F71)</f>
        <v>0</v>
      </c>
      <c r="H71">
        <f t="shared" si="2"/>
        <v>0</v>
      </c>
      <c r="I71">
        <f t="shared" si="3"/>
        <v>0</v>
      </c>
    </row>
    <row r="72" spans="1:9" x14ac:dyDescent="0.35">
      <c r="A72" t="s">
        <v>48</v>
      </c>
      <c r="B72" t="s">
        <v>49</v>
      </c>
      <c r="C72" t="s">
        <v>7</v>
      </c>
      <c r="D72" t="s">
        <v>50</v>
      </c>
      <c r="E72">
        <v>1</v>
      </c>
      <c r="F72">
        <v>6.4875883000000005</v>
      </c>
      <c r="G72">
        <f>IFERROR(F72-'Alt Blanks'!$I$2,F72)</f>
        <v>-0.21895280000000028</v>
      </c>
      <c r="H72">
        <f t="shared" si="2"/>
        <v>0</v>
      </c>
      <c r="I72">
        <f t="shared" si="3"/>
        <v>0</v>
      </c>
    </row>
    <row r="73" spans="1:9" x14ac:dyDescent="0.35">
      <c r="A73" t="s">
        <v>48</v>
      </c>
      <c r="B73" t="s">
        <v>49</v>
      </c>
      <c r="C73" t="s">
        <v>9</v>
      </c>
      <c r="D73" t="s">
        <v>50</v>
      </c>
      <c r="E73">
        <v>1</v>
      </c>
      <c r="F73">
        <v>10.9727718</v>
      </c>
      <c r="G73">
        <f>IFERROR(F73-'Alt Blanks'!$I$3,F73)</f>
        <v>10.9727718</v>
      </c>
      <c r="H73">
        <f t="shared" ref="H73:H136" si="4">IF(G73&lt;0,0,G73)</f>
        <v>10.9727718</v>
      </c>
      <c r="I73">
        <f t="shared" si="3"/>
        <v>5.4863859000000001</v>
      </c>
    </row>
    <row r="74" spans="1:9" x14ac:dyDescent="0.35">
      <c r="A74" t="s">
        <v>48</v>
      </c>
      <c r="B74" t="s">
        <v>49</v>
      </c>
      <c r="C74" t="s">
        <v>10</v>
      </c>
      <c r="D74" t="s">
        <v>50</v>
      </c>
      <c r="E74">
        <v>1</v>
      </c>
      <c r="F74">
        <v>1.0574169</v>
      </c>
      <c r="G74">
        <f>IFERROR(F74-'Alt Blanks'!$I$4,F74)</f>
        <v>1.0574169</v>
      </c>
      <c r="H74">
        <f t="shared" si="4"/>
        <v>1.0574169</v>
      </c>
      <c r="I74">
        <f t="shared" si="3"/>
        <v>0.52870845</v>
      </c>
    </row>
    <row r="75" spans="1:9" x14ac:dyDescent="0.35">
      <c r="A75" t="s">
        <v>48</v>
      </c>
      <c r="B75" t="s">
        <v>49</v>
      </c>
      <c r="C75" t="s">
        <v>11</v>
      </c>
      <c r="D75" t="s">
        <v>50</v>
      </c>
      <c r="E75">
        <v>1</v>
      </c>
      <c r="F75">
        <v>24.593410299999999</v>
      </c>
      <c r="G75">
        <f>IFERROR(F75-'Alt Blanks'!$I$5,F75)</f>
        <v>24.593410299999999</v>
      </c>
      <c r="H75">
        <f t="shared" si="4"/>
        <v>24.593410299999999</v>
      </c>
      <c r="I75">
        <f t="shared" si="3"/>
        <v>12.296705149999999</v>
      </c>
    </row>
    <row r="76" spans="1:9" x14ac:dyDescent="0.35">
      <c r="A76" t="s">
        <v>48</v>
      </c>
      <c r="B76" t="s">
        <v>49</v>
      </c>
      <c r="C76" t="s">
        <v>12</v>
      </c>
      <c r="D76" t="s">
        <v>50</v>
      </c>
      <c r="E76">
        <v>1</v>
      </c>
      <c r="F76">
        <v>92.250922799999998</v>
      </c>
      <c r="G76">
        <f>IFERROR(F76-'Alt Blanks'!$I$6,F76)</f>
        <v>92.250922799999998</v>
      </c>
      <c r="H76">
        <f t="shared" si="4"/>
        <v>92.250922799999998</v>
      </c>
      <c r="I76">
        <f t="shared" si="3"/>
        <v>46.125461399999999</v>
      </c>
    </row>
    <row r="77" spans="1:9" x14ac:dyDescent="0.35">
      <c r="A77" t="s">
        <v>48</v>
      </c>
      <c r="B77" t="s">
        <v>49</v>
      </c>
      <c r="C77" t="s">
        <v>13</v>
      </c>
      <c r="D77" t="s">
        <v>50</v>
      </c>
      <c r="E77">
        <v>1</v>
      </c>
      <c r="F77">
        <v>280.79809690000002</v>
      </c>
      <c r="G77">
        <f>IFERROR(F77-'Alt Blanks'!$I$7,F77)</f>
        <v>280.79809690000002</v>
      </c>
      <c r="H77">
        <f t="shared" si="4"/>
        <v>280.79809690000002</v>
      </c>
      <c r="I77">
        <f t="shared" si="3"/>
        <v>140.39904845000001</v>
      </c>
    </row>
    <row r="78" spans="1:9" x14ac:dyDescent="0.35">
      <c r="A78" t="s">
        <v>48</v>
      </c>
      <c r="B78" t="s">
        <v>49</v>
      </c>
      <c r="C78" t="s">
        <v>14</v>
      </c>
      <c r="D78" t="s">
        <v>50</v>
      </c>
      <c r="E78">
        <v>1</v>
      </c>
      <c r="F78">
        <v>0</v>
      </c>
      <c r="G78">
        <f>IFERROR(F78-'Alt Blanks'!$I$8,F78)</f>
        <v>0</v>
      </c>
      <c r="H78">
        <f t="shared" si="4"/>
        <v>0</v>
      </c>
      <c r="I78">
        <f t="shared" si="3"/>
        <v>0</v>
      </c>
    </row>
    <row r="79" spans="1:9" x14ac:dyDescent="0.35">
      <c r="A79" t="s">
        <v>48</v>
      </c>
      <c r="B79" t="s">
        <v>49</v>
      </c>
      <c r="C79" t="s">
        <v>15</v>
      </c>
      <c r="D79" t="s">
        <v>50</v>
      </c>
      <c r="E79">
        <v>1</v>
      </c>
      <c r="F79">
        <v>16.017326799999999</v>
      </c>
      <c r="G79">
        <f>IFERROR(F79-'Alt Blanks'!$I$9,F79)</f>
        <v>16.017326799999999</v>
      </c>
      <c r="H79">
        <f t="shared" si="4"/>
        <v>16.017326799999999</v>
      </c>
      <c r="I79">
        <f t="shared" si="3"/>
        <v>8.0086633999999997</v>
      </c>
    </row>
    <row r="80" spans="1:9" x14ac:dyDescent="0.35">
      <c r="A80" t="s">
        <v>48</v>
      </c>
      <c r="B80" t="s">
        <v>49</v>
      </c>
      <c r="C80" t="s">
        <v>16</v>
      </c>
      <c r="D80" t="s">
        <v>50</v>
      </c>
      <c r="E80">
        <v>1</v>
      </c>
      <c r="F80">
        <v>0</v>
      </c>
      <c r="G80">
        <f>IFERROR(F80-'Alt Blanks'!$I$10,F80)</f>
        <v>0</v>
      </c>
      <c r="H80">
        <f t="shared" si="4"/>
        <v>0</v>
      </c>
      <c r="I80">
        <f t="shared" si="3"/>
        <v>0</v>
      </c>
    </row>
    <row r="81" spans="1:9" x14ac:dyDescent="0.35">
      <c r="A81" t="s">
        <v>48</v>
      </c>
      <c r="B81" t="s">
        <v>49</v>
      </c>
      <c r="C81" t="s">
        <v>17</v>
      </c>
      <c r="D81" t="s">
        <v>50</v>
      </c>
      <c r="E81">
        <v>1</v>
      </c>
      <c r="F81">
        <v>3781.7041416000002</v>
      </c>
      <c r="G81">
        <f>IFERROR(F81-'Alt Blanks'!$I$11,F81)</f>
        <v>2976.4874519000005</v>
      </c>
      <c r="H81">
        <f t="shared" si="4"/>
        <v>2976.4874519000005</v>
      </c>
      <c r="I81">
        <f t="shared" si="3"/>
        <v>1488.2437259500002</v>
      </c>
    </row>
    <row r="82" spans="1:9" x14ac:dyDescent="0.35">
      <c r="A82" t="s">
        <v>48</v>
      </c>
      <c r="B82" t="s">
        <v>49</v>
      </c>
      <c r="C82" t="s">
        <v>18</v>
      </c>
      <c r="D82" t="s">
        <v>50</v>
      </c>
      <c r="E82">
        <v>1</v>
      </c>
      <c r="F82">
        <v>399.9685551</v>
      </c>
      <c r="G82">
        <f>IFERROR(F82-'Alt Blanks'!$I$12,F82)</f>
        <v>399.9685551</v>
      </c>
      <c r="H82">
        <f t="shared" si="4"/>
        <v>399.9685551</v>
      </c>
      <c r="I82">
        <f t="shared" si="3"/>
        <v>199.98427755</v>
      </c>
    </row>
    <row r="83" spans="1:9" x14ac:dyDescent="0.35">
      <c r="A83" t="s">
        <v>48</v>
      </c>
      <c r="B83" t="s">
        <v>49</v>
      </c>
      <c r="C83" t="s">
        <v>19</v>
      </c>
      <c r="D83" t="s">
        <v>50</v>
      </c>
      <c r="E83">
        <v>1</v>
      </c>
      <c r="F83">
        <v>20.891149200000001</v>
      </c>
      <c r="G83">
        <f>IFERROR(F83-'Alt Blanks'!$I$13,F83)</f>
        <v>20.038435700000001</v>
      </c>
      <c r="H83">
        <f t="shared" si="4"/>
        <v>20.038435700000001</v>
      </c>
      <c r="I83">
        <f t="shared" si="3"/>
        <v>10.01921785</v>
      </c>
    </row>
    <row r="84" spans="1:9" x14ac:dyDescent="0.35">
      <c r="A84" t="s">
        <v>48</v>
      </c>
      <c r="B84" t="s">
        <v>49</v>
      </c>
      <c r="C84" t="s">
        <v>20</v>
      </c>
      <c r="D84" t="s">
        <v>50</v>
      </c>
      <c r="E84">
        <v>1</v>
      </c>
      <c r="F84">
        <v>10.632385599999999</v>
      </c>
      <c r="G84">
        <f>IFERROR(F84-'Alt Blanks'!$I$14,F84)</f>
        <v>10.632385599999999</v>
      </c>
      <c r="H84">
        <f t="shared" si="4"/>
        <v>10.632385599999999</v>
      </c>
      <c r="I84">
        <f t="shared" si="3"/>
        <v>5.3161927999999996</v>
      </c>
    </row>
    <row r="85" spans="1:9" x14ac:dyDescent="0.35">
      <c r="A85" t="s">
        <v>48</v>
      </c>
      <c r="B85" t="s">
        <v>49</v>
      </c>
      <c r="C85" t="s">
        <v>21</v>
      </c>
      <c r="D85" t="s">
        <v>50</v>
      </c>
      <c r="E85">
        <v>1</v>
      </c>
      <c r="F85">
        <v>1125.7129593</v>
      </c>
      <c r="G85">
        <f>IFERROR(F85-'Alt Blanks'!$I$15,F85)</f>
        <v>857.08956220000005</v>
      </c>
      <c r="H85">
        <f t="shared" si="4"/>
        <v>857.08956220000005</v>
      </c>
      <c r="I85">
        <f t="shared" si="3"/>
        <v>428.54478110000002</v>
      </c>
    </row>
    <row r="86" spans="1:9" x14ac:dyDescent="0.35">
      <c r="A86" t="s">
        <v>48</v>
      </c>
      <c r="B86" t="s">
        <v>49</v>
      </c>
      <c r="C86" t="s">
        <v>22</v>
      </c>
      <c r="D86" t="s">
        <v>50</v>
      </c>
      <c r="E86">
        <v>1</v>
      </c>
      <c r="F86">
        <v>916.77240740000002</v>
      </c>
      <c r="G86">
        <f>IFERROR(F86-'Alt Blanks'!$I$16,F86)</f>
        <v>898.30649419999997</v>
      </c>
      <c r="H86">
        <f t="shared" si="4"/>
        <v>898.30649419999997</v>
      </c>
      <c r="I86">
        <f t="shared" si="3"/>
        <v>449.15324709999999</v>
      </c>
    </row>
    <row r="87" spans="1:9" x14ac:dyDescent="0.35">
      <c r="A87" t="s">
        <v>48</v>
      </c>
      <c r="B87" t="s">
        <v>49</v>
      </c>
      <c r="C87" t="s">
        <v>23</v>
      </c>
      <c r="D87" t="s">
        <v>50</v>
      </c>
      <c r="E87">
        <v>1</v>
      </c>
      <c r="F87">
        <v>0.34779369999999998</v>
      </c>
      <c r="G87">
        <f>IFERROR(F87-'Alt Blanks'!$I$17,F87)</f>
        <v>1.5840299999999974E-2</v>
      </c>
      <c r="H87">
        <f t="shared" si="4"/>
        <v>1.5840299999999974E-2</v>
      </c>
      <c r="I87">
        <f t="shared" si="3"/>
        <v>7.9201499999999869E-3</v>
      </c>
    </row>
    <row r="88" spans="1:9" x14ac:dyDescent="0.35">
      <c r="A88" t="s">
        <v>48</v>
      </c>
      <c r="B88" t="s">
        <v>49</v>
      </c>
      <c r="C88" t="s">
        <v>24</v>
      </c>
      <c r="D88" t="s">
        <v>50</v>
      </c>
      <c r="E88">
        <v>1</v>
      </c>
      <c r="F88">
        <v>1190.6025333</v>
      </c>
      <c r="G88">
        <f>IFERROR(F88-'Alt Blanks'!$I$18,F88)</f>
        <v>1184.5990737</v>
      </c>
      <c r="H88">
        <f t="shared" si="4"/>
        <v>1184.5990737</v>
      </c>
      <c r="I88">
        <f t="shared" si="3"/>
        <v>592.29953684999998</v>
      </c>
    </row>
    <row r="89" spans="1:9" x14ac:dyDescent="0.35">
      <c r="A89" t="s">
        <v>48</v>
      </c>
      <c r="B89" t="s">
        <v>49</v>
      </c>
      <c r="C89" t="s">
        <v>25</v>
      </c>
      <c r="D89" t="s">
        <v>50</v>
      </c>
      <c r="E89">
        <v>1</v>
      </c>
      <c r="F89">
        <v>6.1077079999999997</v>
      </c>
      <c r="G89">
        <f>IFERROR(F89-'Alt Blanks'!$I$19,F89)</f>
        <v>6.1077079999999997</v>
      </c>
      <c r="H89">
        <f t="shared" si="4"/>
        <v>6.1077079999999997</v>
      </c>
      <c r="I89">
        <f t="shared" si="3"/>
        <v>3.0538539999999998</v>
      </c>
    </row>
    <row r="90" spans="1:9" x14ac:dyDescent="0.35">
      <c r="A90" t="s">
        <v>48</v>
      </c>
      <c r="B90" t="s">
        <v>49</v>
      </c>
      <c r="C90" t="s">
        <v>26</v>
      </c>
      <c r="D90" t="s">
        <v>50</v>
      </c>
      <c r="E90">
        <v>1</v>
      </c>
      <c r="F90">
        <v>1884.9026352999999</v>
      </c>
      <c r="G90">
        <f>IFERROR(F90-'Alt Blanks'!$I$20,F90)</f>
        <v>1882.9646599</v>
      </c>
      <c r="H90">
        <f t="shared" si="4"/>
        <v>1882.9646599</v>
      </c>
      <c r="I90">
        <f t="shared" si="3"/>
        <v>941.48232995000001</v>
      </c>
    </row>
    <row r="91" spans="1:9" x14ac:dyDescent="0.35">
      <c r="A91" t="s">
        <v>48</v>
      </c>
      <c r="B91" t="s">
        <v>49</v>
      </c>
      <c r="C91" t="s">
        <v>27</v>
      </c>
      <c r="D91" t="s">
        <v>50</v>
      </c>
      <c r="E91">
        <v>1</v>
      </c>
      <c r="F91">
        <v>150.35204440000001</v>
      </c>
      <c r="G91">
        <f>IFERROR(F91-'Alt Blanks'!$I$21,F91)</f>
        <v>150.13753530000002</v>
      </c>
      <c r="H91">
        <f t="shared" si="4"/>
        <v>150.13753530000002</v>
      </c>
      <c r="I91">
        <f t="shared" si="3"/>
        <v>75.068767650000012</v>
      </c>
    </row>
    <row r="92" spans="1:9" x14ac:dyDescent="0.35">
      <c r="A92" t="s">
        <v>48</v>
      </c>
      <c r="B92" t="s">
        <v>49</v>
      </c>
      <c r="C92" t="s">
        <v>28</v>
      </c>
      <c r="D92" t="s">
        <v>50</v>
      </c>
      <c r="E92">
        <v>1</v>
      </c>
      <c r="F92">
        <v>54.270929700000003</v>
      </c>
      <c r="G92">
        <f>IFERROR(F92-'Alt Blanks'!$I$22,F92)</f>
        <v>52.676208300000006</v>
      </c>
      <c r="H92">
        <f t="shared" si="4"/>
        <v>52.676208300000006</v>
      </c>
      <c r="I92">
        <f t="shared" si="3"/>
        <v>26.338104150000003</v>
      </c>
    </row>
    <row r="93" spans="1:9" x14ac:dyDescent="0.35">
      <c r="A93" t="s">
        <v>48</v>
      </c>
      <c r="B93" t="s">
        <v>49</v>
      </c>
      <c r="C93" t="s">
        <v>29</v>
      </c>
      <c r="D93" t="s">
        <v>50</v>
      </c>
      <c r="E93">
        <v>1</v>
      </c>
      <c r="F93">
        <v>0</v>
      </c>
      <c r="G93">
        <f>IFERROR(F93-'Alt Blanks'!$I$23,F93)</f>
        <v>-0.12073739999999999</v>
      </c>
      <c r="H93">
        <f t="shared" si="4"/>
        <v>0</v>
      </c>
      <c r="I93">
        <f t="shared" si="3"/>
        <v>0</v>
      </c>
    </row>
    <row r="94" spans="1:9" x14ac:dyDescent="0.35">
      <c r="A94" t="s">
        <v>48</v>
      </c>
      <c r="B94" t="s">
        <v>49</v>
      </c>
      <c r="C94" t="s">
        <v>30</v>
      </c>
      <c r="D94" t="s">
        <v>50</v>
      </c>
      <c r="E94">
        <v>1</v>
      </c>
      <c r="F94">
        <v>19.658987099999997</v>
      </c>
      <c r="G94">
        <f>IFERROR(F94-'Alt Blanks'!$I$24,F94)</f>
        <v>19.411817499999998</v>
      </c>
      <c r="H94">
        <f t="shared" si="4"/>
        <v>19.411817499999998</v>
      </c>
      <c r="I94">
        <f t="shared" si="3"/>
        <v>9.705908749999999</v>
      </c>
    </row>
    <row r="95" spans="1:9" x14ac:dyDescent="0.35">
      <c r="A95" t="s">
        <v>48</v>
      </c>
      <c r="B95" t="s">
        <v>49</v>
      </c>
      <c r="C95" t="s">
        <v>31</v>
      </c>
      <c r="D95" t="s">
        <v>50</v>
      </c>
      <c r="E95">
        <v>1</v>
      </c>
      <c r="F95">
        <v>5.1913860000000005</v>
      </c>
      <c r="G95">
        <f>IFERROR(F95-'Alt Blanks'!$I$25,F95)</f>
        <v>4.7191452000000007</v>
      </c>
      <c r="H95">
        <f t="shared" si="4"/>
        <v>4.7191452000000007</v>
      </c>
      <c r="I95">
        <f t="shared" si="3"/>
        <v>2.3595726000000004</v>
      </c>
    </row>
    <row r="96" spans="1:9" x14ac:dyDescent="0.35">
      <c r="A96" t="s">
        <v>48</v>
      </c>
      <c r="B96" t="s">
        <v>49</v>
      </c>
      <c r="C96" t="s">
        <v>32</v>
      </c>
      <c r="D96" t="s">
        <v>50</v>
      </c>
      <c r="E96">
        <v>1</v>
      </c>
      <c r="F96">
        <v>40.570802199999996</v>
      </c>
      <c r="G96">
        <f>IFERROR(F96-'Alt Blanks'!$I$26,F96)</f>
        <v>39.990625899999998</v>
      </c>
      <c r="H96">
        <f t="shared" si="4"/>
        <v>39.990625899999998</v>
      </c>
      <c r="I96">
        <f t="shared" si="3"/>
        <v>19.995312949999999</v>
      </c>
    </row>
    <row r="97" spans="1:9" x14ac:dyDescent="0.35">
      <c r="A97" t="s">
        <v>48</v>
      </c>
      <c r="B97" t="s">
        <v>49</v>
      </c>
      <c r="C97" t="s">
        <v>33</v>
      </c>
      <c r="D97" t="s">
        <v>50</v>
      </c>
      <c r="E97">
        <v>1</v>
      </c>
      <c r="F97">
        <v>7.5946672</v>
      </c>
      <c r="G97">
        <f>IFERROR(F97-'Alt Blanks'!$I$27,F97)</f>
        <v>7.5946672</v>
      </c>
      <c r="H97">
        <f t="shared" si="4"/>
        <v>7.5946672</v>
      </c>
      <c r="I97">
        <f t="shared" si="3"/>
        <v>3.7973336</v>
      </c>
    </row>
    <row r="98" spans="1:9" x14ac:dyDescent="0.35">
      <c r="A98" t="s">
        <v>48</v>
      </c>
      <c r="B98" t="s">
        <v>49</v>
      </c>
      <c r="C98" t="s">
        <v>34</v>
      </c>
      <c r="D98" t="s">
        <v>50</v>
      </c>
      <c r="E98">
        <v>1</v>
      </c>
      <c r="F98">
        <v>0</v>
      </c>
      <c r="G98">
        <f>IFERROR(F98-'Alt Blanks'!$I$28,F98)</f>
        <v>0</v>
      </c>
      <c r="H98">
        <f t="shared" si="4"/>
        <v>0</v>
      </c>
      <c r="I98">
        <f t="shared" si="3"/>
        <v>0</v>
      </c>
    </row>
    <row r="99" spans="1:9" x14ac:dyDescent="0.35">
      <c r="A99" t="s">
        <v>48</v>
      </c>
      <c r="B99" t="s">
        <v>49</v>
      </c>
      <c r="C99" t="s">
        <v>35</v>
      </c>
      <c r="D99" t="s">
        <v>50</v>
      </c>
      <c r="E99">
        <v>1</v>
      </c>
      <c r="F99">
        <v>140.17136439999999</v>
      </c>
      <c r="G99">
        <f>IFERROR(F99-'Alt Blanks'!$I$29,F99)</f>
        <v>139.55974339999997</v>
      </c>
      <c r="H99">
        <f t="shared" si="4"/>
        <v>139.55974339999997</v>
      </c>
      <c r="I99">
        <f t="shared" si="3"/>
        <v>69.779871699999987</v>
      </c>
    </row>
    <row r="100" spans="1:9" x14ac:dyDescent="0.35">
      <c r="A100" t="s">
        <v>48</v>
      </c>
      <c r="B100" t="s">
        <v>49</v>
      </c>
      <c r="C100" t="s">
        <v>36</v>
      </c>
      <c r="D100" t="s">
        <v>50</v>
      </c>
      <c r="E100">
        <v>1</v>
      </c>
      <c r="F100">
        <v>11.673013300000001</v>
      </c>
      <c r="G100">
        <f>IFERROR(F100-'Alt Blanks'!$I$30,F100)</f>
        <v>11.673013300000001</v>
      </c>
      <c r="H100">
        <f t="shared" si="4"/>
        <v>11.673013300000001</v>
      </c>
      <c r="I100">
        <f t="shared" si="3"/>
        <v>5.8365066500000005</v>
      </c>
    </row>
    <row r="101" spans="1:9" x14ac:dyDescent="0.35">
      <c r="A101" t="s">
        <v>48</v>
      </c>
      <c r="B101" t="s">
        <v>49</v>
      </c>
      <c r="C101" t="s">
        <v>37</v>
      </c>
      <c r="D101" t="s">
        <v>50</v>
      </c>
      <c r="E101">
        <v>1</v>
      </c>
      <c r="F101">
        <v>76.1832311</v>
      </c>
      <c r="G101">
        <f>IFERROR(F101-'Alt Blanks'!$I$31,F101)</f>
        <v>-26.271402499999994</v>
      </c>
      <c r="H101">
        <f t="shared" si="4"/>
        <v>0</v>
      </c>
      <c r="I101">
        <f t="shared" si="3"/>
        <v>0</v>
      </c>
    </row>
    <row r="102" spans="1:9" x14ac:dyDescent="0.35">
      <c r="A102" t="s">
        <v>48</v>
      </c>
      <c r="B102" t="s">
        <v>49</v>
      </c>
      <c r="C102" t="s">
        <v>38</v>
      </c>
      <c r="D102" t="s">
        <v>50</v>
      </c>
      <c r="E102">
        <v>1</v>
      </c>
      <c r="F102">
        <v>1.9660055999999999</v>
      </c>
      <c r="G102">
        <f>IFERROR(F102-'Alt Blanks'!$I$32,F102)</f>
        <v>3.8437099999999891E-2</v>
      </c>
      <c r="H102">
        <f t="shared" si="4"/>
        <v>3.8437099999999891E-2</v>
      </c>
      <c r="I102">
        <f t="shared" si="3"/>
        <v>1.9218549999999945E-2</v>
      </c>
    </row>
    <row r="103" spans="1:9" x14ac:dyDescent="0.35">
      <c r="A103" t="s">
        <v>48</v>
      </c>
      <c r="B103" t="s">
        <v>49</v>
      </c>
      <c r="C103" t="s">
        <v>39</v>
      </c>
      <c r="D103" t="s">
        <v>50</v>
      </c>
      <c r="E103">
        <v>1</v>
      </c>
      <c r="F103">
        <v>0.1649234</v>
      </c>
      <c r="G103">
        <f>IFERROR(F103-'Alt Blanks'!$I$33,F103)</f>
        <v>0.1649234</v>
      </c>
      <c r="H103">
        <f t="shared" si="4"/>
        <v>0.1649234</v>
      </c>
      <c r="I103">
        <f t="shared" si="3"/>
        <v>8.2461699999999999E-2</v>
      </c>
    </row>
    <row r="104" spans="1:9" x14ac:dyDescent="0.35">
      <c r="A104" t="s">
        <v>48</v>
      </c>
      <c r="B104" t="s">
        <v>49</v>
      </c>
      <c r="C104" t="s">
        <v>40</v>
      </c>
      <c r="D104" t="s">
        <v>50</v>
      </c>
      <c r="E104">
        <v>1</v>
      </c>
      <c r="F104">
        <v>12.290981200000001</v>
      </c>
      <c r="G104">
        <f>IFERROR(F104-'Alt Blanks'!$I$34,F104)</f>
        <v>12.290981200000001</v>
      </c>
      <c r="H104">
        <f t="shared" si="4"/>
        <v>12.290981200000001</v>
      </c>
      <c r="I104">
        <f t="shared" si="3"/>
        <v>6.1454906000000005</v>
      </c>
    </row>
    <row r="105" spans="1:9" x14ac:dyDescent="0.35">
      <c r="A105" t="s">
        <v>48</v>
      </c>
      <c r="B105" t="s">
        <v>49</v>
      </c>
      <c r="C105" t="s">
        <v>41</v>
      </c>
      <c r="D105" t="s">
        <v>50</v>
      </c>
      <c r="E105">
        <v>1</v>
      </c>
      <c r="F105">
        <v>83.230081600000005</v>
      </c>
      <c r="G105">
        <f>IFERROR(F105-'Alt Blanks'!$I$35,F105)</f>
        <v>83.230081600000005</v>
      </c>
      <c r="H105">
        <f t="shared" si="4"/>
        <v>83.230081600000005</v>
      </c>
      <c r="I105">
        <f t="shared" si="3"/>
        <v>41.615040800000003</v>
      </c>
    </row>
    <row r="106" spans="1:9" x14ac:dyDescent="0.35">
      <c r="A106" t="s">
        <v>48</v>
      </c>
      <c r="B106" t="s">
        <v>49</v>
      </c>
      <c r="C106" t="s">
        <v>42</v>
      </c>
      <c r="D106" t="s">
        <v>50</v>
      </c>
      <c r="E106">
        <v>1</v>
      </c>
      <c r="F106">
        <v>0</v>
      </c>
      <c r="G106">
        <f>IFERROR(F106-'Alt Blanks'!$I$36,F106)</f>
        <v>0</v>
      </c>
      <c r="H106">
        <f t="shared" si="4"/>
        <v>0</v>
      </c>
      <c r="I106">
        <f t="shared" si="3"/>
        <v>0</v>
      </c>
    </row>
    <row r="107" spans="1:9" x14ac:dyDescent="0.35">
      <c r="A107" t="s">
        <v>52</v>
      </c>
      <c r="B107" t="s">
        <v>53</v>
      </c>
      <c r="C107" t="s">
        <v>7</v>
      </c>
      <c r="D107" t="s">
        <v>54</v>
      </c>
      <c r="E107">
        <v>1</v>
      </c>
      <c r="F107">
        <v>6.7419951999999999</v>
      </c>
      <c r="G107">
        <f>IFERROR(F107-'Alt Blanks'!$I$2,F107)</f>
        <v>3.5454099999999045E-2</v>
      </c>
      <c r="H107">
        <f t="shared" si="4"/>
        <v>3.5454099999999045E-2</v>
      </c>
      <c r="I107">
        <f t="shared" si="3"/>
        <v>1.7727049999999522E-2</v>
      </c>
    </row>
    <row r="108" spans="1:9" x14ac:dyDescent="0.35">
      <c r="A108" t="s">
        <v>52</v>
      </c>
      <c r="B108" t="s">
        <v>53</v>
      </c>
      <c r="C108" t="s">
        <v>9</v>
      </c>
      <c r="D108" t="s">
        <v>54</v>
      </c>
      <c r="E108">
        <v>1</v>
      </c>
      <c r="F108">
        <v>0</v>
      </c>
      <c r="G108">
        <f>IFERROR(F108-'Alt Blanks'!$I$3,F108)</f>
        <v>0</v>
      </c>
      <c r="H108">
        <f t="shared" si="4"/>
        <v>0</v>
      </c>
      <c r="I108">
        <f t="shared" si="3"/>
        <v>0</v>
      </c>
    </row>
    <row r="109" spans="1:9" x14ac:dyDescent="0.35">
      <c r="A109" t="s">
        <v>52</v>
      </c>
      <c r="B109" t="s">
        <v>53</v>
      </c>
      <c r="C109" t="s">
        <v>10</v>
      </c>
      <c r="D109" t="s">
        <v>54</v>
      </c>
      <c r="E109">
        <v>1</v>
      </c>
      <c r="F109">
        <v>0</v>
      </c>
      <c r="G109">
        <f>IFERROR(F109-'Alt Blanks'!$I$4,F109)</f>
        <v>0</v>
      </c>
      <c r="H109">
        <f t="shared" si="4"/>
        <v>0</v>
      </c>
      <c r="I109">
        <f t="shared" si="3"/>
        <v>0</v>
      </c>
    </row>
    <row r="110" spans="1:9" x14ac:dyDescent="0.35">
      <c r="A110" t="s">
        <v>52</v>
      </c>
      <c r="B110" t="s">
        <v>53</v>
      </c>
      <c r="C110" t="s">
        <v>11</v>
      </c>
      <c r="D110" t="s">
        <v>54</v>
      </c>
      <c r="E110">
        <v>1</v>
      </c>
      <c r="F110">
        <v>8.9879604999999998</v>
      </c>
      <c r="G110">
        <f>IFERROR(F110-'Alt Blanks'!$I$5,F110)</f>
        <v>8.9879604999999998</v>
      </c>
      <c r="H110">
        <f t="shared" si="4"/>
        <v>8.9879604999999998</v>
      </c>
      <c r="I110">
        <f t="shared" si="3"/>
        <v>4.4939802499999999</v>
      </c>
    </row>
    <row r="111" spans="1:9" x14ac:dyDescent="0.35">
      <c r="A111" t="s">
        <v>52</v>
      </c>
      <c r="B111" t="s">
        <v>53</v>
      </c>
      <c r="C111" t="s">
        <v>12</v>
      </c>
      <c r="D111" t="s">
        <v>54</v>
      </c>
      <c r="E111">
        <v>1</v>
      </c>
      <c r="F111">
        <v>108.34571099999999</v>
      </c>
      <c r="G111">
        <f>IFERROR(F111-'Alt Blanks'!$I$6,F111)</f>
        <v>108.34571099999999</v>
      </c>
      <c r="H111">
        <f t="shared" si="4"/>
        <v>108.34571099999999</v>
      </c>
      <c r="I111">
        <f t="shared" si="3"/>
        <v>54.172855499999997</v>
      </c>
    </row>
    <row r="112" spans="1:9" x14ac:dyDescent="0.35">
      <c r="A112" t="s">
        <v>52</v>
      </c>
      <c r="B112" t="s">
        <v>53</v>
      </c>
      <c r="C112" t="s">
        <v>13</v>
      </c>
      <c r="D112" t="s">
        <v>54</v>
      </c>
      <c r="E112">
        <v>1</v>
      </c>
      <c r="F112">
        <v>327.58338859999998</v>
      </c>
      <c r="G112">
        <f>IFERROR(F112-'Alt Blanks'!$I$7,F112)</f>
        <v>327.58338859999998</v>
      </c>
      <c r="H112">
        <f t="shared" si="4"/>
        <v>327.58338859999998</v>
      </c>
      <c r="I112">
        <f t="shared" si="3"/>
        <v>163.79169429999999</v>
      </c>
    </row>
    <row r="113" spans="1:9" x14ac:dyDescent="0.35">
      <c r="A113" t="s">
        <v>52</v>
      </c>
      <c r="B113" t="s">
        <v>53</v>
      </c>
      <c r="C113" t="s">
        <v>14</v>
      </c>
      <c r="D113" t="s">
        <v>54</v>
      </c>
      <c r="E113">
        <v>1</v>
      </c>
      <c r="F113">
        <v>0</v>
      </c>
      <c r="G113">
        <f>IFERROR(F113-'Alt Blanks'!$I$8,F113)</f>
        <v>0</v>
      </c>
      <c r="H113">
        <f t="shared" si="4"/>
        <v>0</v>
      </c>
      <c r="I113">
        <f t="shared" si="3"/>
        <v>0</v>
      </c>
    </row>
    <row r="114" spans="1:9" x14ac:dyDescent="0.35">
      <c r="A114" t="s">
        <v>52</v>
      </c>
      <c r="B114" t="s">
        <v>53</v>
      </c>
      <c r="C114" t="s">
        <v>15</v>
      </c>
      <c r="D114" t="s">
        <v>54</v>
      </c>
      <c r="E114">
        <v>1</v>
      </c>
      <c r="F114">
        <v>11.593805399999999</v>
      </c>
      <c r="G114">
        <f>IFERROR(F114-'Alt Blanks'!$I$9,F114)</f>
        <v>11.593805399999999</v>
      </c>
      <c r="H114">
        <f t="shared" si="4"/>
        <v>11.593805399999999</v>
      </c>
      <c r="I114">
        <f t="shared" si="3"/>
        <v>5.7969026999999995</v>
      </c>
    </row>
    <row r="115" spans="1:9" x14ac:dyDescent="0.35">
      <c r="A115" t="s">
        <v>52</v>
      </c>
      <c r="B115" t="s">
        <v>53</v>
      </c>
      <c r="C115" t="s">
        <v>16</v>
      </c>
      <c r="D115" t="s">
        <v>54</v>
      </c>
      <c r="E115">
        <v>1</v>
      </c>
      <c r="F115">
        <v>0</v>
      </c>
      <c r="G115">
        <f>IFERROR(F115-'Alt Blanks'!$I$10,F115)</f>
        <v>0</v>
      </c>
      <c r="H115">
        <f t="shared" si="4"/>
        <v>0</v>
      </c>
      <c r="I115">
        <f t="shared" si="3"/>
        <v>0</v>
      </c>
    </row>
    <row r="116" spans="1:9" x14ac:dyDescent="0.35">
      <c r="A116" t="s">
        <v>52</v>
      </c>
      <c r="B116" t="s">
        <v>53</v>
      </c>
      <c r="C116" t="s">
        <v>17</v>
      </c>
      <c r="D116" t="s">
        <v>54</v>
      </c>
      <c r="E116">
        <v>1</v>
      </c>
      <c r="F116">
        <v>3321.8463094000003</v>
      </c>
      <c r="G116">
        <f>IFERROR(F116-'Alt Blanks'!$I$11,F116)</f>
        <v>2516.6296197000001</v>
      </c>
      <c r="H116">
        <f t="shared" si="4"/>
        <v>2516.6296197000001</v>
      </c>
      <c r="I116">
        <f t="shared" si="3"/>
        <v>1258.3148098500001</v>
      </c>
    </row>
    <row r="117" spans="1:9" x14ac:dyDescent="0.35">
      <c r="A117" t="s">
        <v>52</v>
      </c>
      <c r="B117" t="s">
        <v>53</v>
      </c>
      <c r="C117" t="s">
        <v>18</v>
      </c>
      <c r="D117" t="s">
        <v>54</v>
      </c>
      <c r="E117">
        <v>1</v>
      </c>
      <c r="F117">
        <v>303.93005879999998</v>
      </c>
      <c r="G117">
        <f>IFERROR(F117-'Alt Blanks'!$I$12,F117)</f>
        <v>303.93005879999998</v>
      </c>
      <c r="H117">
        <f t="shared" si="4"/>
        <v>303.93005879999998</v>
      </c>
      <c r="I117">
        <f t="shared" si="3"/>
        <v>151.96502939999999</v>
      </c>
    </row>
    <row r="118" spans="1:9" x14ac:dyDescent="0.35">
      <c r="A118" t="s">
        <v>52</v>
      </c>
      <c r="B118" t="s">
        <v>53</v>
      </c>
      <c r="C118" t="s">
        <v>19</v>
      </c>
      <c r="D118" t="s">
        <v>54</v>
      </c>
      <c r="E118">
        <v>1</v>
      </c>
      <c r="F118">
        <v>11.7678791</v>
      </c>
      <c r="G118">
        <f>IFERROR(F118-'Alt Blanks'!$I$13,F118)</f>
        <v>10.9151656</v>
      </c>
      <c r="H118">
        <f t="shared" si="4"/>
        <v>10.9151656</v>
      </c>
      <c r="I118">
        <f t="shared" si="3"/>
        <v>5.4575828</v>
      </c>
    </row>
    <row r="119" spans="1:9" x14ac:dyDescent="0.35">
      <c r="A119" t="s">
        <v>52</v>
      </c>
      <c r="B119" t="s">
        <v>53</v>
      </c>
      <c r="C119" t="s">
        <v>20</v>
      </c>
      <c r="D119" t="s">
        <v>54</v>
      </c>
      <c r="E119">
        <v>1</v>
      </c>
      <c r="F119">
        <v>17.755788299999999</v>
      </c>
      <c r="G119">
        <f>IFERROR(F119-'Alt Blanks'!$I$14,F119)</f>
        <v>17.755788299999999</v>
      </c>
      <c r="H119">
        <f t="shared" si="4"/>
        <v>17.755788299999999</v>
      </c>
      <c r="I119">
        <f t="shared" si="3"/>
        <v>8.8778941499999995</v>
      </c>
    </row>
    <row r="120" spans="1:9" x14ac:dyDescent="0.35">
      <c r="A120" t="s">
        <v>52</v>
      </c>
      <c r="B120" t="s">
        <v>53</v>
      </c>
      <c r="C120" t="s">
        <v>21</v>
      </c>
      <c r="D120" t="s">
        <v>54</v>
      </c>
      <c r="E120">
        <v>1</v>
      </c>
      <c r="F120">
        <v>447.58989049999997</v>
      </c>
      <c r="G120">
        <f>IFERROR(F120-'Alt Blanks'!$I$15,F120)</f>
        <v>178.96649339999999</v>
      </c>
      <c r="H120">
        <f t="shared" si="4"/>
        <v>178.96649339999999</v>
      </c>
      <c r="I120">
        <f t="shared" si="3"/>
        <v>89.483246699999995</v>
      </c>
    </row>
    <row r="121" spans="1:9" x14ac:dyDescent="0.35">
      <c r="A121" t="s">
        <v>52</v>
      </c>
      <c r="B121" t="s">
        <v>53</v>
      </c>
      <c r="C121" t="s">
        <v>22</v>
      </c>
      <c r="D121" t="s">
        <v>54</v>
      </c>
      <c r="E121">
        <v>1</v>
      </c>
      <c r="F121">
        <v>4.6886047</v>
      </c>
      <c r="G121">
        <f>IFERROR(F121-'Alt Blanks'!$I$16,F121)</f>
        <v>-13.7773085</v>
      </c>
      <c r="H121">
        <f t="shared" si="4"/>
        <v>0</v>
      </c>
      <c r="I121">
        <f t="shared" si="3"/>
        <v>0</v>
      </c>
    </row>
    <row r="122" spans="1:9" x14ac:dyDescent="0.35">
      <c r="A122" t="s">
        <v>52</v>
      </c>
      <c r="B122" t="s">
        <v>53</v>
      </c>
      <c r="C122" t="s">
        <v>23</v>
      </c>
      <c r="D122" t="s">
        <v>54</v>
      </c>
      <c r="E122">
        <v>1</v>
      </c>
      <c r="F122">
        <v>0.28992050000000003</v>
      </c>
      <c r="G122">
        <f>IFERROR(F122-'Alt Blanks'!$I$17,F122)</f>
        <v>-4.2032899999999984E-2</v>
      </c>
      <c r="H122">
        <f t="shared" si="4"/>
        <v>0</v>
      </c>
      <c r="I122">
        <f t="shared" si="3"/>
        <v>0</v>
      </c>
    </row>
    <row r="123" spans="1:9" x14ac:dyDescent="0.35">
      <c r="A123" t="s">
        <v>52</v>
      </c>
      <c r="B123" t="s">
        <v>53</v>
      </c>
      <c r="C123" t="s">
        <v>24</v>
      </c>
      <c r="D123" t="s">
        <v>54</v>
      </c>
      <c r="E123">
        <v>1</v>
      </c>
      <c r="F123">
        <v>1370.6615456999998</v>
      </c>
      <c r="G123">
        <f>IFERROR(F123-'Alt Blanks'!$I$18,F123)</f>
        <v>1364.6580860999998</v>
      </c>
      <c r="H123">
        <f t="shared" si="4"/>
        <v>1364.6580860999998</v>
      </c>
      <c r="I123">
        <f t="shared" si="3"/>
        <v>682.32904304999988</v>
      </c>
    </row>
    <row r="124" spans="1:9" x14ac:dyDescent="0.35">
      <c r="A124" t="s">
        <v>52</v>
      </c>
      <c r="B124" t="s">
        <v>53</v>
      </c>
      <c r="C124" t="s">
        <v>25</v>
      </c>
      <c r="D124" t="s">
        <v>54</v>
      </c>
      <c r="E124">
        <v>1</v>
      </c>
      <c r="F124">
        <v>168.89977359999997</v>
      </c>
      <c r="G124">
        <f>IFERROR(F124-'Alt Blanks'!$I$19,F124)</f>
        <v>168.89977359999997</v>
      </c>
      <c r="H124">
        <f t="shared" si="4"/>
        <v>168.89977359999997</v>
      </c>
      <c r="I124">
        <f t="shared" si="3"/>
        <v>84.449886799999987</v>
      </c>
    </row>
    <row r="125" spans="1:9" x14ac:dyDescent="0.35">
      <c r="A125" t="s">
        <v>52</v>
      </c>
      <c r="B125" t="s">
        <v>53</v>
      </c>
      <c r="C125" t="s">
        <v>26</v>
      </c>
      <c r="D125" t="s">
        <v>54</v>
      </c>
      <c r="E125">
        <v>1</v>
      </c>
      <c r="F125">
        <v>1838.9374591999999</v>
      </c>
      <c r="G125">
        <f>IFERROR(F125-'Alt Blanks'!$I$20,F125)</f>
        <v>1836.9994838</v>
      </c>
      <c r="H125">
        <f t="shared" si="4"/>
        <v>1836.9994838</v>
      </c>
      <c r="I125">
        <f t="shared" si="3"/>
        <v>918.4997419</v>
      </c>
    </row>
    <row r="126" spans="1:9" x14ac:dyDescent="0.35">
      <c r="A126" t="s">
        <v>52</v>
      </c>
      <c r="B126" t="s">
        <v>53</v>
      </c>
      <c r="C126" t="s">
        <v>27</v>
      </c>
      <c r="D126" t="s">
        <v>54</v>
      </c>
      <c r="E126">
        <v>1</v>
      </c>
      <c r="F126">
        <v>172.991759</v>
      </c>
      <c r="G126">
        <f>IFERROR(F126-'Alt Blanks'!$I$21,F126)</f>
        <v>172.77724990000002</v>
      </c>
      <c r="H126">
        <f t="shared" si="4"/>
        <v>172.77724990000002</v>
      </c>
      <c r="I126">
        <f t="shared" si="3"/>
        <v>86.388624950000008</v>
      </c>
    </row>
    <row r="127" spans="1:9" x14ac:dyDescent="0.35">
      <c r="A127" t="s">
        <v>52</v>
      </c>
      <c r="B127" t="s">
        <v>53</v>
      </c>
      <c r="C127" t="s">
        <v>28</v>
      </c>
      <c r="D127" t="s">
        <v>54</v>
      </c>
      <c r="E127">
        <v>1</v>
      </c>
      <c r="F127">
        <v>49.371423900000003</v>
      </c>
      <c r="G127">
        <f>IFERROR(F127-'Alt Blanks'!$I$22,F127)</f>
        <v>47.776702500000006</v>
      </c>
      <c r="H127">
        <f t="shared" si="4"/>
        <v>47.776702500000006</v>
      </c>
      <c r="I127">
        <f t="shared" si="3"/>
        <v>23.888351250000003</v>
      </c>
    </row>
    <row r="128" spans="1:9" x14ac:dyDescent="0.35">
      <c r="A128" t="s">
        <v>52</v>
      </c>
      <c r="B128" t="s">
        <v>53</v>
      </c>
      <c r="C128" t="s">
        <v>29</v>
      </c>
      <c r="D128" t="s">
        <v>54</v>
      </c>
      <c r="E128">
        <v>1</v>
      </c>
      <c r="F128">
        <v>15.0574821</v>
      </c>
      <c r="G128">
        <f>IFERROR(F128-'Alt Blanks'!$I$23,F128)</f>
        <v>14.9367447</v>
      </c>
      <c r="H128">
        <f t="shared" si="4"/>
        <v>14.9367447</v>
      </c>
      <c r="I128">
        <f t="shared" si="3"/>
        <v>7.4683723500000001</v>
      </c>
    </row>
    <row r="129" spans="1:9" x14ac:dyDescent="0.35">
      <c r="A129" t="s">
        <v>52</v>
      </c>
      <c r="B129" t="s">
        <v>53</v>
      </c>
      <c r="C129" t="s">
        <v>30</v>
      </c>
      <c r="D129" t="s">
        <v>54</v>
      </c>
      <c r="E129">
        <v>1</v>
      </c>
      <c r="F129">
        <v>29.563606199999999</v>
      </c>
      <c r="G129">
        <f>IFERROR(F129-'Alt Blanks'!$I$24,F129)</f>
        <v>29.316436599999999</v>
      </c>
      <c r="H129">
        <f t="shared" si="4"/>
        <v>29.316436599999999</v>
      </c>
      <c r="I129">
        <f t="shared" si="3"/>
        <v>14.6582183</v>
      </c>
    </row>
    <row r="130" spans="1:9" x14ac:dyDescent="0.35">
      <c r="A130" t="s">
        <v>52</v>
      </c>
      <c r="B130" t="s">
        <v>53</v>
      </c>
      <c r="C130" t="s">
        <v>31</v>
      </c>
      <c r="D130" t="s">
        <v>54</v>
      </c>
      <c r="E130">
        <v>1</v>
      </c>
      <c r="F130">
        <v>10.995604999999999</v>
      </c>
      <c r="G130">
        <f>IFERROR(F130-'Alt Blanks'!$I$25,F130)</f>
        <v>10.5233642</v>
      </c>
      <c r="H130">
        <f t="shared" si="4"/>
        <v>10.5233642</v>
      </c>
      <c r="I130">
        <f t="shared" si="3"/>
        <v>5.2616820999999998</v>
      </c>
    </row>
    <row r="131" spans="1:9" x14ac:dyDescent="0.35">
      <c r="A131" t="s">
        <v>52</v>
      </c>
      <c r="B131" t="s">
        <v>53</v>
      </c>
      <c r="C131" t="s">
        <v>32</v>
      </c>
      <c r="D131" t="s">
        <v>54</v>
      </c>
      <c r="E131">
        <v>1</v>
      </c>
      <c r="F131">
        <v>27.0357579</v>
      </c>
      <c r="G131">
        <f>IFERROR(F131-'Alt Blanks'!$I$26,F131)</f>
        <v>26.455581599999999</v>
      </c>
      <c r="H131">
        <f t="shared" si="4"/>
        <v>26.455581599999999</v>
      </c>
      <c r="I131">
        <f t="shared" si="3"/>
        <v>13.227790799999999</v>
      </c>
    </row>
    <row r="132" spans="1:9" x14ac:dyDescent="0.35">
      <c r="A132" t="s">
        <v>52</v>
      </c>
      <c r="B132" t="s">
        <v>53</v>
      </c>
      <c r="C132" t="s">
        <v>33</v>
      </c>
      <c r="D132" t="s">
        <v>54</v>
      </c>
      <c r="E132">
        <v>1</v>
      </c>
      <c r="F132">
        <v>0</v>
      </c>
      <c r="G132">
        <f>IFERROR(F132-'Alt Blanks'!$I$27,F132)</f>
        <v>0</v>
      </c>
      <c r="H132">
        <f t="shared" si="4"/>
        <v>0</v>
      </c>
      <c r="I132">
        <f t="shared" si="3"/>
        <v>0</v>
      </c>
    </row>
    <row r="133" spans="1:9" x14ac:dyDescent="0.35">
      <c r="A133" t="s">
        <v>52</v>
      </c>
      <c r="B133" t="s">
        <v>53</v>
      </c>
      <c r="C133" t="s">
        <v>34</v>
      </c>
      <c r="D133" t="s">
        <v>54</v>
      </c>
      <c r="E133">
        <v>1</v>
      </c>
      <c r="F133">
        <v>0</v>
      </c>
      <c r="G133">
        <f>IFERROR(F133-'Alt Blanks'!$I$28,F133)</f>
        <v>0</v>
      </c>
      <c r="H133">
        <f t="shared" si="4"/>
        <v>0</v>
      </c>
      <c r="I133">
        <f t="shared" ref="I133:I196" si="5">H133/2</f>
        <v>0</v>
      </c>
    </row>
    <row r="134" spans="1:9" x14ac:dyDescent="0.35">
      <c r="A134" t="s">
        <v>52</v>
      </c>
      <c r="B134" t="s">
        <v>53</v>
      </c>
      <c r="C134" t="s">
        <v>35</v>
      </c>
      <c r="D134" t="s">
        <v>54</v>
      </c>
      <c r="E134">
        <v>1</v>
      </c>
      <c r="F134">
        <v>65.4077755</v>
      </c>
      <c r="G134">
        <f>IFERROR(F134-'Alt Blanks'!$I$29,F134)</f>
        <v>64.7961545</v>
      </c>
      <c r="H134">
        <f t="shared" si="4"/>
        <v>64.7961545</v>
      </c>
      <c r="I134">
        <f t="shared" si="5"/>
        <v>32.39807725</v>
      </c>
    </row>
    <row r="135" spans="1:9" x14ac:dyDescent="0.35">
      <c r="A135" t="s">
        <v>52</v>
      </c>
      <c r="B135" t="s">
        <v>53</v>
      </c>
      <c r="C135" t="s">
        <v>36</v>
      </c>
      <c r="D135" t="s">
        <v>54</v>
      </c>
      <c r="E135">
        <v>1</v>
      </c>
      <c r="F135">
        <v>13.934635800000001</v>
      </c>
      <c r="G135">
        <f>IFERROR(F135-'Alt Blanks'!$I$30,F135)</f>
        <v>13.934635800000001</v>
      </c>
      <c r="H135">
        <f t="shared" si="4"/>
        <v>13.934635800000001</v>
      </c>
      <c r="I135">
        <f t="shared" si="5"/>
        <v>6.9673179000000003</v>
      </c>
    </row>
    <row r="136" spans="1:9" x14ac:dyDescent="0.35">
      <c r="A136" t="s">
        <v>52</v>
      </c>
      <c r="B136" t="s">
        <v>53</v>
      </c>
      <c r="C136" t="s">
        <v>37</v>
      </c>
      <c r="D136" t="s">
        <v>54</v>
      </c>
      <c r="E136">
        <v>1</v>
      </c>
      <c r="F136">
        <v>77.338678799999997</v>
      </c>
      <c r="G136">
        <f>IFERROR(F136-'Alt Blanks'!$I$31,F136)</f>
        <v>-25.115954799999997</v>
      </c>
      <c r="H136">
        <f t="shared" si="4"/>
        <v>0</v>
      </c>
      <c r="I136">
        <f t="shared" si="5"/>
        <v>0</v>
      </c>
    </row>
    <row r="137" spans="1:9" x14ac:dyDescent="0.35">
      <c r="A137" t="s">
        <v>52</v>
      </c>
      <c r="B137" t="s">
        <v>53</v>
      </c>
      <c r="C137" t="s">
        <v>38</v>
      </c>
      <c r="D137" t="s">
        <v>54</v>
      </c>
      <c r="E137">
        <v>1</v>
      </c>
      <c r="F137">
        <v>1.9230614000000001</v>
      </c>
      <c r="G137">
        <f>IFERROR(F137-'Alt Blanks'!$I$32,F137)</f>
        <v>-4.5070999999998751E-3</v>
      </c>
      <c r="H137">
        <f t="shared" ref="H137:H200" si="6">IF(G137&lt;0,0,G137)</f>
        <v>0</v>
      </c>
      <c r="I137">
        <f t="shared" si="5"/>
        <v>0</v>
      </c>
    </row>
    <row r="138" spans="1:9" x14ac:dyDescent="0.35">
      <c r="A138" t="s">
        <v>52</v>
      </c>
      <c r="B138" t="s">
        <v>53</v>
      </c>
      <c r="C138" t="s">
        <v>39</v>
      </c>
      <c r="D138" t="s">
        <v>54</v>
      </c>
      <c r="E138">
        <v>1</v>
      </c>
      <c r="F138">
        <v>0.31330810000000003</v>
      </c>
      <c r="G138">
        <f>IFERROR(F138-'Alt Blanks'!$I$33,F138)</f>
        <v>0.31330810000000003</v>
      </c>
      <c r="H138">
        <f t="shared" si="6"/>
        <v>0.31330810000000003</v>
      </c>
      <c r="I138">
        <f t="shared" si="5"/>
        <v>0.15665405000000002</v>
      </c>
    </row>
    <row r="139" spans="1:9" x14ac:dyDescent="0.35">
      <c r="A139" t="s">
        <v>52</v>
      </c>
      <c r="B139" t="s">
        <v>53</v>
      </c>
      <c r="C139" t="s">
        <v>40</v>
      </c>
      <c r="D139" t="s">
        <v>54</v>
      </c>
      <c r="E139">
        <v>1</v>
      </c>
      <c r="F139">
        <v>13.6978153</v>
      </c>
      <c r="G139">
        <f>IFERROR(F139-'Alt Blanks'!$I$34,F139)</f>
        <v>13.6978153</v>
      </c>
      <c r="H139">
        <f t="shared" si="6"/>
        <v>13.6978153</v>
      </c>
      <c r="I139">
        <f t="shared" si="5"/>
        <v>6.8489076500000001</v>
      </c>
    </row>
    <row r="140" spans="1:9" x14ac:dyDescent="0.35">
      <c r="A140" t="s">
        <v>52</v>
      </c>
      <c r="B140" t="s">
        <v>53</v>
      </c>
      <c r="C140" t="s">
        <v>41</v>
      </c>
      <c r="D140" t="s">
        <v>54</v>
      </c>
      <c r="E140">
        <v>1</v>
      </c>
      <c r="F140">
        <v>102.8591534</v>
      </c>
      <c r="G140">
        <f>IFERROR(F140-'Alt Blanks'!$I$35,F140)</f>
        <v>102.8591534</v>
      </c>
      <c r="H140">
        <f t="shared" si="6"/>
        <v>102.8591534</v>
      </c>
      <c r="I140">
        <f t="shared" si="5"/>
        <v>51.429576699999998</v>
      </c>
    </row>
    <row r="141" spans="1:9" x14ac:dyDescent="0.35">
      <c r="A141" t="s">
        <v>52</v>
      </c>
      <c r="B141" t="s">
        <v>53</v>
      </c>
      <c r="C141" t="s">
        <v>42</v>
      </c>
      <c r="D141" t="s">
        <v>54</v>
      </c>
      <c r="E141">
        <v>1</v>
      </c>
      <c r="F141">
        <v>0</v>
      </c>
      <c r="G141">
        <f>IFERROR(F141-'Alt Blanks'!$I$36,F141)</f>
        <v>0</v>
      </c>
      <c r="H141">
        <f t="shared" si="6"/>
        <v>0</v>
      </c>
      <c r="I141">
        <f t="shared" si="5"/>
        <v>0</v>
      </c>
    </row>
    <row r="142" spans="1:9" x14ac:dyDescent="0.35">
      <c r="A142" t="s">
        <v>59</v>
      </c>
      <c r="B142" t="s">
        <v>55</v>
      </c>
      <c r="C142" t="s">
        <v>7</v>
      </c>
      <c r="D142" t="s">
        <v>8</v>
      </c>
      <c r="E142">
        <v>2</v>
      </c>
      <c r="F142">
        <v>6.8420342999999999</v>
      </c>
      <c r="G142">
        <f>IFERROR(F142-'Alt Blanks'!$I$2,F142)</f>
        <v>0.13549319999999909</v>
      </c>
      <c r="H142">
        <f t="shared" si="6"/>
        <v>0.13549319999999909</v>
      </c>
      <c r="I142">
        <f t="shared" si="5"/>
        <v>6.7746599999999546E-2</v>
      </c>
    </row>
    <row r="143" spans="1:9" x14ac:dyDescent="0.35">
      <c r="A143" t="s">
        <v>59</v>
      </c>
      <c r="B143" t="s">
        <v>55</v>
      </c>
      <c r="C143" t="s">
        <v>9</v>
      </c>
      <c r="D143" t="s">
        <v>8</v>
      </c>
      <c r="E143">
        <v>2</v>
      </c>
      <c r="F143">
        <v>1.3022845999999999</v>
      </c>
      <c r="G143">
        <f>IFERROR(F143-'Alt Blanks'!$I$3,F143)</f>
        <v>1.3022845999999999</v>
      </c>
      <c r="H143">
        <f t="shared" si="6"/>
        <v>1.3022845999999999</v>
      </c>
      <c r="I143">
        <f t="shared" si="5"/>
        <v>0.65114229999999995</v>
      </c>
    </row>
    <row r="144" spans="1:9" x14ac:dyDescent="0.35">
      <c r="A144" t="s">
        <v>59</v>
      </c>
      <c r="B144" t="s">
        <v>55</v>
      </c>
      <c r="C144" t="s">
        <v>10</v>
      </c>
      <c r="D144" t="s">
        <v>8</v>
      </c>
      <c r="E144">
        <v>2</v>
      </c>
      <c r="F144">
        <v>0</v>
      </c>
      <c r="G144">
        <f>IFERROR(F144-'Alt Blanks'!$I$4,F144)</f>
        <v>0</v>
      </c>
      <c r="H144">
        <f t="shared" si="6"/>
        <v>0</v>
      </c>
      <c r="I144">
        <f t="shared" si="5"/>
        <v>0</v>
      </c>
    </row>
    <row r="145" spans="1:9" x14ac:dyDescent="0.35">
      <c r="A145" t="s">
        <v>59</v>
      </c>
      <c r="B145" t="s">
        <v>55</v>
      </c>
      <c r="C145" t="s">
        <v>11</v>
      </c>
      <c r="D145" t="s">
        <v>8</v>
      </c>
      <c r="E145">
        <v>2</v>
      </c>
      <c r="F145">
        <v>28.6727925</v>
      </c>
      <c r="G145">
        <f>IFERROR(F145-'Alt Blanks'!$I$5,F145)</f>
        <v>28.6727925</v>
      </c>
      <c r="H145">
        <f t="shared" si="6"/>
        <v>28.6727925</v>
      </c>
      <c r="I145">
        <f t="shared" si="5"/>
        <v>14.33639625</v>
      </c>
    </row>
    <row r="146" spans="1:9" x14ac:dyDescent="0.35">
      <c r="A146" t="s">
        <v>59</v>
      </c>
      <c r="B146" t="s">
        <v>55</v>
      </c>
      <c r="C146" t="s">
        <v>12</v>
      </c>
      <c r="D146" t="s">
        <v>8</v>
      </c>
      <c r="E146">
        <v>2</v>
      </c>
      <c r="F146">
        <v>111.37773660000001</v>
      </c>
      <c r="G146">
        <f>IFERROR(F146-'Alt Blanks'!$I$6,F146)</f>
        <v>111.37773660000001</v>
      </c>
      <c r="H146">
        <f t="shared" si="6"/>
        <v>111.37773660000001</v>
      </c>
      <c r="I146">
        <f t="shared" si="5"/>
        <v>55.688868300000003</v>
      </c>
    </row>
    <row r="147" spans="1:9" x14ac:dyDescent="0.35">
      <c r="A147" t="s">
        <v>59</v>
      </c>
      <c r="B147" t="s">
        <v>55</v>
      </c>
      <c r="C147" t="s">
        <v>13</v>
      </c>
      <c r="D147" t="s">
        <v>8</v>
      </c>
      <c r="E147">
        <v>2</v>
      </c>
      <c r="F147">
        <v>226.38105390000001</v>
      </c>
      <c r="G147">
        <f>IFERROR(F147-'Alt Blanks'!$I$7,F147)</f>
        <v>226.38105390000001</v>
      </c>
      <c r="H147">
        <f t="shared" si="6"/>
        <v>226.38105390000001</v>
      </c>
      <c r="I147">
        <f t="shared" si="5"/>
        <v>113.19052695000001</v>
      </c>
    </row>
    <row r="148" spans="1:9" x14ac:dyDescent="0.35">
      <c r="A148" t="s">
        <v>59</v>
      </c>
      <c r="B148" t="s">
        <v>55</v>
      </c>
      <c r="C148" t="s">
        <v>14</v>
      </c>
      <c r="D148" t="s">
        <v>8</v>
      </c>
      <c r="E148">
        <v>2</v>
      </c>
      <c r="F148">
        <v>0</v>
      </c>
      <c r="G148">
        <f>IFERROR(F148-'Alt Blanks'!$I$8,F148)</f>
        <v>0</v>
      </c>
      <c r="H148">
        <f t="shared" si="6"/>
        <v>0</v>
      </c>
      <c r="I148">
        <f t="shared" si="5"/>
        <v>0</v>
      </c>
    </row>
    <row r="149" spans="1:9" x14ac:dyDescent="0.35">
      <c r="A149" t="s">
        <v>59</v>
      </c>
      <c r="B149" t="s">
        <v>55</v>
      </c>
      <c r="C149" t="s">
        <v>15</v>
      </c>
      <c r="D149" t="s">
        <v>8</v>
      </c>
      <c r="E149">
        <v>2</v>
      </c>
      <c r="F149">
        <v>13.4308449</v>
      </c>
      <c r="G149">
        <f>IFERROR(F149-'Alt Blanks'!$I$9,F149)</f>
        <v>13.4308449</v>
      </c>
      <c r="H149">
        <f t="shared" si="6"/>
        <v>13.4308449</v>
      </c>
      <c r="I149">
        <f t="shared" si="5"/>
        <v>6.7154224500000002</v>
      </c>
    </row>
    <row r="150" spans="1:9" x14ac:dyDescent="0.35">
      <c r="A150" t="s">
        <v>59</v>
      </c>
      <c r="B150" t="s">
        <v>55</v>
      </c>
      <c r="C150" t="s">
        <v>16</v>
      </c>
      <c r="D150" t="s">
        <v>8</v>
      </c>
      <c r="E150">
        <v>2</v>
      </c>
      <c r="F150">
        <v>0</v>
      </c>
      <c r="G150">
        <f>IFERROR(F150-'Alt Blanks'!$I$10,F150)</f>
        <v>0</v>
      </c>
      <c r="H150">
        <f t="shared" si="6"/>
        <v>0</v>
      </c>
      <c r="I150">
        <f t="shared" si="5"/>
        <v>0</v>
      </c>
    </row>
    <row r="151" spans="1:9" x14ac:dyDescent="0.35">
      <c r="A151" t="s">
        <v>59</v>
      </c>
      <c r="B151" t="s">
        <v>55</v>
      </c>
      <c r="C151" t="s">
        <v>17</v>
      </c>
      <c r="D151" t="s">
        <v>8</v>
      </c>
      <c r="E151">
        <v>2</v>
      </c>
      <c r="F151">
        <v>5445.5673954999993</v>
      </c>
      <c r="G151">
        <f>IFERROR(F151-'Alt Blanks'!$I$11,F151)</f>
        <v>4640.3507057999996</v>
      </c>
      <c r="H151">
        <f t="shared" si="6"/>
        <v>4640.3507057999996</v>
      </c>
      <c r="I151">
        <f t="shared" si="5"/>
        <v>2320.1753528999998</v>
      </c>
    </row>
    <row r="152" spans="1:9" x14ac:dyDescent="0.35">
      <c r="A152" t="s">
        <v>59</v>
      </c>
      <c r="B152" t="s">
        <v>55</v>
      </c>
      <c r="C152" t="s">
        <v>18</v>
      </c>
      <c r="D152" t="s">
        <v>8</v>
      </c>
      <c r="E152">
        <v>2</v>
      </c>
      <c r="F152">
        <v>866.93062910000003</v>
      </c>
      <c r="G152">
        <f>IFERROR(F152-'Alt Blanks'!$I$12,F152)</f>
        <v>866.93062910000003</v>
      </c>
      <c r="H152">
        <f t="shared" si="6"/>
        <v>866.93062910000003</v>
      </c>
      <c r="I152">
        <f t="shared" si="5"/>
        <v>433.46531455000002</v>
      </c>
    </row>
    <row r="153" spans="1:9" x14ac:dyDescent="0.35">
      <c r="A153" t="s">
        <v>59</v>
      </c>
      <c r="B153" t="s">
        <v>55</v>
      </c>
      <c r="C153" t="s">
        <v>19</v>
      </c>
      <c r="D153" t="s">
        <v>8</v>
      </c>
      <c r="E153">
        <v>2</v>
      </c>
      <c r="F153">
        <v>18.8507678</v>
      </c>
      <c r="G153">
        <f>IFERROR(F153-'Alt Blanks'!$I$13,F153)</f>
        <v>17.9980543</v>
      </c>
      <c r="H153">
        <f t="shared" si="6"/>
        <v>17.9980543</v>
      </c>
      <c r="I153">
        <f t="shared" si="5"/>
        <v>8.9990271499999999</v>
      </c>
    </row>
    <row r="154" spans="1:9" x14ac:dyDescent="0.35">
      <c r="A154" t="s">
        <v>59</v>
      </c>
      <c r="B154" t="s">
        <v>55</v>
      </c>
      <c r="C154" t="s">
        <v>20</v>
      </c>
      <c r="D154" t="s">
        <v>8</v>
      </c>
      <c r="E154">
        <v>2</v>
      </c>
      <c r="F154">
        <v>20.694393299999998</v>
      </c>
      <c r="G154">
        <f>IFERROR(F154-'Alt Blanks'!$I$14,F154)</f>
        <v>20.694393299999998</v>
      </c>
      <c r="H154">
        <f t="shared" si="6"/>
        <v>20.694393299999998</v>
      </c>
      <c r="I154">
        <f t="shared" si="5"/>
        <v>10.347196649999999</v>
      </c>
    </row>
    <row r="155" spans="1:9" x14ac:dyDescent="0.35">
      <c r="A155" t="s">
        <v>59</v>
      </c>
      <c r="B155" t="s">
        <v>55</v>
      </c>
      <c r="C155" t="s">
        <v>21</v>
      </c>
      <c r="D155" t="s">
        <v>8</v>
      </c>
      <c r="E155">
        <v>2</v>
      </c>
      <c r="F155">
        <v>0</v>
      </c>
      <c r="G155">
        <f>IFERROR(F155-'Alt Blanks'!$I$15,F155)</f>
        <v>-268.62339709999998</v>
      </c>
      <c r="H155">
        <f t="shared" si="6"/>
        <v>0</v>
      </c>
      <c r="I155">
        <f t="shared" si="5"/>
        <v>0</v>
      </c>
    </row>
    <row r="156" spans="1:9" x14ac:dyDescent="0.35">
      <c r="A156" t="s">
        <v>59</v>
      </c>
      <c r="B156" t="s">
        <v>55</v>
      </c>
      <c r="C156" t="s">
        <v>22</v>
      </c>
      <c r="D156" t="s">
        <v>8</v>
      </c>
      <c r="E156">
        <v>2</v>
      </c>
      <c r="F156">
        <v>0</v>
      </c>
      <c r="G156">
        <f>IFERROR(F156-'Alt Blanks'!$I$16,F156)</f>
        <v>-18.465913199999999</v>
      </c>
      <c r="H156">
        <f t="shared" si="6"/>
        <v>0</v>
      </c>
      <c r="I156">
        <f t="shared" si="5"/>
        <v>0</v>
      </c>
    </row>
    <row r="157" spans="1:9" x14ac:dyDescent="0.35">
      <c r="A157" t="s">
        <v>59</v>
      </c>
      <c r="B157" t="s">
        <v>55</v>
      </c>
      <c r="C157" t="s">
        <v>23</v>
      </c>
      <c r="D157" t="s">
        <v>8</v>
      </c>
      <c r="E157">
        <v>2</v>
      </c>
      <c r="F157">
        <v>6.4100469000000002</v>
      </c>
      <c r="G157">
        <f>IFERROR(F157-'Alt Blanks'!$I$17,F157)</f>
        <v>6.0780935000000005</v>
      </c>
      <c r="H157">
        <f t="shared" si="6"/>
        <v>6.0780935000000005</v>
      </c>
      <c r="I157">
        <f t="shared" si="5"/>
        <v>3.0390467500000002</v>
      </c>
    </row>
    <row r="158" spans="1:9" x14ac:dyDescent="0.35">
      <c r="A158" t="s">
        <v>59</v>
      </c>
      <c r="B158" t="s">
        <v>55</v>
      </c>
      <c r="C158" t="s">
        <v>24</v>
      </c>
      <c r="D158" t="s">
        <v>8</v>
      </c>
      <c r="E158">
        <v>2</v>
      </c>
      <c r="F158">
        <v>1659.2318282000001</v>
      </c>
      <c r="G158">
        <f>IFERROR(F158-'Alt Blanks'!$I$18,F158)</f>
        <v>1653.2283686000001</v>
      </c>
      <c r="H158">
        <f t="shared" si="6"/>
        <v>1653.2283686000001</v>
      </c>
      <c r="I158">
        <f t="shared" si="5"/>
        <v>826.61418430000003</v>
      </c>
    </row>
    <row r="159" spans="1:9" x14ac:dyDescent="0.35">
      <c r="A159" t="s">
        <v>59</v>
      </c>
      <c r="B159" t="s">
        <v>55</v>
      </c>
      <c r="C159" t="s">
        <v>25</v>
      </c>
      <c r="D159" t="s">
        <v>8</v>
      </c>
      <c r="E159">
        <v>2</v>
      </c>
      <c r="F159">
        <v>0</v>
      </c>
      <c r="G159">
        <f>IFERROR(F159-'Alt Blanks'!$I$19,F159)</f>
        <v>0</v>
      </c>
      <c r="H159">
        <f t="shared" si="6"/>
        <v>0</v>
      </c>
      <c r="I159">
        <f t="shared" si="5"/>
        <v>0</v>
      </c>
    </row>
    <row r="160" spans="1:9" x14ac:dyDescent="0.35">
      <c r="A160" t="s">
        <v>59</v>
      </c>
      <c r="B160" t="s">
        <v>55</v>
      </c>
      <c r="C160" t="s">
        <v>26</v>
      </c>
      <c r="D160" t="s">
        <v>8</v>
      </c>
      <c r="E160">
        <v>2</v>
      </c>
      <c r="F160">
        <v>3097.0300643</v>
      </c>
      <c r="G160">
        <f>IFERROR(F160-'Alt Blanks'!$I$20,F160)</f>
        <v>3095.0920888999999</v>
      </c>
      <c r="H160">
        <f t="shared" si="6"/>
        <v>3095.0920888999999</v>
      </c>
      <c r="I160">
        <f t="shared" si="5"/>
        <v>1547.54604445</v>
      </c>
    </row>
    <row r="161" spans="1:9" x14ac:dyDescent="0.35">
      <c r="A161" t="s">
        <v>59</v>
      </c>
      <c r="B161" t="s">
        <v>55</v>
      </c>
      <c r="C161" t="s">
        <v>27</v>
      </c>
      <c r="D161" t="s">
        <v>8</v>
      </c>
      <c r="E161">
        <v>2</v>
      </c>
      <c r="F161">
        <v>202.40559090000002</v>
      </c>
      <c r="G161">
        <f>IFERROR(F161-'Alt Blanks'!$I$21,F161)</f>
        <v>202.19108180000003</v>
      </c>
      <c r="H161">
        <f t="shared" si="6"/>
        <v>202.19108180000003</v>
      </c>
      <c r="I161">
        <f t="shared" si="5"/>
        <v>101.09554090000002</v>
      </c>
    </row>
    <row r="162" spans="1:9" x14ac:dyDescent="0.35">
      <c r="A162" t="s">
        <v>59</v>
      </c>
      <c r="B162" t="s">
        <v>55</v>
      </c>
      <c r="C162" t="s">
        <v>28</v>
      </c>
      <c r="D162" t="s">
        <v>8</v>
      </c>
      <c r="E162">
        <v>2</v>
      </c>
      <c r="F162">
        <v>21.568108299999999</v>
      </c>
      <c r="G162">
        <f>IFERROR(F162-'Alt Blanks'!$I$22,F162)</f>
        <v>19.973386899999998</v>
      </c>
      <c r="H162">
        <f t="shared" si="6"/>
        <v>19.973386899999998</v>
      </c>
      <c r="I162">
        <f t="shared" si="5"/>
        <v>9.9866934499999989</v>
      </c>
    </row>
    <row r="163" spans="1:9" x14ac:dyDescent="0.35">
      <c r="A163" t="s">
        <v>59</v>
      </c>
      <c r="B163" t="s">
        <v>55</v>
      </c>
      <c r="C163" t="s">
        <v>29</v>
      </c>
      <c r="D163" t="s">
        <v>8</v>
      </c>
      <c r="E163">
        <v>2</v>
      </c>
      <c r="F163">
        <v>39.595627699999994</v>
      </c>
      <c r="G163">
        <f>IFERROR(F163-'Alt Blanks'!$I$23,F163)</f>
        <v>39.474890299999991</v>
      </c>
      <c r="H163">
        <f t="shared" si="6"/>
        <v>39.474890299999991</v>
      </c>
      <c r="I163">
        <f t="shared" si="5"/>
        <v>19.737445149999996</v>
      </c>
    </row>
    <row r="164" spans="1:9" x14ac:dyDescent="0.35">
      <c r="A164" t="s">
        <v>59</v>
      </c>
      <c r="B164" t="s">
        <v>55</v>
      </c>
      <c r="C164" t="s">
        <v>30</v>
      </c>
      <c r="D164" t="s">
        <v>8</v>
      </c>
      <c r="E164">
        <v>2</v>
      </c>
      <c r="F164">
        <v>15.150450300000001</v>
      </c>
      <c r="G164">
        <f>IFERROR(F164-'Alt Blanks'!$I$24,F164)</f>
        <v>14.903280700000002</v>
      </c>
      <c r="H164">
        <f t="shared" si="6"/>
        <v>14.903280700000002</v>
      </c>
      <c r="I164">
        <f t="shared" si="5"/>
        <v>7.4516403500000008</v>
      </c>
    </row>
    <row r="165" spans="1:9" x14ac:dyDescent="0.35">
      <c r="A165" t="s">
        <v>59</v>
      </c>
      <c r="B165" t="s">
        <v>55</v>
      </c>
      <c r="C165" t="s">
        <v>31</v>
      </c>
      <c r="D165" t="s">
        <v>8</v>
      </c>
      <c r="E165">
        <v>2</v>
      </c>
      <c r="F165">
        <v>0.41733010000000004</v>
      </c>
      <c r="G165">
        <f>IFERROR(F165-'Alt Blanks'!$I$25,F165)</f>
        <v>-5.4910699999999923E-2</v>
      </c>
      <c r="H165">
        <f t="shared" si="6"/>
        <v>0</v>
      </c>
      <c r="I165">
        <f t="shared" si="5"/>
        <v>0</v>
      </c>
    </row>
    <row r="166" spans="1:9" x14ac:dyDescent="0.35">
      <c r="A166" t="s">
        <v>59</v>
      </c>
      <c r="B166" t="s">
        <v>55</v>
      </c>
      <c r="C166" t="s">
        <v>32</v>
      </c>
      <c r="D166" t="s">
        <v>8</v>
      </c>
      <c r="E166">
        <v>2</v>
      </c>
      <c r="F166">
        <v>129.15606579999999</v>
      </c>
      <c r="G166">
        <f>IFERROR(F166-'Alt Blanks'!$I$26,F166)</f>
        <v>128.57588949999999</v>
      </c>
      <c r="H166">
        <f t="shared" si="6"/>
        <v>128.57588949999999</v>
      </c>
      <c r="I166">
        <f t="shared" si="5"/>
        <v>64.287944749999994</v>
      </c>
    </row>
    <row r="167" spans="1:9" x14ac:dyDescent="0.35">
      <c r="A167" t="s">
        <v>59</v>
      </c>
      <c r="B167" t="s">
        <v>55</v>
      </c>
      <c r="C167" t="s">
        <v>33</v>
      </c>
      <c r="D167" t="s">
        <v>8</v>
      </c>
      <c r="E167">
        <v>2</v>
      </c>
      <c r="F167">
        <v>0</v>
      </c>
      <c r="G167">
        <f>IFERROR(F167-'Alt Blanks'!$I$27,F167)</f>
        <v>0</v>
      </c>
      <c r="H167">
        <f t="shared" si="6"/>
        <v>0</v>
      </c>
      <c r="I167">
        <f t="shared" si="5"/>
        <v>0</v>
      </c>
    </row>
    <row r="168" spans="1:9" x14ac:dyDescent="0.35">
      <c r="A168" t="s">
        <v>59</v>
      </c>
      <c r="B168" t="s">
        <v>55</v>
      </c>
      <c r="C168" t="s">
        <v>34</v>
      </c>
      <c r="D168" t="s">
        <v>8</v>
      </c>
      <c r="E168">
        <v>2</v>
      </c>
      <c r="F168">
        <v>0</v>
      </c>
      <c r="G168">
        <f>IFERROR(F168-'Alt Blanks'!$I$28,F168)</f>
        <v>0</v>
      </c>
      <c r="H168">
        <f t="shared" si="6"/>
        <v>0</v>
      </c>
      <c r="I168">
        <f t="shared" si="5"/>
        <v>0</v>
      </c>
    </row>
    <row r="169" spans="1:9" x14ac:dyDescent="0.35">
      <c r="A169" t="s">
        <v>59</v>
      </c>
      <c r="B169" t="s">
        <v>55</v>
      </c>
      <c r="C169" t="s">
        <v>35</v>
      </c>
      <c r="D169" t="s">
        <v>8</v>
      </c>
      <c r="E169">
        <v>2</v>
      </c>
      <c r="F169">
        <v>274.82375939999997</v>
      </c>
      <c r="G169">
        <f>IFERROR(F169-'Alt Blanks'!$I$29,F169)</f>
        <v>274.21213839999996</v>
      </c>
      <c r="H169">
        <f t="shared" si="6"/>
        <v>274.21213839999996</v>
      </c>
      <c r="I169">
        <f t="shared" si="5"/>
        <v>137.10606919999998</v>
      </c>
    </row>
    <row r="170" spans="1:9" x14ac:dyDescent="0.35">
      <c r="A170" t="s">
        <v>59</v>
      </c>
      <c r="B170" t="s">
        <v>55</v>
      </c>
      <c r="C170" t="s">
        <v>36</v>
      </c>
      <c r="D170" t="s">
        <v>8</v>
      </c>
      <c r="E170">
        <v>2</v>
      </c>
      <c r="F170">
        <v>0</v>
      </c>
      <c r="G170">
        <f>IFERROR(F170-'Alt Blanks'!$I$30,F170)</f>
        <v>0</v>
      </c>
      <c r="H170">
        <f t="shared" si="6"/>
        <v>0</v>
      </c>
      <c r="I170">
        <f t="shared" si="5"/>
        <v>0</v>
      </c>
    </row>
    <row r="171" spans="1:9" x14ac:dyDescent="0.35">
      <c r="A171" t="s">
        <v>59</v>
      </c>
      <c r="B171" t="s">
        <v>55</v>
      </c>
      <c r="C171" t="s">
        <v>37</v>
      </c>
      <c r="D171" t="s">
        <v>8</v>
      </c>
      <c r="E171">
        <v>2</v>
      </c>
      <c r="F171">
        <v>97.342965200000009</v>
      </c>
      <c r="G171">
        <f>IFERROR(F171-'Alt Blanks'!$I$31,F171)</f>
        <v>-5.111668399999985</v>
      </c>
      <c r="H171">
        <f t="shared" si="6"/>
        <v>0</v>
      </c>
      <c r="I171">
        <f t="shared" si="5"/>
        <v>0</v>
      </c>
    </row>
    <row r="172" spans="1:9" x14ac:dyDescent="0.35">
      <c r="A172" t="s">
        <v>59</v>
      </c>
      <c r="B172" t="s">
        <v>55</v>
      </c>
      <c r="C172" t="s">
        <v>38</v>
      </c>
      <c r="D172" t="s">
        <v>8</v>
      </c>
      <c r="E172">
        <v>2</v>
      </c>
      <c r="F172">
        <v>1.9268451</v>
      </c>
      <c r="G172">
        <f>IFERROR(F172-'Alt Blanks'!$I$32,F172)</f>
        <v>-7.2340000000004068E-4</v>
      </c>
      <c r="H172">
        <f t="shared" si="6"/>
        <v>0</v>
      </c>
      <c r="I172">
        <f t="shared" si="5"/>
        <v>0</v>
      </c>
    </row>
    <row r="173" spans="1:9" x14ac:dyDescent="0.35">
      <c r="A173" t="s">
        <v>59</v>
      </c>
      <c r="B173" t="s">
        <v>55</v>
      </c>
      <c r="C173" t="s">
        <v>39</v>
      </c>
      <c r="D173" t="s">
        <v>8</v>
      </c>
      <c r="E173">
        <v>2</v>
      </c>
      <c r="F173">
        <v>0.3713167</v>
      </c>
      <c r="G173">
        <f>IFERROR(F173-'Alt Blanks'!$I$33,F173)</f>
        <v>0.3713167</v>
      </c>
      <c r="H173">
        <f t="shared" si="6"/>
        <v>0.3713167</v>
      </c>
      <c r="I173">
        <f t="shared" si="5"/>
        <v>0.18565835</v>
      </c>
    </row>
    <row r="174" spans="1:9" x14ac:dyDescent="0.35">
      <c r="A174" t="s">
        <v>59</v>
      </c>
      <c r="B174" t="s">
        <v>55</v>
      </c>
      <c r="C174" t="s">
        <v>40</v>
      </c>
      <c r="D174" t="s">
        <v>8</v>
      </c>
      <c r="E174">
        <v>2</v>
      </c>
      <c r="F174">
        <v>10.348815500000001</v>
      </c>
      <c r="G174">
        <f>IFERROR(F174-'Alt Blanks'!$I$34,F174)</f>
        <v>10.348815500000001</v>
      </c>
      <c r="H174">
        <f t="shared" si="6"/>
        <v>10.348815500000001</v>
      </c>
      <c r="I174">
        <f t="shared" si="5"/>
        <v>5.1744077500000003</v>
      </c>
    </row>
    <row r="175" spans="1:9" x14ac:dyDescent="0.35">
      <c r="A175" t="s">
        <v>59</v>
      </c>
      <c r="B175" t="s">
        <v>55</v>
      </c>
      <c r="C175" t="s">
        <v>41</v>
      </c>
      <c r="D175" t="s">
        <v>8</v>
      </c>
      <c r="E175">
        <v>2</v>
      </c>
      <c r="F175">
        <v>45.146220399999997</v>
      </c>
      <c r="G175">
        <f>IFERROR(F175-'Alt Blanks'!$I$35,F175)</f>
        <v>45.146220399999997</v>
      </c>
      <c r="H175">
        <f t="shared" si="6"/>
        <v>45.146220399999997</v>
      </c>
      <c r="I175">
        <f t="shared" si="5"/>
        <v>22.573110199999999</v>
      </c>
    </row>
    <row r="176" spans="1:9" x14ac:dyDescent="0.35">
      <c r="A176" t="s">
        <v>59</v>
      </c>
      <c r="B176" t="s">
        <v>55</v>
      </c>
      <c r="C176" t="s">
        <v>42</v>
      </c>
      <c r="D176" t="s">
        <v>8</v>
      </c>
      <c r="E176">
        <v>2</v>
      </c>
      <c r="F176">
        <v>0</v>
      </c>
      <c r="G176">
        <f>IFERROR(F176-'Alt Blanks'!$I$36,F176)</f>
        <v>0</v>
      </c>
      <c r="H176">
        <f t="shared" si="6"/>
        <v>0</v>
      </c>
      <c r="I176">
        <f t="shared" si="5"/>
        <v>0</v>
      </c>
    </row>
    <row r="177" spans="1:9" x14ac:dyDescent="0.35">
      <c r="A177" t="s">
        <v>60</v>
      </c>
      <c r="B177" t="s">
        <v>56</v>
      </c>
      <c r="C177" t="s">
        <v>7</v>
      </c>
      <c r="D177" t="s">
        <v>51</v>
      </c>
      <c r="E177">
        <v>2</v>
      </c>
      <c r="F177">
        <v>6.9187814999999997</v>
      </c>
      <c r="G177">
        <f>IFERROR(F177-'Alt Blanks'!$I$2,F177)</f>
        <v>0.21224039999999889</v>
      </c>
      <c r="H177">
        <f t="shared" si="6"/>
        <v>0.21224039999999889</v>
      </c>
      <c r="I177">
        <f t="shared" si="5"/>
        <v>0.10612019999999944</v>
      </c>
    </row>
    <row r="178" spans="1:9" x14ac:dyDescent="0.35">
      <c r="A178" t="s">
        <v>60</v>
      </c>
      <c r="B178" t="s">
        <v>56</v>
      </c>
      <c r="C178" t="s">
        <v>9</v>
      </c>
      <c r="D178" t="s">
        <v>51</v>
      </c>
      <c r="E178">
        <v>2</v>
      </c>
      <c r="F178">
        <v>0</v>
      </c>
      <c r="G178">
        <f>IFERROR(F178-'Alt Blanks'!$I$3,F178)</f>
        <v>0</v>
      </c>
      <c r="H178">
        <f t="shared" si="6"/>
        <v>0</v>
      </c>
      <c r="I178">
        <f t="shared" si="5"/>
        <v>0</v>
      </c>
    </row>
    <row r="179" spans="1:9" x14ac:dyDescent="0.35">
      <c r="A179" t="s">
        <v>60</v>
      </c>
      <c r="B179" t="s">
        <v>56</v>
      </c>
      <c r="C179" t="s">
        <v>10</v>
      </c>
      <c r="D179" t="s">
        <v>51</v>
      </c>
      <c r="E179">
        <v>2</v>
      </c>
      <c r="F179">
        <v>0</v>
      </c>
      <c r="G179">
        <f>IFERROR(F179-'Alt Blanks'!$I$4,F179)</f>
        <v>0</v>
      </c>
      <c r="H179">
        <f t="shared" si="6"/>
        <v>0</v>
      </c>
      <c r="I179">
        <f t="shared" si="5"/>
        <v>0</v>
      </c>
    </row>
    <row r="180" spans="1:9" x14ac:dyDescent="0.35">
      <c r="A180" t="s">
        <v>60</v>
      </c>
      <c r="B180" t="s">
        <v>56</v>
      </c>
      <c r="C180" t="s">
        <v>11</v>
      </c>
      <c r="D180" t="s">
        <v>51</v>
      </c>
      <c r="E180">
        <v>2</v>
      </c>
      <c r="F180">
        <v>5.647691</v>
      </c>
      <c r="G180">
        <f>IFERROR(F180-'Alt Blanks'!$I$5,F180)</f>
        <v>5.647691</v>
      </c>
      <c r="H180">
        <f t="shared" si="6"/>
        <v>5.647691</v>
      </c>
      <c r="I180">
        <f t="shared" si="5"/>
        <v>2.8238455</v>
      </c>
    </row>
    <row r="181" spans="1:9" x14ac:dyDescent="0.35">
      <c r="A181" t="s">
        <v>60</v>
      </c>
      <c r="B181" t="s">
        <v>56</v>
      </c>
      <c r="C181" t="s">
        <v>12</v>
      </c>
      <c r="D181" t="s">
        <v>51</v>
      </c>
      <c r="E181">
        <v>2</v>
      </c>
      <c r="F181">
        <v>95.540630300000004</v>
      </c>
      <c r="G181">
        <f>IFERROR(F181-'Alt Blanks'!$I$6,F181)</f>
        <v>95.540630300000004</v>
      </c>
      <c r="H181">
        <f t="shared" si="6"/>
        <v>95.540630300000004</v>
      </c>
      <c r="I181">
        <f t="shared" si="5"/>
        <v>47.770315150000002</v>
      </c>
    </row>
    <row r="182" spans="1:9" x14ac:dyDescent="0.35">
      <c r="A182" t="s">
        <v>60</v>
      </c>
      <c r="B182" t="s">
        <v>56</v>
      </c>
      <c r="C182" t="s">
        <v>13</v>
      </c>
      <c r="D182" t="s">
        <v>51</v>
      </c>
      <c r="E182">
        <v>2</v>
      </c>
      <c r="F182">
        <v>140.64858090000001</v>
      </c>
      <c r="G182">
        <f>IFERROR(F182-'Alt Blanks'!$I$7,F182)</f>
        <v>140.64858090000001</v>
      </c>
      <c r="H182">
        <f t="shared" si="6"/>
        <v>140.64858090000001</v>
      </c>
      <c r="I182">
        <f t="shared" si="5"/>
        <v>70.324290450000007</v>
      </c>
    </row>
    <row r="183" spans="1:9" x14ac:dyDescent="0.35">
      <c r="A183" t="s">
        <v>60</v>
      </c>
      <c r="B183" t="s">
        <v>56</v>
      </c>
      <c r="C183" t="s">
        <v>14</v>
      </c>
      <c r="D183" t="s">
        <v>51</v>
      </c>
      <c r="E183">
        <v>2</v>
      </c>
      <c r="F183">
        <v>6.4803131999999994</v>
      </c>
      <c r="G183">
        <f>IFERROR(F183-'Alt Blanks'!$I$8,F183)</f>
        <v>6.4803131999999994</v>
      </c>
      <c r="H183">
        <f t="shared" si="6"/>
        <v>6.4803131999999994</v>
      </c>
      <c r="I183">
        <f t="shared" si="5"/>
        <v>3.2401565999999997</v>
      </c>
    </row>
    <row r="184" spans="1:9" x14ac:dyDescent="0.35">
      <c r="A184" t="s">
        <v>60</v>
      </c>
      <c r="B184" t="s">
        <v>56</v>
      </c>
      <c r="C184" t="s">
        <v>15</v>
      </c>
      <c r="D184" t="s">
        <v>51</v>
      </c>
      <c r="E184">
        <v>2</v>
      </c>
      <c r="F184">
        <v>8.8437347000000006</v>
      </c>
      <c r="G184">
        <f>IFERROR(F184-'Alt Blanks'!$I$9,F184)</f>
        <v>8.8437347000000006</v>
      </c>
      <c r="H184">
        <f t="shared" si="6"/>
        <v>8.8437347000000006</v>
      </c>
      <c r="I184">
        <f t="shared" si="5"/>
        <v>4.4218673500000003</v>
      </c>
    </row>
    <row r="185" spans="1:9" x14ac:dyDescent="0.35">
      <c r="A185" t="s">
        <v>60</v>
      </c>
      <c r="B185" t="s">
        <v>56</v>
      </c>
      <c r="C185" t="s">
        <v>16</v>
      </c>
      <c r="D185" t="s">
        <v>51</v>
      </c>
      <c r="E185">
        <v>2</v>
      </c>
      <c r="F185">
        <v>0</v>
      </c>
      <c r="G185">
        <f>IFERROR(F185-'Alt Blanks'!$I$10,F185)</f>
        <v>0</v>
      </c>
      <c r="H185">
        <f t="shared" si="6"/>
        <v>0</v>
      </c>
      <c r="I185">
        <f t="shared" si="5"/>
        <v>0</v>
      </c>
    </row>
    <row r="186" spans="1:9" x14ac:dyDescent="0.35">
      <c r="A186" t="s">
        <v>60</v>
      </c>
      <c r="B186" t="s">
        <v>56</v>
      </c>
      <c r="C186" t="s">
        <v>17</v>
      </c>
      <c r="D186" t="s">
        <v>51</v>
      </c>
      <c r="E186">
        <v>2</v>
      </c>
      <c r="F186">
        <v>3886.066534</v>
      </c>
      <c r="G186">
        <f>IFERROR(F186-'Alt Blanks'!$I$11,F186)</f>
        <v>3080.8498442999999</v>
      </c>
      <c r="H186">
        <f t="shared" si="6"/>
        <v>3080.8498442999999</v>
      </c>
      <c r="I186">
        <f t="shared" si="5"/>
        <v>1540.4249221499999</v>
      </c>
    </row>
    <row r="187" spans="1:9" x14ac:dyDescent="0.35">
      <c r="A187" t="s">
        <v>60</v>
      </c>
      <c r="B187" t="s">
        <v>56</v>
      </c>
      <c r="C187" t="s">
        <v>18</v>
      </c>
      <c r="D187" t="s">
        <v>51</v>
      </c>
      <c r="E187">
        <v>2</v>
      </c>
      <c r="F187">
        <v>492.49230109999996</v>
      </c>
      <c r="G187">
        <f>IFERROR(F187-'Alt Blanks'!$I$12,F187)</f>
        <v>492.49230109999996</v>
      </c>
      <c r="H187">
        <f t="shared" si="6"/>
        <v>492.49230109999996</v>
      </c>
      <c r="I187">
        <f t="shared" si="5"/>
        <v>246.24615054999998</v>
      </c>
    </row>
    <row r="188" spans="1:9" x14ac:dyDescent="0.35">
      <c r="A188" t="s">
        <v>60</v>
      </c>
      <c r="B188" t="s">
        <v>56</v>
      </c>
      <c r="C188" t="s">
        <v>19</v>
      </c>
      <c r="D188" t="s">
        <v>51</v>
      </c>
      <c r="E188">
        <v>2</v>
      </c>
      <c r="F188">
        <v>16.350446699999999</v>
      </c>
      <c r="G188">
        <f>IFERROR(F188-'Alt Blanks'!$I$13,F188)</f>
        <v>15.497733199999999</v>
      </c>
      <c r="H188">
        <f t="shared" si="6"/>
        <v>15.497733199999999</v>
      </c>
      <c r="I188">
        <f t="shared" si="5"/>
        <v>7.7488665999999995</v>
      </c>
    </row>
    <row r="189" spans="1:9" x14ac:dyDescent="0.35">
      <c r="A189" t="s">
        <v>60</v>
      </c>
      <c r="B189" t="s">
        <v>56</v>
      </c>
      <c r="C189" t="s">
        <v>20</v>
      </c>
      <c r="D189" t="s">
        <v>51</v>
      </c>
      <c r="E189">
        <v>2</v>
      </c>
      <c r="F189">
        <v>16.801856400000002</v>
      </c>
      <c r="G189">
        <f>IFERROR(F189-'Alt Blanks'!$I$14,F189)</f>
        <v>16.801856400000002</v>
      </c>
      <c r="H189">
        <f t="shared" si="6"/>
        <v>16.801856400000002</v>
      </c>
      <c r="I189">
        <f t="shared" si="5"/>
        <v>8.400928200000001</v>
      </c>
    </row>
    <row r="190" spans="1:9" x14ac:dyDescent="0.35">
      <c r="A190" t="s">
        <v>60</v>
      </c>
      <c r="B190" t="s">
        <v>56</v>
      </c>
      <c r="C190" t="s">
        <v>21</v>
      </c>
      <c r="D190" t="s">
        <v>51</v>
      </c>
      <c r="E190">
        <v>2</v>
      </c>
      <c r="F190">
        <v>528.56009199999994</v>
      </c>
      <c r="G190">
        <f>IFERROR(F190-'Alt Blanks'!$I$15,F190)</f>
        <v>259.93669489999996</v>
      </c>
      <c r="H190">
        <f t="shared" si="6"/>
        <v>259.93669489999996</v>
      </c>
      <c r="I190">
        <f t="shared" si="5"/>
        <v>129.96834744999998</v>
      </c>
    </row>
    <row r="191" spans="1:9" x14ac:dyDescent="0.35">
      <c r="A191" t="s">
        <v>60</v>
      </c>
      <c r="B191" t="s">
        <v>56</v>
      </c>
      <c r="C191" t="s">
        <v>22</v>
      </c>
      <c r="D191" t="s">
        <v>51</v>
      </c>
      <c r="E191">
        <v>2</v>
      </c>
      <c r="F191">
        <v>1825.5567452</v>
      </c>
      <c r="G191">
        <f>IFERROR(F191-'Alt Blanks'!$I$16,F191)</f>
        <v>1807.0908320000001</v>
      </c>
      <c r="H191">
        <f t="shared" si="6"/>
        <v>1807.0908320000001</v>
      </c>
      <c r="I191">
        <f t="shared" si="5"/>
        <v>903.54541600000005</v>
      </c>
    </row>
    <row r="192" spans="1:9" x14ac:dyDescent="0.35">
      <c r="A192" t="s">
        <v>60</v>
      </c>
      <c r="B192" t="s">
        <v>56</v>
      </c>
      <c r="C192" t="s">
        <v>23</v>
      </c>
      <c r="D192" t="s">
        <v>51</v>
      </c>
      <c r="E192">
        <v>2</v>
      </c>
      <c r="F192">
        <v>0</v>
      </c>
      <c r="G192">
        <f>IFERROR(F192-'Alt Blanks'!$I$17,F192)</f>
        <v>-0.33195340000000001</v>
      </c>
      <c r="H192">
        <f t="shared" si="6"/>
        <v>0</v>
      </c>
      <c r="I192">
        <f t="shared" si="5"/>
        <v>0</v>
      </c>
    </row>
    <row r="193" spans="1:9" x14ac:dyDescent="0.35">
      <c r="A193" t="s">
        <v>60</v>
      </c>
      <c r="B193" t="s">
        <v>56</v>
      </c>
      <c r="C193" t="s">
        <v>24</v>
      </c>
      <c r="D193" t="s">
        <v>51</v>
      </c>
      <c r="E193">
        <v>2</v>
      </c>
      <c r="F193">
        <v>1462.6532849999999</v>
      </c>
      <c r="G193">
        <f>IFERROR(F193-'Alt Blanks'!$I$18,F193)</f>
        <v>1456.6498253999998</v>
      </c>
      <c r="H193">
        <f t="shared" si="6"/>
        <v>1456.6498253999998</v>
      </c>
      <c r="I193">
        <f t="shared" si="5"/>
        <v>728.32491269999991</v>
      </c>
    </row>
    <row r="194" spans="1:9" x14ac:dyDescent="0.35">
      <c r="A194" t="s">
        <v>60</v>
      </c>
      <c r="B194" t="s">
        <v>56</v>
      </c>
      <c r="C194" t="s">
        <v>25</v>
      </c>
      <c r="D194" t="s">
        <v>51</v>
      </c>
      <c r="E194">
        <v>2</v>
      </c>
      <c r="F194">
        <v>0.30385279999999998</v>
      </c>
      <c r="G194">
        <f>IFERROR(F194-'Alt Blanks'!$I$19,F194)</f>
        <v>0.30385279999999998</v>
      </c>
      <c r="H194">
        <f t="shared" si="6"/>
        <v>0.30385279999999998</v>
      </c>
      <c r="I194">
        <f t="shared" si="5"/>
        <v>0.15192639999999999</v>
      </c>
    </row>
    <row r="195" spans="1:9" x14ac:dyDescent="0.35">
      <c r="A195" t="s">
        <v>60</v>
      </c>
      <c r="B195" t="s">
        <v>56</v>
      </c>
      <c r="C195" t="s">
        <v>26</v>
      </c>
      <c r="D195" t="s">
        <v>51</v>
      </c>
      <c r="E195">
        <v>2</v>
      </c>
      <c r="F195">
        <v>2284.7086469000001</v>
      </c>
      <c r="G195">
        <f>IFERROR(F195-'Alt Blanks'!$I$20,F195)</f>
        <v>2282.7706714999999</v>
      </c>
      <c r="H195">
        <f t="shared" si="6"/>
        <v>2282.7706714999999</v>
      </c>
      <c r="I195">
        <f t="shared" si="5"/>
        <v>1141.38533575</v>
      </c>
    </row>
    <row r="196" spans="1:9" x14ac:dyDescent="0.35">
      <c r="A196" t="s">
        <v>60</v>
      </c>
      <c r="B196" t="s">
        <v>56</v>
      </c>
      <c r="C196" t="s">
        <v>27</v>
      </c>
      <c r="D196" t="s">
        <v>51</v>
      </c>
      <c r="E196">
        <v>2</v>
      </c>
      <c r="F196">
        <v>138.10811050000001</v>
      </c>
      <c r="G196">
        <f>IFERROR(F196-'Alt Blanks'!$I$21,F196)</f>
        <v>137.89360140000002</v>
      </c>
      <c r="H196">
        <f t="shared" si="6"/>
        <v>137.89360140000002</v>
      </c>
      <c r="I196">
        <f t="shared" si="5"/>
        <v>68.946800700000011</v>
      </c>
    </row>
    <row r="197" spans="1:9" x14ac:dyDescent="0.35">
      <c r="A197" t="s">
        <v>60</v>
      </c>
      <c r="B197" t="s">
        <v>56</v>
      </c>
      <c r="C197" t="s">
        <v>28</v>
      </c>
      <c r="D197" t="s">
        <v>51</v>
      </c>
      <c r="E197">
        <v>2</v>
      </c>
      <c r="F197">
        <v>14.882104799999999</v>
      </c>
      <c r="G197">
        <f>IFERROR(F197-'Alt Blanks'!$I$22,F197)</f>
        <v>13.2873834</v>
      </c>
      <c r="H197">
        <f t="shared" si="6"/>
        <v>13.2873834</v>
      </c>
      <c r="I197">
        <f t="shared" ref="I197:I260" si="7">H197/2</f>
        <v>6.6436916999999998</v>
      </c>
    </row>
    <row r="198" spans="1:9" x14ac:dyDescent="0.35">
      <c r="A198" t="s">
        <v>60</v>
      </c>
      <c r="B198" t="s">
        <v>56</v>
      </c>
      <c r="C198" t="s">
        <v>29</v>
      </c>
      <c r="D198" t="s">
        <v>51</v>
      </c>
      <c r="E198">
        <v>2</v>
      </c>
      <c r="F198">
        <v>0.1341609</v>
      </c>
      <c r="G198">
        <f>IFERROR(F198-'Alt Blanks'!$I$23,F198)</f>
        <v>1.3423500000000005E-2</v>
      </c>
      <c r="H198">
        <f t="shared" si="6"/>
        <v>1.3423500000000005E-2</v>
      </c>
      <c r="I198">
        <f t="shared" si="7"/>
        <v>6.7117500000000024E-3</v>
      </c>
    </row>
    <row r="199" spans="1:9" x14ac:dyDescent="0.35">
      <c r="A199" t="s">
        <v>60</v>
      </c>
      <c r="B199" t="s">
        <v>56</v>
      </c>
      <c r="C199" t="s">
        <v>30</v>
      </c>
      <c r="D199" t="s">
        <v>51</v>
      </c>
      <c r="E199">
        <v>2</v>
      </c>
      <c r="F199">
        <v>1.3623094</v>
      </c>
      <c r="G199">
        <f>IFERROR(F199-'Alt Blanks'!$I$24,F199)</f>
        <v>1.1151398000000001</v>
      </c>
      <c r="H199">
        <f t="shared" si="6"/>
        <v>1.1151398000000001</v>
      </c>
      <c r="I199">
        <f t="shared" si="7"/>
        <v>0.55756990000000006</v>
      </c>
    </row>
    <row r="200" spans="1:9" x14ac:dyDescent="0.35">
      <c r="A200" t="s">
        <v>60</v>
      </c>
      <c r="B200" t="s">
        <v>56</v>
      </c>
      <c r="C200" t="s">
        <v>31</v>
      </c>
      <c r="D200" t="s">
        <v>51</v>
      </c>
      <c r="E200">
        <v>2</v>
      </c>
      <c r="F200">
        <v>0.40188240000000003</v>
      </c>
      <c r="G200">
        <f>IFERROR(F200-'Alt Blanks'!$I$25,F200)</f>
        <v>-7.0358399999999932E-2</v>
      </c>
      <c r="H200">
        <f t="shared" si="6"/>
        <v>0</v>
      </c>
      <c r="I200">
        <f t="shared" si="7"/>
        <v>0</v>
      </c>
    </row>
    <row r="201" spans="1:9" x14ac:dyDescent="0.35">
      <c r="A201" t="s">
        <v>60</v>
      </c>
      <c r="B201" t="s">
        <v>56</v>
      </c>
      <c r="C201" t="s">
        <v>32</v>
      </c>
      <c r="D201" t="s">
        <v>51</v>
      </c>
      <c r="E201">
        <v>2</v>
      </c>
      <c r="F201">
        <v>54.570461000000002</v>
      </c>
      <c r="G201">
        <f>IFERROR(F201-'Alt Blanks'!$I$26,F201)</f>
        <v>53.990284700000004</v>
      </c>
      <c r="H201">
        <f t="shared" ref="H201:H264" si="8">IF(G201&lt;0,0,G201)</f>
        <v>53.990284700000004</v>
      </c>
      <c r="I201">
        <f t="shared" si="7"/>
        <v>26.995142350000002</v>
      </c>
    </row>
    <row r="202" spans="1:9" x14ac:dyDescent="0.35">
      <c r="A202" t="s">
        <v>60</v>
      </c>
      <c r="B202" t="s">
        <v>56</v>
      </c>
      <c r="C202" t="s">
        <v>33</v>
      </c>
      <c r="D202" t="s">
        <v>51</v>
      </c>
      <c r="E202">
        <v>2</v>
      </c>
      <c r="F202">
        <v>3.1999223999999997</v>
      </c>
      <c r="G202">
        <f>IFERROR(F202-'Alt Blanks'!$I$27,F202)</f>
        <v>3.1999223999999997</v>
      </c>
      <c r="H202">
        <f t="shared" si="8"/>
        <v>3.1999223999999997</v>
      </c>
      <c r="I202">
        <f t="shared" si="7"/>
        <v>1.5999611999999999</v>
      </c>
    </row>
    <row r="203" spans="1:9" x14ac:dyDescent="0.35">
      <c r="A203" t="s">
        <v>60</v>
      </c>
      <c r="B203" t="s">
        <v>56</v>
      </c>
      <c r="C203" t="s">
        <v>34</v>
      </c>
      <c r="D203" t="s">
        <v>51</v>
      </c>
      <c r="E203">
        <v>2</v>
      </c>
      <c r="F203">
        <v>0</v>
      </c>
      <c r="G203">
        <f>IFERROR(F203-'Alt Blanks'!$I$28,F203)</f>
        <v>0</v>
      </c>
      <c r="H203">
        <f t="shared" si="8"/>
        <v>0</v>
      </c>
      <c r="I203">
        <f t="shared" si="7"/>
        <v>0</v>
      </c>
    </row>
    <row r="204" spans="1:9" x14ac:dyDescent="0.35">
      <c r="A204" t="s">
        <v>60</v>
      </c>
      <c r="B204" t="s">
        <v>56</v>
      </c>
      <c r="C204" t="s">
        <v>35</v>
      </c>
      <c r="D204" t="s">
        <v>51</v>
      </c>
      <c r="E204">
        <v>2</v>
      </c>
      <c r="F204">
        <v>144.10380669999998</v>
      </c>
      <c r="G204">
        <f>IFERROR(F204-'Alt Blanks'!$I$29,F204)</f>
        <v>143.49218569999996</v>
      </c>
      <c r="H204">
        <f t="shared" si="8"/>
        <v>143.49218569999996</v>
      </c>
      <c r="I204">
        <f t="shared" si="7"/>
        <v>71.746092849999982</v>
      </c>
    </row>
    <row r="205" spans="1:9" x14ac:dyDescent="0.35">
      <c r="A205" t="s">
        <v>60</v>
      </c>
      <c r="B205" t="s">
        <v>56</v>
      </c>
      <c r="C205" t="s">
        <v>36</v>
      </c>
      <c r="D205" t="s">
        <v>51</v>
      </c>
      <c r="E205">
        <v>2</v>
      </c>
      <c r="F205">
        <v>3.0235837999999999</v>
      </c>
      <c r="G205">
        <f>IFERROR(F205-'Alt Blanks'!$I$30,F205)</f>
        <v>3.0235837999999999</v>
      </c>
      <c r="H205">
        <f t="shared" si="8"/>
        <v>3.0235837999999999</v>
      </c>
      <c r="I205">
        <f t="shared" si="7"/>
        <v>1.5117919</v>
      </c>
    </row>
    <row r="206" spans="1:9" x14ac:dyDescent="0.35">
      <c r="A206" t="s">
        <v>60</v>
      </c>
      <c r="B206" t="s">
        <v>56</v>
      </c>
      <c r="C206" t="s">
        <v>37</v>
      </c>
      <c r="D206" t="s">
        <v>51</v>
      </c>
      <c r="E206">
        <v>2</v>
      </c>
      <c r="F206">
        <v>82.943792700000003</v>
      </c>
      <c r="G206">
        <f>IFERROR(F206-'Alt Blanks'!$I$31,F206)</f>
        <v>-19.510840899999991</v>
      </c>
      <c r="H206">
        <f t="shared" si="8"/>
        <v>0</v>
      </c>
      <c r="I206">
        <f t="shared" si="7"/>
        <v>0</v>
      </c>
    </row>
    <row r="207" spans="1:9" x14ac:dyDescent="0.35">
      <c r="A207" t="s">
        <v>60</v>
      </c>
      <c r="B207" t="s">
        <v>56</v>
      </c>
      <c r="C207" t="s">
        <v>38</v>
      </c>
      <c r="D207" t="s">
        <v>51</v>
      </c>
      <c r="E207">
        <v>2</v>
      </c>
      <c r="F207">
        <v>1.9346867999999999</v>
      </c>
      <c r="G207">
        <f>IFERROR(F207-'Alt Blanks'!$I$32,F207)</f>
        <v>7.1182999999999108E-3</v>
      </c>
      <c r="H207">
        <f t="shared" si="8"/>
        <v>7.1182999999999108E-3</v>
      </c>
      <c r="I207">
        <f t="shared" si="7"/>
        <v>3.5591499999999554E-3</v>
      </c>
    </row>
    <row r="208" spans="1:9" x14ac:dyDescent="0.35">
      <c r="A208" t="s">
        <v>60</v>
      </c>
      <c r="B208" t="s">
        <v>56</v>
      </c>
      <c r="C208" t="s">
        <v>39</v>
      </c>
      <c r="D208" t="s">
        <v>51</v>
      </c>
      <c r="E208">
        <v>2</v>
      </c>
      <c r="F208">
        <v>0</v>
      </c>
      <c r="G208">
        <f>IFERROR(F208-'Alt Blanks'!$I$33,F208)</f>
        <v>0</v>
      </c>
      <c r="H208">
        <f t="shared" si="8"/>
        <v>0</v>
      </c>
      <c r="I208">
        <f t="shared" si="7"/>
        <v>0</v>
      </c>
    </row>
    <row r="209" spans="1:9" x14ac:dyDescent="0.35">
      <c r="A209" t="s">
        <v>60</v>
      </c>
      <c r="B209" t="s">
        <v>56</v>
      </c>
      <c r="C209" t="s">
        <v>40</v>
      </c>
      <c r="D209" t="s">
        <v>51</v>
      </c>
      <c r="E209">
        <v>2</v>
      </c>
      <c r="F209">
        <v>7.3355316999999998</v>
      </c>
      <c r="G209">
        <f>IFERROR(F209-'Alt Blanks'!$I$34,F209)</f>
        <v>7.3355316999999998</v>
      </c>
      <c r="H209">
        <f t="shared" si="8"/>
        <v>7.3355316999999998</v>
      </c>
      <c r="I209">
        <f t="shared" si="7"/>
        <v>3.6677658499999999</v>
      </c>
    </row>
    <row r="210" spans="1:9" x14ac:dyDescent="0.35">
      <c r="A210" t="s">
        <v>60</v>
      </c>
      <c r="B210" t="s">
        <v>56</v>
      </c>
      <c r="C210" t="s">
        <v>41</v>
      </c>
      <c r="D210" t="s">
        <v>51</v>
      </c>
      <c r="E210">
        <v>2</v>
      </c>
      <c r="F210">
        <v>0</v>
      </c>
      <c r="G210">
        <f>IFERROR(F210-'Alt Blanks'!$I$35,F210)</f>
        <v>0</v>
      </c>
      <c r="H210">
        <f t="shared" si="8"/>
        <v>0</v>
      </c>
      <c r="I210">
        <f t="shared" si="7"/>
        <v>0</v>
      </c>
    </row>
    <row r="211" spans="1:9" x14ac:dyDescent="0.35">
      <c r="A211" t="s">
        <v>60</v>
      </c>
      <c r="B211" t="s">
        <v>56</v>
      </c>
      <c r="C211" t="s">
        <v>42</v>
      </c>
      <c r="D211" t="s">
        <v>51</v>
      </c>
      <c r="E211">
        <v>2</v>
      </c>
      <c r="F211">
        <v>0</v>
      </c>
      <c r="G211">
        <f>IFERROR(F211-'Alt Blanks'!$I$36,F211)</f>
        <v>0</v>
      </c>
      <c r="H211">
        <f t="shared" si="8"/>
        <v>0</v>
      </c>
      <c r="I211">
        <f t="shared" si="7"/>
        <v>0</v>
      </c>
    </row>
    <row r="212" spans="1:9" x14ac:dyDescent="0.35">
      <c r="A212" t="s">
        <v>61</v>
      </c>
      <c r="B212" t="s">
        <v>57</v>
      </c>
      <c r="C212" t="s">
        <v>7</v>
      </c>
      <c r="D212" t="s">
        <v>50</v>
      </c>
      <c r="E212">
        <v>2</v>
      </c>
      <c r="F212">
        <v>6.8520784999999993</v>
      </c>
      <c r="G212">
        <f>IFERROR(F212-'Alt Blanks'!$I$2,F212)</f>
        <v>0.14553739999999848</v>
      </c>
      <c r="H212">
        <f t="shared" si="8"/>
        <v>0.14553739999999848</v>
      </c>
      <c r="I212">
        <f t="shared" si="7"/>
        <v>7.2768699999999242E-2</v>
      </c>
    </row>
    <row r="213" spans="1:9" x14ac:dyDescent="0.35">
      <c r="A213" t="s">
        <v>61</v>
      </c>
      <c r="B213" t="s">
        <v>57</v>
      </c>
      <c r="C213" t="s">
        <v>9</v>
      </c>
      <c r="D213" t="s">
        <v>50</v>
      </c>
      <c r="E213">
        <v>2</v>
      </c>
      <c r="F213">
        <v>0.90336300000000003</v>
      </c>
      <c r="G213">
        <f>IFERROR(F213-'Alt Blanks'!$I$3,F213)</f>
        <v>0.90336300000000003</v>
      </c>
      <c r="H213">
        <f t="shared" si="8"/>
        <v>0.90336300000000003</v>
      </c>
      <c r="I213">
        <f t="shared" si="7"/>
        <v>0.45168150000000001</v>
      </c>
    </row>
    <row r="214" spans="1:9" x14ac:dyDescent="0.35">
      <c r="A214" t="s">
        <v>61</v>
      </c>
      <c r="B214" t="s">
        <v>57</v>
      </c>
      <c r="C214" t="s">
        <v>10</v>
      </c>
      <c r="D214" t="s">
        <v>50</v>
      </c>
      <c r="E214">
        <v>2</v>
      </c>
      <c r="F214">
        <v>0</v>
      </c>
      <c r="G214">
        <f>IFERROR(F214-'Alt Blanks'!$I$4,F214)</f>
        <v>0</v>
      </c>
      <c r="H214">
        <f t="shared" si="8"/>
        <v>0</v>
      </c>
      <c r="I214">
        <f t="shared" si="7"/>
        <v>0</v>
      </c>
    </row>
    <row r="215" spans="1:9" x14ac:dyDescent="0.35">
      <c r="A215" t="s">
        <v>61</v>
      </c>
      <c r="B215" t="s">
        <v>57</v>
      </c>
      <c r="C215" t="s">
        <v>11</v>
      </c>
      <c r="D215" t="s">
        <v>50</v>
      </c>
      <c r="E215">
        <v>2</v>
      </c>
      <c r="F215">
        <v>15.160020299999999</v>
      </c>
      <c r="G215">
        <f>IFERROR(F215-'Alt Blanks'!$I$5,F215)</f>
        <v>15.160020299999999</v>
      </c>
      <c r="H215">
        <f t="shared" si="8"/>
        <v>15.160020299999999</v>
      </c>
      <c r="I215">
        <f t="shared" si="7"/>
        <v>7.5800101499999997</v>
      </c>
    </row>
    <row r="216" spans="1:9" x14ac:dyDescent="0.35">
      <c r="A216" t="s">
        <v>61</v>
      </c>
      <c r="B216" t="s">
        <v>57</v>
      </c>
      <c r="C216" t="s">
        <v>12</v>
      </c>
      <c r="D216" t="s">
        <v>50</v>
      </c>
      <c r="E216">
        <v>2</v>
      </c>
      <c r="F216">
        <v>86.806049000000002</v>
      </c>
      <c r="G216">
        <f>IFERROR(F216-'Alt Blanks'!$I$6,F216)</f>
        <v>86.806049000000002</v>
      </c>
      <c r="H216">
        <f t="shared" si="8"/>
        <v>86.806049000000002</v>
      </c>
      <c r="I216">
        <f t="shared" si="7"/>
        <v>43.403024500000001</v>
      </c>
    </row>
    <row r="217" spans="1:9" x14ac:dyDescent="0.35">
      <c r="A217" t="s">
        <v>61</v>
      </c>
      <c r="B217" t="s">
        <v>57</v>
      </c>
      <c r="C217" t="s">
        <v>13</v>
      </c>
      <c r="D217" t="s">
        <v>50</v>
      </c>
      <c r="E217">
        <v>2</v>
      </c>
      <c r="F217">
        <v>186.48419719999998</v>
      </c>
      <c r="G217">
        <f>IFERROR(F217-'Alt Blanks'!$I$7,F217)</f>
        <v>186.48419719999998</v>
      </c>
      <c r="H217">
        <f t="shared" si="8"/>
        <v>186.48419719999998</v>
      </c>
      <c r="I217">
        <f t="shared" si="7"/>
        <v>93.242098599999991</v>
      </c>
    </row>
    <row r="218" spans="1:9" x14ac:dyDescent="0.35">
      <c r="A218" t="s">
        <v>61</v>
      </c>
      <c r="B218" t="s">
        <v>57</v>
      </c>
      <c r="C218" t="s">
        <v>14</v>
      </c>
      <c r="D218" t="s">
        <v>50</v>
      </c>
      <c r="E218">
        <v>2</v>
      </c>
      <c r="F218">
        <v>0</v>
      </c>
      <c r="G218">
        <f>IFERROR(F218-'Alt Blanks'!$I$8,F218)</f>
        <v>0</v>
      </c>
      <c r="H218">
        <f t="shared" si="8"/>
        <v>0</v>
      </c>
      <c r="I218">
        <f t="shared" si="7"/>
        <v>0</v>
      </c>
    </row>
    <row r="219" spans="1:9" x14ac:dyDescent="0.35">
      <c r="A219" t="s">
        <v>61</v>
      </c>
      <c r="B219" t="s">
        <v>57</v>
      </c>
      <c r="C219" t="s">
        <v>15</v>
      </c>
      <c r="D219" t="s">
        <v>50</v>
      </c>
      <c r="E219">
        <v>2</v>
      </c>
      <c r="F219">
        <v>9.4220830000000007</v>
      </c>
      <c r="G219">
        <f>IFERROR(F219-'Alt Blanks'!$I$9,F219)</f>
        <v>9.4220830000000007</v>
      </c>
      <c r="H219">
        <f t="shared" si="8"/>
        <v>9.4220830000000007</v>
      </c>
      <c r="I219">
        <f t="shared" si="7"/>
        <v>4.7110415000000003</v>
      </c>
    </row>
    <row r="220" spans="1:9" x14ac:dyDescent="0.35">
      <c r="A220" t="s">
        <v>61</v>
      </c>
      <c r="B220" t="s">
        <v>57</v>
      </c>
      <c r="C220" t="s">
        <v>16</v>
      </c>
      <c r="D220" t="s">
        <v>50</v>
      </c>
      <c r="E220">
        <v>2</v>
      </c>
      <c r="F220">
        <v>0</v>
      </c>
      <c r="G220">
        <f>IFERROR(F220-'Alt Blanks'!$I$10,F220)</f>
        <v>0</v>
      </c>
      <c r="H220">
        <f t="shared" si="8"/>
        <v>0</v>
      </c>
      <c r="I220">
        <f t="shared" si="7"/>
        <v>0</v>
      </c>
    </row>
    <row r="221" spans="1:9" x14ac:dyDescent="0.35">
      <c r="A221" t="s">
        <v>61</v>
      </c>
      <c r="B221" t="s">
        <v>57</v>
      </c>
      <c r="C221" t="s">
        <v>17</v>
      </c>
      <c r="D221" t="s">
        <v>50</v>
      </c>
      <c r="E221">
        <v>2</v>
      </c>
      <c r="F221">
        <v>3560.4576573999998</v>
      </c>
      <c r="G221">
        <f>IFERROR(F221-'Alt Blanks'!$I$11,F221)</f>
        <v>2755.2409676999996</v>
      </c>
      <c r="H221">
        <f t="shared" si="8"/>
        <v>2755.2409676999996</v>
      </c>
      <c r="I221">
        <f t="shared" si="7"/>
        <v>1377.6204838499998</v>
      </c>
    </row>
    <row r="222" spans="1:9" x14ac:dyDescent="0.35">
      <c r="A222" t="s">
        <v>61</v>
      </c>
      <c r="B222" t="s">
        <v>57</v>
      </c>
      <c r="C222" t="s">
        <v>18</v>
      </c>
      <c r="D222" t="s">
        <v>50</v>
      </c>
      <c r="E222">
        <v>2</v>
      </c>
      <c r="F222">
        <v>685.87131680000005</v>
      </c>
      <c r="G222">
        <f>IFERROR(F222-'Alt Blanks'!$I$12,F222)</f>
        <v>685.87131680000005</v>
      </c>
      <c r="H222">
        <f t="shared" si="8"/>
        <v>685.87131680000005</v>
      </c>
      <c r="I222">
        <f t="shared" si="7"/>
        <v>342.93565840000002</v>
      </c>
    </row>
    <row r="223" spans="1:9" x14ac:dyDescent="0.35">
      <c r="A223" t="s">
        <v>61</v>
      </c>
      <c r="B223" t="s">
        <v>57</v>
      </c>
      <c r="C223" t="s">
        <v>19</v>
      </c>
      <c r="D223" t="s">
        <v>50</v>
      </c>
      <c r="E223">
        <v>2</v>
      </c>
      <c r="F223">
        <v>10.118475700000001</v>
      </c>
      <c r="G223">
        <f>IFERROR(F223-'Alt Blanks'!$I$13,F223)</f>
        <v>9.2657622000000011</v>
      </c>
      <c r="H223">
        <f t="shared" si="8"/>
        <v>9.2657622000000011</v>
      </c>
      <c r="I223">
        <f t="shared" si="7"/>
        <v>4.6328811000000005</v>
      </c>
    </row>
    <row r="224" spans="1:9" x14ac:dyDescent="0.35">
      <c r="A224" t="s">
        <v>61</v>
      </c>
      <c r="B224" t="s">
        <v>57</v>
      </c>
      <c r="C224" t="s">
        <v>20</v>
      </c>
      <c r="D224" t="s">
        <v>50</v>
      </c>
      <c r="E224">
        <v>2</v>
      </c>
      <c r="F224">
        <v>11.1623717</v>
      </c>
      <c r="G224">
        <f>IFERROR(F224-'Alt Blanks'!$I$14,F224)</f>
        <v>11.1623717</v>
      </c>
      <c r="H224">
        <f t="shared" si="8"/>
        <v>11.1623717</v>
      </c>
      <c r="I224">
        <f t="shared" si="7"/>
        <v>5.5811858499999998</v>
      </c>
    </row>
    <row r="225" spans="1:9" x14ac:dyDescent="0.35">
      <c r="A225" t="s">
        <v>61</v>
      </c>
      <c r="B225" t="s">
        <v>57</v>
      </c>
      <c r="C225" t="s">
        <v>21</v>
      </c>
      <c r="D225" t="s">
        <v>50</v>
      </c>
      <c r="E225">
        <v>2</v>
      </c>
      <c r="F225">
        <v>274.52746110000004</v>
      </c>
      <c r="G225">
        <f>IFERROR(F225-'Alt Blanks'!$I$15,F225)</f>
        <v>5.9040640000000622</v>
      </c>
      <c r="H225">
        <f t="shared" si="8"/>
        <v>5.9040640000000622</v>
      </c>
      <c r="I225">
        <f t="shared" si="7"/>
        <v>2.9520320000000311</v>
      </c>
    </row>
    <row r="226" spans="1:9" x14ac:dyDescent="0.35">
      <c r="A226" t="s">
        <v>61</v>
      </c>
      <c r="B226" t="s">
        <v>57</v>
      </c>
      <c r="C226" t="s">
        <v>22</v>
      </c>
      <c r="D226" t="s">
        <v>50</v>
      </c>
      <c r="E226">
        <v>2</v>
      </c>
      <c r="F226">
        <v>0</v>
      </c>
      <c r="G226">
        <f>IFERROR(F226-'Alt Blanks'!$I$16,F226)</f>
        <v>-18.465913199999999</v>
      </c>
      <c r="H226">
        <f t="shared" si="8"/>
        <v>0</v>
      </c>
      <c r="I226">
        <f t="shared" si="7"/>
        <v>0</v>
      </c>
    </row>
    <row r="227" spans="1:9" x14ac:dyDescent="0.35">
      <c r="A227" t="s">
        <v>61</v>
      </c>
      <c r="B227" t="s">
        <v>57</v>
      </c>
      <c r="C227" t="s">
        <v>23</v>
      </c>
      <c r="D227" t="s">
        <v>50</v>
      </c>
      <c r="E227">
        <v>2</v>
      </c>
      <c r="F227">
        <v>0.3423505</v>
      </c>
      <c r="G227">
        <f>IFERROR(F227-'Alt Blanks'!$I$17,F227)</f>
        <v>1.0397099999999992E-2</v>
      </c>
      <c r="H227">
        <f t="shared" si="8"/>
        <v>1.0397099999999992E-2</v>
      </c>
      <c r="I227">
        <f t="shared" si="7"/>
        <v>5.1985499999999962E-3</v>
      </c>
    </row>
    <row r="228" spans="1:9" x14ac:dyDescent="0.35">
      <c r="A228" t="s">
        <v>61</v>
      </c>
      <c r="B228" t="s">
        <v>57</v>
      </c>
      <c r="C228" t="s">
        <v>24</v>
      </c>
      <c r="D228" t="s">
        <v>50</v>
      </c>
      <c r="E228">
        <v>2</v>
      </c>
      <c r="F228">
        <v>969.46835759999999</v>
      </c>
      <c r="G228">
        <f>IFERROR(F228-'Alt Blanks'!$I$18,F228)</f>
        <v>963.46489799999995</v>
      </c>
      <c r="H228">
        <f t="shared" si="8"/>
        <v>963.46489799999995</v>
      </c>
      <c r="I228">
        <f t="shared" si="7"/>
        <v>481.73244899999997</v>
      </c>
    </row>
    <row r="229" spans="1:9" x14ac:dyDescent="0.35">
      <c r="A229" t="s">
        <v>61</v>
      </c>
      <c r="B229" t="s">
        <v>57</v>
      </c>
      <c r="C229" t="s">
        <v>25</v>
      </c>
      <c r="D229" t="s">
        <v>50</v>
      </c>
      <c r="E229">
        <v>2</v>
      </c>
      <c r="F229">
        <v>72.725791999999998</v>
      </c>
      <c r="G229">
        <f>IFERROR(F229-'Alt Blanks'!$I$19,F229)</f>
        <v>72.725791999999998</v>
      </c>
      <c r="H229">
        <f t="shared" si="8"/>
        <v>72.725791999999998</v>
      </c>
      <c r="I229">
        <f t="shared" si="7"/>
        <v>36.362895999999999</v>
      </c>
    </row>
    <row r="230" spans="1:9" x14ac:dyDescent="0.35">
      <c r="A230" t="s">
        <v>61</v>
      </c>
      <c r="B230" t="s">
        <v>57</v>
      </c>
      <c r="C230" t="s">
        <v>26</v>
      </c>
      <c r="D230" t="s">
        <v>50</v>
      </c>
      <c r="E230">
        <v>2</v>
      </c>
      <c r="F230">
        <v>1489.1782862</v>
      </c>
      <c r="G230">
        <f>IFERROR(F230-'Alt Blanks'!$I$20,F230)</f>
        <v>1487.2403108000001</v>
      </c>
      <c r="H230">
        <f t="shared" si="8"/>
        <v>1487.2403108000001</v>
      </c>
      <c r="I230">
        <f t="shared" si="7"/>
        <v>743.62015540000004</v>
      </c>
    </row>
    <row r="231" spans="1:9" x14ac:dyDescent="0.35">
      <c r="A231" t="s">
        <v>61</v>
      </c>
      <c r="B231" t="s">
        <v>57</v>
      </c>
      <c r="C231" t="s">
        <v>27</v>
      </c>
      <c r="D231" t="s">
        <v>50</v>
      </c>
      <c r="E231">
        <v>2</v>
      </c>
      <c r="F231">
        <v>105.3594409</v>
      </c>
      <c r="G231">
        <f>IFERROR(F231-'Alt Blanks'!$I$21,F231)</f>
        <v>105.14493179999999</v>
      </c>
      <c r="H231">
        <f t="shared" si="8"/>
        <v>105.14493179999999</v>
      </c>
      <c r="I231">
        <f t="shared" si="7"/>
        <v>52.572465899999997</v>
      </c>
    </row>
    <row r="232" spans="1:9" x14ac:dyDescent="0.35">
      <c r="A232" t="s">
        <v>61</v>
      </c>
      <c r="B232" t="s">
        <v>57</v>
      </c>
      <c r="C232" t="s">
        <v>28</v>
      </c>
      <c r="D232" t="s">
        <v>50</v>
      </c>
      <c r="E232">
        <v>2</v>
      </c>
      <c r="F232">
        <v>12.602019800000001</v>
      </c>
      <c r="G232">
        <f>IFERROR(F232-'Alt Blanks'!$I$22,F232)</f>
        <v>11.007298400000002</v>
      </c>
      <c r="H232">
        <f t="shared" si="8"/>
        <v>11.007298400000002</v>
      </c>
      <c r="I232">
        <f t="shared" si="7"/>
        <v>5.5036492000000008</v>
      </c>
    </row>
    <row r="233" spans="1:9" x14ac:dyDescent="0.35">
      <c r="A233" t="s">
        <v>61</v>
      </c>
      <c r="B233" t="s">
        <v>57</v>
      </c>
      <c r="C233" t="s">
        <v>29</v>
      </c>
      <c r="D233" t="s">
        <v>50</v>
      </c>
      <c r="E233">
        <v>2</v>
      </c>
      <c r="F233">
        <v>16.545328399999999</v>
      </c>
      <c r="G233">
        <f>IFERROR(F233-'Alt Blanks'!$I$23,F233)</f>
        <v>16.424590999999999</v>
      </c>
      <c r="H233">
        <f t="shared" si="8"/>
        <v>16.424590999999999</v>
      </c>
      <c r="I233">
        <f t="shared" si="7"/>
        <v>8.2122954999999997</v>
      </c>
    </row>
    <row r="234" spans="1:9" x14ac:dyDescent="0.35">
      <c r="A234" t="s">
        <v>61</v>
      </c>
      <c r="B234" t="s">
        <v>57</v>
      </c>
      <c r="C234" t="s">
        <v>30</v>
      </c>
      <c r="D234" t="s">
        <v>50</v>
      </c>
      <c r="E234">
        <v>2</v>
      </c>
      <c r="F234">
        <v>4.8586784999999999</v>
      </c>
      <c r="G234">
        <f>IFERROR(F234-'Alt Blanks'!$I$24,F234)</f>
        <v>4.6115088999999996</v>
      </c>
      <c r="H234">
        <f t="shared" si="8"/>
        <v>4.6115088999999996</v>
      </c>
      <c r="I234">
        <f t="shared" si="7"/>
        <v>2.3057544499999998</v>
      </c>
    </row>
    <row r="235" spans="1:9" x14ac:dyDescent="0.35">
      <c r="A235" t="s">
        <v>61</v>
      </c>
      <c r="B235" t="s">
        <v>57</v>
      </c>
      <c r="C235" t="s">
        <v>31</v>
      </c>
      <c r="D235" t="s">
        <v>50</v>
      </c>
      <c r="E235">
        <v>2</v>
      </c>
      <c r="F235">
        <v>2.4943208000000001</v>
      </c>
      <c r="G235">
        <f>IFERROR(F235-'Alt Blanks'!$I$25,F235)</f>
        <v>2.0220800000000003</v>
      </c>
      <c r="H235">
        <f t="shared" si="8"/>
        <v>2.0220800000000003</v>
      </c>
      <c r="I235">
        <f t="shared" si="7"/>
        <v>1.0110400000000002</v>
      </c>
    </row>
    <row r="236" spans="1:9" x14ac:dyDescent="0.35">
      <c r="A236" t="s">
        <v>61</v>
      </c>
      <c r="B236" t="s">
        <v>57</v>
      </c>
      <c r="C236" t="s">
        <v>32</v>
      </c>
      <c r="D236" t="s">
        <v>50</v>
      </c>
      <c r="E236">
        <v>2</v>
      </c>
      <c r="F236">
        <v>74.977003699999997</v>
      </c>
      <c r="G236">
        <f>IFERROR(F236-'Alt Blanks'!$I$26,F236)</f>
        <v>74.396827399999992</v>
      </c>
      <c r="H236">
        <f t="shared" si="8"/>
        <v>74.396827399999992</v>
      </c>
      <c r="I236">
        <f t="shared" si="7"/>
        <v>37.198413699999996</v>
      </c>
    </row>
    <row r="237" spans="1:9" x14ac:dyDescent="0.35">
      <c r="A237" t="s">
        <v>61</v>
      </c>
      <c r="B237" t="s">
        <v>57</v>
      </c>
      <c r="C237" t="s">
        <v>33</v>
      </c>
      <c r="D237" t="s">
        <v>50</v>
      </c>
      <c r="E237">
        <v>2</v>
      </c>
      <c r="F237">
        <v>5.8726006000000002</v>
      </c>
      <c r="G237">
        <f>IFERROR(F237-'Alt Blanks'!$I$27,F237)</f>
        <v>5.8726006000000002</v>
      </c>
      <c r="H237">
        <f t="shared" si="8"/>
        <v>5.8726006000000002</v>
      </c>
      <c r="I237">
        <f t="shared" si="7"/>
        <v>2.9363003000000001</v>
      </c>
    </row>
    <row r="238" spans="1:9" x14ac:dyDescent="0.35">
      <c r="A238" t="s">
        <v>61</v>
      </c>
      <c r="B238" t="s">
        <v>57</v>
      </c>
      <c r="C238" t="s">
        <v>34</v>
      </c>
      <c r="D238" t="s">
        <v>50</v>
      </c>
      <c r="E238">
        <v>2</v>
      </c>
      <c r="F238">
        <v>0</v>
      </c>
      <c r="G238">
        <f>IFERROR(F238-'Alt Blanks'!$I$28,F238)</f>
        <v>0</v>
      </c>
      <c r="H238">
        <f t="shared" si="8"/>
        <v>0</v>
      </c>
      <c r="I238">
        <f t="shared" si="7"/>
        <v>0</v>
      </c>
    </row>
    <row r="239" spans="1:9" x14ac:dyDescent="0.35">
      <c r="A239" t="s">
        <v>61</v>
      </c>
      <c r="B239" t="s">
        <v>57</v>
      </c>
      <c r="C239" t="s">
        <v>35</v>
      </c>
      <c r="D239" t="s">
        <v>50</v>
      </c>
      <c r="E239">
        <v>2</v>
      </c>
      <c r="F239">
        <v>188.44760479999999</v>
      </c>
      <c r="G239">
        <f>IFERROR(F239-'Alt Blanks'!$I$29,F239)</f>
        <v>187.83598379999998</v>
      </c>
      <c r="H239">
        <f t="shared" si="8"/>
        <v>187.83598379999998</v>
      </c>
      <c r="I239">
        <f t="shared" si="7"/>
        <v>93.91799189999999</v>
      </c>
    </row>
    <row r="240" spans="1:9" x14ac:dyDescent="0.35">
      <c r="A240" t="s">
        <v>61</v>
      </c>
      <c r="B240" t="s">
        <v>57</v>
      </c>
      <c r="C240" t="s">
        <v>36</v>
      </c>
      <c r="D240" t="s">
        <v>50</v>
      </c>
      <c r="E240">
        <v>2</v>
      </c>
      <c r="F240">
        <v>1.256232</v>
      </c>
      <c r="G240">
        <f>IFERROR(F240-'Alt Blanks'!$I$30,F240)</f>
        <v>1.256232</v>
      </c>
      <c r="H240">
        <f t="shared" si="8"/>
        <v>1.256232</v>
      </c>
      <c r="I240">
        <f t="shared" si="7"/>
        <v>0.62811600000000001</v>
      </c>
    </row>
    <row r="241" spans="1:9" x14ac:dyDescent="0.35">
      <c r="A241" t="s">
        <v>61</v>
      </c>
      <c r="B241" t="s">
        <v>57</v>
      </c>
      <c r="C241" t="s">
        <v>37</v>
      </c>
      <c r="D241" t="s">
        <v>50</v>
      </c>
      <c r="E241">
        <v>2</v>
      </c>
      <c r="F241">
        <v>60.894140200000002</v>
      </c>
      <c r="G241">
        <f>IFERROR(F241-'Alt Blanks'!$I$31,F241)</f>
        <v>-41.560493399999991</v>
      </c>
      <c r="H241">
        <f t="shared" si="8"/>
        <v>0</v>
      </c>
      <c r="I241">
        <f t="shared" si="7"/>
        <v>0</v>
      </c>
    </row>
    <row r="242" spans="1:9" x14ac:dyDescent="0.35">
      <c r="A242" t="s">
        <v>61</v>
      </c>
      <c r="B242" t="s">
        <v>57</v>
      </c>
      <c r="C242" t="s">
        <v>38</v>
      </c>
      <c r="D242" t="s">
        <v>50</v>
      </c>
      <c r="E242">
        <v>2</v>
      </c>
      <c r="F242">
        <v>1.9209328999999999</v>
      </c>
      <c r="G242">
        <f>IFERROR(F242-'Alt Blanks'!$I$32,F242)</f>
        <v>-6.6356000000000748E-3</v>
      </c>
      <c r="H242">
        <f t="shared" si="8"/>
        <v>0</v>
      </c>
      <c r="I242">
        <f t="shared" si="7"/>
        <v>0</v>
      </c>
    </row>
    <row r="243" spans="1:9" x14ac:dyDescent="0.35">
      <c r="A243" t="s">
        <v>61</v>
      </c>
      <c r="B243" t="s">
        <v>57</v>
      </c>
      <c r="C243" t="s">
        <v>39</v>
      </c>
      <c r="D243" t="s">
        <v>50</v>
      </c>
      <c r="E243">
        <v>2</v>
      </c>
      <c r="F243">
        <v>0</v>
      </c>
      <c r="G243">
        <f>IFERROR(F243-'Alt Blanks'!$I$33,F243)</f>
        <v>0</v>
      </c>
      <c r="H243">
        <f t="shared" si="8"/>
        <v>0</v>
      </c>
      <c r="I243">
        <f t="shared" si="7"/>
        <v>0</v>
      </c>
    </row>
    <row r="244" spans="1:9" x14ac:dyDescent="0.35">
      <c r="A244" t="s">
        <v>61</v>
      </c>
      <c r="B244" t="s">
        <v>57</v>
      </c>
      <c r="C244" t="s">
        <v>40</v>
      </c>
      <c r="D244" t="s">
        <v>50</v>
      </c>
      <c r="E244">
        <v>2</v>
      </c>
      <c r="F244">
        <v>4.4452569000000004</v>
      </c>
      <c r="G244">
        <f>IFERROR(F244-'Alt Blanks'!$I$34,F244)</f>
        <v>4.4452569000000004</v>
      </c>
      <c r="H244">
        <f t="shared" si="8"/>
        <v>4.4452569000000004</v>
      </c>
      <c r="I244">
        <f t="shared" si="7"/>
        <v>2.2226284500000002</v>
      </c>
    </row>
    <row r="245" spans="1:9" x14ac:dyDescent="0.35">
      <c r="A245" t="s">
        <v>61</v>
      </c>
      <c r="B245" t="s">
        <v>57</v>
      </c>
      <c r="C245" t="s">
        <v>41</v>
      </c>
      <c r="D245" t="s">
        <v>50</v>
      </c>
      <c r="E245">
        <v>2</v>
      </c>
      <c r="F245">
        <v>34.981726999999999</v>
      </c>
      <c r="G245">
        <f>IFERROR(F245-'Alt Blanks'!$I$35,F245)</f>
        <v>34.981726999999999</v>
      </c>
      <c r="H245">
        <f t="shared" si="8"/>
        <v>34.981726999999999</v>
      </c>
      <c r="I245">
        <f t="shared" si="7"/>
        <v>17.4908635</v>
      </c>
    </row>
    <row r="246" spans="1:9" x14ac:dyDescent="0.35">
      <c r="A246" t="s">
        <v>61</v>
      </c>
      <c r="B246" t="s">
        <v>57</v>
      </c>
      <c r="C246" t="s">
        <v>42</v>
      </c>
      <c r="D246" t="s">
        <v>50</v>
      </c>
      <c r="E246">
        <v>2</v>
      </c>
      <c r="F246">
        <v>0</v>
      </c>
      <c r="G246">
        <f>IFERROR(F246-'Alt Blanks'!$I$36,F246)</f>
        <v>0</v>
      </c>
      <c r="H246">
        <f t="shared" si="8"/>
        <v>0</v>
      </c>
      <c r="I246">
        <f t="shared" si="7"/>
        <v>0</v>
      </c>
    </row>
    <row r="247" spans="1:9" x14ac:dyDescent="0.35">
      <c r="A247" t="s">
        <v>62</v>
      </c>
      <c r="B247" t="s">
        <v>58</v>
      </c>
      <c r="C247" t="s">
        <v>7</v>
      </c>
      <c r="D247" t="s">
        <v>54</v>
      </c>
      <c r="E247">
        <v>2</v>
      </c>
      <c r="F247">
        <v>6.7748372000000003</v>
      </c>
      <c r="G247">
        <f>IFERROR(F247-'Alt Blanks'!$I$2,F247)</f>
        <v>6.8296099999999527E-2</v>
      </c>
      <c r="H247">
        <f t="shared" si="8"/>
        <v>6.8296099999999527E-2</v>
      </c>
      <c r="I247">
        <f t="shared" si="7"/>
        <v>3.4148049999999763E-2</v>
      </c>
    </row>
    <row r="248" spans="1:9" x14ac:dyDescent="0.35">
      <c r="A248" t="s">
        <v>62</v>
      </c>
      <c r="B248" t="s">
        <v>58</v>
      </c>
      <c r="C248" t="s">
        <v>9</v>
      </c>
      <c r="D248" t="s">
        <v>54</v>
      </c>
      <c r="E248">
        <v>2</v>
      </c>
      <c r="F248">
        <v>0</v>
      </c>
      <c r="G248">
        <f>IFERROR(F248-'Alt Blanks'!$I$3,F248)</f>
        <v>0</v>
      </c>
      <c r="H248">
        <f t="shared" si="8"/>
        <v>0</v>
      </c>
      <c r="I248">
        <f t="shared" si="7"/>
        <v>0</v>
      </c>
    </row>
    <row r="249" spans="1:9" x14ac:dyDescent="0.35">
      <c r="A249" t="s">
        <v>62</v>
      </c>
      <c r="B249" t="s">
        <v>58</v>
      </c>
      <c r="C249" t="s">
        <v>10</v>
      </c>
      <c r="D249" t="s">
        <v>54</v>
      </c>
      <c r="E249">
        <v>2</v>
      </c>
      <c r="F249">
        <v>0</v>
      </c>
      <c r="G249">
        <f>IFERROR(F249-'Alt Blanks'!$I$4,F249)</f>
        <v>0</v>
      </c>
      <c r="H249">
        <f t="shared" si="8"/>
        <v>0</v>
      </c>
      <c r="I249">
        <f t="shared" si="7"/>
        <v>0</v>
      </c>
    </row>
    <row r="250" spans="1:9" x14ac:dyDescent="0.35">
      <c r="A250" t="s">
        <v>62</v>
      </c>
      <c r="B250" t="s">
        <v>58</v>
      </c>
      <c r="C250" t="s">
        <v>11</v>
      </c>
      <c r="D250" t="s">
        <v>54</v>
      </c>
      <c r="E250">
        <v>2</v>
      </c>
      <c r="F250">
        <v>14.2505679</v>
      </c>
      <c r="G250">
        <f>IFERROR(F250-'Alt Blanks'!$I$5,F250)</f>
        <v>14.2505679</v>
      </c>
      <c r="H250">
        <f t="shared" si="8"/>
        <v>14.2505679</v>
      </c>
      <c r="I250">
        <f t="shared" si="7"/>
        <v>7.12528395</v>
      </c>
    </row>
    <row r="251" spans="1:9" x14ac:dyDescent="0.35">
      <c r="A251" t="s">
        <v>62</v>
      </c>
      <c r="B251" t="s">
        <v>58</v>
      </c>
      <c r="C251" t="s">
        <v>12</v>
      </c>
      <c r="D251" t="s">
        <v>54</v>
      </c>
      <c r="E251">
        <v>2</v>
      </c>
      <c r="F251">
        <v>85.757244099999994</v>
      </c>
      <c r="G251">
        <f>IFERROR(F251-'Alt Blanks'!$I$6,F251)</f>
        <v>85.757244099999994</v>
      </c>
      <c r="H251">
        <f t="shared" si="8"/>
        <v>85.757244099999994</v>
      </c>
      <c r="I251">
        <f t="shared" si="7"/>
        <v>42.878622049999997</v>
      </c>
    </row>
    <row r="252" spans="1:9" x14ac:dyDescent="0.35">
      <c r="A252" t="s">
        <v>62</v>
      </c>
      <c r="B252" t="s">
        <v>58</v>
      </c>
      <c r="C252" t="s">
        <v>13</v>
      </c>
      <c r="D252" t="s">
        <v>54</v>
      </c>
      <c r="E252">
        <v>2</v>
      </c>
      <c r="F252">
        <v>125.94263770000001</v>
      </c>
      <c r="G252">
        <f>IFERROR(F252-'Alt Blanks'!$I$7,F252)</f>
        <v>125.94263770000001</v>
      </c>
      <c r="H252">
        <f t="shared" si="8"/>
        <v>125.94263770000001</v>
      </c>
      <c r="I252">
        <f t="shared" si="7"/>
        <v>62.971318850000003</v>
      </c>
    </row>
    <row r="253" spans="1:9" x14ac:dyDescent="0.35">
      <c r="A253" t="s">
        <v>62</v>
      </c>
      <c r="B253" t="s">
        <v>58</v>
      </c>
      <c r="C253" t="s">
        <v>14</v>
      </c>
      <c r="D253" t="s">
        <v>54</v>
      </c>
      <c r="E253">
        <v>2</v>
      </c>
      <c r="F253">
        <v>0</v>
      </c>
      <c r="G253">
        <f>IFERROR(F253-'Alt Blanks'!$I$8,F253)</f>
        <v>0</v>
      </c>
      <c r="H253">
        <f t="shared" si="8"/>
        <v>0</v>
      </c>
      <c r="I253">
        <f t="shared" si="7"/>
        <v>0</v>
      </c>
    </row>
    <row r="254" spans="1:9" x14ac:dyDescent="0.35">
      <c r="A254" t="s">
        <v>62</v>
      </c>
      <c r="B254" t="s">
        <v>58</v>
      </c>
      <c r="C254" t="s">
        <v>15</v>
      </c>
      <c r="D254" t="s">
        <v>54</v>
      </c>
      <c r="E254">
        <v>2</v>
      </c>
      <c r="F254">
        <v>6.5394794000000003</v>
      </c>
      <c r="G254">
        <f>IFERROR(F254-'Alt Blanks'!$I$9,F254)</f>
        <v>6.5394794000000003</v>
      </c>
      <c r="H254">
        <f t="shared" si="8"/>
        <v>6.5394794000000003</v>
      </c>
      <c r="I254">
        <f t="shared" si="7"/>
        <v>3.2697397000000001</v>
      </c>
    </row>
    <row r="255" spans="1:9" x14ac:dyDescent="0.35">
      <c r="A255" t="s">
        <v>62</v>
      </c>
      <c r="B255" t="s">
        <v>58</v>
      </c>
      <c r="C255" t="s">
        <v>16</v>
      </c>
      <c r="D255" t="s">
        <v>54</v>
      </c>
      <c r="E255">
        <v>2</v>
      </c>
      <c r="F255">
        <v>0</v>
      </c>
      <c r="G255">
        <f>IFERROR(F255-'Alt Blanks'!$I$10,F255)</f>
        <v>0</v>
      </c>
      <c r="H255">
        <f t="shared" si="8"/>
        <v>0</v>
      </c>
      <c r="I255">
        <f t="shared" si="7"/>
        <v>0</v>
      </c>
    </row>
    <row r="256" spans="1:9" x14ac:dyDescent="0.35">
      <c r="A256" t="s">
        <v>62</v>
      </c>
      <c r="B256" t="s">
        <v>58</v>
      </c>
      <c r="C256" t="s">
        <v>17</v>
      </c>
      <c r="D256" t="s">
        <v>54</v>
      </c>
      <c r="E256">
        <v>2</v>
      </c>
      <c r="F256">
        <v>2713.1368764999997</v>
      </c>
      <c r="G256">
        <f>IFERROR(F256-'Alt Blanks'!$I$11,F256)</f>
        <v>1907.9201867999998</v>
      </c>
      <c r="H256">
        <f t="shared" si="8"/>
        <v>1907.9201867999998</v>
      </c>
      <c r="I256">
        <f t="shared" si="7"/>
        <v>953.96009339999989</v>
      </c>
    </row>
    <row r="257" spans="1:9" x14ac:dyDescent="0.35">
      <c r="A257" t="s">
        <v>62</v>
      </c>
      <c r="B257" t="s">
        <v>58</v>
      </c>
      <c r="C257" t="s">
        <v>18</v>
      </c>
      <c r="D257" t="s">
        <v>54</v>
      </c>
      <c r="E257">
        <v>2</v>
      </c>
      <c r="F257">
        <v>386.46814720000003</v>
      </c>
      <c r="G257">
        <f>IFERROR(F257-'Alt Blanks'!$I$12,F257)</f>
        <v>386.46814720000003</v>
      </c>
      <c r="H257">
        <f t="shared" si="8"/>
        <v>386.46814720000003</v>
      </c>
      <c r="I257">
        <f t="shared" si="7"/>
        <v>193.23407360000002</v>
      </c>
    </row>
    <row r="258" spans="1:9" x14ac:dyDescent="0.35">
      <c r="A258" t="s">
        <v>62</v>
      </c>
      <c r="B258" t="s">
        <v>58</v>
      </c>
      <c r="C258" t="s">
        <v>19</v>
      </c>
      <c r="D258" t="s">
        <v>54</v>
      </c>
      <c r="E258">
        <v>2</v>
      </c>
      <c r="F258">
        <v>8.0055297999999997</v>
      </c>
      <c r="G258">
        <f>IFERROR(F258-'Alt Blanks'!$I$13,F258)</f>
        <v>7.1528162999999996</v>
      </c>
      <c r="H258">
        <f t="shared" si="8"/>
        <v>7.1528162999999996</v>
      </c>
      <c r="I258">
        <f t="shared" si="7"/>
        <v>3.5764081499999998</v>
      </c>
    </row>
    <row r="259" spans="1:9" x14ac:dyDescent="0.35">
      <c r="A259" t="s">
        <v>62</v>
      </c>
      <c r="B259" t="s">
        <v>58</v>
      </c>
      <c r="C259" t="s">
        <v>20</v>
      </c>
      <c r="D259" t="s">
        <v>54</v>
      </c>
      <c r="E259">
        <v>2</v>
      </c>
      <c r="F259">
        <v>9.0065969999999993</v>
      </c>
      <c r="G259">
        <f>IFERROR(F259-'Alt Blanks'!$I$14,F259)</f>
        <v>9.0065969999999993</v>
      </c>
      <c r="H259">
        <f t="shared" si="8"/>
        <v>9.0065969999999993</v>
      </c>
      <c r="I259">
        <f t="shared" si="7"/>
        <v>4.5032984999999996</v>
      </c>
    </row>
    <row r="260" spans="1:9" x14ac:dyDescent="0.35">
      <c r="A260" t="s">
        <v>62</v>
      </c>
      <c r="B260" t="s">
        <v>58</v>
      </c>
      <c r="C260" t="s">
        <v>21</v>
      </c>
      <c r="D260" t="s">
        <v>54</v>
      </c>
      <c r="E260">
        <v>2</v>
      </c>
      <c r="F260">
        <v>350.39510989999997</v>
      </c>
      <c r="G260">
        <f>IFERROR(F260-'Alt Blanks'!$I$15,F260)</f>
        <v>81.771712799999989</v>
      </c>
      <c r="H260">
        <f t="shared" si="8"/>
        <v>81.771712799999989</v>
      </c>
      <c r="I260">
        <f t="shared" si="7"/>
        <v>40.885856399999994</v>
      </c>
    </row>
    <row r="261" spans="1:9" x14ac:dyDescent="0.35">
      <c r="A261" t="s">
        <v>62</v>
      </c>
      <c r="B261" t="s">
        <v>58</v>
      </c>
      <c r="C261" t="s">
        <v>22</v>
      </c>
      <c r="D261" t="s">
        <v>54</v>
      </c>
      <c r="E261">
        <v>2</v>
      </c>
      <c r="F261">
        <v>958.26981290000003</v>
      </c>
      <c r="G261">
        <f>IFERROR(F261-'Alt Blanks'!$I$16,F261)</f>
        <v>939.80389969999999</v>
      </c>
      <c r="H261">
        <f t="shared" si="8"/>
        <v>939.80389969999999</v>
      </c>
      <c r="I261">
        <f t="shared" ref="I261:I324" si="9">H261/2</f>
        <v>469.90194984999999</v>
      </c>
    </row>
    <row r="262" spans="1:9" x14ac:dyDescent="0.35">
      <c r="A262" t="s">
        <v>62</v>
      </c>
      <c r="B262" t="s">
        <v>58</v>
      </c>
      <c r="C262" t="s">
        <v>23</v>
      </c>
      <c r="D262" t="s">
        <v>54</v>
      </c>
      <c r="E262">
        <v>2</v>
      </c>
      <c r="F262">
        <v>0.3370648</v>
      </c>
      <c r="G262">
        <f>IFERROR(F262-'Alt Blanks'!$I$17,F262)</f>
        <v>5.1113999999999882E-3</v>
      </c>
      <c r="H262">
        <f t="shared" si="8"/>
        <v>5.1113999999999882E-3</v>
      </c>
      <c r="I262">
        <f t="shared" si="9"/>
        <v>2.5556999999999941E-3</v>
      </c>
    </row>
    <row r="263" spans="1:9" x14ac:dyDescent="0.35">
      <c r="A263" t="s">
        <v>62</v>
      </c>
      <c r="B263" t="s">
        <v>58</v>
      </c>
      <c r="C263" t="s">
        <v>24</v>
      </c>
      <c r="D263" t="s">
        <v>54</v>
      </c>
      <c r="E263">
        <v>2</v>
      </c>
      <c r="F263">
        <v>673.41220079999994</v>
      </c>
      <c r="G263">
        <f>IFERROR(F263-'Alt Blanks'!$I$18,F263)</f>
        <v>667.40874119999989</v>
      </c>
      <c r="H263">
        <f t="shared" si="8"/>
        <v>667.40874119999989</v>
      </c>
      <c r="I263">
        <f t="shared" si="9"/>
        <v>333.70437059999995</v>
      </c>
    </row>
    <row r="264" spans="1:9" x14ac:dyDescent="0.35">
      <c r="A264" t="s">
        <v>62</v>
      </c>
      <c r="B264" t="s">
        <v>58</v>
      </c>
      <c r="C264" t="s">
        <v>25</v>
      </c>
      <c r="D264" t="s">
        <v>54</v>
      </c>
      <c r="E264">
        <v>2</v>
      </c>
      <c r="F264">
        <v>0</v>
      </c>
      <c r="G264">
        <f>IFERROR(F264-'Alt Blanks'!$I$19,F264)</f>
        <v>0</v>
      </c>
      <c r="H264">
        <f t="shared" si="8"/>
        <v>0</v>
      </c>
      <c r="I264">
        <f t="shared" si="9"/>
        <v>0</v>
      </c>
    </row>
    <row r="265" spans="1:9" x14ac:dyDescent="0.35">
      <c r="A265" t="s">
        <v>62</v>
      </c>
      <c r="B265" t="s">
        <v>58</v>
      </c>
      <c r="C265" t="s">
        <v>26</v>
      </c>
      <c r="D265" t="s">
        <v>54</v>
      </c>
      <c r="E265">
        <v>2</v>
      </c>
      <c r="F265">
        <v>1155.0604951</v>
      </c>
      <c r="G265">
        <f>IFERROR(F265-'Alt Blanks'!$I$20,F265)</f>
        <v>1153.1225197000001</v>
      </c>
      <c r="H265">
        <f t="shared" ref="H265:H328" si="10">IF(G265&lt;0,0,G265)</f>
        <v>1153.1225197000001</v>
      </c>
      <c r="I265">
        <f t="shared" si="9"/>
        <v>576.56125985000006</v>
      </c>
    </row>
    <row r="266" spans="1:9" x14ac:dyDescent="0.35">
      <c r="A266" t="s">
        <v>62</v>
      </c>
      <c r="B266" t="s">
        <v>58</v>
      </c>
      <c r="C266" t="s">
        <v>27</v>
      </c>
      <c r="D266" t="s">
        <v>54</v>
      </c>
      <c r="E266">
        <v>2</v>
      </c>
      <c r="F266">
        <v>76.254628400000001</v>
      </c>
      <c r="G266">
        <f>IFERROR(F266-'Alt Blanks'!$I$21,F266)</f>
        <v>76.040119300000001</v>
      </c>
      <c r="H266">
        <f t="shared" si="10"/>
        <v>76.040119300000001</v>
      </c>
      <c r="I266">
        <f t="shared" si="9"/>
        <v>38.02005965</v>
      </c>
    </row>
    <row r="267" spans="1:9" x14ac:dyDescent="0.35">
      <c r="A267" t="s">
        <v>62</v>
      </c>
      <c r="B267" t="s">
        <v>58</v>
      </c>
      <c r="C267" t="s">
        <v>28</v>
      </c>
      <c r="D267" t="s">
        <v>54</v>
      </c>
      <c r="E267">
        <v>2</v>
      </c>
      <c r="F267">
        <v>8.7723797000000001</v>
      </c>
      <c r="G267">
        <f>IFERROR(F267-'Alt Blanks'!$I$22,F267)</f>
        <v>7.1776583</v>
      </c>
      <c r="H267">
        <f t="shared" si="10"/>
        <v>7.1776583</v>
      </c>
      <c r="I267">
        <f t="shared" si="9"/>
        <v>3.58882915</v>
      </c>
    </row>
    <row r="268" spans="1:9" x14ac:dyDescent="0.35">
      <c r="A268" t="s">
        <v>62</v>
      </c>
      <c r="B268" t="s">
        <v>58</v>
      </c>
      <c r="C268" t="s">
        <v>29</v>
      </c>
      <c r="D268" t="s">
        <v>54</v>
      </c>
      <c r="E268">
        <v>2</v>
      </c>
      <c r="F268">
        <v>13.933102199999999</v>
      </c>
      <c r="G268">
        <f>IFERROR(F268-'Alt Blanks'!$I$23,F268)</f>
        <v>13.812364799999999</v>
      </c>
      <c r="H268">
        <f t="shared" si="10"/>
        <v>13.812364799999999</v>
      </c>
      <c r="I268">
        <f t="shared" si="9"/>
        <v>6.9061823999999996</v>
      </c>
    </row>
    <row r="269" spans="1:9" x14ac:dyDescent="0.35">
      <c r="A269" t="s">
        <v>62</v>
      </c>
      <c r="B269" t="s">
        <v>58</v>
      </c>
      <c r="C269" t="s">
        <v>30</v>
      </c>
      <c r="D269" t="s">
        <v>54</v>
      </c>
      <c r="E269">
        <v>2</v>
      </c>
      <c r="F269">
        <v>3.3794101999999997</v>
      </c>
      <c r="G269">
        <f>IFERROR(F269-'Alt Blanks'!$I$24,F269)</f>
        <v>3.1322405999999998</v>
      </c>
      <c r="H269">
        <f t="shared" si="10"/>
        <v>3.1322405999999998</v>
      </c>
      <c r="I269">
        <f t="shared" si="9"/>
        <v>1.5661202999999999</v>
      </c>
    </row>
    <row r="270" spans="1:9" x14ac:dyDescent="0.35">
      <c r="A270" t="s">
        <v>62</v>
      </c>
      <c r="B270" t="s">
        <v>58</v>
      </c>
      <c r="C270" t="s">
        <v>31</v>
      </c>
      <c r="D270" t="s">
        <v>54</v>
      </c>
      <c r="E270">
        <v>2</v>
      </c>
      <c r="F270">
        <v>2.7547325999999996</v>
      </c>
      <c r="G270">
        <f>IFERROR(F270-'Alt Blanks'!$I$25,F270)</f>
        <v>2.2824917999999998</v>
      </c>
      <c r="H270">
        <f t="shared" si="10"/>
        <v>2.2824917999999998</v>
      </c>
      <c r="I270">
        <f t="shared" si="9"/>
        <v>1.1412458999999999</v>
      </c>
    </row>
    <row r="271" spans="1:9" x14ac:dyDescent="0.35">
      <c r="A271" t="s">
        <v>62</v>
      </c>
      <c r="B271" t="s">
        <v>58</v>
      </c>
      <c r="C271" t="s">
        <v>32</v>
      </c>
      <c r="D271" t="s">
        <v>54</v>
      </c>
      <c r="E271">
        <v>2</v>
      </c>
      <c r="F271">
        <v>48.937470000000005</v>
      </c>
      <c r="G271">
        <f>IFERROR(F271-'Alt Blanks'!$I$26,F271)</f>
        <v>48.357293700000007</v>
      </c>
      <c r="H271">
        <f t="shared" si="10"/>
        <v>48.357293700000007</v>
      </c>
      <c r="I271">
        <f t="shared" si="9"/>
        <v>24.178646850000003</v>
      </c>
    </row>
    <row r="272" spans="1:9" x14ac:dyDescent="0.35">
      <c r="A272" t="s">
        <v>62</v>
      </c>
      <c r="B272" t="s">
        <v>58</v>
      </c>
      <c r="C272" t="s">
        <v>33</v>
      </c>
      <c r="D272" t="s">
        <v>54</v>
      </c>
      <c r="E272">
        <v>2</v>
      </c>
      <c r="F272">
        <v>0</v>
      </c>
      <c r="G272">
        <f>IFERROR(F272-'Alt Blanks'!$I$27,F272)</f>
        <v>0</v>
      </c>
      <c r="H272">
        <f t="shared" si="10"/>
        <v>0</v>
      </c>
      <c r="I272">
        <f t="shared" si="9"/>
        <v>0</v>
      </c>
    </row>
    <row r="273" spans="1:9" x14ac:dyDescent="0.35">
      <c r="A273" t="s">
        <v>62</v>
      </c>
      <c r="B273" t="s">
        <v>58</v>
      </c>
      <c r="C273" t="s">
        <v>34</v>
      </c>
      <c r="D273" t="s">
        <v>54</v>
      </c>
      <c r="E273">
        <v>2</v>
      </c>
      <c r="F273">
        <v>0</v>
      </c>
      <c r="G273">
        <f>IFERROR(F273-'Alt Blanks'!$I$28,F273)</f>
        <v>0</v>
      </c>
      <c r="H273">
        <f t="shared" si="10"/>
        <v>0</v>
      </c>
      <c r="I273">
        <f t="shared" si="9"/>
        <v>0</v>
      </c>
    </row>
    <row r="274" spans="1:9" x14ac:dyDescent="0.35">
      <c r="A274" t="s">
        <v>62</v>
      </c>
      <c r="B274" t="s">
        <v>58</v>
      </c>
      <c r="C274" t="s">
        <v>35</v>
      </c>
      <c r="D274" t="s">
        <v>54</v>
      </c>
      <c r="E274">
        <v>2</v>
      </c>
      <c r="F274">
        <v>104.4818803</v>
      </c>
      <c r="G274">
        <f>IFERROR(F274-'Alt Blanks'!$I$29,F274)</f>
        <v>103.8702593</v>
      </c>
      <c r="H274">
        <f t="shared" si="10"/>
        <v>103.8702593</v>
      </c>
      <c r="I274">
        <f t="shared" si="9"/>
        <v>51.93512965</v>
      </c>
    </row>
    <row r="275" spans="1:9" x14ac:dyDescent="0.35">
      <c r="A275" t="s">
        <v>62</v>
      </c>
      <c r="B275" t="s">
        <v>58</v>
      </c>
      <c r="C275" t="s">
        <v>36</v>
      </c>
      <c r="D275" t="s">
        <v>54</v>
      </c>
      <c r="E275">
        <v>2</v>
      </c>
      <c r="F275">
        <v>0</v>
      </c>
      <c r="G275">
        <f>IFERROR(F275-'Alt Blanks'!$I$30,F275)</f>
        <v>0</v>
      </c>
      <c r="H275">
        <f t="shared" si="10"/>
        <v>0</v>
      </c>
      <c r="I275">
        <f t="shared" si="9"/>
        <v>0</v>
      </c>
    </row>
    <row r="276" spans="1:9" x14ac:dyDescent="0.35">
      <c r="A276" t="s">
        <v>62</v>
      </c>
      <c r="B276" t="s">
        <v>58</v>
      </c>
      <c r="C276" t="s">
        <v>37</v>
      </c>
      <c r="D276" t="s">
        <v>54</v>
      </c>
      <c r="E276">
        <v>2</v>
      </c>
      <c r="F276">
        <v>66.563472300000001</v>
      </c>
      <c r="G276">
        <f>IFERROR(F276-'Alt Blanks'!$I$31,F276)</f>
        <v>-35.891161299999993</v>
      </c>
      <c r="H276">
        <f t="shared" si="10"/>
        <v>0</v>
      </c>
      <c r="I276">
        <f t="shared" si="9"/>
        <v>0</v>
      </c>
    </row>
    <row r="277" spans="1:9" x14ac:dyDescent="0.35">
      <c r="A277" t="s">
        <v>62</v>
      </c>
      <c r="B277" t="s">
        <v>58</v>
      </c>
      <c r="C277" t="s">
        <v>38</v>
      </c>
      <c r="D277" t="s">
        <v>54</v>
      </c>
      <c r="E277">
        <v>2</v>
      </c>
      <c r="F277">
        <v>1.9331859</v>
      </c>
      <c r="G277">
        <f>IFERROR(F277-'Alt Blanks'!$I$32,F277)</f>
        <v>5.6173999999999946E-3</v>
      </c>
      <c r="H277">
        <f t="shared" si="10"/>
        <v>5.6173999999999946E-3</v>
      </c>
      <c r="I277">
        <f t="shared" si="9"/>
        <v>2.8086999999999973E-3</v>
      </c>
    </row>
    <row r="278" spans="1:9" x14ac:dyDescent="0.35">
      <c r="A278" t="s">
        <v>62</v>
      </c>
      <c r="B278" t="s">
        <v>58</v>
      </c>
      <c r="C278" t="s">
        <v>39</v>
      </c>
      <c r="D278" t="s">
        <v>54</v>
      </c>
      <c r="E278">
        <v>2</v>
      </c>
      <c r="F278">
        <v>2.0145051</v>
      </c>
      <c r="G278">
        <f>IFERROR(F278-'Alt Blanks'!$I$33,F278)</f>
        <v>2.0145051</v>
      </c>
      <c r="H278">
        <f t="shared" si="10"/>
        <v>2.0145051</v>
      </c>
      <c r="I278">
        <f t="shared" si="9"/>
        <v>1.00725255</v>
      </c>
    </row>
    <row r="279" spans="1:9" x14ac:dyDescent="0.35">
      <c r="A279" t="s">
        <v>62</v>
      </c>
      <c r="B279" t="s">
        <v>58</v>
      </c>
      <c r="C279" t="s">
        <v>40</v>
      </c>
      <c r="D279" t="s">
        <v>54</v>
      </c>
      <c r="E279">
        <v>2</v>
      </c>
      <c r="F279">
        <v>5.0696614000000002</v>
      </c>
      <c r="G279">
        <f>IFERROR(F279-'Alt Blanks'!$I$34,F279)</f>
        <v>5.0696614000000002</v>
      </c>
      <c r="H279">
        <f t="shared" si="10"/>
        <v>5.0696614000000002</v>
      </c>
      <c r="I279">
        <f t="shared" si="9"/>
        <v>2.5348307000000001</v>
      </c>
    </row>
    <row r="280" spans="1:9" x14ac:dyDescent="0.35">
      <c r="A280" t="s">
        <v>62</v>
      </c>
      <c r="B280" t="s">
        <v>58</v>
      </c>
      <c r="C280" t="s">
        <v>41</v>
      </c>
      <c r="D280" t="s">
        <v>54</v>
      </c>
      <c r="E280">
        <v>2</v>
      </c>
      <c r="F280">
        <v>18.7543553</v>
      </c>
      <c r="G280">
        <f>IFERROR(F280-'Alt Blanks'!$I$35,F280)</f>
        <v>18.7543553</v>
      </c>
      <c r="H280">
        <f t="shared" si="10"/>
        <v>18.7543553</v>
      </c>
      <c r="I280">
        <f t="shared" si="9"/>
        <v>9.3771776500000001</v>
      </c>
    </row>
    <row r="281" spans="1:9" x14ac:dyDescent="0.35">
      <c r="A281" t="s">
        <v>62</v>
      </c>
      <c r="B281" t="s">
        <v>58</v>
      </c>
      <c r="C281" t="s">
        <v>42</v>
      </c>
      <c r="D281" t="s">
        <v>54</v>
      </c>
      <c r="E281">
        <v>2</v>
      </c>
      <c r="F281">
        <v>0</v>
      </c>
      <c r="G281">
        <f>IFERROR(F281-'Alt Blanks'!$I$36,F281)</f>
        <v>0</v>
      </c>
      <c r="H281">
        <f t="shared" si="10"/>
        <v>0</v>
      </c>
      <c r="I281">
        <f t="shared" si="9"/>
        <v>0</v>
      </c>
    </row>
    <row r="282" spans="1:9" x14ac:dyDescent="0.35">
      <c r="A282" t="s">
        <v>63</v>
      </c>
      <c r="B282" t="s">
        <v>67</v>
      </c>
      <c r="C282" t="s">
        <v>7</v>
      </c>
      <c r="D282" t="s">
        <v>8</v>
      </c>
      <c r="E282">
        <v>3</v>
      </c>
      <c r="F282">
        <v>6.8264772000000002</v>
      </c>
      <c r="G282">
        <f>IFERROR(F282-'Alt Blanks'!$I$2,F282)</f>
        <v>0.11993609999999943</v>
      </c>
      <c r="H282">
        <f t="shared" si="10"/>
        <v>0.11993609999999943</v>
      </c>
      <c r="I282">
        <f t="shared" si="9"/>
        <v>5.9968049999999717E-2</v>
      </c>
    </row>
    <row r="283" spans="1:9" x14ac:dyDescent="0.35">
      <c r="A283" t="s">
        <v>63</v>
      </c>
      <c r="B283" t="s">
        <v>67</v>
      </c>
      <c r="C283" t="s">
        <v>9</v>
      </c>
      <c r="D283" t="s">
        <v>8</v>
      </c>
      <c r="E283">
        <v>3</v>
      </c>
      <c r="F283">
        <v>3.2359822</v>
      </c>
      <c r="G283">
        <f>IFERROR(F283-'Alt Blanks'!$I$3,F283)</f>
        <v>3.2359822</v>
      </c>
      <c r="H283">
        <f t="shared" si="10"/>
        <v>3.2359822</v>
      </c>
      <c r="I283">
        <f t="shared" si="9"/>
        <v>1.6179911</v>
      </c>
    </row>
    <row r="284" spans="1:9" x14ac:dyDescent="0.35">
      <c r="A284" t="s">
        <v>63</v>
      </c>
      <c r="B284" t="s">
        <v>67</v>
      </c>
      <c r="C284" t="s">
        <v>10</v>
      </c>
      <c r="D284" t="s">
        <v>8</v>
      </c>
      <c r="E284">
        <v>3</v>
      </c>
      <c r="F284">
        <v>0.14480899999999999</v>
      </c>
      <c r="G284">
        <f>IFERROR(F284-'Alt Blanks'!$I$4,F284)</f>
        <v>0.14480899999999999</v>
      </c>
      <c r="H284">
        <f t="shared" si="10"/>
        <v>0.14480899999999999</v>
      </c>
      <c r="I284">
        <f t="shared" si="9"/>
        <v>7.2404499999999997E-2</v>
      </c>
    </row>
    <row r="285" spans="1:9" x14ac:dyDescent="0.35">
      <c r="A285" t="s">
        <v>63</v>
      </c>
      <c r="B285" t="s">
        <v>67</v>
      </c>
      <c r="C285" t="s">
        <v>11</v>
      </c>
      <c r="D285" t="s">
        <v>8</v>
      </c>
      <c r="E285">
        <v>3</v>
      </c>
      <c r="F285">
        <v>17.236231100000001</v>
      </c>
      <c r="G285">
        <f>IFERROR(F285-'Alt Blanks'!$I$5,F285)</f>
        <v>17.236231100000001</v>
      </c>
      <c r="H285">
        <f t="shared" si="10"/>
        <v>17.236231100000001</v>
      </c>
      <c r="I285">
        <f t="shared" si="9"/>
        <v>8.6181155500000006</v>
      </c>
    </row>
    <row r="286" spans="1:9" x14ac:dyDescent="0.35">
      <c r="A286" t="s">
        <v>63</v>
      </c>
      <c r="B286" t="s">
        <v>67</v>
      </c>
      <c r="C286" t="s">
        <v>12</v>
      </c>
      <c r="D286" t="s">
        <v>8</v>
      </c>
      <c r="E286">
        <v>3</v>
      </c>
      <c r="F286">
        <v>124.8379041</v>
      </c>
      <c r="G286">
        <f>IFERROR(F286-'Alt Blanks'!$I$6,F286)</f>
        <v>124.8379041</v>
      </c>
      <c r="H286">
        <f t="shared" si="10"/>
        <v>124.8379041</v>
      </c>
      <c r="I286">
        <f t="shared" si="9"/>
        <v>62.418952050000001</v>
      </c>
    </row>
    <row r="287" spans="1:9" x14ac:dyDescent="0.35">
      <c r="A287" t="s">
        <v>63</v>
      </c>
      <c r="B287" t="s">
        <v>67</v>
      </c>
      <c r="C287" t="s">
        <v>13</v>
      </c>
      <c r="D287" t="s">
        <v>8</v>
      </c>
      <c r="E287">
        <v>3</v>
      </c>
      <c r="F287">
        <v>285.18064549999997</v>
      </c>
      <c r="G287">
        <f>IFERROR(F287-'Alt Blanks'!$I$7,F287)</f>
        <v>285.18064549999997</v>
      </c>
      <c r="H287">
        <f t="shared" si="10"/>
        <v>285.18064549999997</v>
      </c>
      <c r="I287">
        <f t="shared" si="9"/>
        <v>142.59032274999998</v>
      </c>
    </row>
    <row r="288" spans="1:9" x14ac:dyDescent="0.35">
      <c r="A288" t="s">
        <v>63</v>
      </c>
      <c r="B288" t="s">
        <v>67</v>
      </c>
      <c r="C288" t="s">
        <v>14</v>
      </c>
      <c r="D288" t="s">
        <v>8</v>
      </c>
      <c r="E288">
        <v>3</v>
      </c>
      <c r="F288">
        <v>0</v>
      </c>
      <c r="G288">
        <f>IFERROR(F288-'Alt Blanks'!$I$8,F288)</f>
        <v>0</v>
      </c>
      <c r="H288">
        <f t="shared" si="10"/>
        <v>0</v>
      </c>
      <c r="I288">
        <f t="shared" si="9"/>
        <v>0</v>
      </c>
    </row>
    <row r="289" spans="1:9" x14ac:dyDescent="0.35">
      <c r="A289" t="s">
        <v>63</v>
      </c>
      <c r="B289" t="s">
        <v>67</v>
      </c>
      <c r="C289" t="s">
        <v>15</v>
      </c>
      <c r="D289" t="s">
        <v>8</v>
      </c>
      <c r="E289">
        <v>3</v>
      </c>
      <c r="F289">
        <v>16.945877400000001</v>
      </c>
      <c r="G289">
        <f>IFERROR(F289-'Alt Blanks'!$I$9,F289)</f>
        <v>16.945877400000001</v>
      </c>
      <c r="H289">
        <f t="shared" si="10"/>
        <v>16.945877400000001</v>
      </c>
      <c r="I289">
        <f t="shared" si="9"/>
        <v>8.4729387000000003</v>
      </c>
    </row>
    <row r="290" spans="1:9" x14ac:dyDescent="0.35">
      <c r="A290" t="s">
        <v>63</v>
      </c>
      <c r="B290" t="s">
        <v>67</v>
      </c>
      <c r="C290" t="s">
        <v>16</v>
      </c>
      <c r="D290" t="s">
        <v>8</v>
      </c>
      <c r="E290">
        <v>3</v>
      </c>
      <c r="F290">
        <v>0</v>
      </c>
      <c r="G290">
        <f>IFERROR(F290-'Alt Blanks'!$I$10,F290)</f>
        <v>0</v>
      </c>
      <c r="H290">
        <f t="shared" si="10"/>
        <v>0</v>
      </c>
      <c r="I290">
        <f t="shared" si="9"/>
        <v>0</v>
      </c>
    </row>
    <row r="291" spans="1:9" x14ac:dyDescent="0.35">
      <c r="A291" t="s">
        <v>63</v>
      </c>
      <c r="B291" t="s">
        <v>67</v>
      </c>
      <c r="C291" t="s">
        <v>17</v>
      </c>
      <c r="D291" t="s">
        <v>8</v>
      </c>
      <c r="E291">
        <v>3</v>
      </c>
      <c r="F291">
        <v>6027.6312852999999</v>
      </c>
      <c r="G291">
        <f>IFERROR(F291-'Alt Blanks'!$I$11,F291)</f>
        <v>5222.4145956000002</v>
      </c>
      <c r="H291">
        <f t="shared" si="10"/>
        <v>5222.4145956000002</v>
      </c>
      <c r="I291">
        <f t="shared" si="9"/>
        <v>2611.2072978000001</v>
      </c>
    </row>
    <row r="292" spans="1:9" x14ac:dyDescent="0.35">
      <c r="A292" t="s">
        <v>63</v>
      </c>
      <c r="B292" t="s">
        <v>67</v>
      </c>
      <c r="C292" t="s">
        <v>18</v>
      </c>
      <c r="D292" t="s">
        <v>8</v>
      </c>
      <c r="E292">
        <v>3</v>
      </c>
      <c r="F292">
        <v>145.6746516</v>
      </c>
      <c r="G292">
        <f>IFERROR(F292-'Alt Blanks'!$I$12,F292)</f>
        <v>145.6746516</v>
      </c>
      <c r="H292">
        <f t="shared" si="10"/>
        <v>145.6746516</v>
      </c>
      <c r="I292">
        <f t="shared" si="9"/>
        <v>72.837325800000002</v>
      </c>
    </row>
    <row r="293" spans="1:9" x14ac:dyDescent="0.35">
      <c r="A293" t="s">
        <v>63</v>
      </c>
      <c r="B293" t="s">
        <v>67</v>
      </c>
      <c r="C293" t="s">
        <v>19</v>
      </c>
      <c r="D293" t="s">
        <v>8</v>
      </c>
      <c r="E293">
        <v>3</v>
      </c>
      <c r="F293">
        <v>23.823893000000002</v>
      </c>
      <c r="G293">
        <f>IFERROR(F293-'Alt Blanks'!$I$13,F293)</f>
        <v>22.971179500000002</v>
      </c>
      <c r="H293">
        <f t="shared" si="10"/>
        <v>22.971179500000002</v>
      </c>
      <c r="I293">
        <f t="shared" si="9"/>
        <v>11.485589750000001</v>
      </c>
    </row>
    <row r="294" spans="1:9" x14ac:dyDescent="0.35">
      <c r="A294" t="s">
        <v>63</v>
      </c>
      <c r="B294" t="s">
        <v>67</v>
      </c>
      <c r="C294" t="s">
        <v>20</v>
      </c>
      <c r="D294" t="s">
        <v>8</v>
      </c>
      <c r="E294">
        <v>3</v>
      </c>
      <c r="F294">
        <v>19.6564327</v>
      </c>
      <c r="G294">
        <f>IFERROR(F294-'Alt Blanks'!$I$14,F294)</f>
        <v>19.6564327</v>
      </c>
      <c r="H294">
        <f t="shared" si="10"/>
        <v>19.6564327</v>
      </c>
      <c r="I294">
        <f t="shared" si="9"/>
        <v>9.8282163499999999</v>
      </c>
    </row>
    <row r="295" spans="1:9" x14ac:dyDescent="0.35">
      <c r="A295" t="s">
        <v>63</v>
      </c>
      <c r="B295" t="s">
        <v>67</v>
      </c>
      <c r="C295" t="s">
        <v>21</v>
      </c>
      <c r="D295" t="s">
        <v>8</v>
      </c>
      <c r="E295">
        <v>3</v>
      </c>
      <c r="F295">
        <v>538.69710349999991</v>
      </c>
      <c r="G295">
        <f>IFERROR(F295-'Alt Blanks'!$I$15,F295)</f>
        <v>270.07370639999994</v>
      </c>
      <c r="H295">
        <f t="shared" si="10"/>
        <v>270.07370639999994</v>
      </c>
      <c r="I295">
        <f t="shared" si="9"/>
        <v>135.03685319999997</v>
      </c>
    </row>
    <row r="296" spans="1:9" x14ac:dyDescent="0.35">
      <c r="A296" t="s">
        <v>63</v>
      </c>
      <c r="B296" t="s">
        <v>67</v>
      </c>
      <c r="C296" t="s">
        <v>22</v>
      </c>
      <c r="D296" t="s">
        <v>8</v>
      </c>
      <c r="E296">
        <v>3</v>
      </c>
      <c r="F296">
        <v>2119.7910468</v>
      </c>
      <c r="G296">
        <f>IFERROR(F296-'Alt Blanks'!$I$16,F296)</f>
        <v>2101.3251335999998</v>
      </c>
      <c r="H296">
        <f t="shared" si="10"/>
        <v>2101.3251335999998</v>
      </c>
      <c r="I296">
        <f t="shared" si="9"/>
        <v>1050.6625667999999</v>
      </c>
    </row>
    <row r="297" spans="1:9" x14ac:dyDescent="0.35">
      <c r="A297" t="s">
        <v>63</v>
      </c>
      <c r="B297" t="s">
        <v>67</v>
      </c>
      <c r="C297" t="s">
        <v>23</v>
      </c>
      <c r="D297" t="s">
        <v>8</v>
      </c>
      <c r="E297">
        <v>3</v>
      </c>
      <c r="F297">
        <v>0</v>
      </c>
      <c r="G297">
        <f>IFERROR(F297-'Alt Blanks'!$I$17,F297)</f>
        <v>-0.33195340000000001</v>
      </c>
      <c r="H297">
        <f t="shared" si="10"/>
        <v>0</v>
      </c>
      <c r="I297">
        <f t="shared" si="9"/>
        <v>0</v>
      </c>
    </row>
    <row r="298" spans="1:9" x14ac:dyDescent="0.35">
      <c r="A298" t="s">
        <v>63</v>
      </c>
      <c r="B298" t="s">
        <v>67</v>
      </c>
      <c r="C298" t="s">
        <v>24</v>
      </c>
      <c r="D298" t="s">
        <v>8</v>
      </c>
      <c r="E298">
        <v>3</v>
      </c>
      <c r="F298">
        <v>2252.0815032</v>
      </c>
      <c r="G298">
        <f>IFERROR(F298-'Alt Blanks'!$I$18,F298)</f>
        <v>2246.0780436</v>
      </c>
      <c r="H298">
        <f t="shared" si="10"/>
        <v>2246.0780436</v>
      </c>
      <c r="I298">
        <f t="shared" si="9"/>
        <v>1123.0390218</v>
      </c>
    </row>
    <row r="299" spans="1:9" x14ac:dyDescent="0.35">
      <c r="A299" t="s">
        <v>63</v>
      </c>
      <c r="B299" t="s">
        <v>67</v>
      </c>
      <c r="C299" t="s">
        <v>25</v>
      </c>
      <c r="D299" t="s">
        <v>8</v>
      </c>
      <c r="E299">
        <v>3</v>
      </c>
      <c r="F299">
        <v>0</v>
      </c>
      <c r="G299">
        <f>IFERROR(F299-'Alt Blanks'!$I$19,F299)</f>
        <v>0</v>
      </c>
      <c r="H299">
        <f t="shared" si="10"/>
        <v>0</v>
      </c>
      <c r="I299">
        <f t="shared" si="9"/>
        <v>0</v>
      </c>
    </row>
    <row r="300" spans="1:9" x14ac:dyDescent="0.35">
      <c r="A300" t="s">
        <v>63</v>
      </c>
      <c r="B300" t="s">
        <v>67</v>
      </c>
      <c r="C300" t="s">
        <v>26</v>
      </c>
      <c r="D300" t="s">
        <v>8</v>
      </c>
      <c r="E300">
        <v>3</v>
      </c>
      <c r="F300">
        <v>3770.3103073000002</v>
      </c>
      <c r="G300">
        <f>IFERROR(F300-'Alt Blanks'!$I$20,F300)</f>
        <v>3768.3723319000001</v>
      </c>
      <c r="H300">
        <f t="shared" si="10"/>
        <v>3768.3723319000001</v>
      </c>
      <c r="I300">
        <f t="shared" si="9"/>
        <v>1884.18616595</v>
      </c>
    </row>
    <row r="301" spans="1:9" x14ac:dyDescent="0.35">
      <c r="A301" t="s">
        <v>63</v>
      </c>
      <c r="B301" t="s">
        <v>67</v>
      </c>
      <c r="C301" t="s">
        <v>27</v>
      </c>
      <c r="D301" t="s">
        <v>8</v>
      </c>
      <c r="E301">
        <v>3</v>
      </c>
      <c r="F301">
        <v>346.01261060000002</v>
      </c>
      <c r="G301">
        <f>IFERROR(F301-'Alt Blanks'!$I$21,F301)</f>
        <v>345.79810150000003</v>
      </c>
      <c r="H301">
        <f t="shared" si="10"/>
        <v>345.79810150000003</v>
      </c>
      <c r="I301">
        <f t="shared" si="9"/>
        <v>172.89905075000001</v>
      </c>
    </row>
    <row r="302" spans="1:9" x14ac:dyDescent="0.35">
      <c r="A302" t="s">
        <v>63</v>
      </c>
      <c r="B302" t="s">
        <v>67</v>
      </c>
      <c r="C302" t="s">
        <v>28</v>
      </c>
      <c r="D302" t="s">
        <v>8</v>
      </c>
      <c r="E302">
        <v>3</v>
      </c>
      <c r="F302">
        <v>22.211565200000003</v>
      </c>
      <c r="G302">
        <f>IFERROR(F302-'Alt Blanks'!$I$22,F302)</f>
        <v>20.616843800000002</v>
      </c>
      <c r="H302">
        <f t="shared" si="10"/>
        <v>20.616843800000002</v>
      </c>
      <c r="I302">
        <f t="shared" si="9"/>
        <v>10.308421900000001</v>
      </c>
    </row>
    <row r="303" spans="1:9" x14ac:dyDescent="0.35">
      <c r="A303" t="s">
        <v>63</v>
      </c>
      <c r="B303" t="s">
        <v>67</v>
      </c>
      <c r="C303" t="s">
        <v>29</v>
      </c>
      <c r="D303" t="s">
        <v>8</v>
      </c>
      <c r="E303">
        <v>3</v>
      </c>
      <c r="F303">
        <v>35.4342203</v>
      </c>
      <c r="G303">
        <f>IFERROR(F303-'Alt Blanks'!$I$23,F303)</f>
        <v>35.313482899999997</v>
      </c>
      <c r="H303">
        <f t="shared" si="10"/>
        <v>35.313482899999997</v>
      </c>
      <c r="I303">
        <f t="shared" si="9"/>
        <v>17.656741449999998</v>
      </c>
    </row>
    <row r="304" spans="1:9" x14ac:dyDescent="0.35">
      <c r="A304" t="s">
        <v>63</v>
      </c>
      <c r="B304" t="s">
        <v>67</v>
      </c>
      <c r="C304" t="s">
        <v>30</v>
      </c>
      <c r="D304" t="s">
        <v>8</v>
      </c>
      <c r="E304">
        <v>3</v>
      </c>
      <c r="F304">
        <v>17.177085099999999</v>
      </c>
      <c r="G304">
        <f>IFERROR(F304-'Alt Blanks'!$I$24,F304)</f>
        <v>16.9299155</v>
      </c>
      <c r="H304">
        <f t="shared" si="10"/>
        <v>16.9299155</v>
      </c>
      <c r="I304">
        <f t="shared" si="9"/>
        <v>8.4649577499999999</v>
      </c>
    </row>
    <row r="305" spans="1:9" x14ac:dyDescent="0.35">
      <c r="A305" t="s">
        <v>63</v>
      </c>
      <c r="B305" t="s">
        <v>67</v>
      </c>
      <c r="C305" t="s">
        <v>31</v>
      </c>
      <c r="D305" t="s">
        <v>8</v>
      </c>
      <c r="E305">
        <v>3</v>
      </c>
      <c r="F305">
        <v>0.4224136</v>
      </c>
      <c r="G305">
        <f>IFERROR(F305-'Alt Blanks'!$I$25,F305)</f>
        <v>-4.982719999999996E-2</v>
      </c>
      <c r="H305">
        <f t="shared" si="10"/>
        <v>0</v>
      </c>
      <c r="I305">
        <f t="shared" si="9"/>
        <v>0</v>
      </c>
    </row>
    <row r="306" spans="1:9" x14ac:dyDescent="0.35">
      <c r="A306" t="s">
        <v>63</v>
      </c>
      <c r="B306" t="s">
        <v>67</v>
      </c>
      <c r="C306" t="s">
        <v>32</v>
      </c>
      <c r="D306" t="s">
        <v>8</v>
      </c>
      <c r="E306">
        <v>3</v>
      </c>
      <c r="F306">
        <v>158.72421750000001</v>
      </c>
      <c r="G306">
        <f>IFERROR(F306-'Alt Blanks'!$I$26,F306)</f>
        <v>158.1440412</v>
      </c>
      <c r="H306">
        <f t="shared" si="10"/>
        <v>158.1440412</v>
      </c>
      <c r="I306">
        <f t="shared" si="9"/>
        <v>79.072020600000002</v>
      </c>
    </row>
    <row r="307" spans="1:9" x14ac:dyDescent="0.35">
      <c r="A307" t="s">
        <v>63</v>
      </c>
      <c r="B307" t="s">
        <v>67</v>
      </c>
      <c r="C307" t="s">
        <v>33</v>
      </c>
      <c r="D307" t="s">
        <v>8</v>
      </c>
      <c r="E307">
        <v>3</v>
      </c>
      <c r="F307">
        <v>0</v>
      </c>
      <c r="G307">
        <f>IFERROR(F307-'Alt Blanks'!$I$27,F307)</f>
        <v>0</v>
      </c>
      <c r="H307">
        <f t="shared" si="10"/>
        <v>0</v>
      </c>
      <c r="I307">
        <f t="shared" si="9"/>
        <v>0</v>
      </c>
    </row>
    <row r="308" spans="1:9" x14ac:dyDescent="0.35">
      <c r="A308" t="s">
        <v>63</v>
      </c>
      <c r="B308" t="s">
        <v>67</v>
      </c>
      <c r="C308" t="s">
        <v>34</v>
      </c>
      <c r="D308" t="s">
        <v>8</v>
      </c>
      <c r="E308">
        <v>3</v>
      </c>
      <c r="F308">
        <v>0</v>
      </c>
      <c r="G308">
        <f>IFERROR(F308-'Alt Blanks'!$I$28,F308)</f>
        <v>0</v>
      </c>
      <c r="H308">
        <f t="shared" si="10"/>
        <v>0</v>
      </c>
      <c r="I308">
        <f t="shared" si="9"/>
        <v>0</v>
      </c>
    </row>
    <row r="309" spans="1:9" x14ac:dyDescent="0.35">
      <c r="A309" t="s">
        <v>63</v>
      </c>
      <c r="B309" t="s">
        <v>67</v>
      </c>
      <c r="C309" t="s">
        <v>35</v>
      </c>
      <c r="D309" t="s">
        <v>8</v>
      </c>
      <c r="E309">
        <v>3</v>
      </c>
      <c r="F309">
        <v>329.71999729999999</v>
      </c>
      <c r="G309">
        <f>IFERROR(F309-'Alt Blanks'!$I$29,F309)</f>
        <v>329.10837629999997</v>
      </c>
      <c r="H309">
        <f t="shared" si="10"/>
        <v>329.10837629999997</v>
      </c>
      <c r="I309">
        <f t="shared" si="9"/>
        <v>164.55418814999999</v>
      </c>
    </row>
    <row r="310" spans="1:9" x14ac:dyDescent="0.35">
      <c r="A310" t="s">
        <v>63</v>
      </c>
      <c r="B310" t="s">
        <v>67</v>
      </c>
      <c r="C310" t="s">
        <v>36</v>
      </c>
      <c r="D310" t="s">
        <v>8</v>
      </c>
      <c r="E310">
        <v>3</v>
      </c>
      <c r="F310">
        <v>6.7582187999999999</v>
      </c>
      <c r="G310">
        <f>IFERROR(F310-'Alt Blanks'!$I$30,F310)</f>
        <v>6.7582187999999999</v>
      </c>
      <c r="H310">
        <f t="shared" si="10"/>
        <v>6.7582187999999999</v>
      </c>
      <c r="I310">
        <f t="shared" si="9"/>
        <v>3.3791093999999999</v>
      </c>
    </row>
    <row r="311" spans="1:9" x14ac:dyDescent="0.35">
      <c r="A311" t="s">
        <v>63</v>
      </c>
      <c r="B311" t="s">
        <v>67</v>
      </c>
      <c r="C311" t="s">
        <v>37</v>
      </c>
      <c r="D311" t="s">
        <v>8</v>
      </c>
      <c r="E311">
        <v>3</v>
      </c>
      <c r="F311">
        <v>99.869837400000009</v>
      </c>
      <c r="G311">
        <f>IFERROR(F311-'Alt Blanks'!$I$31,F311)</f>
        <v>-2.5847961999999853</v>
      </c>
      <c r="H311">
        <f t="shared" si="10"/>
        <v>0</v>
      </c>
      <c r="I311">
        <f t="shared" si="9"/>
        <v>0</v>
      </c>
    </row>
    <row r="312" spans="1:9" x14ac:dyDescent="0.35">
      <c r="A312" t="s">
        <v>63</v>
      </c>
      <c r="B312" t="s">
        <v>67</v>
      </c>
      <c r="C312" t="s">
        <v>38</v>
      </c>
      <c r="D312" t="s">
        <v>8</v>
      </c>
      <c r="E312">
        <v>3</v>
      </c>
      <c r="F312">
        <v>1.9364283</v>
      </c>
      <c r="G312">
        <f>IFERROR(F312-'Alt Blanks'!$I$32,F312)</f>
        <v>8.8597999999999733E-3</v>
      </c>
      <c r="H312">
        <f t="shared" si="10"/>
        <v>8.8597999999999733E-3</v>
      </c>
      <c r="I312">
        <f t="shared" si="9"/>
        <v>4.4298999999999866E-3</v>
      </c>
    </row>
    <row r="313" spans="1:9" x14ac:dyDescent="0.35">
      <c r="A313" t="s">
        <v>63</v>
      </c>
      <c r="B313" t="s">
        <v>67</v>
      </c>
      <c r="C313" t="s">
        <v>39</v>
      </c>
      <c r="D313" t="s">
        <v>8</v>
      </c>
      <c r="E313">
        <v>3</v>
      </c>
      <c r="F313">
        <v>1.5613623999999999</v>
      </c>
      <c r="G313">
        <f>IFERROR(F313-'Alt Blanks'!$I$33,F313)</f>
        <v>1.5613623999999999</v>
      </c>
      <c r="H313">
        <f t="shared" si="10"/>
        <v>1.5613623999999999</v>
      </c>
      <c r="I313">
        <f t="shared" si="9"/>
        <v>0.78068119999999996</v>
      </c>
    </row>
    <row r="314" spans="1:9" x14ac:dyDescent="0.35">
      <c r="A314" t="s">
        <v>63</v>
      </c>
      <c r="B314" t="s">
        <v>67</v>
      </c>
      <c r="C314" t="s">
        <v>40</v>
      </c>
      <c r="D314" t="s">
        <v>8</v>
      </c>
      <c r="E314">
        <v>3</v>
      </c>
      <c r="F314">
        <v>26.125284100000002</v>
      </c>
      <c r="G314">
        <f>IFERROR(F314-'Alt Blanks'!$I$34,F314)</f>
        <v>26.125284100000002</v>
      </c>
      <c r="H314">
        <f t="shared" si="10"/>
        <v>26.125284100000002</v>
      </c>
      <c r="I314">
        <f t="shared" si="9"/>
        <v>13.062642050000001</v>
      </c>
    </row>
    <row r="315" spans="1:9" x14ac:dyDescent="0.35">
      <c r="A315" t="s">
        <v>63</v>
      </c>
      <c r="B315" t="s">
        <v>67</v>
      </c>
      <c r="C315" t="s">
        <v>41</v>
      </c>
      <c r="D315" t="s">
        <v>8</v>
      </c>
      <c r="E315">
        <v>3</v>
      </c>
      <c r="F315">
        <v>98.012854900000008</v>
      </c>
      <c r="G315">
        <f>IFERROR(F315-'Alt Blanks'!$I$35,F315)</f>
        <v>98.012854900000008</v>
      </c>
      <c r="H315">
        <f t="shared" si="10"/>
        <v>98.012854900000008</v>
      </c>
      <c r="I315">
        <f t="shared" si="9"/>
        <v>49.006427450000004</v>
      </c>
    </row>
    <row r="316" spans="1:9" x14ac:dyDescent="0.35">
      <c r="A316" t="s">
        <v>63</v>
      </c>
      <c r="B316" t="s">
        <v>67</v>
      </c>
      <c r="C316" t="s">
        <v>42</v>
      </c>
      <c r="D316" t="s">
        <v>8</v>
      </c>
      <c r="E316">
        <v>3</v>
      </c>
      <c r="F316">
        <v>0</v>
      </c>
      <c r="G316">
        <f>IFERROR(F316-'Alt Blanks'!$I$36,F316)</f>
        <v>0</v>
      </c>
      <c r="H316">
        <f t="shared" si="10"/>
        <v>0</v>
      </c>
      <c r="I316">
        <f t="shared" si="9"/>
        <v>0</v>
      </c>
    </row>
    <row r="317" spans="1:9" x14ac:dyDescent="0.35">
      <c r="A317" t="s">
        <v>64</v>
      </c>
      <c r="B317" t="s">
        <v>68</v>
      </c>
      <c r="C317" t="s">
        <v>7</v>
      </c>
      <c r="D317" t="s">
        <v>51</v>
      </c>
      <c r="E317">
        <v>3</v>
      </c>
      <c r="F317">
        <v>6.8845140000000002</v>
      </c>
      <c r="G317">
        <f>IFERROR(F317-'Alt Blanks'!$I$2,F317)</f>
        <v>0.17797289999999943</v>
      </c>
      <c r="H317">
        <f t="shared" si="10"/>
        <v>0.17797289999999943</v>
      </c>
      <c r="I317">
        <f t="shared" si="9"/>
        <v>8.8986449999999717E-2</v>
      </c>
    </row>
    <row r="318" spans="1:9" x14ac:dyDescent="0.35">
      <c r="A318" t="s">
        <v>64</v>
      </c>
      <c r="B318" t="s">
        <v>68</v>
      </c>
      <c r="C318" t="s">
        <v>9</v>
      </c>
      <c r="D318" t="s">
        <v>51</v>
      </c>
      <c r="E318">
        <v>3</v>
      </c>
      <c r="F318">
        <v>4.1247161999999999</v>
      </c>
      <c r="G318">
        <f>IFERROR(F318-'Alt Blanks'!$I$3,F318)</f>
        <v>4.1247161999999999</v>
      </c>
      <c r="H318">
        <f t="shared" si="10"/>
        <v>4.1247161999999999</v>
      </c>
      <c r="I318">
        <f t="shared" si="9"/>
        <v>2.0623581</v>
      </c>
    </row>
    <row r="319" spans="1:9" x14ac:dyDescent="0.35">
      <c r="A319" t="s">
        <v>64</v>
      </c>
      <c r="B319" t="s">
        <v>68</v>
      </c>
      <c r="C319" t="s">
        <v>10</v>
      </c>
      <c r="D319" t="s">
        <v>51</v>
      </c>
      <c r="E319">
        <v>3</v>
      </c>
      <c r="F319" t="e">
        <v>#N/A</v>
      </c>
      <c r="G319" t="e">
        <f>IFERROR(F319-'Alt Blanks'!$I$4,F319)</f>
        <v>#N/A</v>
      </c>
      <c r="H319" t="e">
        <f t="shared" si="10"/>
        <v>#N/A</v>
      </c>
      <c r="I319" t="e">
        <f t="shared" si="9"/>
        <v>#N/A</v>
      </c>
    </row>
    <row r="320" spans="1:9" x14ac:dyDescent="0.35">
      <c r="A320" t="s">
        <v>64</v>
      </c>
      <c r="B320" t="s">
        <v>68</v>
      </c>
      <c r="C320" t="s">
        <v>11</v>
      </c>
      <c r="D320" t="s">
        <v>51</v>
      </c>
      <c r="E320">
        <v>3</v>
      </c>
      <c r="F320">
        <v>14.241061499999999</v>
      </c>
      <c r="G320">
        <f>IFERROR(F320-'Alt Blanks'!$I$5,F320)</f>
        <v>14.241061499999999</v>
      </c>
      <c r="H320">
        <f t="shared" si="10"/>
        <v>14.241061499999999</v>
      </c>
      <c r="I320">
        <f t="shared" si="9"/>
        <v>7.1205307499999995</v>
      </c>
    </row>
    <row r="321" spans="1:9" x14ac:dyDescent="0.35">
      <c r="A321" t="s">
        <v>64</v>
      </c>
      <c r="B321" t="s">
        <v>68</v>
      </c>
      <c r="C321" t="s">
        <v>12</v>
      </c>
      <c r="D321" t="s">
        <v>51</v>
      </c>
      <c r="E321">
        <v>3</v>
      </c>
      <c r="F321">
        <v>116.72914280000001</v>
      </c>
      <c r="G321">
        <f>IFERROR(F321-'Alt Blanks'!$I$6,F321)</f>
        <v>116.72914280000001</v>
      </c>
      <c r="H321">
        <f t="shared" si="10"/>
        <v>116.72914280000001</v>
      </c>
      <c r="I321">
        <f t="shared" si="9"/>
        <v>58.364571400000003</v>
      </c>
    </row>
    <row r="322" spans="1:9" x14ac:dyDescent="0.35">
      <c r="A322" t="s">
        <v>64</v>
      </c>
      <c r="B322" t="s">
        <v>68</v>
      </c>
      <c r="C322" t="s">
        <v>13</v>
      </c>
      <c r="D322" t="s">
        <v>51</v>
      </c>
      <c r="E322">
        <v>3</v>
      </c>
      <c r="F322">
        <v>307.1489722</v>
      </c>
      <c r="G322">
        <f>IFERROR(F322-'Alt Blanks'!$I$7,F322)</f>
        <v>307.1489722</v>
      </c>
      <c r="H322">
        <f t="shared" si="10"/>
        <v>307.1489722</v>
      </c>
      <c r="I322">
        <f t="shared" si="9"/>
        <v>153.5744861</v>
      </c>
    </row>
    <row r="323" spans="1:9" x14ac:dyDescent="0.35">
      <c r="A323" t="s">
        <v>64</v>
      </c>
      <c r="B323" t="s">
        <v>68</v>
      </c>
      <c r="C323" t="s">
        <v>14</v>
      </c>
      <c r="D323" t="s">
        <v>51</v>
      </c>
      <c r="E323">
        <v>3</v>
      </c>
      <c r="F323">
        <v>0</v>
      </c>
      <c r="G323">
        <f>IFERROR(F323-'Alt Blanks'!$I$8,F323)</f>
        <v>0</v>
      </c>
      <c r="H323">
        <f t="shared" si="10"/>
        <v>0</v>
      </c>
      <c r="I323">
        <f t="shared" si="9"/>
        <v>0</v>
      </c>
    </row>
    <row r="324" spans="1:9" x14ac:dyDescent="0.35">
      <c r="A324" t="s">
        <v>64</v>
      </c>
      <c r="B324" t="s">
        <v>68</v>
      </c>
      <c r="C324" t="s">
        <v>15</v>
      </c>
      <c r="D324" t="s">
        <v>51</v>
      </c>
      <c r="E324">
        <v>3</v>
      </c>
      <c r="F324">
        <v>15.8769372</v>
      </c>
      <c r="G324">
        <f>IFERROR(F324-'Alt Blanks'!$I$9,F324)</f>
        <v>15.8769372</v>
      </c>
      <c r="H324">
        <f t="shared" si="10"/>
        <v>15.8769372</v>
      </c>
      <c r="I324">
        <f t="shared" si="9"/>
        <v>7.9384686000000002</v>
      </c>
    </row>
    <row r="325" spans="1:9" x14ac:dyDescent="0.35">
      <c r="A325" t="s">
        <v>64</v>
      </c>
      <c r="B325" t="s">
        <v>68</v>
      </c>
      <c r="C325" t="s">
        <v>16</v>
      </c>
      <c r="D325" t="s">
        <v>51</v>
      </c>
      <c r="E325">
        <v>3</v>
      </c>
      <c r="F325">
        <v>0</v>
      </c>
      <c r="G325">
        <f>IFERROR(F325-'Alt Blanks'!$I$10,F325)</f>
        <v>0</v>
      </c>
      <c r="H325">
        <f t="shared" si="10"/>
        <v>0</v>
      </c>
      <c r="I325">
        <f t="shared" ref="I325:I388" si="11">H325/2</f>
        <v>0</v>
      </c>
    </row>
    <row r="326" spans="1:9" x14ac:dyDescent="0.35">
      <c r="A326" t="s">
        <v>64</v>
      </c>
      <c r="B326" t="s">
        <v>68</v>
      </c>
      <c r="C326" t="s">
        <v>17</v>
      </c>
      <c r="D326" t="s">
        <v>51</v>
      </c>
      <c r="E326">
        <v>3</v>
      </c>
      <c r="F326">
        <v>5408.4226508000002</v>
      </c>
      <c r="G326">
        <f>IFERROR(F326-'Alt Blanks'!$I$11,F326)</f>
        <v>4603.2059611000004</v>
      </c>
      <c r="H326">
        <f t="shared" si="10"/>
        <v>4603.2059611000004</v>
      </c>
      <c r="I326">
        <f t="shared" si="11"/>
        <v>2301.6029805500002</v>
      </c>
    </row>
    <row r="327" spans="1:9" x14ac:dyDescent="0.35">
      <c r="A327" t="s">
        <v>64</v>
      </c>
      <c r="B327" t="s">
        <v>68</v>
      </c>
      <c r="C327" t="s">
        <v>18</v>
      </c>
      <c r="D327" t="s">
        <v>51</v>
      </c>
      <c r="E327">
        <v>3</v>
      </c>
      <c r="F327">
        <v>949.72924750000004</v>
      </c>
      <c r="G327">
        <f>IFERROR(F327-'Alt Blanks'!$I$12,F327)</f>
        <v>949.72924750000004</v>
      </c>
      <c r="H327">
        <f t="shared" si="10"/>
        <v>949.72924750000004</v>
      </c>
      <c r="I327">
        <f t="shared" si="11"/>
        <v>474.86462375000002</v>
      </c>
    </row>
    <row r="328" spans="1:9" x14ac:dyDescent="0.35">
      <c r="A328" t="s">
        <v>64</v>
      </c>
      <c r="B328" t="s">
        <v>68</v>
      </c>
      <c r="C328" t="s">
        <v>19</v>
      </c>
      <c r="D328" t="s">
        <v>51</v>
      </c>
      <c r="E328">
        <v>3</v>
      </c>
      <c r="F328">
        <v>17.226615800000001</v>
      </c>
      <c r="G328">
        <f>IFERROR(F328-'Alt Blanks'!$I$13,F328)</f>
        <v>16.373902300000001</v>
      </c>
      <c r="H328">
        <f t="shared" si="10"/>
        <v>16.373902300000001</v>
      </c>
      <c r="I328">
        <f t="shared" si="11"/>
        <v>8.1869511500000005</v>
      </c>
    </row>
    <row r="329" spans="1:9" x14ac:dyDescent="0.35">
      <c r="A329" t="s">
        <v>64</v>
      </c>
      <c r="B329" t="s">
        <v>68</v>
      </c>
      <c r="C329" t="s">
        <v>20</v>
      </c>
      <c r="D329" t="s">
        <v>51</v>
      </c>
      <c r="E329">
        <v>3</v>
      </c>
      <c r="F329">
        <v>20.971489000000002</v>
      </c>
      <c r="G329">
        <f>IFERROR(F329-'Alt Blanks'!$I$14,F329)</f>
        <v>20.971489000000002</v>
      </c>
      <c r="H329">
        <f t="shared" ref="H329:H392" si="12">IF(G329&lt;0,0,G329)</f>
        <v>20.971489000000002</v>
      </c>
      <c r="I329">
        <f t="shared" si="11"/>
        <v>10.485744500000001</v>
      </c>
    </row>
    <row r="330" spans="1:9" x14ac:dyDescent="0.35">
      <c r="A330" t="s">
        <v>64</v>
      </c>
      <c r="B330" t="s">
        <v>68</v>
      </c>
      <c r="C330" t="s">
        <v>21</v>
      </c>
      <c r="D330" t="s">
        <v>51</v>
      </c>
      <c r="E330">
        <v>3</v>
      </c>
      <c r="F330">
        <v>543.79471709999996</v>
      </c>
      <c r="G330">
        <f>IFERROR(F330-'Alt Blanks'!$I$15,F330)</f>
        <v>275.17131999999998</v>
      </c>
      <c r="H330">
        <f t="shared" si="12"/>
        <v>275.17131999999998</v>
      </c>
      <c r="I330">
        <f t="shared" si="11"/>
        <v>137.58565999999999</v>
      </c>
    </row>
    <row r="331" spans="1:9" x14ac:dyDescent="0.35">
      <c r="A331" t="s">
        <v>64</v>
      </c>
      <c r="B331" t="s">
        <v>68</v>
      </c>
      <c r="C331" t="s">
        <v>22</v>
      </c>
      <c r="D331" t="s">
        <v>51</v>
      </c>
      <c r="E331">
        <v>3</v>
      </c>
      <c r="F331">
        <v>1955.7332535999999</v>
      </c>
      <c r="G331">
        <f>IFERROR(F331-'Alt Blanks'!$I$16,F331)</f>
        <v>1937.2673404</v>
      </c>
      <c r="H331">
        <f t="shared" si="12"/>
        <v>1937.2673404</v>
      </c>
      <c r="I331">
        <f t="shared" si="11"/>
        <v>968.63367019999998</v>
      </c>
    </row>
    <row r="332" spans="1:9" x14ac:dyDescent="0.35">
      <c r="A332" t="s">
        <v>64</v>
      </c>
      <c r="B332" t="s">
        <v>68</v>
      </c>
      <c r="C332" t="s">
        <v>23</v>
      </c>
      <c r="D332" t="s">
        <v>51</v>
      </c>
      <c r="E332">
        <v>3</v>
      </c>
      <c r="F332">
        <v>0</v>
      </c>
      <c r="G332">
        <f>IFERROR(F332-'Alt Blanks'!$I$17,F332)</f>
        <v>-0.33195340000000001</v>
      </c>
      <c r="H332">
        <f t="shared" si="12"/>
        <v>0</v>
      </c>
      <c r="I332">
        <f t="shared" si="11"/>
        <v>0</v>
      </c>
    </row>
    <row r="333" spans="1:9" x14ac:dyDescent="0.35">
      <c r="A333" t="s">
        <v>64</v>
      </c>
      <c r="B333" t="s">
        <v>68</v>
      </c>
      <c r="C333" t="s">
        <v>24</v>
      </c>
      <c r="D333" t="s">
        <v>51</v>
      </c>
      <c r="E333">
        <v>3</v>
      </c>
      <c r="F333">
        <v>1913.5384208</v>
      </c>
      <c r="G333">
        <f>IFERROR(F333-'Alt Blanks'!$I$18,F333)</f>
        <v>1907.5349612</v>
      </c>
      <c r="H333">
        <f t="shared" si="12"/>
        <v>1907.5349612</v>
      </c>
      <c r="I333">
        <f t="shared" si="11"/>
        <v>953.7674806</v>
      </c>
    </row>
    <row r="334" spans="1:9" x14ac:dyDescent="0.35">
      <c r="A334" t="s">
        <v>64</v>
      </c>
      <c r="B334" t="s">
        <v>68</v>
      </c>
      <c r="C334" t="s">
        <v>25</v>
      </c>
      <c r="D334" t="s">
        <v>51</v>
      </c>
      <c r="E334">
        <v>3</v>
      </c>
      <c r="F334">
        <v>157.53268119999998</v>
      </c>
      <c r="G334">
        <f>IFERROR(F334-'Alt Blanks'!$I$19,F334)</f>
        <v>157.53268119999998</v>
      </c>
      <c r="H334">
        <f t="shared" si="12"/>
        <v>157.53268119999998</v>
      </c>
      <c r="I334">
        <f t="shared" si="11"/>
        <v>78.766340599999992</v>
      </c>
    </row>
    <row r="335" spans="1:9" x14ac:dyDescent="0.35">
      <c r="A335" t="s">
        <v>64</v>
      </c>
      <c r="B335" t="s">
        <v>68</v>
      </c>
      <c r="C335" t="s">
        <v>26</v>
      </c>
      <c r="D335" t="s">
        <v>51</v>
      </c>
      <c r="E335">
        <v>3</v>
      </c>
      <c r="F335">
        <v>3321.1106480999997</v>
      </c>
      <c r="G335">
        <f>IFERROR(F335-'Alt Blanks'!$I$20,F335)</f>
        <v>3319.1726726999996</v>
      </c>
      <c r="H335">
        <f t="shared" si="12"/>
        <v>3319.1726726999996</v>
      </c>
      <c r="I335">
        <f t="shared" si="11"/>
        <v>1659.5863363499998</v>
      </c>
    </row>
    <row r="336" spans="1:9" x14ac:dyDescent="0.35">
      <c r="A336" t="s">
        <v>64</v>
      </c>
      <c r="B336" t="s">
        <v>68</v>
      </c>
      <c r="C336" t="s">
        <v>27</v>
      </c>
      <c r="D336" t="s">
        <v>51</v>
      </c>
      <c r="E336">
        <v>3</v>
      </c>
      <c r="F336">
        <v>322.12129700000003</v>
      </c>
      <c r="G336">
        <f>IFERROR(F336-'Alt Blanks'!$I$21,F336)</f>
        <v>321.90678790000004</v>
      </c>
      <c r="H336">
        <f t="shared" si="12"/>
        <v>321.90678790000004</v>
      </c>
      <c r="I336">
        <f t="shared" si="11"/>
        <v>160.95339395000002</v>
      </c>
    </row>
    <row r="337" spans="1:9" x14ac:dyDescent="0.35">
      <c r="A337" t="s">
        <v>64</v>
      </c>
      <c r="B337" t="s">
        <v>68</v>
      </c>
      <c r="C337" t="s">
        <v>28</v>
      </c>
      <c r="D337" t="s">
        <v>51</v>
      </c>
      <c r="E337">
        <v>3</v>
      </c>
      <c r="F337">
        <v>28.789515399999999</v>
      </c>
      <c r="G337">
        <f>IFERROR(F337-'Alt Blanks'!$I$22,F337)</f>
        <v>27.194793999999998</v>
      </c>
      <c r="H337">
        <f t="shared" si="12"/>
        <v>27.194793999999998</v>
      </c>
      <c r="I337">
        <f t="shared" si="11"/>
        <v>13.597396999999999</v>
      </c>
    </row>
    <row r="338" spans="1:9" x14ac:dyDescent="0.35">
      <c r="A338" t="s">
        <v>64</v>
      </c>
      <c r="B338" t="s">
        <v>68</v>
      </c>
      <c r="C338" t="s">
        <v>29</v>
      </c>
      <c r="D338" t="s">
        <v>51</v>
      </c>
      <c r="E338">
        <v>3</v>
      </c>
      <c r="F338">
        <v>29.8003447</v>
      </c>
      <c r="G338">
        <f>IFERROR(F338-'Alt Blanks'!$I$23,F338)</f>
        <v>29.679607300000001</v>
      </c>
      <c r="H338">
        <f t="shared" si="12"/>
        <v>29.679607300000001</v>
      </c>
      <c r="I338">
        <f t="shared" si="11"/>
        <v>14.83980365</v>
      </c>
    </row>
    <row r="339" spans="1:9" x14ac:dyDescent="0.35">
      <c r="A339" t="s">
        <v>64</v>
      </c>
      <c r="B339" t="s">
        <v>68</v>
      </c>
      <c r="C339" t="s">
        <v>30</v>
      </c>
      <c r="D339" t="s">
        <v>51</v>
      </c>
      <c r="E339">
        <v>3</v>
      </c>
      <c r="F339">
        <v>19.8518626</v>
      </c>
      <c r="G339">
        <f>IFERROR(F339-'Alt Blanks'!$I$24,F339)</f>
        <v>19.604693000000001</v>
      </c>
      <c r="H339">
        <f t="shared" si="12"/>
        <v>19.604693000000001</v>
      </c>
      <c r="I339">
        <f t="shared" si="11"/>
        <v>9.8023465000000005</v>
      </c>
    </row>
    <row r="340" spans="1:9" x14ac:dyDescent="0.35">
      <c r="A340" t="s">
        <v>64</v>
      </c>
      <c r="B340" t="s">
        <v>68</v>
      </c>
      <c r="C340" t="s">
        <v>31</v>
      </c>
      <c r="D340" t="s">
        <v>51</v>
      </c>
      <c r="E340">
        <v>3</v>
      </c>
      <c r="F340">
        <v>4.6745024000000006</v>
      </c>
      <c r="G340">
        <f>IFERROR(F340-'Alt Blanks'!$I$25,F340)</f>
        <v>4.2022616000000008</v>
      </c>
      <c r="H340">
        <f t="shared" si="12"/>
        <v>4.2022616000000008</v>
      </c>
      <c r="I340">
        <f t="shared" si="11"/>
        <v>2.1011308000000004</v>
      </c>
    </row>
    <row r="341" spans="1:9" x14ac:dyDescent="0.35">
      <c r="A341" t="s">
        <v>64</v>
      </c>
      <c r="B341" t="s">
        <v>68</v>
      </c>
      <c r="C341" t="s">
        <v>32</v>
      </c>
      <c r="D341" t="s">
        <v>51</v>
      </c>
      <c r="E341">
        <v>3</v>
      </c>
      <c r="F341">
        <v>112.97919229999999</v>
      </c>
      <c r="G341">
        <f>IFERROR(F341-'Alt Blanks'!$I$26,F341)</f>
        <v>112.39901599999999</v>
      </c>
      <c r="H341">
        <f t="shared" si="12"/>
        <v>112.39901599999999</v>
      </c>
      <c r="I341">
        <f t="shared" si="11"/>
        <v>56.199507999999994</v>
      </c>
    </row>
    <row r="342" spans="1:9" x14ac:dyDescent="0.35">
      <c r="A342" t="s">
        <v>64</v>
      </c>
      <c r="B342" t="s">
        <v>68</v>
      </c>
      <c r="C342" t="s">
        <v>33</v>
      </c>
      <c r="D342" t="s">
        <v>51</v>
      </c>
      <c r="E342">
        <v>3</v>
      </c>
      <c r="F342" t="e">
        <v>#N/A</v>
      </c>
      <c r="G342" t="e">
        <f>IFERROR(F342-'Alt Blanks'!$I$27,F342)</f>
        <v>#N/A</v>
      </c>
      <c r="H342" t="e">
        <f t="shared" si="12"/>
        <v>#N/A</v>
      </c>
      <c r="I342" t="e">
        <f t="shared" si="11"/>
        <v>#N/A</v>
      </c>
    </row>
    <row r="343" spans="1:9" x14ac:dyDescent="0.35">
      <c r="A343" t="s">
        <v>64</v>
      </c>
      <c r="B343" t="s">
        <v>68</v>
      </c>
      <c r="C343" t="s">
        <v>34</v>
      </c>
      <c r="D343" t="s">
        <v>51</v>
      </c>
      <c r="E343">
        <v>3</v>
      </c>
      <c r="F343">
        <v>0</v>
      </c>
      <c r="G343">
        <f>IFERROR(F343-'Alt Blanks'!$I$28,F343)</f>
        <v>0</v>
      </c>
      <c r="H343">
        <f t="shared" si="12"/>
        <v>0</v>
      </c>
      <c r="I343">
        <f t="shared" si="11"/>
        <v>0</v>
      </c>
    </row>
    <row r="344" spans="1:9" x14ac:dyDescent="0.35">
      <c r="A344" t="s">
        <v>64</v>
      </c>
      <c r="B344" t="s">
        <v>68</v>
      </c>
      <c r="C344" t="s">
        <v>35</v>
      </c>
      <c r="D344" t="s">
        <v>51</v>
      </c>
      <c r="E344">
        <v>3</v>
      </c>
      <c r="F344">
        <v>294.62663040000001</v>
      </c>
      <c r="G344">
        <f>IFERROR(F344-'Alt Blanks'!$I$29,F344)</f>
        <v>294.0150094</v>
      </c>
      <c r="H344">
        <f t="shared" si="12"/>
        <v>294.0150094</v>
      </c>
      <c r="I344">
        <f t="shared" si="11"/>
        <v>147.0075047</v>
      </c>
    </row>
    <row r="345" spans="1:9" x14ac:dyDescent="0.35">
      <c r="A345" t="s">
        <v>64</v>
      </c>
      <c r="B345" t="s">
        <v>68</v>
      </c>
      <c r="C345" t="s">
        <v>36</v>
      </c>
      <c r="D345" t="s">
        <v>51</v>
      </c>
      <c r="E345">
        <v>3</v>
      </c>
      <c r="F345">
        <v>1.5882030999999999</v>
      </c>
      <c r="G345">
        <f>IFERROR(F345-'Alt Blanks'!$I$30,F345)</f>
        <v>1.5882030999999999</v>
      </c>
      <c r="H345">
        <f t="shared" si="12"/>
        <v>1.5882030999999999</v>
      </c>
      <c r="I345">
        <f t="shared" si="11"/>
        <v>0.79410154999999993</v>
      </c>
    </row>
    <row r="346" spans="1:9" x14ac:dyDescent="0.35">
      <c r="A346" t="s">
        <v>64</v>
      </c>
      <c r="B346" t="s">
        <v>68</v>
      </c>
      <c r="C346" t="s">
        <v>37</v>
      </c>
      <c r="D346" t="s">
        <v>51</v>
      </c>
      <c r="E346">
        <v>3</v>
      </c>
      <c r="F346">
        <v>94.496069500000004</v>
      </c>
      <c r="G346">
        <f>IFERROR(F346-'Alt Blanks'!$I$31,F346)</f>
        <v>-7.9585640999999896</v>
      </c>
      <c r="H346">
        <f t="shared" si="12"/>
        <v>0</v>
      </c>
      <c r="I346">
        <f t="shared" si="11"/>
        <v>0</v>
      </c>
    </row>
    <row r="347" spans="1:9" x14ac:dyDescent="0.35">
      <c r="A347" t="s">
        <v>64</v>
      </c>
      <c r="B347" t="s">
        <v>68</v>
      </c>
      <c r="C347" t="s">
        <v>38</v>
      </c>
      <c r="D347" t="s">
        <v>51</v>
      </c>
      <c r="E347">
        <v>3</v>
      </c>
      <c r="F347">
        <v>1.9322348</v>
      </c>
      <c r="G347">
        <f>IFERROR(F347-'Alt Blanks'!$I$32,F347)</f>
        <v>4.6663000000000121E-3</v>
      </c>
      <c r="H347">
        <f t="shared" si="12"/>
        <v>4.6663000000000121E-3</v>
      </c>
      <c r="I347">
        <f t="shared" si="11"/>
        <v>2.3331500000000061E-3</v>
      </c>
    </row>
    <row r="348" spans="1:9" x14ac:dyDescent="0.35">
      <c r="A348" t="s">
        <v>64</v>
      </c>
      <c r="B348" t="s">
        <v>68</v>
      </c>
      <c r="C348" t="s">
        <v>39</v>
      </c>
      <c r="D348" t="s">
        <v>51</v>
      </c>
      <c r="E348">
        <v>3</v>
      </c>
      <c r="F348">
        <v>0.79633739999999997</v>
      </c>
      <c r="G348">
        <f>IFERROR(F348-'Alt Blanks'!$I$33,F348)</f>
        <v>0.79633739999999997</v>
      </c>
      <c r="H348">
        <f t="shared" si="12"/>
        <v>0.79633739999999997</v>
      </c>
      <c r="I348">
        <f t="shared" si="11"/>
        <v>0.39816869999999999</v>
      </c>
    </row>
    <row r="349" spans="1:9" x14ac:dyDescent="0.35">
      <c r="A349" t="s">
        <v>64</v>
      </c>
      <c r="B349" t="s">
        <v>68</v>
      </c>
      <c r="C349" t="s">
        <v>40</v>
      </c>
      <c r="D349" t="s">
        <v>51</v>
      </c>
      <c r="E349">
        <v>3</v>
      </c>
      <c r="F349">
        <v>17.029594799999998</v>
      </c>
      <c r="G349">
        <f>IFERROR(F349-'Alt Blanks'!$I$34,F349)</f>
        <v>17.029594799999998</v>
      </c>
      <c r="H349">
        <f t="shared" si="12"/>
        <v>17.029594799999998</v>
      </c>
      <c r="I349">
        <f t="shared" si="11"/>
        <v>8.5147973999999991</v>
      </c>
    </row>
    <row r="350" spans="1:9" x14ac:dyDescent="0.35">
      <c r="A350" t="s">
        <v>64</v>
      </c>
      <c r="B350" t="s">
        <v>68</v>
      </c>
      <c r="C350" t="s">
        <v>41</v>
      </c>
      <c r="D350" t="s">
        <v>51</v>
      </c>
      <c r="E350">
        <v>3</v>
      </c>
      <c r="F350">
        <v>108.88772870000001</v>
      </c>
      <c r="G350">
        <f>IFERROR(F350-'Alt Blanks'!$I$35,F350)</f>
        <v>108.88772870000001</v>
      </c>
      <c r="H350">
        <f t="shared" si="12"/>
        <v>108.88772870000001</v>
      </c>
      <c r="I350">
        <f t="shared" si="11"/>
        <v>54.443864350000005</v>
      </c>
    </row>
    <row r="351" spans="1:9" x14ac:dyDescent="0.35">
      <c r="A351" t="s">
        <v>64</v>
      </c>
      <c r="B351" t="s">
        <v>68</v>
      </c>
      <c r="C351" t="s">
        <v>42</v>
      </c>
      <c r="D351" t="s">
        <v>51</v>
      </c>
      <c r="E351">
        <v>3</v>
      </c>
      <c r="F351">
        <v>0</v>
      </c>
      <c r="G351">
        <f>IFERROR(F351-'Alt Blanks'!$I$36,F351)</f>
        <v>0</v>
      </c>
      <c r="H351">
        <f t="shared" si="12"/>
        <v>0</v>
      </c>
      <c r="I351">
        <f t="shared" si="11"/>
        <v>0</v>
      </c>
    </row>
    <row r="352" spans="1:9" x14ac:dyDescent="0.35">
      <c r="A352" t="s">
        <v>65</v>
      </c>
      <c r="B352" t="s">
        <v>69</v>
      </c>
      <c r="C352" t="s">
        <v>7</v>
      </c>
      <c r="D352" t="s">
        <v>50</v>
      </c>
      <c r="E352">
        <v>3</v>
      </c>
      <c r="F352">
        <v>7.0501939</v>
      </c>
      <c r="G352">
        <f>IFERROR(F352-'Alt Blanks'!$I$2,F352)</f>
        <v>0.3436527999999992</v>
      </c>
      <c r="H352">
        <f t="shared" si="12"/>
        <v>0.3436527999999992</v>
      </c>
      <c r="I352">
        <f t="shared" si="11"/>
        <v>0.1718263999999996</v>
      </c>
    </row>
    <row r="353" spans="1:9" x14ac:dyDescent="0.35">
      <c r="A353" t="s">
        <v>65</v>
      </c>
      <c r="B353" t="s">
        <v>69</v>
      </c>
      <c r="C353" t="s">
        <v>9</v>
      </c>
      <c r="D353" t="s">
        <v>50</v>
      </c>
      <c r="E353">
        <v>3</v>
      </c>
      <c r="F353">
        <v>4.0526834999999997</v>
      </c>
      <c r="G353">
        <f>IFERROR(F353-'Alt Blanks'!$I$3,F353)</f>
        <v>4.0526834999999997</v>
      </c>
      <c r="H353">
        <f t="shared" si="12"/>
        <v>4.0526834999999997</v>
      </c>
      <c r="I353">
        <f t="shared" si="11"/>
        <v>2.0263417499999998</v>
      </c>
    </row>
    <row r="354" spans="1:9" x14ac:dyDescent="0.35">
      <c r="A354" t="s">
        <v>65</v>
      </c>
      <c r="B354" t="s">
        <v>69</v>
      </c>
      <c r="C354" t="s">
        <v>10</v>
      </c>
      <c r="D354" t="s">
        <v>50</v>
      </c>
      <c r="E354">
        <v>3</v>
      </c>
      <c r="F354">
        <v>0</v>
      </c>
      <c r="G354">
        <f>IFERROR(F354-'Alt Blanks'!$I$4,F354)</f>
        <v>0</v>
      </c>
      <c r="H354">
        <f t="shared" si="12"/>
        <v>0</v>
      </c>
      <c r="I354">
        <f t="shared" si="11"/>
        <v>0</v>
      </c>
    </row>
    <row r="355" spans="1:9" x14ac:dyDescent="0.35">
      <c r="A355" t="s">
        <v>65</v>
      </c>
      <c r="B355" t="s">
        <v>69</v>
      </c>
      <c r="C355" t="s">
        <v>11</v>
      </c>
      <c r="D355" t="s">
        <v>50</v>
      </c>
      <c r="E355">
        <v>3</v>
      </c>
      <c r="F355">
        <v>21.264584200000002</v>
      </c>
      <c r="G355">
        <f>IFERROR(F355-'Alt Blanks'!$I$5,F355)</f>
        <v>21.264584200000002</v>
      </c>
      <c r="H355">
        <f t="shared" si="12"/>
        <v>21.264584200000002</v>
      </c>
      <c r="I355">
        <f t="shared" si="11"/>
        <v>10.632292100000001</v>
      </c>
    </row>
    <row r="356" spans="1:9" x14ac:dyDescent="0.35">
      <c r="A356" t="s">
        <v>65</v>
      </c>
      <c r="B356" t="s">
        <v>69</v>
      </c>
      <c r="C356" t="s">
        <v>12</v>
      </c>
      <c r="D356" t="s">
        <v>50</v>
      </c>
      <c r="E356">
        <v>3</v>
      </c>
      <c r="F356">
        <v>131.61412440000001</v>
      </c>
      <c r="G356">
        <f>IFERROR(F356-'Alt Blanks'!$I$6,F356)</f>
        <v>131.61412440000001</v>
      </c>
      <c r="H356">
        <f t="shared" si="12"/>
        <v>131.61412440000001</v>
      </c>
      <c r="I356">
        <f t="shared" si="11"/>
        <v>65.807062200000004</v>
      </c>
    </row>
    <row r="357" spans="1:9" x14ac:dyDescent="0.35">
      <c r="A357" t="s">
        <v>65</v>
      </c>
      <c r="B357" t="s">
        <v>69</v>
      </c>
      <c r="C357" t="s">
        <v>13</v>
      </c>
      <c r="D357" t="s">
        <v>50</v>
      </c>
      <c r="E357">
        <v>3</v>
      </c>
      <c r="F357">
        <v>398.01737939999998</v>
      </c>
      <c r="G357">
        <f>IFERROR(F357-'Alt Blanks'!$I$7,F357)</f>
        <v>398.01737939999998</v>
      </c>
      <c r="H357">
        <f t="shared" si="12"/>
        <v>398.01737939999998</v>
      </c>
      <c r="I357">
        <f t="shared" si="11"/>
        <v>199.00868969999999</v>
      </c>
    </row>
    <row r="358" spans="1:9" x14ac:dyDescent="0.35">
      <c r="A358" t="s">
        <v>65</v>
      </c>
      <c r="B358" t="s">
        <v>69</v>
      </c>
      <c r="C358" t="s">
        <v>14</v>
      </c>
      <c r="D358" t="s">
        <v>50</v>
      </c>
      <c r="E358">
        <v>3</v>
      </c>
      <c r="F358">
        <v>0</v>
      </c>
      <c r="G358">
        <f>IFERROR(F358-'Alt Blanks'!$I$8,F358)</f>
        <v>0</v>
      </c>
      <c r="H358">
        <f t="shared" si="12"/>
        <v>0</v>
      </c>
      <c r="I358">
        <f t="shared" si="11"/>
        <v>0</v>
      </c>
    </row>
    <row r="359" spans="1:9" x14ac:dyDescent="0.35">
      <c r="A359" t="s">
        <v>65</v>
      </c>
      <c r="B359" t="s">
        <v>69</v>
      </c>
      <c r="C359" t="s">
        <v>15</v>
      </c>
      <c r="D359" t="s">
        <v>50</v>
      </c>
      <c r="E359">
        <v>3</v>
      </c>
      <c r="F359">
        <v>25.339976400000001</v>
      </c>
      <c r="G359">
        <f>IFERROR(F359-'Alt Blanks'!$I$9,F359)</f>
        <v>25.339976400000001</v>
      </c>
      <c r="H359">
        <f t="shared" si="12"/>
        <v>25.339976400000001</v>
      </c>
      <c r="I359">
        <f t="shared" si="11"/>
        <v>12.669988200000001</v>
      </c>
    </row>
    <row r="360" spans="1:9" x14ac:dyDescent="0.35">
      <c r="A360" t="s">
        <v>65</v>
      </c>
      <c r="B360" t="s">
        <v>69</v>
      </c>
      <c r="C360" t="s">
        <v>16</v>
      </c>
      <c r="D360" t="s">
        <v>50</v>
      </c>
      <c r="E360">
        <v>3</v>
      </c>
      <c r="F360">
        <v>0</v>
      </c>
      <c r="G360">
        <f>IFERROR(F360-'Alt Blanks'!$I$10,F360)</f>
        <v>0</v>
      </c>
      <c r="H360">
        <f t="shared" si="12"/>
        <v>0</v>
      </c>
      <c r="I360">
        <f t="shared" si="11"/>
        <v>0</v>
      </c>
    </row>
    <row r="361" spans="1:9" x14ac:dyDescent="0.35">
      <c r="A361" t="s">
        <v>65</v>
      </c>
      <c r="B361" t="s">
        <v>69</v>
      </c>
      <c r="C361" t="s">
        <v>17</v>
      </c>
      <c r="D361" t="s">
        <v>50</v>
      </c>
      <c r="E361">
        <v>3</v>
      </c>
      <c r="F361">
        <v>7138.6245861999996</v>
      </c>
      <c r="G361">
        <f>IFERROR(F361-'Alt Blanks'!$I$11,F361)</f>
        <v>6333.4078964999999</v>
      </c>
      <c r="H361">
        <f t="shared" si="12"/>
        <v>6333.4078964999999</v>
      </c>
      <c r="I361">
        <f t="shared" si="11"/>
        <v>3166.7039482499999</v>
      </c>
    </row>
    <row r="362" spans="1:9" x14ac:dyDescent="0.35">
      <c r="A362" t="s">
        <v>65</v>
      </c>
      <c r="B362" t="s">
        <v>69</v>
      </c>
      <c r="C362" t="s">
        <v>18</v>
      </c>
      <c r="D362" t="s">
        <v>50</v>
      </c>
      <c r="E362">
        <v>3</v>
      </c>
      <c r="F362">
        <v>1252.4399317</v>
      </c>
      <c r="G362">
        <f>IFERROR(F362-'Alt Blanks'!$I$12,F362)</f>
        <v>1252.4399317</v>
      </c>
      <c r="H362">
        <f t="shared" si="12"/>
        <v>1252.4399317</v>
      </c>
      <c r="I362">
        <f t="shared" si="11"/>
        <v>626.21996584999999</v>
      </c>
    </row>
    <row r="363" spans="1:9" x14ac:dyDescent="0.35">
      <c r="A363" t="s">
        <v>65</v>
      </c>
      <c r="B363" t="s">
        <v>69</v>
      </c>
      <c r="C363" t="s">
        <v>19</v>
      </c>
      <c r="D363" t="s">
        <v>50</v>
      </c>
      <c r="E363">
        <v>3</v>
      </c>
      <c r="F363">
        <v>21.1405952</v>
      </c>
      <c r="G363">
        <f>IFERROR(F363-'Alt Blanks'!$I$13,F363)</f>
        <v>20.2878817</v>
      </c>
      <c r="H363">
        <f t="shared" si="12"/>
        <v>20.2878817</v>
      </c>
      <c r="I363">
        <f t="shared" si="11"/>
        <v>10.14394085</v>
      </c>
    </row>
    <row r="364" spans="1:9" x14ac:dyDescent="0.35">
      <c r="A364" t="s">
        <v>65</v>
      </c>
      <c r="B364" t="s">
        <v>69</v>
      </c>
      <c r="C364" t="s">
        <v>20</v>
      </c>
      <c r="D364" t="s">
        <v>50</v>
      </c>
      <c r="E364">
        <v>3</v>
      </c>
      <c r="F364">
        <v>0</v>
      </c>
      <c r="G364">
        <f>IFERROR(F364-'Alt Blanks'!$I$14,F364)</f>
        <v>0</v>
      </c>
      <c r="H364">
        <f t="shared" si="12"/>
        <v>0</v>
      </c>
      <c r="I364">
        <f t="shared" si="11"/>
        <v>0</v>
      </c>
    </row>
    <row r="365" spans="1:9" x14ac:dyDescent="0.35">
      <c r="A365" t="s">
        <v>65</v>
      </c>
      <c r="B365" t="s">
        <v>69</v>
      </c>
      <c r="C365" t="s">
        <v>21</v>
      </c>
      <c r="D365" t="s">
        <v>50</v>
      </c>
      <c r="E365">
        <v>3</v>
      </c>
      <c r="F365">
        <v>469.2919971</v>
      </c>
      <c r="G365">
        <f>IFERROR(F365-'Alt Blanks'!$I$15,F365)</f>
        <v>200.66860000000003</v>
      </c>
      <c r="H365">
        <f t="shared" si="12"/>
        <v>200.66860000000003</v>
      </c>
      <c r="I365">
        <f t="shared" si="11"/>
        <v>100.33430000000001</v>
      </c>
    </row>
    <row r="366" spans="1:9" x14ac:dyDescent="0.35">
      <c r="A366" t="s">
        <v>65</v>
      </c>
      <c r="B366" t="s">
        <v>69</v>
      </c>
      <c r="C366" t="s">
        <v>22</v>
      </c>
      <c r="D366" t="s">
        <v>50</v>
      </c>
      <c r="E366">
        <v>3</v>
      </c>
      <c r="F366">
        <v>2685.9495817000002</v>
      </c>
      <c r="G366">
        <f>IFERROR(F366-'Alt Blanks'!$I$16,F366)</f>
        <v>2667.4836685</v>
      </c>
      <c r="H366">
        <f t="shared" si="12"/>
        <v>2667.4836685</v>
      </c>
      <c r="I366">
        <f t="shared" si="11"/>
        <v>1333.74183425</v>
      </c>
    </row>
    <row r="367" spans="1:9" x14ac:dyDescent="0.35">
      <c r="A367" t="s">
        <v>65</v>
      </c>
      <c r="B367" t="s">
        <v>69</v>
      </c>
      <c r="C367" t="s">
        <v>23</v>
      </c>
      <c r="D367" t="s">
        <v>50</v>
      </c>
      <c r="E367">
        <v>3</v>
      </c>
      <c r="F367">
        <v>0</v>
      </c>
      <c r="G367">
        <f>IFERROR(F367-'Alt Blanks'!$I$17,F367)</f>
        <v>-0.33195340000000001</v>
      </c>
      <c r="H367">
        <f t="shared" si="12"/>
        <v>0</v>
      </c>
      <c r="I367">
        <f t="shared" si="11"/>
        <v>0</v>
      </c>
    </row>
    <row r="368" spans="1:9" x14ac:dyDescent="0.35">
      <c r="A368" t="s">
        <v>65</v>
      </c>
      <c r="B368" t="s">
        <v>69</v>
      </c>
      <c r="C368" t="s">
        <v>24</v>
      </c>
      <c r="D368" t="s">
        <v>50</v>
      </c>
      <c r="E368">
        <v>3</v>
      </c>
      <c r="F368">
        <v>0</v>
      </c>
      <c r="G368">
        <f>IFERROR(F368-'Alt Blanks'!$I$18,F368)</f>
        <v>-6.0034596000000002</v>
      </c>
      <c r="H368">
        <f t="shared" si="12"/>
        <v>0</v>
      </c>
      <c r="I368">
        <f t="shared" si="11"/>
        <v>0</v>
      </c>
    </row>
    <row r="369" spans="1:9" x14ac:dyDescent="0.35">
      <c r="A369" t="s">
        <v>65</v>
      </c>
      <c r="B369" t="s">
        <v>69</v>
      </c>
      <c r="C369" t="s">
        <v>25</v>
      </c>
      <c r="D369" t="s">
        <v>50</v>
      </c>
      <c r="E369">
        <v>3</v>
      </c>
      <c r="F369">
        <v>204.0390471</v>
      </c>
      <c r="G369">
        <f>IFERROR(F369-'Alt Blanks'!$I$19,F369)</f>
        <v>204.0390471</v>
      </c>
      <c r="H369">
        <f t="shared" si="12"/>
        <v>204.0390471</v>
      </c>
      <c r="I369">
        <f t="shared" si="11"/>
        <v>102.01952355</v>
      </c>
    </row>
    <row r="370" spans="1:9" x14ac:dyDescent="0.35">
      <c r="A370" t="s">
        <v>65</v>
      </c>
      <c r="B370" t="s">
        <v>69</v>
      </c>
      <c r="C370" t="s">
        <v>26</v>
      </c>
      <c r="D370" t="s">
        <v>50</v>
      </c>
      <c r="E370">
        <v>3</v>
      </c>
      <c r="F370">
        <v>4129.4039155999999</v>
      </c>
      <c r="G370">
        <f>IFERROR(F370-'Alt Blanks'!$I$20,F370)</f>
        <v>4127.4659401999997</v>
      </c>
      <c r="H370">
        <f t="shared" si="12"/>
        <v>4127.4659401999997</v>
      </c>
      <c r="I370">
        <f t="shared" si="11"/>
        <v>2063.7329700999999</v>
      </c>
    </row>
    <row r="371" spans="1:9" x14ac:dyDescent="0.35">
      <c r="A371" t="s">
        <v>65</v>
      </c>
      <c r="B371" t="s">
        <v>69</v>
      </c>
      <c r="C371" t="s">
        <v>27</v>
      </c>
      <c r="D371" t="s">
        <v>50</v>
      </c>
      <c r="E371">
        <v>3</v>
      </c>
      <c r="F371">
        <v>381.21438460000002</v>
      </c>
      <c r="G371">
        <f>IFERROR(F371-'Alt Blanks'!$I$21,F371)</f>
        <v>380.99987550000003</v>
      </c>
      <c r="H371">
        <f t="shared" si="12"/>
        <v>380.99987550000003</v>
      </c>
      <c r="I371">
        <f t="shared" si="11"/>
        <v>190.49993775000002</v>
      </c>
    </row>
    <row r="372" spans="1:9" x14ac:dyDescent="0.35">
      <c r="A372" t="s">
        <v>65</v>
      </c>
      <c r="B372" t="s">
        <v>69</v>
      </c>
      <c r="C372" t="s">
        <v>28</v>
      </c>
      <c r="D372" t="s">
        <v>50</v>
      </c>
      <c r="E372">
        <v>3</v>
      </c>
      <c r="F372">
        <v>23.186992999999998</v>
      </c>
      <c r="G372">
        <f>IFERROR(F372-'Alt Blanks'!$I$22,F372)</f>
        <v>21.592271599999997</v>
      </c>
      <c r="H372">
        <f t="shared" si="12"/>
        <v>21.592271599999997</v>
      </c>
      <c r="I372">
        <f t="shared" si="11"/>
        <v>10.796135799999998</v>
      </c>
    </row>
    <row r="373" spans="1:9" x14ac:dyDescent="0.35">
      <c r="A373" t="s">
        <v>65</v>
      </c>
      <c r="B373" t="s">
        <v>69</v>
      </c>
      <c r="C373" t="s">
        <v>29</v>
      </c>
      <c r="D373" t="s">
        <v>50</v>
      </c>
      <c r="E373">
        <v>3</v>
      </c>
      <c r="F373">
        <v>38.964142899999999</v>
      </c>
      <c r="G373">
        <f>IFERROR(F373-'Alt Blanks'!$I$23,F373)</f>
        <v>38.843405499999996</v>
      </c>
      <c r="H373">
        <f t="shared" si="12"/>
        <v>38.843405499999996</v>
      </c>
      <c r="I373">
        <f t="shared" si="11"/>
        <v>19.421702749999998</v>
      </c>
    </row>
    <row r="374" spans="1:9" x14ac:dyDescent="0.35">
      <c r="A374" t="s">
        <v>65</v>
      </c>
      <c r="B374" t="s">
        <v>69</v>
      </c>
      <c r="C374" t="s">
        <v>30</v>
      </c>
      <c r="D374" t="s">
        <v>50</v>
      </c>
      <c r="E374">
        <v>3</v>
      </c>
      <c r="F374">
        <v>24.454633000000001</v>
      </c>
      <c r="G374">
        <f>IFERROR(F374-'Alt Blanks'!$I$24,F374)</f>
        <v>24.207463400000002</v>
      </c>
      <c r="H374">
        <f t="shared" si="12"/>
        <v>24.207463400000002</v>
      </c>
      <c r="I374">
        <f t="shared" si="11"/>
        <v>12.103731700000001</v>
      </c>
    </row>
    <row r="375" spans="1:9" x14ac:dyDescent="0.35">
      <c r="A375" t="s">
        <v>65</v>
      </c>
      <c r="B375" t="s">
        <v>69</v>
      </c>
      <c r="C375" t="s">
        <v>31</v>
      </c>
      <c r="D375" t="s">
        <v>50</v>
      </c>
      <c r="E375">
        <v>3</v>
      </c>
      <c r="F375">
        <v>5.5145530999999997</v>
      </c>
      <c r="G375">
        <f>IFERROR(F375-'Alt Blanks'!$I$25,F375)</f>
        <v>5.0423122999999999</v>
      </c>
      <c r="H375">
        <f t="shared" si="12"/>
        <v>5.0423122999999999</v>
      </c>
      <c r="I375">
        <f t="shared" si="11"/>
        <v>2.5211561499999999</v>
      </c>
    </row>
    <row r="376" spans="1:9" x14ac:dyDescent="0.35">
      <c r="A376" t="s">
        <v>65</v>
      </c>
      <c r="B376" t="s">
        <v>69</v>
      </c>
      <c r="C376" t="s">
        <v>32</v>
      </c>
      <c r="D376" t="s">
        <v>50</v>
      </c>
      <c r="E376">
        <v>3</v>
      </c>
      <c r="F376">
        <v>144.3378194</v>
      </c>
      <c r="G376">
        <f>IFERROR(F376-'Alt Blanks'!$I$26,F376)</f>
        <v>143.7576431</v>
      </c>
      <c r="H376">
        <f t="shared" si="12"/>
        <v>143.7576431</v>
      </c>
      <c r="I376">
        <f t="shared" si="11"/>
        <v>71.878821549999998</v>
      </c>
    </row>
    <row r="377" spans="1:9" x14ac:dyDescent="0.35">
      <c r="A377" t="s">
        <v>65</v>
      </c>
      <c r="B377" t="s">
        <v>69</v>
      </c>
      <c r="C377" t="s">
        <v>33</v>
      </c>
      <c r="D377" t="s">
        <v>50</v>
      </c>
      <c r="E377">
        <v>3</v>
      </c>
      <c r="F377">
        <v>3.5786523000000003</v>
      </c>
      <c r="G377">
        <f>IFERROR(F377-'Alt Blanks'!$I$27,F377)</f>
        <v>3.5786523000000003</v>
      </c>
      <c r="H377">
        <f t="shared" si="12"/>
        <v>3.5786523000000003</v>
      </c>
      <c r="I377">
        <f t="shared" si="11"/>
        <v>1.7893261500000002</v>
      </c>
    </row>
    <row r="378" spans="1:9" x14ac:dyDescent="0.35">
      <c r="A378" t="s">
        <v>65</v>
      </c>
      <c r="B378" t="s">
        <v>69</v>
      </c>
      <c r="C378" t="s">
        <v>34</v>
      </c>
      <c r="D378" t="s">
        <v>50</v>
      </c>
      <c r="E378">
        <v>3</v>
      </c>
      <c r="F378">
        <v>0</v>
      </c>
      <c r="G378">
        <f>IFERROR(F378-'Alt Blanks'!$I$28,F378)</f>
        <v>0</v>
      </c>
      <c r="H378">
        <f t="shared" si="12"/>
        <v>0</v>
      </c>
      <c r="I378">
        <f t="shared" si="11"/>
        <v>0</v>
      </c>
    </row>
    <row r="379" spans="1:9" x14ac:dyDescent="0.35">
      <c r="A379" t="s">
        <v>65</v>
      </c>
      <c r="B379" t="s">
        <v>69</v>
      </c>
      <c r="C379" t="s">
        <v>35</v>
      </c>
      <c r="D379" t="s">
        <v>50</v>
      </c>
      <c r="E379">
        <v>3</v>
      </c>
      <c r="F379">
        <v>318.05391889999999</v>
      </c>
      <c r="G379">
        <f>IFERROR(F379-'Alt Blanks'!$I$29,F379)</f>
        <v>317.44229789999997</v>
      </c>
      <c r="H379">
        <f t="shared" si="12"/>
        <v>317.44229789999997</v>
      </c>
      <c r="I379">
        <f t="shared" si="11"/>
        <v>158.72114894999999</v>
      </c>
    </row>
    <row r="380" spans="1:9" x14ac:dyDescent="0.35">
      <c r="A380" t="s">
        <v>65</v>
      </c>
      <c r="B380" t="s">
        <v>69</v>
      </c>
      <c r="C380" t="s">
        <v>36</v>
      </c>
      <c r="D380" t="s">
        <v>50</v>
      </c>
      <c r="E380">
        <v>3</v>
      </c>
      <c r="F380">
        <v>12.035405300000001</v>
      </c>
      <c r="G380">
        <f>IFERROR(F380-'Alt Blanks'!$I$30,F380)</f>
        <v>12.035405300000001</v>
      </c>
      <c r="H380">
        <f t="shared" si="12"/>
        <v>12.035405300000001</v>
      </c>
      <c r="I380">
        <f t="shared" si="11"/>
        <v>6.0177026500000004</v>
      </c>
    </row>
    <row r="381" spans="1:9" x14ac:dyDescent="0.35">
      <c r="A381" t="s">
        <v>65</v>
      </c>
      <c r="B381" t="s">
        <v>69</v>
      </c>
      <c r="C381" t="s">
        <v>37</v>
      </c>
      <c r="D381" t="s">
        <v>50</v>
      </c>
      <c r="E381">
        <v>3</v>
      </c>
      <c r="F381">
        <v>117.986463</v>
      </c>
      <c r="G381">
        <f>IFERROR(F381-'Alt Blanks'!$I$31,F381)</f>
        <v>15.531829400000007</v>
      </c>
      <c r="H381">
        <f t="shared" si="12"/>
        <v>15.531829400000007</v>
      </c>
      <c r="I381">
        <f t="shared" si="11"/>
        <v>7.7659147000000033</v>
      </c>
    </row>
    <row r="382" spans="1:9" x14ac:dyDescent="0.35">
      <c r="A382" t="s">
        <v>65</v>
      </c>
      <c r="B382" t="s">
        <v>69</v>
      </c>
      <c r="C382" t="s">
        <v>38</v>
      </c>
      <c r="D382" t="s">
        <v>50</v>
      </c>
      <c r="E382">
        <v>3</v>
      </c>
      <c r="F382">
        <v>1.9374971999999999</v>
      </c>
      <c r="G382">
        <f>IFERROR(F382-'Alt Blanks'!$I$32,F382)</f>
        <v>9.9286999999999015E-3</v>
      </c>
      <c r="H382">
        <f t="shared" si="12"/>
        <v>9.9286999999999015E-3</v>
      </c>
      <c r="I382">
        <f t="shared" si="11"/>
        <v>4.9643499999999507E-3</v>
      </c>
    </row>
    <row r="383" spans="1:9" x14ac:dyDescent="0.35">
      <c r="A383" t="s">
        <v>65</v>
      </c>
      <c r="B383" t="s">
        <v>69</v>
      </c>
      <c r="C383" t="s">
        <v>39</v>
      </c>
      <c r="D383" t="s">
        <v>50</v>
      </c>
      <c r="E383">
        <v>3</v>
      </c>
      <c r="F383">
        <v>0.83717489999999994</v>
      </c>
      <c r="G383">
        <f>IFERROR(F383-'Alt Blanks'!$I$33,F383)</f>
        <v>0.83717489999999994</v>
      </c>
      <c r="H383">
        <f t="shared" si="12"/>
        <v>0.83717489999999994</v>
      </c>
      <c r="I383">
        <f t="shared" si="11"/>
        <v>0.41858744999999997</v>
      </c>
    </row>
    <row r="384" spans="1:9" x14ac:dyDescent="0.35">
      <c r="A384" t="s">
        <v>65</v>
      </c>
      <c r="B384" t="s">
        <v>69</v>
      </c>
      <c r="C384" t="s">
        <v>40</v>
      </c>
      <c r="D384" t="s">
        <v>50</v>
      </c>
      <c r="E384">
        <v>3</v>
      </c>
      <c r="F384">
        <v>18.683948700000002</v>
      </c>
      <c r="G384">
        <f>IFERROR(F384-'Alt Blanks'!$I$34,F384)</f>
        <v>18.683948700000002</v>
      </c>
      <c r="H384">
        <f t="shared" si="12"/>
        <v>18.683948700000002</v>
      </c>
      <c r="I384">
        <f t="shared" si="11"/>
        <v>9.341974350000001</v>
      </c>
    </row>
    <row r="385" spans="1:9" x14ac:dyDescent="0.35">
      <c r="A385" t="s">
        <v>65</v>
      </c>
      <c r="B385" t="s">
        <v>69</v>
      </c>
      <c r="C385" t="s">
        <v>41</v>
      </c>
      <c r="D385" t="s">
        <v>50</v>
      </c>
      <c r="E385">
        <v>3</v>
      </c>
      <c r="F385">
        <v>136.32512590000002</v>
      </c>
      <c r="G385">
        <f>IFERROR(F385-'Alt Blanks'!$I$35,F385)</f>
        <v>136.32512590000002</v>
      </c>
      <c r="H385">
        <f t="shared" si="12"/>
        <v>136.32512590000002</v>
      </c>
      <c r="I385">
        <f t="shared" si="11"/>
        <v>68.162562950000009</v>
      </c>
    </row>
    <row r="386" spans="1:9" x14ac:dyDescent="0.35">
      <c r="A386" t="s">
        <v>65</v>
      </c>
      <c r="B386" t="s">
        <v>69</v>
      </c>
      <c r="C386" t="s">
        <v>42</v>
      </c>
      <c r="D386" t="s">
        <v>50</v>
      </c>
      <c r="E386">
        <v>3</v>
      </c>
      <c r="F386">
        <v>0</v>
      </c>
      <c r="G386">
        <f>IFERROR(F386-'Alt Blanks'!$I$36,F386)</f>
        <v>0</v>
      </c>
      <c r="H386">
        <f t="shared" si="12"/>
        <v>0</v>
      </c>
      <c r="I386">
        <f t="shared" si="11"/>
        <v>0</v>
      </c>
    </row>
    <row r="387" spans="1:9" x14ac:dyDescent="0.35">
      <c r="A387" t="s">
        <v>66</v>
      </c>
      <c r="B387" t="s">
        <v>70</v>
      </c>
      <c r="C387" t="s">
        <v>7</v>
      </c>
      <c r="D387" t="s">
        <v>54</v>
      </c>
      <c r="E387">
        <v>3</v>
      </c>
      <c r="F387">
        <v>7.0170779000000003</v>
      </c>
      <c r="G387">
        <f>IFERROR(F387-'Alt Blanks'!$I$2,F387)</f>
        <v>0.3105367999999995</v>
      </c>
      <c r="H387">
        <f t="shared" si="12"/>
        <v>0.3105367999999995</v>
      </c>
      <c r="I387">
        <f t="shared" si="11"/>
        <v>0.15526839999999975</v>
      </c>
    </row>
    <row r="388" spans="1:9" x14ac:dyDescent="0.35">
      <c r="A388" t="s">
        <v>66</v>
      </c>
      <c r="B388" t="s">
        <v>70</v>
      </c>
      <c r="C388" t="s">
        <v>9</v>
      </c>
      <c r="D388" t="s">
        <v>54</v>
      </c>
      <c r="E388">
        <v>3</v>
      </c>
      <c r="F388">
        <v>0</v>
      </c>
      <c r="G388">
        <f>IFERROR(F388-'Alt Blanks'!$I$3,F388)</f>
        <v>0</v>
      </c>
      <c r="H388">
        <f t="shared" si="12"/>
        <v>0</v>
      </c>
      <c r="I388">
        <f t="shared" si="11"/>
        <v>0</v>
      </c>
    </row>
    <row r="389" spans="1:9" x14ac:dyDescent="0.35">
      <c r="A389" t="s">
        <v>66</v>
      </c>
      <c r="B389" t="s">
        <v>70</v>
      </c>
      <c r="C389" t="s">
        <v>10</v>
      </c>
      <c r="D389" t="s">
        <v>54</v>
      </c>
      <c r="E389">
        <v>3</v>
      </c>
      <c r="F389" t="e">
        <v>#N/A</v>
      </c>
      <c r="G389" t="e">
        <f>IFERROR(F389-'Alt Blanks'!$I$4,F389)</f>
        <v>#N/A</v>
      </c>
      <c r="H389" t="e">
        <f t="shared" si="12"/>
        <v>#N/A</v>
      </c>
      <c r="I389" t="e">
        <f t="shared" ref="I389:I421" si="13">H389/2</f>
        <v>#N/A</v>
      </c>
    </row>
    <row r="390" spans="1:9" x14ac:dyDescent="0.35">
      <c r="A390" t="s">
        <v>66</v>
      </c>
      <c r="B390" t="s">
        <v>70</v>
      </c>
      <c r="C390" t="s">
        <v>11</v>
      </c>
      <c r="D390" t="s">
        <v>54</v>
      </c>
      <c r="E390">
        <v>3</v>
      </c>
      <c r="F390">
        <v>14.0620326</v>
      </c>
      <c r="G390">
        <f>IFERROR(F390-'Alt Blanks'!$I$5,F390)</f>
        <v>14.0620326</v>
      </c>
      <c r="H390">
        <f t="shared" si="12"/>
        <v>14.0620326</v>
      </c>
      <c r="I390">
        <f t="shared" si="13"/>
        <v>7.0310163000000001</v>
      </c>
    </row>
    <row r="391" spans="1:9" x14ac:dyDescent="0.35">
      <c r="A391" t="s">
        <v>66</v>
      </c>
      <c r="B391" t="s">
        <v>70</v>
      </c>
      <c r="C391" t="s">
        <v>12</v>
      </c>
      <c r="D391" t="s">
        <v>54</v>
      </c>
      <c r="E391">
        <v>3</v>
      </c>
      <c r="F391">
        <v>104.6600483</v>
      </c>
      <c r="G391">
        <f>IFERROR(F391-'Alt Blanks'!$I$6,F391)</f>
        <v>104.6600483</v>
      </c>
      <c r="H391">
        <f t="shared" si="12"/>
        <v>104.6600483</v>
      </c>
      <c r="I391">
        <f t="shared" si="13"/>
        <v>52.33002415</v>
      </c>
    </row>
    <row r="392" spans="1:9" x14ac:dyDescent="0.35">
      <c r="A392" t="s">
        <v>66</v>
      </c>
      <c r="B392" t="s">
        <v>70</v>
      </c>
      <c r="C392" t="s">
        <v>13</v>
      </c>
      <c r="D392" t="s">
        <v>54</v>
      </c>
      <c r="E392">
        <v>3</v>
      </c>
      <c r="F392">
        <v>228.45541059999999</v>
      </c>
      <c r="G392">
        <f>IFERROR(F392-'Alt Blanks'!$I$7,F392)</f>
        <v>228.45541059999999</v>
      </c>
      <c r="H392">
        <f t="shared" si="12"/>
        <v>228.45541059999999</v>
      </c>
      <c r="I392">
        <f t="shared" si="13"/>
        <v>114.2277053</v>
      </c>
    </row>
    <row r="393" spans="1:9" x14ac:dyDescent="0.35">
      <c r="A393" t="s">
        <v>66</v>
      </c>
      <c r="B393" t="s">
        <v>70</v>
      </c>
      <c r="C393" t="s">
        <v>14</v>
      </c>
      <c r="D393" t="s">
        <v>54</v>
      </c>
      <c r="E393">
        <v>3</v>
      </c>
      <c r="F393">
        <v>0</v>
      </c>
      <c r="G393">
        <f>IFERROR(F393-'Alt Blanks'!$I$8,F393)</f>
        <v>0</v>
      </c>
      <c r="H393">
        <f t="shared" ref="H393:H421" si="14">IF(G393&lt;0,0,G393)</f>
        <v>0</v>
      </c>
      <c r="I393">
        <f t="shared" si="13"/>
        <v>0</v>
      </c>
    </row>
    <row r="394" spans="1:9" x14ac:dyDescent="0.35">
      <c r="A394" t="s">
        <v>66</v>
      </c>
      <c r="B394" t="s">
        <v>70</v>
      </c>
      <c r="C394" t="s">
        <v>15</v>
      </c>
      <c r="D394" t="s">
        <v>54</v>
      </c>
      <c r="E394">
        <v>3</v>
      </c>
      <c r="F394">
        <v>18.218656800000002</v>
      </c>
      <c r="G394">
        <f>IFERROR(F394-'Alt Blanks'!$I$9,F394)</f>
        <v>18.218656800000002</v>
      </c>
      <c r="H394">
        <f t="shared" si="14"/>
        <v>18.218656800000002</v>
      </c>
      <c r="I394">
        <f t="shared" si="13"/>
        <v>9.1093284000000008</v>
      </c>
    </row>
    <row r="395" spans="1:9" x14ac:dyDescent="0.35">
      <c r="A395" t="s">
        <v>66</v>
      </c>
      <c r="B395" t="s">
        <v>70</v>
      </c>
      <c r="C395" t="s">
        <v>16</v>
      </c>
      <c r="D395" t="s">
        <v>54</v>
      </c>
      <c r="E395">
        <v>3</v>
      </c>
      <c r="F395">
        <v>3.6164394999999998</v>
      </c>
      <c r="G395">
        <f>IFERROR(F395-'Alt Blanks'!$I$10,F395)</f>
        <v>3.6164394999999998</v>
      </c>
      <c r="H395">
        <f t="shared" si="14"/>
        <v>3.6164394999999998</v>
      </c>
      <c r="I395">
        <f t="shared" si="13"/>
        <v>1.8082197499999999</v>
      </c>
    </row>
    <row r="396" spans="1:9" x14ac:dyDescent="0.35">
      <c r="A396" t="s">
        <v>66</v>
      </c>
      <c r="B396" t="s">
        <v>70</v>
      </c>
      <c r="C396" t="s">
        <v>17</v>
      </c>
      <c r="D396" t="s">
        <v>54</v>
      </c>
      <c r="E396">
        <v>3</v>
      </c>
      <c r="F396">
        <v>7135.8008605000005</v>
      </c>
      <c r="G396">
        <f>IFERROR(F396-'Alt Blanks'!$I$11,F396)</f>
        <v>6330.5841708000007</v>
      </c>
      <c r="H396">
        <f t="shared" si="14"/>
        <v>6330.5841708000007</v>
      </c>
      <c r="I396">
        <f t="shared" si="13"/>
        <v>3165.2920854000004</v>
      </c>
    </row>
    <row r="397" spans="1:9" x14ac:dyDescent="0.35">
      <c r="A397" t="s">
        <v>66</v>
      </c>
      <c r="B397" t="s">
        <v>70</v>
      </c>
      <c r="C397" t="s">
        <v>18</v>
      </c>
      <c r="D397" t="s">
        <v>54</v>
      </c>
      <c r="E397">
        <v>3</v>
      </c>
      <c r="F397">
        <v>672.0782676</v>
      </c>
      <c r="G397">
        <f>IFERROR(F397-'Alt Blanks'!$I$12,F397)</f>
        <v>672.0782676</v>
      </c>
      <c r="H397">
        <f t="shared" si="14"/>
        <v>672.0782676</v>
      </c>
      <c r="I397">
        <f t="shared" si="13"/>
        <v>336.0391338</v>
      </c>
    </row>
    <row r="398" spans="1:9" x14ac:dyDescent="0.35">
      <c r="A398" t="s">
        <v>66</v>
      </c>
      <c r="B398" t="s">
        <v>70</v>
      </c>
      <c r="C398" t="s">
        <v>19</v>
      </c>
      <c r="D398" t="s">
        <v>54</v>
      </c>
      <c r="E398">
        <v>3</v>
      </c>
      <c r="F398">
        <v>34.639676899999998</v>
      </c>
      <c r="G398">
        <f>IFERROR(F398-'Alt Blanks'!$I$13,F398)</f>
        <v>33.786963399999998</v>
      </c>
      <c r="H398">
        <f t="shared" si="14"/>
        <v>33.786963399999998</v>
      </c>
      <c r="I398">
        <f t="shared" si="13"/>
        <v>16.893481699999999</v>
      </c>
    </row>
    <row r="399" spans="1:9" x14ac:dyDescent="0.35">
      <c r="A399" t="s">
        <v>66</v>
      </c>
      <c r="B399" t="s">
        <v>70</v>
      </c>
      <c r="C399" t="s">
        <v>20</v>
      </c>
      <c r="D399" t="s">
        <v>54</v>
      </c>
      <c r="E399">
        <v>3</v>
      </c>
      <c r="F399">
        <v>35.866234600000006</v>
      </c>
      <c r="G399">
        <f>IFERROR(F399-'Alt Blanks'!$I$14,F399)</f>
        <v>35.866234600000006</v>
      </c>
      <c r="H399">
        <f t="shared" si="14"/>
        <v>35.866234600000006</v>
      </c>
      <c r="I399">
        <f t="shared" si="13"/>
        <v>17.933117300000003</v>
      </c>
    </row>
    <row r="400" spans="1:9" x14ac:dyDescent="0.35">
      <c r="A400" t="s">
        <v>66</v>
      </c>
      <c r="B400" t="s">
        <v>70</v>
      </c>
      <c r="C400" t="s">
        <v>21</v>
      </c>
      <c r="D400" t="s">
        <v>54</v>
      </c>
      <c r="E400">
        <v>3</v>
      </c>
      <c r="F400">
        <v>645.73956529999998</v>
      </c>
      <c r="G400">
        <f>IFERROR(F400-'Alt Blanks'!$I$15,F400)</f>
        <v>377.1161682</v>
      </c>
      <c r="H400">
        <f t="shared" si="14"/>
        <v>377.1161682</v>
      </c>
      <c r="I400">
        <f t="shared" si="13"/>
        <v>188.5580841</v>
      </c>
    </row>
    <row r="401" spans="1:9" x14ac:dyDescent="0.35">
      <c r="A401" t="s">
        <v>66</v>
      </c>
      <c r="B401" t="s">
        <v>70</v>
      </c>
      <c r="C401" t="s">
        <v>22</v>
      </c>
      <c r="D401" t="s">
        <v>54</v>
      </c>
      <c r="E401">
        <v>3</v>
      </c>
      <c r="F401">
        <v>2472.5267080999997</v>
      </c>
      <c r="G401">
        <f>IFERROR(F401-'Alt Blanks'!$I$16,F401)</f>
        <v>2454.0607948999996</v>
      </c>
      <c r="H401">
        <f t="shared" si="14"/>
        <v>2454.0607948999996</v>
      </c>
      <c r="I401">
        <f t="shared" si="13"/>
        <v>1227.0303974499998</v>
      </c>
    </row>
    <row r="402" spans="1:9" x14ac:dyDescent="0.35">
      <c r="A402" t="s">
        <v>66</v>
      </c>
      <c r="B402" t="s">
        <v>70</v>
      </c>
      <c r="C402" t="s">
        <v>23</v>
      </c>
      <c r="D402" t="s">
        <v>54</v>
      </c>
      <c r="E402">
        <v>3</v>
      </c>
      <c r="F402">
        <v>3.7790925000000004</v>
      </c>
      <c r="G402">
        <f>IFERROR(F402-'Alt Blanks'!$I$17,F402)</f>
        <v>3.4471391000000002</v>
      </c>
      <c r="H402">
        <f t="shared" si="14"/>
        <v>3.4471391000000002</v>
      </c>
      <c r="I402">
        <f t="shared" si="13"/>
        <v>1.7235695500000001</v>
      </c>
    </row>
    <row r="403" spans="1:9" x14ac:dyDescent="0.35">
      <c r="A403" t="s">
        <v>66</v>
      </c>
      <c r="B403" t="s">
        <v>70</v>
      </c>
      <c r="C403" t="s">
        <v>24</v>
      </c>
      <c r="D403" t="s">
        <v>54</v>
      </c>
      <c r="E403">
        <v>3</v>
      </c>
      <c r="F403">
        <v>2318.1243254000001</v>
      </c>
      <c r="G403">
        <f>IFERROR(F403-'Alt Blanks'!$I$18,F403)</f>
        <v>2312.1208658</v>
      </c>
      <c r="H403">
        <f t="shared" si="14"/>
        <v>2312.1208658</v>
      </c>
      <c r="I403">
        <f t="shared" si="13"/>
        <v>1156.0604329</v>
      </c>
    </row>
    <row r="404" spans="1:9" x14ac:dyDescent="0.35">
      <c r="A404" t="s">
        <v>66</v>
      </c>
      <c r="B404" t="s">
        <v>70</v>
      </c>
      <c r="C404" t="s">
        <v>25</v>
      </c>
      <c r="D404" t="s">
        <v>54</v>
      </c>
      <c r="E404">
        <v>3</v>
      </c>
      <c r="F404">
        <v>0</v>
      </c>
      <c r="G404">
        <f>IFERROR(F404-'Alt Blanks'!$I$19,F404)</f>
        <v>0</v>
      </c>
      <c r="H404">
        <f t="shared" si="14"/>
        <v>0</v>
      </c>
      <c r="I404">
        <f t="shared" si="13"/>
        <v>0</v>
      </c>
    </row>
    <row r="405" spans="1:9" x14ac:dyDescent="0.35">
      <c r="A405" t="s">
        <v>66</v>
      </c>
      <c r="B405" t="s">
        <v>70</v>
      </c>
      <c r="C405" t="s">
        <v>26</v>
      </c>
      <c r="D405" t="s">
        <v>54</v>
      </c>
      <c r="E405">
        <v>3</v>
      </c>
      <c r="F405">
        <v>4662.2390374999995</v>
      </c>
      <c r="G405">
        <f>IFERROR(F405-'Alt Blanks'!$I$20,F405)</f>
        <v>4660.3010620999994</v>
      </c>
      <c r="H405">
        <f t="shared" si="14"/>
        <v>4660.3010620999994</v>
      </c>
      <c r="I405">
        <f t="shared" si="13"/>
        <v>2330.1505310499997</v>
      </c>
    </row>
    <row r="406" spans="1:9" x14ac:dyDescent="0.35">
      <c r="A406" t="s">
        <v>66</v>
      </c>
      <c r="B406" t="s">
        <v>70</v>
      </c>
      <c r="C406" t="s">
        <v>27</v>
      </c>
      <c r="D406" t="s">
        <v>54</v>
      </c>
      <c r="E406">
        <v>3</v>
      </c>
      <c r="F406">
        <v>435.78198220000002</v>
      </c>
      <c r="G406">
        <f>IFERROR(F406-'Alt Blanks'!$I$21,F406)</f>
        <v>435.56747310000003</v>
      </c>
      <c r="H406">
        <f t="shared" si="14"/>
        <v>435.56747310000003</v>
      </c>
      <c r="I406">
        <f t="shared" si="13"/>
        <v>217.78373655000001</v>
      </c>
    </row>
    <row r="407" spans="1:9" x14ac:dyDescent="0.35">
      <c r="A407" t="s">
        <v>66</v>
      </c>
      <c r="B407" t="s">
        <v>70</v>
      </c>
      <c r="C407" t="s">
        <v>28</v>
      </c>
      <c r="D407" t="s">
        <v>54</v>
      </c>
      <c r="E407">
        <v>3</v>
      </c>
      <c r="F407">
        <v>27.809502299999998</v>
      </c>
      <c r="G407">
        <f>IFERROR(F407-'Alt Blanks'!$I$22,F407)</f>
        <v>26.214780899999997</v>
      </c>
      <c r="H407">
        <f t="shared" si="14"/>
        <v>26.214780899999997</v>
      </c>
      <c r="I407">
        <f t="shared" si="13"/>
        <v>13.107390449999999</v>
      </c>
    </row>
    <row r="408" spans="1:9" x14ac:dyDescent="0.35">
      <c r="A408" t="s">
        <v>66</v>
      </c>
      <c r="B408" t="s">
        <v>70</v>
      </c>
      <c r="C408" t="s">
        <v>29</v>
      </c>
      <c r="D408" t="s">
        <v>54</v>
      </c>
      <c r="E408">
        <v>3</v>
      </c>
      <c r="F408">
        <v>40.9244567</v>
      </c>
      <c r="G408">
        <f>IFERROR(F408-'Alt Blanks'!$I$23,F408)</f>
        <v>40.803719299999997</v>
      </c>
      <c r="H408">
        <f t="shared" si="14"/>
        <v>40.803719299999997</v>
      </c>
      <c r="I408">
        <f t="shared" si="13"/>
        <v>20.401859649999999</v>
      </c>
    </row>
    <row r="409" spans="1:9" x14ac:dyDescent="0.35">
      <c r="A409" t="s">
        <v>66</v>
      </c>
      <c r="B409" t="s">
        <v>70</v>
      </c>
      <c r="C409" t="s">
        <v>30</v>
      </c>
      <c r="D409" t="s">
        <v>54</v>
      </c>
      <c r="E409">
        <v>3</v>
      </c>
      <c r="F409">
        <v>11.014297500000001</v>
      </c>
      <c r="G409">
        <f>IFERROR(F409-'Alt Blanks'!$I$24,F409)</f>
        <v>10.767127900000002</v>
      </c>
      <c r="H409">
        <f t="shared" si="14"/>
        <v>10.767127900000002</v>
      </c>
      <c r="I409">
        <f t="shared" si="13"/>
        <v>5.383563950000001</v>
      </c>
    </row>
    <row r="410" spans="1:9" x14ac:dyDescent="0.35">
      <c r="A410" t="s">
        <v>66</v>
      </c>
      <c r="B410" t="s">
        <v>70</v>
      </c>
      <c r="C410" t="s">
        <v>31</v>
      </c>
      <c r="D410" t="s">
        <v>54</v>
      </c>
      <c r="E410">
        <v>3</v>
      </c>
      <c r="F410">
        <v>0.42648540000000001</v>
      </c>
      <c r="G410">
        <f>IFERROR(F410-'Alt Blanks'!$I$25,F410)</f>
        <v>-4.5755399999999946E-2</v>
      </c>
      <c r="H410">
        <f t="shared" si="14"/>
        <v>0</v>
      </c>
      <c r="I410">
        <f t="shared" si="13"/>
        <v>0</v>
      </c>
    </row>
    <row r="411" spans="1:9" x14ac:dyDescent="0.35">
      <c r="A411" t="s">
        <v>66</v>
      </c>
      <c r="B411" t="s">
        <v>70</v>
      </c>
      <c r="C411" t="s">
        <v>32</v>
      </c>
      <c r="D411" t="s">
        <v>54</v>
      </c>
      <c r="E411">
        <v>3</v>
      </c>
      <c r="F411">
        <v>70.756970100000004</v>
      </c>
      <c r="G411">
        <f>IFERROR(F411-'Alt Blanks'!$I$26,F411)</f>
        <v>70.176793799999999</v>
      </c>
      <c r="H411">
        <f t="shared" si="14"/>
        <v>70.176793799999999</v>
      </c>
      <c r="I411">
        <f t="shared" si="13"/>
        <v>35.088396899999999</v>
      </c>
    </row>
    <row r="412" spans="1:9" x14ac:dyDescent="0.35">
      <c r="A412" t="s">
        <v>66</v>
      </c>
      <c r="B412" t="s">
        <v>70</v>
      </c>
      <c r="C412" t="s">
        <v>33</v>
      </c>
      <c r="D412" t="s">
        <v>54</v>
      </c>
      <c r="E412">
        <v>3</v>
      </c>
      <c r="F412">
        <v>3.9305621999999998</v>
      </c>
      <c r="G412">
        <f>IFERROR(F412-'Alt Blanks'!$I$27,F412)</f>
        <v>3.9305621999999998</v>
      </c>
      <c r="H412">
        <f t="shared" si="14"/>
        <v>3.9305621999999998</v>
      </c>
      <c r="I412">
        <f t="shared" si="13"/>
        <v>1.9652810999999999</v>
      </c>
    </row>
    <row r="413" spans="1:9" x14ac:dyDescent="0.35">
      <c r="A413" t="s">
        <v>66</v>
      </c>
      <c r="B413" t="s">
        <v>70</v>
      </c>
      <c r="C413" t="s">
        <v>34</v>
      </c>
      <c r="D413" t="s">
        <v>54</v>
      </c>
      <c r="E413">
        <v>3</v>
      </c>
      <c r="F413">
        <v>0</v>
      </c>
      <c r="G413">
        <f>IFERROR(F413-'Alt Blanks'!$I$28,F413)</f>
        <v>0</v>
      </c>
      <c r="H413">
        <f t="shared" si="14"/>
        <v>0</v>
      </c>
      <c r="I413">
        <f t="shared" si="13"/>
        <v>0</v>
      </c>
    </row>
    <row r="414" spans="1:9" x14ac:dyDescent="0.35">
      <c r="A414" t="s">
        <v>66</v>
      </c>
      <c r="B414" t="s">
        <v>70</v>
      </c>
      <c r="C414" t="s">
        <v>35</v>
      </c>
      <c r="D414" t="s">
        <v>54</v>
      </c>
      <c r="E414">
        <v>3</v>
      </c>
      <c r="F414">
        <v>245.7771328</v>
      </c>
      <c r="G414">
        <f>IFERROR(F414-'Alt Blanks'!$I$29,F414)</f>
        <v>245.16551179999999</v>
      </c>
      <c r="H414">
        <f t="shared" si="14"/>
        <v>245.16551179999999</v>
      </c>
      <c r="I414">
        <f t="shared" si="13"/>
        <v>122.5827559</v>
      </c>
    </row>
    <row r="415" spans="1:9" x14ac:dyDescent="0.35">
      <c r="A415" t="s">
        <v>66</v>
      </c>
      <c r="B415" t="s">
        <v>70</v>
      </c>
      <c r="C415" t="s">
        <v>36</v>
      </c>
      <c r="D415" t="s">
        <v>54</v>
      </c>
      <c r="E415">
        <v>3</v>
      </c>
      <c r="F415">
        <v>8.0548824000000003</v>
      </c>
      <c r="G415">
        <f>IFERROR(F415-'Alt Blanks'!$I$30,F415)</f>
        <v>8.0548824000000003</v>
      </c>
      <c r="H415">
        <f t="shared" si="14"/>
        <v>8.0548824000000003</v>
      </c>
      <c r="I415">
        <f t="shared" si="13"/>
        <v>4.0274412000000002</v>
      </c>
    </row>
    <row r="416" spans="1:9" x14ac:dyDescent="0.35">
      <c r="A416" t="s">
        <v>66</v>
      </c>
      <c r="B416" t="s">
        <v>70</v>
      </c>
      <c r="C416" t="s">
        <v>37</v>
      </c>
      <c r="D416" t="s">
        <v>54</v>
      </c>
      <c r="E416">
        <v>3</v>
      </c>
      <c r="F416">
        <v>156.79440289999999</v>
      </c>
      <c r="G416">
        <f>IFERROR(F416-'Alt Blanks'!$I$31,F416)</f>
        <v>54.3397693</v>
      </c>
      <c r="H416">
        <f t="shared" si="14"/>
        <v>54.3397693</v>
      </c>
      <c r="I416">
        <f t="shared" si="13"/>
        <v>27.16988465</v>
      </c>
    </row>
    <row r="417" spans="1:9" x14ac:dyDescent="0.35">
      <c r="A417" t="s">
        <v>66</v>
      </c>
      <c r="B417" t="s">
        <v>70</v>
      </c>
      <c r="C417" t="s">
        <v>38</v>
      </c>
      <c r="D417" t="s">
        <v>54</v>
      </c>
      <c r="E417">
        <v>3</v>
      </c>
      <c r="F417">
        <v>1.9360178000000001</v>
      </c>
      <c r="G417">
        <f>IFERROR(F417-'Alt Blanks'!$I$32,F417)</f>
        <v>8.4493000000001039E-3</v>
      </c>
      <c r="H417">
        <f t="shared" si="14"/>
        <v>8.4493000000001039E-3</v>
      </c>
      <c r="I417">
        <f t="shared" si="13"/>
        <v>4.224650000000052E-3</v>
      </c>
    </row>
    <row r="418" spans="1:9" x14ac:dyDescent="0.35">
      <c r="A418" t="s">
        <v>66</v>
      </c>
      <c r="B418" t="s">
        <v>70</v>
      </c>
      <c r="C418" t="s">
        <v>39</v>
      </c>
      <c r="D418" t="s">
        <v>54</v>
      </c>
      <c r="E418">
        <v>3</v>
      </c>
      <c r="F418">
        <v>0.1548988</v>
      </c>
      <c r="G418">
        <f>IFERROR(F418-'Alt Blanks'!$I$33,F418)</f>
        <v>0.1548988</v>
      </c>
      <c r="H418">
        <f t="shared" si="14"/>
        <v>0.1548988</v>
      </c>
      <c r="I418">
        <f t="shared" si="13"/>
        <v>7.7449400000000002E-2</v>
      </c>
    </row>
    <row r="419" spans="1:9" x14ac:dyDescent="0.35">
      <c r="A419" t="s">
        <v>66</v>
      </c>
      <c r="B419" t="s">
        <v>70</v>
      </c>
      <c r="C419" t="s">
        <v>40</v>
      </c>
      <c r="D419" t="s">
        <v>54</v>
      </c>
      <c r="E419">
        <v>3</v>
      </c>
      <c r="F419">
        <v>12.651214099999999</v>
      </c>
      <c r="G419">
        <f>IFERROR(F419-'Alt Blanks'!$I$34,F419)</f>
        <v>12.651214099999999</v>
      </c>
      <c r="H419">
        <f t="shared" si="14"/>
        <v>12.651214099999999</v>
      </c>
      <c r="I419">
        <f t="shared" si="13"/>
        <v>6.3256070499999995</v>
      </c>
    </row>
    <row r="420" spans="1:9" x14ac:dyDescent="0.35">
      <c r="A420" t="s">
        <v>66</v>
      </c>
      <c r="B420" t="s">
        <v>70</v>
      </c>
      <c r="C420" t="s">
        <v>41</v>
      </c>
      <c r="D420" t="s">
        <v>54</v>
      </c>
      <c r="E420">
        <v>3</v>
      </c>
      <c r="F420">
        <v>151.0980055</v>
      </c>
      <c r="G420">
        <f>IFERROR(F420-'Alt Blanks'!$I$35,F420)</f>
        <v>151.0980055</v>
      </c>
      <c r="H420">
        <f t="shared" si="14"/>
        <v>151.0980055</v>
      </c>
      <c r="I420">
        <f t="shared" si="13"/>
        <v>75.54900275</v>
      </c>
    </row>
    <row r="421" spans="1:9" x14ac:dyDescent="0.35">
      <c r="A421" t="s">
        <v>66</v>
      </c>
      <c r="B421" t="s">
        <v>70</v>
      </c>
      <c r="C421" t="s">
        <v>42</v>
      </c>
      <c r="D421" t="s">
        <v>54</v>
      </c>
      <c r="E421">
        <v>3</v>
      </c>
      <c r="F421">
        <v>0</v>
      </c>
      <c r="G421">
        <f>IFERROR(F421-'Alt Blanks'!$I$36,F421)</f>
        <v>0</v>
      </c>
      <c r="H421">
        <f t="shared" si="14"/>
        <v>0</v>
      </c>
      <c r="I421">
        <f t="shared" si="13"/>
        <v>0</v>
      </c>
    </row>
  </sheetData>
  <autoFilter ref="A1:L421" xr:uid="{38A85E16-E609-4CF4-9CBC-2265370A3C75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B930-4F1D-439A-B385-A98FE98F761F}">
  <dimension ref="A1:I106"/>
  <sheetViews>
    <sheetView workbookViewId="0">
      <selection activeCell="K27" sqref="K27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5"/>
      <c r="I1" s="5" t="s">
        <v>73</v>
      </c>
    </row>
    <row r="2" spans="1:9" x14ac:dyDescent="0.35">
      <c r="A2" t="s">
        <v>74</v>
      </c>
      <c r="C2" t="s">
        <v>7</v>
      </c>
      <c r="F2">
        <v>6.7065411000000008</v>
      </c>
      <c r="H2" s="5" t="s">
        <v>7</v>
      </c>
      <c r="I2" s="5">
        <v>6.7065411000000008</v>
      </c>
    </row>
    <row r="3" spans="1:9" x14ac:dyDescent="0.35">
      <c r="A3" t="s">
        <v>74</v>
      </c>
      <c r="C3" t="s">
        <v>9</v>
      </c>
      <c r="F3">
        <v>4.5137454999999997</v>
      </c>
      <c r="H3" s="5" t="s">
        <v>9</v>
      </c>
      <c r="I3" s="5">
        <v>0</v>
      </c>
    </row>
    <row r="4" spans="1:9" x14ac:dyDescent="0.35">
      <c r="A4" t="s">
        <v>74</v>
      </c>
      <c r="C4" t="s">
        <v>10</v>
      </c>
      <c r="F4">
        <v>0.56057370000000006</v>
      </c>
      <c r="H4" s="5" t="s">
        <v>10</v>
      </c>
      <c r="I4" s="5">
        <v>0</v>
      </c>
    </row>
    <row r="5" spans="1:9" x14ac:dyDescent="0.35">
      <c r="A5" t="s">
        <v>74</v>
      </c>
      <c r="C5" t="s">
        <v>11</v>
      </c>
      <c r="F5">
        <v>16.0796074</v>
      </c>
      <c r="H5" s="5" t="s">
        <v>11</v>
      </c>
      <c r="I5" s="5">
        <v>0</v>
      </c>
    </row>
    <row r="6" spans="1:9" x14ac:dyDescent="0.35">
      <c r="A6" t="s">
        <v>74</v>
      </c>
      <c r="C6" t="s">
        <v>12</v>
      </c>
      <c r="F6">
        <v>104.06351609999999</v>
      </c>
      <c r="H6" s="5" t="s">
        <v>12</v>
      </c>
      <c r="I6" s="5">
        <v>0</v>
      </c>
    </row>
    <row r="7" spans="1:9" x14ac:dyDescent="0.35">
      <c r="A7" t="s">
        <v>74</v>
      </c>
      <c r="C7" t="s">
        <v>13</v>
      </c>
      <c r="F7">
        <v>28.730075299999999</v>
      </c>
      <c r="H7" s="5" t="s">
        <v>13</v>
      </c>
      <c r="I7" s="5">
        <v>0</v>
      </c>
    </row>
    <row r="8" spans="1:9" x14ac:dyDescent="0.35">
      <c r="A8" t="s">
        <v>74</v>
      </c>
      <c r="C8" t="s">
        <v>14</v>
      </c>
      <c r="F8">
        <v>0</v>
      </c>
      <c r="H8" s="5" t="s">
        <v>14</v>
      </c>
      <c r="I8" s="5">
        <v>0</v>
      </c>
    </row>
    <row r="9" spans="1:9" x14ac:dyDescent="0.35">
      <c r="A9" t="s">
        <v>74</v>
      </c>
      <c r="C9" t="s">
        <v>15</v>
      </c>
      <c r="F9">
        <v>6.5478559999999995</v>
      </c>
      <c r="H9" s="5" t="s">
        <v>15</v>
      </c>
      <c r="I9" s="5">
        <v>0</v>
      </c>
    </row>
    <row r="10" spans="1:9" x14ac:dyDescent="0.35">
      <c r="A10" t="s">
        <v>74</v>
      </c>
      <c r="C10" t="s">
        <v>16</v>
      </c>
      <c r="F10">
        <v>0</v>
      </c>
      <c r="H10" s="5" t="s">
        <v>16</v>
      </c>
      <c r="I10" s="5">
        <v>0</v>
      </c>
    </row>
    <row r="11" spans="1:9" x14ac:dyDescent="0.35">
      <c r="A11" t="s">
        <v>74</v>
      </c>
      <c r="C11" t="s">
        <v>17</v>
      </c>
      <c r="F11">
        <v>1489.3189308999999</v>
      </c>
      <c r="H11" s="5" t="s">
        <v>17</v>
      </c>
      <c r="I11" s="5">
        <v>805.21668969999996</v>
      </c>
    </row>
    <row r="12" spans="1:9" x14ac:dyDescent="0.35">
      <c r="A12" t="s">
        <v>74</v>
      </c>
      <c r="C12" t="s">
        <v>18</v>
      </c>
      <c r="F12">
        <v>0</v>
      </c>
      <c r="H12" s="5" t="s">
        <v>18</v>
      </c>
      <c r="I12" s="5">
        <v>0</v>
      </c>
    </row>
    <row r="13" spans="1:9" x14ac:dyDescent="0.35">
      <c r="A13" t="s">
        <v>74</v>
      </c>
      <c r="C13" t="s">
        <v>19</v>
      </c>
      <c r="F13">
        <v>3.3850266000000002</v>
      </c>
      <c r="H13" s="5" t="s">
        <v>19</v>
      </c>
      <c r="I13" s="5">
        <v>0.8527134999999999</v>
      </c>
    </row>
    <row r="14" spans="1:9" x14ac:dyDescent="0.35">
      <c r="A14" t="s">
        <v>74</v>
      </c>
      <c r="C14" t="s">
        <v>20</v>
      </c>
      <c r="F14" t="s">
        <v>75</v>
      </c>
      <c r="H14" s="5" t="s">
        <v>20</v>
      </c>
      <c r="I14" s="5">
        <v>0</v>
      </c>
    </row>
    <row r="15" spans="1:9" x14ac:dyDescent="0.35">
      <c r="A15" t="s">
        <v>74</v>
      </c>
      <c r="C15" t="s">
        <v>21</v>
      </c>
      <c r="F15">
        <v>448.6346413</v>
      </c>
      <c r="H15" s="5" t="s">
        <v>21</v>
      </c>
      <c r="I15" s="5">
        <v>268.62339709999998</v>
      </c>
    </row>
    <row r="16" spans="1:9" x14ac:dyDescent="0.35">
      <c r="A16" t="s">
        <v>74</v>
      </c>
      <c r="C16" t="s">
        <v>22</v>
      </c>
      <c r="F16">
        <v>16.423911700000001</v>
      </c>
      <c r="H16" s="5" t="s">
        <v>22</v>
      </c>
      <c r="I16" s="5">
        <v>18.465913199999999</v>
      </c>
    </row>
    <row r="17" spans="1:9" x14ac:dyDescent="0.35">
      <c r="A17" t="s">
        <v>74</v>
      </c>
      <c r="C17" t="s">
        <v>23</v>
      </c>
      <c r="F17">
        <v>0.33195340000000001</v>
      </c>
      <c r="H17" s="5" t="s">
        <v>23</v>
      </c>
      <c r="I17" s="5">
        <v>0.33195340000000001</v>
      </c>
    </row>
    <row r="18" spans="1:9" x14ac:dyDescent="0.35">
      <c r="A18" t="s">
        <v>74</v>
      </c>
      <c r="C18" t="s">
        <v>24</v>
      </c>
      <c r="F18">
        <v>6.0034596000000002</v>
      </c>
      <c r="H18" s="5" t="s">
        <v>24</v>
      </c>
      <c r="I18" s="5">
        <v>6.0034596000000002</v>
      </c>
    </row>
    <row r="19" spans="1:9" x14ac:dyDescent="0.35">
      <c r="A19" t="s">
        <v>74</v>
      </c>
      <c r="C19" t="s">
        <v>25</v>
      </c>
      <c r="F19">
        <v>0</v>
      </c>
      <c r="H19" s="5" t="s">
        <v>25</v>
      </c>
      <c r="I19" s="5">
        <v>0</v>
      </c>
    </row>
    <row r="20" spans="1:9" x14ac:dyDescent="0.35">
      <c r="A20" t="s">
        <v>74</v>
      </c>
      <c r="C20" t="s">
        <v>26</v>
      </c>
      <c r="F20">
        <v>1.9379754</v>
      </c>
      <c r="H20" s="5" t="s">
        <v>26</v>
      </c>
      <c r="I20" s="5">
        <v>1.9379754</v>
      </c>
    </row>
    <row r="21" spans="1:9" x14ac:dyDescent="0.35">
      <c r="A21" t="s">
        <v>74</v>
      </c>
      <c r="C21" t="s">
        <v>27</v>
      </c>
      <c r="F21">
        <v>0.21450909999999998</v>
      </c>
      <c r="H21" s="5" t="s">
        <v>27</v>
      </c>
      <c r="I21" s="5">
        <v>0.21450909999999998</v>
      </c>
    </row>
    <row r="22" spans="1:9" x14ac:dyDescent="0.35">
      <c r="A22" t="s">
        <v>74</v>
      </c>
      <c r="C22" t="s">
        <v>28</v>
      </c>
      <c r="F22">
        <v>8.7528489999999994</v>
      </c>
      <c r="H22" s="5" t="s">
        <v>28</v>
      </c>
      <c r="I22" s="5">
        <v>1.5947213999999998</v>
      </c>
    </row>
    <row r="23" spans="1:9" x14ac:dyDescent="0.35">
      <c r="A23" t="s">
        <v>74</v>
      </c>
      <c r="C23" t="s">
        <v>29</v>
      </c>
      <c r="F23">
        <v>0.14937790000000001</v>
      </c>
      <c r="H23" s="5" t="s">
        <v>29</v>
      </c>
      <c r="I23" s="5">
        <v>0.12073739999999999</v>
      </c>
    </row>
    <row r="24" spans="1:9" x14ac:dyDescent="0.35">
      <c r="A24" t="s">
        <v>74</v>
      </c>
      <c r="C24" t="s">
        <v>30</v>
      </c>
      <c r="F24">
        <v>0.24374760000000001</v>
      </c>
      <c r="H24" s="5" t="s">
        <v>30</v>
      </c>
      <c r="I24" s="5">
        <v>0.24716959999999999</v>
      </c>
    </row>
    <row r="25" spans="1:9" x14ac:dyDescent="0.35">
      <c r="A25" t="s">
        <v>74</v>
      </c>
      <c r="C25" t="s">
        <v>31</v>
      </c>
      <c r="F25">
        <v>0.4401581</v>
      </c>
      <c r="H25" s="5" t="s">
        <v>31</v>
      </c>
      <c r="I25" s="5">
        <v>0.47224079999999996</v>
      </c>
    </row>
    <row r="26" spans="1:9" x14ac:dyDescent="0.35">
      <c r="A26" t="s">
        <v>74</v>
      </c>
      <c r="C26" t="s">
        <v>32</v>
      </c>
      <c r="F26">
        <v>0.58017629999999998</v>
      </c>
      <c r="H26" s="5" t="s">
        <v>32</v>
      </c>
      <c r="I26" s="5">
        <v>0.58017629999999998</v>
      </c>
    </row>
    <row r="27" spans="1:9" x14ac:dyDescent="0.35">
      <c r="A27" t="s">
        <v>74</v>
      </c>
      <c r="C27" t="s">
        <v>33</v>
      </c>
      <c r="F27" t="s">
        <v>75</v>
      </c>
      <c r="H27" s="5" t="s">
        <v>33</v>
      </c>
      <c r="I27" s="5" t="e">
        <v>#N/A</v>
      </c>
    </row>
    <row r="28" spans="1:9" x14ac:dyDescent="0.35">
      <c r="A28" t="s">
        <v>74</v>
      </c>
      <c r="C28" t="s">
        <v>34</v>
      </c>
      <c r="F28">
        <v>7.5239999999999997E-4</v>
      </c>
      <c r="H28" s="5" t="s">
        <v>34</v>
      </c>
      <c r="I28" s="5">
        <v>0</v>
      </c>
    </row>
    <row r="29" spans="1:9" x14ac:dyDescent="0.35">
      <c r="A29" t="s">
        <v>74</v>
      </c>
      <c r="C29" t="s">
        <v>35</v>
      </c>
      <c r="F29">
        <v>0.535825</v>
      </c>
      <c r="H29" s="5" t="s">
        <v>35</v>
      </c>
      <c r="I29" s="5">
        <v>0.61162099999999997</v>
      </c>
    </row>
    <row r="30" spans="1:9" x14ac:dyDescent="0.35">
      <c r="A30" t="s">
        <v>74</v>
      </c>
      <c r="C30" t="s">
        <v>36</v>
      </c>
      <c r="F30">
        <v>0</v>
      </c>
      <c r="H30" s="5" t="s">
        <v>36</v>
      </c>
      <c r="I30" s="5">
        <v>0</v>
      </c>
    </row>
    <row r="31" spans="1:9" x14ac:dyDescent="0.35">
      <c r="A31" t="s">
        <v>74</v>
      </c>
      <c r="C31" t="s">
        <v>37</v>
      </c>
      <c r="F31">
        <v>165.91263119999999</v>
      </c>
      <c r="H31" s="5" t="s">
        <v>37</v>
      </c>
      <c r="I31" s="5">
        <v>102.45463359999999</v>
      </c>
    </row>
    <row r="32" spans="1:9" x14ac:dyDescent="0.35">
      <c r="A32" t="s">
        <v>74</v>
      </c>
      <c r="C32" t="s">
        <v>38</v>
      </c>
      <c r="F32">
        <v>1.9244386999999998</v>
      </c>
      <c r="H32" s="5" t="s">
        <v>38</v>
      </c>
      <c r="I32" s="5">
        <v>1.9275685</v>
      </c>
    </row>
    <row r="33" spans="1:9" x14ac:dyDescent="0.35">
      <c r="A33" t="s">
        <v>74</v>
      </c>
      <c r="C33" t="s">
        <v>39</v>
      </c>
      <c r="F33">
        <v>0</v>
      </c>
      <c r="H33" s="5" t="s">
        <v>39</v>
      </c>
      <c r="I33" s="5">
        <v>0</v>
      </c>
    </row>
    <row r="34" spans="1:9" x14ac:dyDescent="0.35">
      <c r="A34" t="s">
        <v>74</v>
      </c>
      <c r="C34" t="s">
        <v>40</v>
      </c>
      <c r="F34">
        <v>0</v>
      </c>
      <c r="H34" s="5" t="s">
        <v>40</v>
      </c>
      <c r="I34" s="5">
        <v>0</v>
      </c>
    </row>
    <row r="35" spans="1:9" x14ac:dyDescent="0.35">
      <c r="A35" t="s">
        <v>74</v>
      </c>
      <c r="C35" t="s">
        <v>41</v>
      </c>
      <c r="F35">
        <v>6.9332250999999996</v>
      </c>
      <c r="H35" s="5" t="s">
        <v>41</v>
      </c>
      <c r="I35" s="5">
        <v>0</v>
      </c>
    </row>
    <row r="36" spans="1:9" x14ac:dyDescent="0.35">
      <c r="A36" t="s">
        <v>74</v>
      </c>
      <c r="C36" t="s">
        <v>42</v>
      </c>
      <c r="F36">
        <v>0</v>
      </c>
      <c r="H36" s="5" t="s">
        <v>42</v>
      </c>
      <c r="I36" s="5">
        <v>0</v>
      </c>
    </row>
    <row r="37" spans="1:9" x14ac:dyDescent="0.35">
      <c r="A37" t="s">
        <v>76</v>
      </c>
      <c r="C37" t="s">
        <v>7</v>
      </c>
      <c r="F37">
        <v>6.7179712</v>
      </c>
    </row>
    <row r="38" spans="1:9" x14ac:dyDescent="0.35">
      <c r="A38" t="s">
        <v>76</v>
      </c>
      <c r="C38" t="s">
        <v>9</v>
      </c>
      <c r="F38">
        <v>0</v>
      </c>
    </row>
    <row r="39" spans="1:9" x14ac:dyDescent="0.35">
      <c r="A39" t="s">
        <v>76</v>
      </c>
      <c r="C39" t="s">
        <v>10</v>
      </c>
      <c r="F39">
        <v>0</v>
      </c>
    </row>
    <row r="40" spans="1:9" x14ac:dyDescent="0.35">
      <c r="A40" t="s">
        <v>76</v>
      </c>
      <c r="C40" t="s">
        <v>11</v>
      </c>
      <c r="F40">
        <v>0</v>
      </c>
    </row>
    <row r="41" spans="1:9" x14ac:dyDescent="0.35">
      <c r="A41" t="s">
        <v>76</v>
      </c>
      <c r="C41" t="s">
        <v>12</v>
      </c>
      <c r="F41">
        <v>0</v>
      </c>
    </row>
    <row r="42" spans="1:9" x14ac:dyDescent="0.35">
      <c r="A42" t="s">
        <v>76</v>
      </c>
      <c r="C42" t="s">
        <v>13</v>
      </c>
      <c r="F42">
        <v>0</v>
      </c>
    </row>
    <row r="43" spans="1:9" x14ac:dyDescent="0.35">
      <c r="A43" t="s">
        <v>76</v>
      </c>
      <c r="C43" t="s">
        <v>14</v>
      </c>
      <c r="F43">
        <v>0</v>
      </c>
    </row>
    <row r="44" spans="1:9" x14ac:dyDescent="0.35">
      <c r="A44" t="s">
        <v>76</v>
      </c>
      <c r="C44" t="s">
        <v>15</v>
      </c>
      <c r="F44">
        <v>0</v>
      </c>
    </row>
    <row r="45" spans="1:9" x14ac:dyDescent="0.35">
      <c r="A45" t="s">
        <v>76</v>
      </c>
      <c r="C45" t="s">
        <v>16</v>
      </c>
      <c r="F45">
        <v>0</v>
      </c>
    </row>
    <row r="46" spans="1:9" x14ac:dyDescent="0.35">
      <c r="A46" t="s">
        <v>76</v>
      </c>
      <c r="C46" t="s">
        <v>17</v>
      </c>
      <c r="F46">
        <v>724.14679680000006</v>
      </c>
    </row>
    <row r="47" spans="1:9" x14ac:dyDescent="0.35">
      <c r="A47" t="s">
        <v>76</v>
      </c>
      <c r="C47" t="s">
        <v>18</v>
      </c>
      <c r="F47">
        <v>12.660918299999999</v>
      </c>
    </row>
    <row r="48" spans="1:9" x14ac:dyDescent="0.35">
      <c r="A48" t="s">
        <v>76</v>
      </c>
      <c r="C48" t="s">
        <v>19</v>
      </c>
      <c r="F48">
        <v>0.76429809999999998</v>
      </c>
    </row>
    <row r="49" spans="1:6" x14ac:dyDescent="0.35">
      <c r="A49" t="s">
        <v>76</v>
      </c>
      <c r="C49" t="s">
        <v>20</v>
      </c>
      <c r="F49">
        <v>0</v>
      </c>
    </row>
    <row r="50" spans="1:6" x14ac:dyDescent="0.35">
      <c r="A50" t="s">
        <v>76</v>
      </c>
      <c r="C50" t="s">
        <v>21</v>
      </c>
      <c r="F50">
        <v>252.38966529999999</v>
      </c>
    </row>
    <row r="51" spans="1:6" x14ac:dyDescent="0.35">
      <c r="A51" t="s">
        <v>76</v>
      </c>
      <c r="C51" t="s">
        <v>22</v>
      </c>
      <c r="F51">
        <v>37.959586399999999</v>
      </c>
    </row>
    <row r="52" spans="1:6" x14ac:dyDescent="0.35">
      <c r="A52" t="s">
        <v>76</v>
      </c>
      <c r="C52" t="s">
        <v>23</v>
      </c>
      <c r="F52">
        <v>0.31427690000000003</v>
      </c>
    </row>
    <row r="53" spans="1:6" x14ac:dyDescent="0.35">
      <c r="A53" t="s">
        <v>76</v>
      </c>
      <c r="C53" t="s">
        <v>24</v>
      </c>
      <c r="F53">
        <v>12.344928700000001</v>
      </c>
    </row>
    <row r="54" spans="1:6" x14ac:dyDescent="0.35">
      <c r="A54" t="s">
        <v>76</v>
      </c>
      <c r="C54" t="s">
        <v>25</v>
      </c>
      <c r="F54">
        <v>2.9613299999999999E-2</v>
      </c>
    </row>
    <row r="55" spans="1:6" x14ac:dyDescent="0.35">
      <c r="A55" t="s">
        <v>76</v>
      </c>
      <c r="C55" t="s">
        <v>26</v>
      </c>
      <c r="F55">
        <v>2.0167388000000002</v>
      </c>
    </row>
    <row r="56" spans="1:6" x14ac:dyDescent="0.35">
      <c r="A56" t="s">
        <v>76</v>
      </c>
      <c r="C56" t="s">
        <v>27</v>
      </c>
      <c r="F56">
        <v>0.32107799999999997</v>
      </c>
    </row>
    <row r="57" spans="1:6" x14ac:dyDescent="0.35">
      <c r="A57" t="s">
        <v>76</v>
      </c>
      <c r="C57" t="s">
        <v>28</v>
      </c>
      <c r="F57">
        <v>1.5310637999999999</v>
      </c>
    </row>
    <row r="58" spans="1:6" x14ac:dyDescent="0.35">
      <c r="A58" t="s">
        <v>76</v>
      </c>
      <c r="C58" t="s">
        <v>29</v>
      </c>
      <c r="F58">
        <v>0.12073739999999999</v>
      </c>
    </row>
    <row r="59" spans="1:6" x14ac:dyDescent="0.35">
      <c r="A59" t="s">
        <v>76</v>
      </c>
      <c r="C59" t="s">
        <v>30</v>
      </c>
      <c r="F59">
        <v>0.24716959999999999</v>
      </c>
    </row>
    <row r="60" spans="1:6" x14ac:dyDescent="0.35">
      <c r="A60" t="s">
        <v>76</v>
      </c>
      <c r="C60" t="s">
        <v>31</v>
      </c>
      <c r="F60">
        <v>0.47375009999999995</v>
      </c>
    </row>
    <row r="61" spans="1:6" x14ac:dyDescent="0.35">
      <c r="A61" t="s">
        <v>76</v>
      </c>
      <c r="C61" t="s">
        <v>32</v>
      </c>
      <c r="F61">
        <v>10.539918200000001</v>
      </c>
    </row>
    <row r="62" spans="1:6" x14ac:dyDescent="0.35">
      <c r="A62" t="s">
        <v>76</v>
      </c>
      <c r="C62" t="s">
        <v>33</v>
      </c>
      <c r="F62" t="s">
        <v>75</v>
      </c>
    </row>
    <row r="63" spans="1:6" x14ac:dyDescent="0.35">
      <c r="A63" t="s">
        <v>76</v>
      </c>
      <c r="C63" t="s">
        <v>34</v>
      </c>
      <c r="F63">
        <v>0</v>
      </c>
    </row>
    <row r="64" spans="1:6" x14ac:dyDescent="0.35">
      <c r="A64" t="s">
        <v>76</v>
      </c>
      <c r="C64" t="s">
        <v>35</v>
      </c>
      <c r="F64">
        <v>13.649474700000001</v>
      </c>
    </row>
    <row r="65" spans="1:6" x14ac:dyDescent="0.35">
      <c r="A65" t="s">
        <v>76</v>
      </c>
      <c r="C65" t="s">
        <v>36</v>
      </c>
      <c r="F65">
        <v>0</v>
      </c>
    </row>
    <row r="66" spans="1:6" x14ac:dyDescent="0.35">
      <c r="A66" t="s">
        <v>76</v>
      </c>
      <c r="C66" t="s">
        <v>37</v>
      </c>
      <c r="F66">
        <v>102.45463359999999</v>
      </c>
    </row>
    <row r="67" spans="1:6" x14ac:dyDescent="0.35">
      <c r="A67" t="s">
        <v>76</v>
      </c>
      <c r="C67" t="s">
        <v>38</v>
      </c>
      <c r="F67">
        <v>1.9664429999999999</v>
      </c>
    </row>
    <row r="68" spans="1:6" x14ac:dyDescent="0.35">
      <c r="A68" t="s">
        <v>76</v>
      </c>
      <c r="C68" t="s">
        <v>39</v>
      </c>
      <c r="F68">
        <v>0</v>
      </c>
    </row>
    <row r="69" spans="1:6" x14ac:dyDescent="0.35">
      <c r="A69" t="s">
        <v>76</v>
      </c>
      <c r="C69" t="s">
        <v>40</v>
      </c>
      <c r="F69">
        <v>0</v>
      </c>
    </row>
    <row r="70" spans="1:6" x14ac:dyDescent="0.35">
      <c r="A70" t="s">
        <v>76</v>
      </c>
      <c r="C70" t="s">
        <v>41</v>
      </c>
      <c r="F70">
        <v>0</v>
      </c>
    </row>
    <row r="71" spans="1:6" x14ac:dyDescent="0.35">
      <c r="A71" t="s">
        <v>76</v>
      </c>
      <c r="C71" t="s">
        <v>42</v>
      </c>
      <c r="F71">
        <v>0</v>
      </c>
    </row>
    <row r="72" spans="1:6" x14ac:dyDescent="0.35">
      <c r="A72" t="s">
        <v>77</v>
      </c>
      <c r="C72" t="s">
        <v>7</v>
      </c>
      <c r="F72">
        <v>6.671278</v>
      </c>
    </row>
    <row r="73" spans="1:6" x14ac:dyDescent="0.35">
      <c r="A73" t="s">
        <v>77</v>
      </c>
      <c r="C73" t="s">
        <v>9</v>
      </c>
      <c r="F73">
        <v>0</v>
      </c>
    </row>
    <row r="74" spans="1:6" x14ac:dyDescent="0.35">
      <c r="A74" t="s">
        <v>77</v>
      </c>
      <c r="C74" t="s">
        <v>10</v>
      </c>
      <c r="F74">
        <v>0</v>
      </c>
    </row>
    <row r="75" spans="1:6" x14ac:dyDescent="0.35">
      <c r="A75" t="s">
        <v>77</v>
      </c>
      <c r="C75" t="s">
        <v>11</v>
      </c>
      <c r="F75">
        <v>0</v>
      </c>
    </row>
    <row r="76" spans="1:6" x14ac:dyDescent="0.35">
      <c r="A76" t="s">
        <v>77</v>
      </c>
      <c r="C76" t="s">
        <v>12</v>
      </c>
      <c r="F76">
        <v>0</v>
      </c>
    </row>
    <row r="77" spans="1:6" x14ac:dyDescent="0.35">
      <c r="A77" t="s">
        <v>77</v>
      </c>
      <c r="C77" t="s">
        <v>13</v>
      </c>
      <c r="F77">
        <v>0</v>
      </c>
    </row>
    <row r="78" spans="1:6" x14ac:dyDescent="0.35">
      <c r="A78" t="s">
        <v>77</v>
      </c>
      <c r="C78" t="s">
        <v>14</v>
      </c>
      <c r="F78">
        <v>0</v>
      </c>
    </row>
    <row r="79" spans="1:6" x14ac:dyDescent="0.35">
      <c r="A79" t="s">
        <v>77</v>
      </c>
      <c r="C79" t="s">
        <v>15</v>
      </c>
      <c r="F79">
        <v>0</v>
      </c>
    </row>
    <row r="80" spans="1:6" x14ac:dyDescent="0.35">
      <c r="A80" t="s">
        <v>77</v>
      </c>
      <c r="C80" t="s">
        <v>16</v>
      </c>
      <c r="F80">
        <v>0</v>
      </c>
    </row>
    <row r="81" spans="1:6" x14ac:dyDescent="0.35">
      <c r="A81" t="s">
        <v>77</v>
      </c>
      <c r="C81" t="s">
        <v>17</v>
      </c>
      <c r="F81">
        <v>805.21668969999996</v>
      </c>
    </row>
    <row r="82" spans="1:6" x14ac:dyDescent="0.35">
      <c r="A82" t="s">
        <v>77</v>
      </c>
      <c r="C82" t="s">
        <v>18</v>
      </c>
      <c r="F82">
        <v>0</v>
      </c>
    </row>
    <row r="83" spans="1:6" x14ac:dyDescent="0.35">
      <c r="A83" t="s">
        <v>77</v>
      </c>
      <c r="C83" t="s">
        <v>19</v>
      </c>
      <c r="F83">
        <v>0.8527134999999999</v>
      </c>
    </row>
    <row r="84" spans="1:6" x14ac:dyDescent="0.35">
      <c r="A84" t="s">
        <v>77</v>
      </c>
      <c r="C84" t="s">
        <v>20</v>
      </c>
      <c r="F84">
        <v>0</v>
      </c>
    </row>
    <row r="85" spans="1:6" x14ac:dyDescent="0.35">
      <c r="A85" t="s">
        <v>77</v>
      </c>
      <c r="C85" t="s">
        <v>21</v>
      </c>
      <c r="F85">
        <v>268.62339709999998</v>
      </c>
    </row>
    <row r="86" spans="1:6" x14ac:dyDescent="0.35">
      <c r="A86" t="s">
        <v>77</v>
      </c>
      <c r="C86" t="s">
        <v>22</v>
      </c>
      <c r="F86">
        <v>18.465913199999999</v>
      </c>
    </row>
    <row r="87" spans="1:6" x14ac:dyDescent="0.35">
      <c r="A87" t="s">
        <v>77</v>
      </c>
      <c r="C87" t="s">
        <v>23</v>
      </c>
      <c r="F87">
        <v>0.37901389999999996</v>
      </c>
    </row>
    <row r="88" spans="1:6" x14ac:dyDescent="0.35">
      <c r="A88" t="s">
        <v>77</v>
      </c>
      <c r="C88" t="s">
        <v>24</v>
      </c>
      <c r="F88">
        <v>4.3819413999999997</v>
      </c>
    </row>
    <row r="89" spans="1:6" x14ac:dyDescent="0.35">
      <c r="A89" t="s">
        <v>77</v>
      </c>
      <c r="C89" t="s">
        <v>25</v>
      </c>
      <c r="F89">
        <v>0</v>
      </c>
    </row>
    <row r="90" spans="1:6" x14ac:dyDescent="0.35">
      <c r="A90" t="s">
        <v>77</v>
      </c>
      <c r="C90" t="s">
        <v>26</v>
      </c>
      <c r="F90">
        <v>1.9239938999999999</v>
      </c>
    </row>
    <row r="91" spans="1:6" x14ac:dyDescent="0.35">
      <c r="A91" t="s">
        <v>77</v>
      </c>
      <c r="C91" t="s">
        <v>27</v>
      </c>
      <c r="F91">
        <v>0.18784030000000002</v>
      </c>
    </row>
    <row r="92" spans="1:6" x14ac:dyDescent="0.35">
      <c r="A92" t="s">
        <v>77</v>
      </c>
      <c r="C92" t="s">
        <v>28</v>
      </c>
      <c r="F92">
        <v>1.5947213999999998</v>
      </c>
    </row>
    <row r="93" spans="1:6" x14ac:dyDescent="0.35">
      <c r="A93" t="s">
        <v>77</v>
      </c>
      <c r="C93" t="s">
        <v>29</v>
      </c>
      <c r="F93">
        <v>0.113223</v>
      </c>
    </row>
    <row r="94" spans="1:6" x14ac:dyDescent="0.35">
      <c r="A94" t="s">
        <v>77</v>
      </c>
      <c r="C94" t="s">
        <v>30</v>
      </c>
      <c r="F94">
        <v>0.27242099999999997</v>
      </c>
    </row>
    <row r="95" spans="1:6" x14ac:dyDescent="0.35">
      <c r="A95" t="s">
        <v>77</v>
      </c>
      <c r="C95" t="s">
        <v>31</v>
      </c>
      <c r="F95">
        <v>0.47224079999999996</v>
      </c>
    </row>
    <row r="96" spans="1:6" x14ac:dyDescent="0.35">
      <c r="A96" t="s">
        <v>77</v>
      </c>
      <c r="C96" t="s">
        <v>32</v>
      </c>
      <c r="F96">
        <v>0.5551678000000001</v>
      </c>
    </row>
    <row r="97" spans="1:6" x14ac:dyDescent="0.35">
      <c r="A97" t="s">
        <v>77</v>
      </c>
      <c r="C97" t="s">
        <v>33</v>
      </c>
      <c r="F97" t="s">
        <v>75</v>
      </c>
    </row>
    <row r="98" spans="1:6" x14ac:dyDescent="0.35">
      <c r="A98" t="s">
        <v>77</v>
      </c>
      <c r="C98" t="s">
        <v>34</v>
      </c>
      <c r="F98">
        <v>0</v>
      </c>
    </row>
    <row r="99" spans="1:6" x14ac:dyDescent="0.35">
      <c r="A99" t="s">
        <v>77</v>
      </c>
      <c r="C99" t="s">
        <v>35</v>
      </c>
      <c r="F99">
        <v>0.61162099999999997</v>
      </c>
    </row>
    <row r="100" spans="1:6" x14ac:dyDescent="0.35">
      <c r="A100" t="s">
        <v>77</v>
      </c>
      <c r="C100" t="s">
        <v>36</v>
      </c>
      <c r="F100">
        <v>0</v>
      </c>
    </row>
    <row r="101" spans="1:6" x14ac:dyDescent="0.35">
      <c r="A101" t="s">
        <v>77</v>
      </c>
      <c r="C101" t="s">
        <v>37</v>
      </c>
      <c r="F101">
        <v>47.341217</v>
      </c>
    </row>
    <row r="102" spans="1:6" x14ac:dyDescent="0.35">
      <c r="A102" t="s">
        <v>77</v>
      </c>
      <c r="C102" t="s">
        <v>38</v>
      </c>
      <c r="F102">
        <v>1.9275685</v>
      </c>
    </row>
    <row r="103" spans="1:6" x14ac:dyDescent="0.35">
      <c r="A103" t="s">
        <v>77</v>
      </c>
      <c r="C103" t="s">
        <v>39</v>
      </c>
      <c r="F103">
        <v>0</v>
      </c>
    </row>
    <row r="104" spans="1:6" x14ac:dyDescent="0.35">
      <c r="A104" t="s">
        <v>77</v>
      </c>
      <c r="C104" t="s">
        <v>40</v>
      </c>
      <c r="F104">
        <v>0</v>
      </c>
    </row>
    <row r="105" spans="1:6" x14ac:dyDescent="0.35">
      <c r="A105" t="s">
        <v>77</v>
      </c>
      <c r="C105" t="s">
        <v>41</v>
      </c>
      <c r="F105">
        <v>0</v>
      </c>
    </row>
    <row r="106" spans="1:6" x14ac:dyDescent="0.35">
      <c r="A106" t="s">
        <v>77</v>
      </c>
      <c r="C106" t="s">
        <v>42</v>
      </c>
      <c r="F1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2AA0-A749-43EE-AD4A-781A12B92C78}">
  <dimension ref="A1:M409"/>
  <sheetViews>
    <sheetView workbookViewId="0">
      <selection activeCell="G4" sqref="G4"/>
    </sheetView>
  </sheetViews>
  <sheetFormatPr baseColWidth="10" defaultRowHeight="14.5" x14ac:dyDescent="0.35"/>
  <cols>
    <col min="6" max="6" width="18.1796875" style="14" customWidth="1"/>
    <col min="7" max="7" width="17.453125" customWidth="1"/>
    <col min="8" max="8" width="17.453125" style="14" customWidth="1"/>
    <col min="9" max="9" width="17.7265625" customWidth="1"/>
    <col min="10" max="10" width="19.08984375" customWidth="1"/>
  </cols>
  <sheetData>
    <row r="1" spans="1:13" x14ac:dyDescent="0.35">
      <c r="A1" t="s">
        <v>0</v>
      </c>
      <c r="B1" s="1" t="s">
        <v>1</v>
      </c>
      <c r="C1" s="2" t="s">
        <v>2</v>
      </c>
      <c r="D1" s="1" t="s">
        <v>3</v>
      </c>
      <c r="E1" s="1" t="s">
        <v>45</v>
      </c>
      <c r="F1" s="11" t="s">
        <v>81</v>
      </c>
      <c r="G1" s="3" t="s">
        <v>80</v>
      </c>
      <c r="H1" s="11" t="s">
        <v>80</v>
      </c>
      <c r="I1" s="3" t="s">
        <v>79</v>
      </c>
      <c r="J1" s="6" t="s">
        <v>6</v>
      </c>
    </row>
    <row r="2" spans="1:13" x14ac:dyDescent="0.35">
      <c r="A2" t="s">
        <v>44</v>
      </c>
      <c r="B2" t="s">
        <v>43</v>
      </c>
      <c r="C2" t="s">
        <v>7</v>
      </c>
      <c r="D2" t="s">
        <v>8</v>
      </c>
      <c r="E2">
        <v>1</v>
      </c>
      <c r="F2" s="14">
        <v>8.4897928</v>
      </c>
      <c r="G2" s="9">
        <v>0.7628293561470203</v>
      </c>
      <c r="H2" s="12">
        <v>0.7628293561470203</v>
      </c>
      <c r="I2">
        <f t="shared" ref="I2:I63" si="0">IF(G2&lt;0,0,G2)</f>
        <v>0.7628293561470203</v>
      </c>
      <c r="J2">
        <f>I2/2</f>
        <v>0.38141467807351015</v>
      </c>
    </row>
    <row r="3" spans="1:13" x14ac:dyDescent="0.35">
      <c r="A3" t="s">
        <v>44</v>
      </c>
      <c r="B3" t="s">
        <v>43</v>
      </c>
      <c r="C3" t="s">
        <v>9</v>
      </c>
      <c r="D3" t="s">
        <v>8</v>
      </c>
      <c r="E3">
        <v>1</v>
      </c>
      <c r="F3" s="14">
        <v>3.5278461000000001</v>
      </c>
      <c r="G3" s="9">
        <v>-9.4178237488491773E-2</v>
      </c>
      <c r="H3" s="12">
        <v>-9.4178237488491773E-2</v>
      </c>
      <c r="I3">
        <f t="shared" si="0"/>
        <v>0</v>
      </c>
      <c r="J3">
        <f>I3/2</f>
        <v>0</v>
      </c>
      <c r="M3" s="7" t="s">
        <v>71</v>
      </c>
    </row>
    <row r="4" spans="1:13" x14ac:dyDescent="0.35">
      <c r="A4" t="s">
        <v>44</v>
      </c>
      <c r="B4" t="s">
        <v>43</v>
      </c>
      <c r="C4" t="s">
        <v>10</v>
      </c>
      <c r="D4" t="s">
        <v>8</v>
      </c>
      <c r="E4">
        <v>1</v>
      </c>
      <c r="F4" s="14">
        <v>0.26215820000000001</v>
      </c>
      <c r="G4" s="9">
        <v>3.91295781694425E-2</v>
      </c>
      <c r="H4" s="12">
        <v>3.91295781694425E-2</v>
      </c>
      <c r="I4">
        <f t="shared" si="0"/>
        <v>3.91295781694425E-2</v>
      </c>
      <c r="J4">
        <f>I4/2</f>
        <v>1.956478908472125E-2</v>
      </c>
      <c r="M4" t="s">
        <v>72</v>
      </c>
    </row>
    <row r="5" spans="1:13" x14ac:dyDescent="0.35">
      <c r="A5" t="s">
        <v>44</v>
      </c>
      <c r="B5" t="s">
        <v>43</v>
      </c>
      <c r="C5" t="s">
        <v>11</v>
      </c>
      <c r="D5" t="s">
        <v>8</v>
      </c>
      <c r="E5">
        <v>1</v>
      </c>
      <c r="F5" s="14">
        <v>17.347754000000002</v>
      </c>
      <c r="G5" s="9">
        <v>7.5664663334075861</v>
      </c>
      <c r="H5" s="12">
        <v>7.5664663334075861</v>
      </c>
      <c r="I5">
        <f t="shared" si="0"/>
        <v>7.5664663334075861</v>
      </c>
      <c r="J5">
        <f t="shared" ref="J5:J66" si="1">I5/2</f>
        <v>3.7832331667037931</v>
      </c>
    </row>
    <row r="6" spans="1:13" x14ac:dyDescent="0.35">
      <c r="A6" t="s">
        <v>44</v>
      </c>
      <c r="B6" t="s">
        <v>43</v>
      </c>
      <c r="C6" t="s">
        <v>12</v>
      </c>
      <c r="D6" t="s">
        <v>8</v>
      </c>
      <c r="E6">
        <v>1</v>
      </c>
      <c r="F6" s="14">
        <v>89.994023100000007</v>
      </c>
      <c r="G6" s="9">
        <v>7.2420248802343758</v>
      </c>
      <c r="H6" s="12">
        <v>7.2420248802343758</v>
      </c>
      <c r="I6">
        <f t="shared" si="0"/>
        <v>7.2420248802343758</v>
      </c>
      <c r="J6">
        <f t="shared" si="1"/>
        <v>3.6210124401171879</v>
      </c>
    </row>
    <row r="7" spans="1:13" x14ac:dyDescent="0.35">
      <c r="A7" t="s">
        <v>44</v>
      </c>
      <c r="B7" t="s">
        <v>43</v>
      </c>
      <c r="C7" t="s">
        <v>13</v>
      </c>
      <c r="D7" t="s">
        <v>8</v>
      </c>
      <c r="E7">
        <v>1</v>
      </c>
      <c r="F7" s="14">
        <v>260.69207849999998</v>
      </c>
      <c r="G7" s="9">
        <v>68.378216453461903</v>
      </c>
      <c r="H7" s="12">
        <v>68.378216453461903</v>
      </c>
      <c r="I7">
        <f t="shared" si="0"/>
        <v>68.378216453461903</v>
      </c>
      <c r="J7">
        <f t="shared" si="1"/>
        <v>34.189108226730951</v>
      </c>
    </row>
    <row r="8" spans="1:13" x14ac:dyDescent="0.35">
      <c r="A8" t="s">
        <v>44</v>
      </c>
      <c r="B8" t="s">
        <v>43</v>
      </c>
      <c r="C8" t="s">
        <v>14</v>
      </c>
      <c r="D8" t="s">
        <v>8</v>
      </c>
      <c r="E8">
        <v>1</v>
      </c>
      <c r="F8" s="14">
        <v>0</v>
      </c>
      <c r="G8" s="9">
        <v>-2.1516306754649845E-2</v>
      </c>
      <c r="H8" s="12">
        <v>-2.1516306754649845E-2</v>
      </c>
      <c r="I8">
        <f t="shared" si="0"/>
        <v>0</v>
      </c>
      <c r="J8">
        <f t="shared" si="1"/>
        <v>0</v>
      </c>
    </row>
    <row r="9" spans="1:13" x14ac:dyDescent="0.35">
      <c r="A9" t="s">
        <v>44</v>
      </c>
      <c r="B9" t="s">
        <v>43</v>
      </c>
      <c r="C9" t="s">
        <v>15</v>
      </c>
      <c r="D9" t="s">
        <v>8</v>
      </c>
      <c r="E9">
        <v>1</v>
      </c>
      <c r="F9" s="14">
        <v>11.053502</v>
      </c>
      <c r="G9" s="9">
        <v>0.1993125415190245</v>
      </c>
      <c r="H9" s="12">
        <v>0.1993125415190245</v>
      </c>
      <c r="I9">
        <f t="shared" si="0"/>
        <v>0.1993125415190245</v>
      </c>
      <c r="J9">
        <f t="shared" si="1"/>
        <v>9.965627075951225E-2</v>
      </c>
    </row>
    <row r="10" spans="1:13" x14ac:dyDescent="0.35">
      <c r="A10" t="s">
        <v>44</v>
      </c>
      <c r="B10" t="s">
        <v>43</v>
      </c>
      <c r="C10" t="s">
        <v>16</v>
      </c>
      <c r="D10" t="s">
        <v>8</v>
      </c>
      <c r="E10">
        <v>1</v>
      </c>
      <c r="F10" s="14">
        <v>0</v>
      </c>
      <c r="G10" s="9">
        <v>0.90598315453649059</v>
      </c>
      <c r="H10" s="12">
        <v>0.90598315453649059</v>
      </c>
      <c r="I10">
        <f t="shared" si="0"/>
        <v>0.90598315453649059</v>
      </c>
      <c r="J10">
        <f t="shared" si="1"/>
        <v>0.45299157726824529</v>
      </c>
    </row>
    <row r="11" spans="1:13" x14ac:dyDescent="0.35">
      <c r="A11" t="s">
        <v>44</v>
      </c>
      <c r="B11" t="s">
        <v>43</v>
      </c>
      <c r="C11" t="s">
        <v>17</v>
      </c>
      <c r="D11" t="s">
        <v>8</v>
      </c>
      <c r="E11">
        <v>1</v>
      </c>
      <c r="F11" s="14">
        <v>3439.1469898999999</v>
      </c>
      <c r="G11" s="9">
        <v>250.68685316557452</v>
      </c>
      <c r="H11" s="12">
        <v>250.68685316557452</v>
      </c>
      <c r="I11">
        <f t="shared" si="0"/>
        <v>250.68685316557452</v>
      </c>
      <c r="J11">
        <f t="shared" si="1"/>
        <v>125.34342658278726</v>
      </c>
    </row>
    <row r="12" spans="1:13" x14ac:dyDescent="0.35">
      <c r="A12" t="s">
        <v>44</v>
      </c>
      <c r="B12" t="s">
        <v>43</v>
      </c>
      <c r="C12" t="s">
        <v>18</v>
      </c>
      <c r="D12" t="s">
        <v>8</v>
      </c>
      <c r="E12">
        <v>1</v>
      </c>
      <c r="F12" s="14">
        <v>412.95174489999999</v>
      </c>
      <c r="G12" s="9">
        <v>103.78201606033819</v>
      </c>
      <c r="H12" s="12">
        <v>103.78201606033819</v>
      </c>
      <c r="I12">
        <f t="shared" si="0"/>
        <v>103.78201606033819</v>
      </c>
      <c r="J12">
        <f t="shared" si="1"/>
        <v>51.891008030169097</v>
      </c>
    </row>
    <row r="13" spans="1:13" x14ac:dyDescent="0.35">
      <c r="A13" t="s">
        <v>44</v>
      </c>
      <c r="B13" t="s">
        <v>43</v>
      </c>
      <c r="C13" t="s">
        <v>20</v>
      </c>
      <c r="D13" t="s">
        <v>8</v>
      </c>
      <c r="E13">
        <v>1</v>
      </c>
      <c r="F13" s="14">
        <v>13.9425282</v>
      </c>
      <c r="G13" s="9">
        <v>2.9522131054683149</v>
      </c>
      <c r="H13" s="12">
        <v>2.9522131054683149</v>
      </c>
      <c r="I13">
        <f t="shared" si="0"/>
        <v>2.9522131054683149</v>
      </c>
      <c r="J13">
        <f t="shared" si="1"/>
        <v>1.4761065527341575</v>
      </c>
    </row>
    <row r="14" spans="1:13" x14ac:dyDescent="0.35">
      <c r="A14" t="s">
        <v>44</v>
      </c>
      <c r="B14" t="s">
        <v>43</v>
      </c>
      <c r="C14" t="s">
        <v>21</v>
      </c>
      <c r="D14" t="s">
        <v>8</v>
      </c>
      <c r="E14">
        <v>1</v>
      </c>
      <c r="F14" s="14">
        <v>546.45375150000007</v>
      </c>
      <c r="G14" s="9">
        <v>44.748064843569828</v>
      </c>
      <c r="H14" s="12">
        <v>44.748064843569828</v>
      </c>
      <c r="I14">
        <f t="shared" si="0"/>
        <v>44.748064843569828</v>
      </c>
      <c r="J14">
        <f t="shared" si="1"/>
        <v>22.374032421784914</v>
      </c>
    </row>
    <row r="15" spans="1:13" x14ac:dyDescent="0.35">
      <c r="A15" t="s">
        <v>44</v>
      </c>
      <c r="B15" t="s">
        <v>43</v>
      </c>
      <c r="C15" t="s">
        <v>22</v>
      </c>
      <c r="D15" t="s">
        <v>8</v>
      </c>
      <c r="E15">
        <v>1</v>
      </c>
      <c r="F15" s="14">
        <v>1231.4861953</v>
      </c>
      <c r="G15" s="9">
        <v>14.153719572126814</v>
      </c>
      <c r="H15" s="12">
        <v>14.153719572126814</v>
      </c>
      <c r="I15">
        <f t="shared" si="0"/>
        <v>14.153719572126814</v>
      </c>
      <c r="J15">
        <f t="shared" si="1"/>
        <v>7.076859786063407</v>
      </c>
    </row>
    <row r="16" spans="1:13" x14ac:dyDescent="0.35">
      <c r="A16" t="s">
        <v>44</v>
      </c>
      <c r="B16" t="s">
        <v>43</v>
      </c>
      <c r="C16" t="s">
        <v>23</v>
      </c>
      <c r="D16" t="s">
        <v>8</v>
      </c>
      <c r="E16">
        <v>1</v>
      </c>
      <c r="F16" s="14">
        <v>0.26798680000000002</v>
      </c>
      <c r="G16" s="9">
        <v>109.55238369789846</v>
      </c>
      <c r="H16" s="12">
        <v>109.55238369789846</v>
      </c>
      <c r="I16">
        <f t="shared" si="0"/>
        <v>109.55238369789846</v>
      </c>
      <c r="J16">
        <f t="shared" si="1"/>
        <v>54.776191848949232</v>
      </c>
    </row>
    <row r="17" spans="1:10" x14ac:dyDescent="0.35">
      <c r="A17" t="s">
        <v>44</v>
      </c>
      <c r="B17" t="s">
        <v>43</v>
      </c>
      <c r="C17" t="s">
        <v>24</v>
      </c>
      <c r="D17" t="s">
        <v>8</v>
      </c>
      <c r="E17">
        <v>1</v>
      </c>
      <c r="F17" s="14">
        <v>1203.1442397000001</v>
      </c>
      <c r="G17" s="9">
        <v>211.0012732885578</v>
      </c>
      <c r="H17" s="12">
        <v>211.0012732885578</v>
      </c>
      <c r="I17">
        <f t="shared" si="0"/>
        <v>211.0012732885578</v>
      </c>
      <c r="J17">
        <f t="shared" si="1"/>
        <v>105.5006366442789</v>
      </c>
    </row>
    <row r="18" spans="1:10" x14ac:dyDescent="0.35">
      <c r="A18" t="s">
        <v>44</v>
      </c>
      <c r="B18" t="s">
        <v>43</v>
      </c>
      <c r="C18" t="s">
        <v>25</v>
      </c>
      <c r="D18" t="s">
        <v>8</v>
      </c>
      <c r="E18">
        <v>1</v>
      </c>
      <c r="F18" s="14">
        <v>104.461106</v>
      </c>
      <c r="G18" s="9">
        <v>15.62074831158357</v>
      </c>
      <c r="H18" s="12">
        <v>15.62074831158357</v>
      </c>
      <c r="I18">
        <f t="shared" si="0"/>
        <v>15.62074831158357</v>
      </c>
      <c r="J18">
        <f t="shared" si="1"/>
        <v>7.8103741557917852</v>
      </c>
    </row>
    <row r="19" spans="1:10" x14ac:dyDescent="0.35">
      <c r="A19" t="s">
        <v>44</v>
      </c>
      <c r="B19" t="s">
        <v>43</v>
      </c>
      <c r="C19" t="s">
        <v>26</v>
      </c>
      <c r="D19" t="s">
        <v>8</v>
      </c>
      <c r="E19">
        <v>1</v>
      </c>
      <c r="F19" s="14">
        <v>1589.8427466999999</v>
      </c>
      <c r="G19" s="9">
        <v>45.501106684479183</v>
      </c>
      <c r="H19" s="12">
        <v>45.501106684479183</v>
      </c>
      <c r="I19">
        <f t="shared" si="0"/>
        <v>45.501106684479183</v>
      </c>
      <c r="J19">
        <f t="shared" si="1"/>
        <v>22.750553342239591</v>
      </c>
    </row>
    <row r="20" spans="1:10" x14ac:dyDescent="0.35">
      <c r="A20" t="s">
        <v>44</v>
      </c>
      <c r="B20" t="s">
        <v>43</v>
      </c>
      <c r="C20" t="s">
        <v>27</v>
      </c>
      <c r="D20" t="s">
        <v>8</v>
      </c>
      <c r="E20">
        <v>1</v>
      </c>
      <c r="F20" s="14">
        <v>119.4432929</v>
      </c>
      <c r="G20" s="9">
        <v>10.816487806208478</v>
      </c>
      <c r="H20" s="12">
        <v>10.816487806208478</v>
      </c>
      <c r="I20">
        <f t="shared" si="0"/>
        <v>10.816487806208478</v>
      </c>
      <c r="J20">
        <f t="shared" si="1"/>
        <v>5.4082439031042391</v>
      </c>
    </row>
    <row r="21" spans="1:10" x14ac:dyDescent="0.35">
      <c r="A21" t="s">
        <v>44</v>
      </c>
      <c r="B21" t="s">
        <v>43</v>
      </c>
      <c r="C21" t="s">
        <v>28</v>
      </c>
      <c r="D21" t="s">
        <v>8</v>
      </c>
      <c r="E21">
        <v>1</v>
      </c>
      <c r="F21" s="14">
        <v>38.122469599999995</v>
      </c>
      <c r="G21" s="9">
        <v>1.0584745477983302</v>
      </c>
      <c r="H21" s="12">
        <v>1.0584745477983302</v>
      </c>
      <c r="I21">
        <f t="shared" si="0"/>
        <v>1.0584745477983302</v>
      </c>
      <c r="J21">
        <f t="shared" si="1"/>
        <v>0.52923727389916508</v>
      </c>
    </row>
    <row r="22" spans="1:10" x14ac:dyDescent="0.35">
      <c r="A22" t="s">
        <v>44</v>
      </c>
      <c r="B22" t="s">
        <v>43</v>
      </c>
      <c r="C22" t="s">
        <v>29</v>
      </c>
      <c r="D22" t="s">
        <v>8</v>
      </c>
      <c r="E22">
        <v>1</v>
      </c>
      <c r="F22" s="14">
        <v>25.829833799999999</v>
      </c>
      <c r="G22" s="9">
        <v>0.16806924495154285</v>
      </c>
      <c r="H22" s="12">
        <v>0.16806924495154285</v>
      </c>
      <c r="I22">
        <f t="shared" si="0"/>
        <v>0.16806924495154285</v>
      </c>
      <c r="J22">
        <f t="shared" si="1"/>
        <v>8.4034622475771426E-2</v>
      </c>
    </row>
    <row r="23" spans="1:10" x14ac:dyDescent="0.35">
      <c r="A23" t="s">
        <v>44</v>
      </c>
      <c r="B23" t="s">
        <v>43</v>
      </c>
      <c r="C23" t="s">
        <v>30</v>
      </c>
      <c r="D23" t="s">
        <v>8</v>
      </c>
      <c r="E23">
        <v>1</v>
      </c>
      <c r="F23" s="14">
        <v>17.306898099999998</v>
      </c>
      <c r="G23" s="9">
        <v>5.0858632188262405</v>
      </c>
      <c r="H23" s="12">
        <v>5.0858632188262405</v>
      </c>
      <c r="I23">
        <f t="shared" si="0"/>
        <v>5.0858632188262405</v>
      </c>
      <c r="J23">
        <f t="shared" si="1"/>
        <v>2.5429316094131202</v>
      </c>
    </row>
    <row r="24" spans="1:10" x14ac:dyDescent="0.35">
      <c r="A24" t="s">
        <v>44</v>
      </c>
      <c r="B24" t="s">
        <v>43</v>
      </c>
      <c r="C24" t="s">
        <v>31</v>
      </c>
      <c r="D24" t="s">
        <v>8</v>
      </c>
      <c r="E24">
        <v>1</v>
      </c>
      <c r="F24" s="14">
        <v>4.9322325000000005</v>
      </c>
      <c r="G24" s="9">
        <v>0.77664577651542466</v>
      </c>
      <c r="H24" s="12">
        <v>0.77664577651542466</v>
      </c>
      <c r="I24">
        <f t="shared" si="0"/>
        <v>0.77664577651542466</v>
      </c>
      <c r="J24">
        <f t="shared" si="1"/>
        <v>0.38832288825771233</v>
      </c>
    </row>
    <row r="25" spans="1:10" x14ac:dyDescent="0.35">
      <c r="A25" t="s">
        <v>44</v>
      </c>
      <c r="B25" t="s">
        <v>43</v>
      </c>
      <c r="C25" t="s">
        <v>32</v>
      </c>
      <c r="D25" t="s">
        <v>8</v>
      </c>
      <c r="E25">
        <v>1</v>
      </c>
      <c r="F25" s="14">
        <v>34.410478300000001</v>
      </c>
      <c r="G25" s="9">
        <v>4.2546496130597768</v>
      </c>
      <c r="H25" s="12">
        <v>4.2546496130597768</v>
      </c>
      <c r="I25">
        <f t="shared" si="0"/>
        <v>4.2546496130597768</v>
      </c>
      <c r="J25">
        <f t="shared" si="1"/>
        <v>2.1273248065298884</v>
      </c>
    </row>
    <row r="26" spans="1:10" x14ac:dyDescent="0.35">
      <c r="A26" t="s">
        <v>44</v>
      </c>
      <c r="B26" t="s">
        <v>43</v>
      </c>
      <c r="C26" t="s">
        <v>33</v>
      </c>
      <c r="D26" t="s">
        <v>8</v>
      </c>
      <c r="E26">
        <v>1</v>
      </c>
      <c r="F26" s="14">
        <v>0</v>
      </c>
      <c r="G26" s="9">
        <v>2.6544926573250347</v>
      </c>
      <c r="H26" s="12">
        <v>2.6544926573250347</v>
      </c>
      <c r="I26">
        <f t="shared" si="0"/>
        <v>2.6544926573250347</v>
      </c>
      <c r="J26">
        <f t="shared" si="1"/>
        <v>1.3272463286625173</v>
      </c>
    </row>
    <row r="27" spans="1:10" x14ac:dyDescent="0.35">
      <c r="A27" t="s">
        <v>44</v>
      </c>
      <c r="B27" t="s">
        <v>43</v>
      </c>
      <c r="C27" t="s">
        <v>34</v>
      </c>
      <c r="D27" t="s">
        <v>8</v>
      </c>
      <c r="E27">
        <v>1</v>
      </c>
      <c r="F27" s="14">
        <v>0</v>
      </c>
      <c r="G27" s="9">
        <v>4.2837186307227569E-2</v>
      </c>
      <c r="H27" s="12">
        <v>4.2837186307227569E-2</v>
      </c>
      <c r="I27">
        <f t="shared" si="0"/>
        <v>4.2837186307227569E-2</v>
      </c>
      <c r="J27">
        <f t="shared" si="1"/>
        <v>2.1418593153613785E-2</v>
      </c>
    </row>
    <row r="28" spans="1:10" x14ac:dyDescent="0.35">
      <c r="A28" t="s">
        <v>44</v>
      </c>
      <c r="B28" t="s">
        <v>43</v>
      </c>
      <c r="C28" t="s">
        <v>35</v>
      </c>
      <c r="D28" t="s">
        <v>8</v>
      </c>
      <c r="E28">
        <v>1</v>
      </c>
      <c r="F28" s="14">
        <v>93.22772040000001</v>
      </c>
      <c r="G28" s="9">
        <v>4.5470540238861918</v>
      </c>
      <c r="H28" s="12">
        <v>4.5470540238861918</v>
      </c>
      <c r="I28">
        <f t="shared" si="0"/>
        <v>4.5470540238861918</v>
      </c>
      <c r="J28">
        <f t="shared" si="1"/>
        <v>2.2735270119430959</v>
      </c>
    </row>
    <row r="29" spans="1:10" x14ac:dyDescent="0.35">
      <c r="A29" t="s">
        <v>44</v>
      </c>
      <c r="B29" t="s">
        <v>43</v>
      </c>
      <c r="C29" t="s">
        <v>36</v>
      </c>
      <c r="D29" t="s">
        <v>8</v>
      </c>
      <c r="E29">
        <v>1</v>
      </c>
      <c r="F29" s="14">
        <v>7.7498567999999999</v>
      </c>
      <c r="G29" s="9">
        <v>0.19184441251462891</v>
      </c>
      <c r="H29" s="12">
        <v>0.19184441251462891</v>
      </c>
      <c r="I29">
        <f t="shared" si="0"/>
        <v>0.19184441251462891</v>
      </c>
      <c r="J29">
        <f t="shared" si="1"/>
        <v>9.5922206257314457E-2</v>
      </c>
    </row>
    <row r="30" spans="1:10" x14ac:dyDescent="0.35">
      <c r="A30" t="s">
        <v>44</v>
      </c>
      <c r="B30" t="s">
        <v>43</v>
      </c>
      <c r="C30" t="s">
        <v>37</v>
      </c>
      <c r="D30" t="s">
        <v>8</v>
      </c>
      <c r="E30">
        <v>1</v>
      </c>
      <c r="F30" s="14">
        <v>72.887250199999997</v>
      </c>
      <c r="G30" s="9">
        <v>22.483049048332916</v>
      </c>
      <c r="H30" s="12">
        <v>22.483049048332916</v>
      </c>
      <c r="I30">
        <f t="shared" si="0"/>
        <v>22.483049048332916</v>
      </c>
      <c r="J30">
        <f t="shared" si="1"/>
        <v>11.241524524166458</v>
      </c>
    </row>
    <row r="31" spans="1:10" x14ac:dyDescent="0.35">
      <c r="A31" t="s">
        <v>44</v>
      </c>
      <c r="B31" t="s">
        <v>43</v>
      </c>
      <c r="C31" t="s">
        <v>38</v>
      </c>
      <c r="D31" t="s">
        <v>8</v>
      </c>
      <c r="E31">
        <v>1</v>
      </c>
      <c r="F31" s="14">
        <v>1.9283764000000001</v>
      </c>
      <c r="G31" s="9">
        <v>0.1722041884530443</v>
      </c>
      <c r="H31" s="12">
        <v>0.1722041884530443</v>
      </c>
      <c r="I31">
        <f t="shared" si="0"/>
        <v>0.1722041884530443</v>
      </c>
      <c r="J31">
        <f t="shared" si="1"/>
        <v>8.6102094226522152E-2</v>
      </c>
    </row>
    <row r="32" spans="1:10" x14ac:dyDescent="0.35">
      <c r="A32" t="s">
        <v>44</v>
      </c>
      <c r="B32" t="s">
        <v>43</v>
      </c>
      <c r="C32" t="s">
        <v>39</v>
      </c>
      <c r="D32" t="s">
        <v>8</v>
      </c>
      <c r="E32">
        <v>1</v>
      </c>
      <c r="F32" s="14">
        <v>0</v>
      </c>
      <c r="G32" s="9">
        <v>0.13750299409121527</v>
      </c>
      <c r="H32" s="12">
        <v>0.13750299409121527</v>
      </c>
      <c r="I32">
        <f t="shared" si="0"/>
        <v>0.13750299409121527</v>
      </c>
      <c r="J32">
        <f t="shared" si="1"/>
        <v>6.8751497045607637E-2</v>
      </c>
    </row>
    <row r="33" spans="1:10" x14ac:dyDescent="0.35">
      <c r="A33" t="s">
        <v>44</v>
      </c>
      <c r="B33" t="s">
        <v>43</v>
      </c>
      <c r="C33" t="s">
        <v>40</v>
      </c>
      <c r="D33" t="s">
        <v>8</v>
      </c>
      <c r="E33">
        <v>1</v>
      </c>
      <c r="F33" s="14">
        <v>5.6614434000000005</v>
      </c>
      <c r="G33" s="9">
        <v>0.74847597470099725</v>
      </c>
      <c r="H33" s="12">
        <v>0.74847597470099725</v>
      </c>
      <c r="I33">
        <f t="shared" si="0"/>
        <v>0.74847597470099725</v>
      </c>
      <c r="J33">
        <f t="shared" si="1"/>
        <v>0.37423798735049862</v>
      </c>
    </row>
    <row r="34" spans="1:10" x14ac:dyDescent="0.35">
      <c r="A34" t="s">
        <v>44</v>
      </c>
      <c r="B34" t="s">
        <v>43</v>
      </c>
      <c r="C34" t="s">
        <v>41</v>
      </c>
      <c r="D34" t="s">
        <v>8</v>
      </c>
      <c r="E34">
        <v>1</v>
      </c>
      <c r="F34" s="14">
        <v>64.036195899999996</v>
      </c>
      <c r="G34" s="9">
        <v>-0.10656165318409305</v>
      </c>
      <c r="H34" s="12">
        <v>-0.10656165318409305</v>
      </c>
      <c r="I34">
        <f t="shared" si="0"/>
        <v>0</v>
      </c>
      <c r="J34">
        <f t="shared" si="1"/>
        <v>0</v>
      </c>
    </row>
    <row r="35" spans="1:10" s="8" customFormat="1" x14ac:dyDescent="0.35">
      <c r="A35" s="8" t="s">
        <v>44</v>
      </c>
      <c r="B35" s="8" t="s">
        <v>43</v>
      </c>
      <c r="C35" s="8" t="s">
        <v>42</v>
      </c>
      <c r="D35" s="8" t="s">
        <v>8</v>
      </c>
      <c r="E35" s="8">
        <v>1</v>
      </c>
      <c r="F35" s="15">
        <v>0</v>
      </c>
      <c r="G35" s="10">
        <v>0.49007247489544054</v>
      </c>
      <c r="H35" s="12">
        <v>0.49007247489544054</v>
      </c>
      <c r="I35" s="8">
        <f t="shared" si="0"/>
        <v>0.49007247489544054</v>
      </c>
      <c r="J35" s="8">
        <f t="shared" si="1"/>
        <v>0.24503623744772027</v>
      </c>
    </row>
    <row r="36" spans="1:10" x14ac:dyDescent="0.35">
      <c r="A36" t="s">
        <v>46</v>
      </c>
      <c r="B36" t="s">
        <v>47</v>
      </c>
      <c r="C36" t="s">
        <v>7</v>
      </c>
      <c r="D36" t="s">
        <v>51</v>
      </c>
      <c r="E36">
        <v>1</v>
      </c>
      <c r="F36" s="14">
        <v>6.7110905000000001</v>
      </c>
      <c r="G36" s="9">
        <v>0.75030683148048127</v>
      </c>
      <c r="H36" s="12">
        <v>0.75030683148048127</v>
      </c>
      <c r="I36">
        <f t="shared" si="0"/>
        <v>0.75030683148048127</v>
      </c>
      <c r="J36">
        <f t="shared" si="1"/>
        <v>0.37515341574024064</v>
      </c>
    </row>
    <row r="37" spans="1:10" x14ac:dyDescent="0.35">
      <c r="A37" t="s">
        <v>46</v>
      </c>
      <c r="B37" t="s">
        <v>47</v>
      </c>
      <c r="C37" t="s">
        <v>9</v>
      </c>
      <c r="D37" t="s">
        <v>51</v>
      </c>
      <c r="E37">
        <v>1</v>
      </c>
      <c r="F37" s="14">
        <v>0</v>
      </c>
      <c r="G37" s="9">
        <v>-9.9780840490940673E-2</v>
      </c>
      <c r="H37" s="12">
        <v>-9.9780840490940673E-2</v>
      </c>
      <c r="I37">
        <f t="shared" si="0"/>
        <v>0</v>
      </c>
      <c r="J37">
        <f t="shared" si="1"/>
        <v>0</v>
      </c>
    </row>
    <row r="38" spans="1:10" x14ac:dyDescent="0.35">
      <c r="A38" t="s">
        <v>46</v>
      </c>
      <c r="B38" t="s">
        <v>47</v>
      </c>
      <c r="C38" t="s">
        <v>10</v>
      </c>
      <c r="D38" t="s">
        <v>51</v>
      </c>
      <c r="E38">
        <v>1</v>
      </c>
      <c r="F38" s="14">
        <v>0</v>
      </c>
      <c r="G38" s="9">
        <v>-3.5037025236845577E-2</v>
      </c>
      <c r="H38" s="12">
        <v>-3.5037025236845577E-2</v>
      </c>
      <c r="I38">
        <f t="shared" si="0"/>
        <v>0</v>
      </c>
      <c r="J38">
        <f t="shared" si="1"/>
        <v>0</v>
      </c>
    </row>
    <row r="39" spans="1:10" x14ac:dyDescent="0.35">
      <c r="A39" t="s">
        <v>46</v>
      </c>
      <c r="B39" t="s">
        <v>47</v>
      </c>
      <c r="C39" t="s">
        <v>11</v>
      </c>
      <c r="D39" t="s">
        <v>51</v>
      </c>
      <c r="E39">
        <v>1</v>
      </c>
      <c r="F39" s="14">
        <v>3.4789967000000002</v>
      </c>
      <c r="G39" s="9">
        <v>3.2321375436473221</v>
      </c>
      <c r="H39" s="12">
        <v>3.2321375436473221</v>
      </c>
      <c r="I39">
        <f t="shared" si="0"/>
        <v>3.2321375436473221</v>
      </c>
      <c r="J39">
        <f t="shared" si="1"/>
        <v>1.616068771823661</v>
      </c>
    </row>
    <row r="40" spans="1:10" x14ac:dyDescent="0.35">
      <c r="A40" t="s">
        <v>46</v>
      </c>
      <c r="B40" t="s">
        <v>47</v>
      </c>
      <c r="C40" t="s">
        <v>12</v>
      </c>
      <c r="D40" t="s">
        <v>51</v>
      </c>
      <c r="E40">
        <v>1</v>
      </c>
      <c r="F40" s="14">
        <v>76.516698599999998</v>
      </c>
      <c r="G40" s="9">
        <v>6.1579074238182718</v>
      </c>
      <c r="H40" s="12">
        <v>6.1579074238182718</v>
      </c>
      <c r="I40">
        <f t="shared" si="0"/>
        <v>6.1579074238182718</v>
      </c>
      <c r="J40">
        <f t="shared" si="1"/>
        <v>3.0789537119091359</v>
      </c>
    </row>
    <row r="41" spans="1:10" x14ac:dyDescent="0.35">
      <c r="A41" t="s">
        <v>46</v>
      </c>
      <c r="B41" t="s">
        <v>47</v>
      </c>
      <c r="C41" t="s">
        <v>13</v>
      </c>
      <c r="D41" t="s">
        <v>51</v>
      </c>
      <c r="E41">
        <v>1</v>
      </c>
      <c r="F41" s="14">
        <v>268.58298239999999</v>
      </c>
      <c r="G41" s="9">
        <v>70.404675564985297</v>
      </c>
      <c r="H41" s="12">
        <v>70.404675564985297</v>
      </c>
      <c r="I41">
        <f t="shared" si="0"/>
        <v>70.404675564985297</v>
      </c>
      <c r="J41">
        <f t="shared" si="1"/>
        <v>35.202337782492648</v>
      </c>
    </row>
    <row r="42" spans="1:10" x14ac:dyDescent="0.35">
      <c r="A42" t="s">
        <v>46</v>
      </c>
      <c r="B42" t="s">
        <v>47</v>
      </c>
      <c r="C42" t="s">
        <v>14</v>
      </c>
      <c r="D42" t="s">
        <v>51</v>
      </c>
      <c r="E42">
        <v>1</v>
      </c>
      <c r="F42" s="14">
        <v>0</v>
      </c>
      <c r="G42" s="9">
        <v>-2.1516306754649845E-2</v>
      </c>
      <c r="H42" s="12">
        <v>-2.1516306754649845E-2</v>
      </c>
      <c r="I42">
        <f t="shared" si="0"/>
        <v>0</v>
      </c>
      <c r="J42">
        <f t="shared" si="1"/>
        <v>0</v>
      </c>
    </row>
    <row r="43" spans="1:10" x14ac:dyDescent="0.35">
      <c r="A43" t="s">
        <v>46</v>
      </c>
      <c r="B43" t="s">
        <v>47</v>
      </c>
      <c r="C43" t="s">
        <v>15</v>
      </c>
      <c r="D43" t="s">
        <v>51</v>
      </c>
      <c r="E43">
        <v>1</v>
      </c>
      <c r="F43" s="14">
        <v>11.525569600000001</v>
      </c>
      <c r="G43" s="9">
        <v>0.56105569725654414</v>
      </c>
      <c r="H43" s="12">
        <v>0.56105569725654414</v>
      </c>
      <c r="I43">
        <f t="shared" si="0"/>
        <v>0.56105569725654414</v>
      </c>
      <c r="J43">
        <f t="shared" si="1"/>
        <v>0.28052784862827207</v>
      </c>
    </row>
    <row r="44" spans="1:10" x14ac:dyDescent="0.35">
      <c r="A44" t="s">
        <v>46</v>
      </c>
      <c r="B44" t="s">
        <v>47</v>
      </c>
      <c r="C44" t="s">
        <v>16</v>
      </c>
      <c r="D44" t="s">
        <v>51</v>
      </c>
      <c r="E44">
        <v>1</v>
      </c>
      <c r="F44" s="14">
        <v>0</v>
      </c>
      <c r="G44" s="9">
        <v>0.20411463044238684</v>
      </c>
      <c r="H44" s="12">
        <v>0.20411463044238684</v>
      </c>
      <c r="I44">
        <f t="shared" si="0"/>
        <v>0.20411463044238684</v>
      </c>
      <c r="J44">
        <f t="shared" si="1"/>
        <v>0.10205731522119342</v>
      </c>
    </row>
    <row r="45" spans="1:10" x14ac:dyDescent="0.35">
      <c r="A45" t="s">
        <v>46</v>
      </c>
      <c r="B45" t="s">
        <v>47</v>
      </c>
      <c r="C45" t="s">
        <v>17</v>
      </c>
      <c r="D45" t="s">
        <v>51</v>
      </c>
      <c r="E45">
        <v>1</v>
      </c>
      <c r="F45" s="14">
        <v>2916.7312256</v>
      </c>
      <c r="G45" s="9">
        <v>212.58571324199292</v>
      </c>
      <c r="H45" s="12">
        <v>212.58571324199292</v>
      </c>
      <c r="I45">
        <f t="shared" si="0"/>
        <v>212.58571324199292</v>
      </c>
      <c r="J45">
        <f t="shared" si="1"/>
        <v>106.29285662099646</v>
      </c>
    </row>
    <row r="46" spans="1:10" x14ac:dyDescent="0.35">
      <c r="A46" t="s">
        <v>46</v>
      </c>
      <c r="B46" t="s">
        <v>47</v>
      </c>
      <c r="C46" t="s">
        <v>18</v>
      </c>
      <c r="D46" t="s">
        <v>51</v>
      </c>
      <c r="E46">
        <v>1</v>
      </c>
      <c r="F46" s="14">
        <v>522.45979290000002</v>
      </c>
      <c r="G46" s="9">
        <v>131.18263749324728</v>
      </c>
      <c r="H46" s="12">
        <v>131.18263749324728</v>
      </c>
      <c r="I46">
        <f t="shared" si="0"/>
        <v>131.18263749324728</v>
      </c>
      <c r="J46">
        <f t="shared" si="1"/>
        <v>65.591318746623642</v>
      </c>
    </row>
    <row r="47" spans="1:10" x14ac:dyDescent="0.35">
      <c r="A47" t="s">
        <v>46</v>
      </c>
      <c r="B47" t="s">
        <v>47</v>
      </c>
      <c r="C47" t="s">
        <v>20</v>
      </c>
      <c r="D47" t="s">
        <v>51</v>
      </c>
      <c r="E47">
        <v>1</v>
      </c>
      <c r="F47" s="14">
        <v>12.7936728</v>
      </c>
      <c r="G47" s="9">
        <v>0.44569402921942169</v>
      </c>
      <c r="H47" s="12">
        <v>0.44569402921942169</v>
      </c>
      <c r="I47">
        <f t="shared" si="0"/>
        <v>0.44569402921942169</v>
      </c>
      <c r="J47">
        <f t="shared" si="1"/>
        <v>0.22284701460971085</v>
      </c>
    </row>
    <row r="48" spans="1:10" x14ac:dyDescent="0.35">
      <c r="A48" t="s">
        <v>46</v>
      </c>
      <c r="B48" t="s">
        <v>47</v>
      </c>
      <c r="C48" t="s">
        <v>21</v>
      </c>
      <c r="D48" t="s">
        <v>51</v>
      </c>
      <c r="E48">
        <v>1</v>
      </c>
      <c r="F48" s="14">
        <v>350.5571999</v>
      </c>
      <c r="G48" s="9">
        <v>28.826817424279376</v>
      </c>
      <c r="H48" s="12">
        <v>28.826817424279376</v>
      </c>
      <c r="I48">
        <f t="shared" si="0"/>
        <v>28.826817424279376</v>
      </c>
      <c r="J48">
        <f t="shared" si="1"/>
        <v>14.413408712139688</v>
      </c>
    </row>
    <row r="49" spans="1:10" x14ac:dyDescent="0.35">
      <c r="A49" t="s">
        <v>46</v>
      </c>
      <c r="B49" t="s">
        <v>47</v>
      </c>
      <c r="C49" t="s">
        <v>22</v>
      </c>
      <c r="D49" t="s">
        <v>51</v>
      </c>
      <c r="E49">
        <v>1</v>
      </c>
      <c r="F49" s="14">
        <v>874.31958989999998</v>
      </c>
      <c r="G49" s="9">
        <v>1.8214930298731353</v>
      </c>
      <c r="H49" s="12">
        <v>1.8214930298731353</v>
      </c>
      <c r="I49">
        <f t="shared" si="0"/>
        <v>1.8214930298731353</v>
      </c>
      <c r="J49">
        <f t="shared" si="1"/>
        <v>0.91074651493656766</v>
      </c>
    </row>
    <row r="50" spans="1:10" x14ac:dyDescent="0.35">
      <c r="A50" t="s">
        <v>46</v>
      </c>
      <c r="B50" t="s">
        <v>47</v>
      </c>
      <c r="C50" t="s">
        <v>23</v>
      </c>
      <c r="D50" t="s">
        <v>51</v>
      </c>
      <c r="E50">
        <v>1</v>
      </c>
      <c r="F50" s="14">
        <v>0</v>
      </c>
      <c r="G50" s="9">
        <v>93.683024405987098</v>
      </c>
      <c r="H50" s="12">
        <v>93.683024405987098</v>
      </c>
      <c r="I50">
        <f t="shared" si="0"/>
        <v>93.683024405987098</v>
      </c>
      <c r="J50">
        <f t="shared" si="1"/>
        <v>46.841512202993549</v>
      </c>
    </row>
    <row r="51" spans="1:10" x14ac:dyDescent="0.35">
      <c r="A51" t="s">
        <v>46</v>
      </c>
      <c r="B51" t="s">
        <v>47</v>
      </c>
      <c r="C51" t="s">
        <v>24</v>
      </c>
      <c r="D51" t="s">
        <v>51</v>
      </c>
      <c r="E51">
        <v>1</v>
      </c>
      <c r="F51" s="14">
        <v>1061.4238134000002</v>
      </c>
      <c r="G51" s="9">
        <v>182.63687000367713</v>
      </c>
      <c r="H51" s="12">
        <v>182.63687000367713</v>
      </c>
      <c r="I51">
        <f t="shared" si="0"/>
        <v>182.63687000367713</v>
      </c>
      <c r="J51">
        <f t="shared" si="1"/>
        <v>91.318435001838566</v>
      </c>
    </row>
    <row r="52" spans="1:10" x14ac:dyDescent="0.35">
      <c r="A52" t="s">
        <v>46</v>
      </c>
      <c r="B52" t="s">
        <v>47</v>
      </c>
      <c r="C52" t="s">
        <v>25</v>
      </c>
      <c r="D52" t="s">
        <v>51</v>
      </c>
      <c r="E52">
        <v>1</v>
      </c>
      <c r="F52" s="14">
        <v>144.85453709999999</v>
      </c>
      <c r="G52" s="9">
        <v>21.647845052322911</v>
      </c>
      <c r="H52" s="12">
        <v>21.647845052322911</v>
      </c>
      <c r="I52">
        <f t="shared" si="0"/>
        <v>21.647845052322911</v>
      </c>
      <c r="J52">
        <f t="shared" si="1"/>
        <v>10.823922526161455</v>
      </c>
    </row>
    <row r="53" spans="1:10" x14ac:dyDescent="0.35">
      <c r="A53" t="s">
        <v>46</v>
      </c>
      <c r="B53" t="s">
        <v>47</v>
      </c>
      <c r="C53" t="s">
        <v>26</v>
      </c>
      <c r="D53" t="s">
        <v>51</v>
      </c>
      <c r="E53">
        <v>1</v>
      </c>
      <c r="F53" s="14">
        <v>1271.6816639000001</v>
      </c>
      <c r="G53" s="9">
        <v>36.391599850795373</v>
      </c>
      <c r="H53" s="12">
        <v>36.391599850795373</v>
      </c>
      <c r="I53">
        <f t="shared" si="0"/>
        <v>36.391599850795373</v>
      </c>
      <c r="J53">
        <f t="shared" si="1"/>
        <v>18.195799925397687</v>
      </c>
    </row>
    <row r="54" spans="1:10" x14ac:dyDescent="0.35">
      <c r="A54" t="s">
        <v>46</v>
      </c>
      <c r="B54" t="s">
        <v>47</v>
      </c>
      <c r="C54" t="s">
        <v>27</v>
      </c>
      <c r="D54" t="s">
        <v>51</v>
      </c>
      <c r="E54">
        <v>1</v>
      </c>
      <c r="F54" s="14">
        <v>132.0314176</v>
      </c>
      <c r="G54" s="9">
        <v>11.9429103657986</v>
      </c>
      <c r="H54" s="12">
        <v>11.9429103657986</v>
      </c>
      <c r="I54">
        <f t="shared" si="0"/>
        <v>11.9429103657986</v>
      </c>
      <c r="J54">
        <f t="shared" si="1"/>
        <v>5.9714551828992999</v>
      </c>
    </row>
    <row r="55" spans="1:10" x14ac:dyDescent="0.35">
      <c r="A55" t="s">
        <v>46</v>
      </c>
      <c r="B55" t="s">
        <v>47</v>
      </c>
      <c r="C55" t="s">
        <v>28</v>
      </c>
      <c r="D55" t="s">
        <v>51</v>
      </c>
      <c r="E55">
        <v>1</v>
      </c>
      <c r="F55" s="14">
        <v>33.025971699999999</v>
      </c>
      <c r="G55" s="9">
        <v>0.90514193862051773</v>
      </c>
      <c r="H55" s="12">
        <v>0.90514193862051773</v>
      </c>
      <c r="I55">
        <f t="shared" si="0"/>
        <v>0.90514193862051773</v>
      </c>
      <c r="J55">
        <f t="shared" si="1"/>
        <v>0.45257096931025886</v>
      </c>
    </row>
    <row r="56" spans="1:10" x14ac:dyDescent="0.35">
      <c r="A56" t="s">
        <v>46</v>
      </c>
      <c r="B56" t="s">
        <v>47</v>
      </c>
      <c r="C56" t="s">
        <v>29</v>
      </c>
      <c r="D56" t="s">
        <v>51</v>
      </c>
      <c r="E56">
        <v>1</v>
      </c>
      <c r="F56" s="14">
        <v>12.2454357</v>
      </c>
      <c r="G56" s="9">
        <v>2.3280261182177044</v>
      </c>
      <c r="H56" s="12">
        <v>2.3280261182177044</v>
      </c>
      <c r="I56">
        <f t="shared" si="0"/>
        <v>2.3280261182177044</v>
      </c>
      <c r="J56">
        <f t="shared" si="1"/>
        <v>1.1640130591088522</v>
      </c>
    </row>
    <row r="57" spans="1:10" x14ac:dyDescent="0.35">
      <c r="A57" t="s">
        <v>46</v>
      </c>
      <c r="B57" t="s">
        <v>47</v>
      </c>
      <c r="C57" t="s">
        <v>30</v>
      </c>
      <c r="D57" t="s">
        <v>51</v>
      </c>
      <c r="E57">
        <v>1</v>
      </c>
      <c r="F57" s="14">
        <v>51.282988500000002</v>
      </c>
      <c r="G57" s="9">
        <v>15.048382816017654</v>
      </c>
      <c r="H57" s="12">
        <v>15.048382816017654</v>
      </c>
      <c r="I57">
        <f t="shared" si="0"/>
        <v>15.048382816017654</v>
      </c>
      <c r="J57">
        <f t="shared" si="1"/>
        <v>7.5241914080088268</v>
      </c>
    </row>
    <row r="58" spans="1:10" x14ac:dyDescent="0.35">
      <c r="A58" t="s">
        <v>46</v>
      </c>
      <c r="B58" t="s">
        <v>47</v>
      </c>
      <c r="C58" t="s">
        <v>31</v>
      </c>
      <c r="D58" t="s">
        <v>51</v>
      </c>
      <c r="E58">
        <v>1</v>
      </c>
      <c r="F58" s="14">
        <v>10.8751377</v>
      </c>
      <c r="G58" s="9">
        <v>3.2377899067267442</v>
      </c>
      <c r="H58" s="12">
        <v>3.2377899067267442</v>
      </c>
      <c r="I58">
        <f t="shared" si="0"/>
        <v>3.2377899067267442</v>
      </c>
      <c r="J58">
        <f t="shared" si="1"/>
        <v>1.6188949533633721</v>
      </c>
    </row>
    <row r="59" spans="1:10" x14ac:dyDescent="0.35">
      <c r="A59" t="s">
        <v>46</v>
      </c>
      <c r="B59" t="s">
        <v>47</v>
      </c>
      <c r="C59" t="s">
        <v>32</v>
      </c>
      <c r="D59" t="s">
        <v>51</v>
      </c>
      <c r="E59">
        <v>1</v>
      </c>
      <c r="F59" s="14">
        <v>55.3590248</v>
      </c>
      <c r="G59" s="9">
        <v>6.8490436676907507</v>
      </c>
      <c r="H59" s="12">
        <v>6.8490436676907507</v>
      </c>
      <c r="I59">
        <f t="shared" si="0"/>
        <v>6.8490436676907507</v>
      </c>
      <c r="J59">
        <f t="shared" si="1"/>
        <v>3.4245218338453753</v>
      </c>
    </row>
    <row r="60" spans="1:10" x14ac:dyDescent="0.35">
      <c r="A60" t="s">
        <v>46</v>
      </c>
      <c r="B60" t="s">
        <v>47</v>
      </c>
      <c r="C60" t="s">
        <v>33</v>
      </c>
      <c r="D60" t="s">
        <v>51</v>
      </c>
      <c r="E60">
        <v>1</v>
      </c>
      <c r="F60" s="14">
        <v>9.1917089000000001</v>
      </c>
      <c r="G60" s="9">
        <v>0.40814954311194462</v>
      </c>
      <c r="H60" s="12">
        <v>0.40814954311194462</v>
      </c>
      <c r="I60">
        <f t="shared" si="0"/>
        <v>0.40814954311194462</v>
      </c>
      <c r="J60">
        <f t="shared" si="1"/>
        <v>0.20407477155597231</v>
      </c>
    </row>
    <row r="61" spans="1:10" x14ac:dyDescent="0.35">
      <c r="A61" t="s">
        <v>46</v>
      </c>
      <c r="B61" t="s">
        <v>47</v>
      </c>
      <c r="C61" t="s">
        <v>34</v>
      </c>
      <c r="D61" t="s">
        <v>51</v>
      </c>
      <c r="E61">
        <v>1</v>
      </c>
      <c r="F61" s="14">
        <v>0</v>
      </c>
      <c r="G61" s="9">
        <v>0.24879984161748689</v>
      </c>
      <c r="H61" s="12">
        <v>0.24879984161748689</v>
      </c>
      <c r="I61">
        <f t="shared" si="0"/>
        <v>0.24879984161748689</v>
      </c>
      <c r="J61">
        <f t="shared" si="1"/>
        <v>0.12439992080874344</v>
      </c>
    </row>
    <row r="62" spans="1:10" x14ac:dyDescent="0.35">
      <c r="A62" t="s">
        <v>46</v>
      </c>
      <c r="B62" t="s">
        <v>47</v>
      </c>
      <c r="C62" t="s">
        <v>35</v>
      </c>
      <c r="D62" t="s">
        <v>51</v>
      </c>
      <c r="E62">
        <v>1</v>
      </c>
      <c r="F62" s="14">
        <v>133.8922096</v>
      </c>
      <c r="G62" s="9">
        <v>7.7948184580288951</v>
      </c>
      <c r="H62" s="12">
        <v>7.7948184580288951</v>
      </c>
      <c r="I62">
        <f t="shared" si="0"/>
        <v>7.7948184580288951</v>
      </c>
      <c r="J62">
        <f t="shared" si="1"/>
        <v>3.8974092290144475</v>
      </c>
    </row>
    <row r="63" spans="1:10" x14ac:dyDescent="0.35">
      <c r="A63" t="s">
        <v>46</v>
      </c>
      <c r="B63" t="s">
        <v>47</v>
      </c>
      <c r="C63" t="s">
        <v>36</v>
      </c>
      <c r="D63" t="s">
        <v>51</v>
      </c>
      <c r="E63">
        <v>1</v>
      </c>
      <c r="F63" s="14">
        <v>9.4802548000000009</v>
      </c>
      <c r="G63" s="9">
        <v>2.6981383431522001</v>
      </c>
      <c r="H63" s="12">
        <v>2.6981383431522001</v>
      </c>
      <c r="I63">
        <f t="shared" si="0"/>
        <v>2.6981383431522001</v>
      </c>
      <c r="J63">
        <f t="shared" si="1"/>
        <v>1.3490691715761001</v>
      </c>
    </row>
    <row r="64" spans="1:10" x14ac:dyDescent="0.35">
      <c r="A64" t="s">
        <v>46</v>
      </c>
      <c r="B64" t="s">
        <v>47</v>
      </c>
      <c r="C64" t="s">
        <v>37</v>
      </c>
      <c r="D64" t="s">
        <v>51</v>
      </c>
      <c r="E64">
        <v>1</v>
      </c>
      <c r="F64" s="14">
        <v>61.976930500000002</v>
      </c>
      <c r="G64" s="9">
        <v>19.027862568489461</v>
      </c>
      <c r="H64" s="12">
        <v>19.027862568489461</v>
      </c>
      <c r="I64">
        <f t="shared" ref="I64:I125" si="2">IF(G64&lt;0,0,G64)</f>
        <v>19.027862568489461</v>
      </c>
      <c r="J64">
        <f t="shared" si="1"/>
        <v>9.5139312842447303</v>
      </c>
    </row>
    <row r="65" spans="1:10" x14ac:dyDescent="0.35">
      <c r="A65" t="s">
        <v>46</v>
      </c>
      <c r="B65" t="s">
        <v>47</v>
      </c>
      <c r="C65" t="s">
        <v>38</v>
      </c>
      <c r="D65" t="s">
        <v>51</v>
      </c>
      <c r="E65">
        <v>1</v>
      </c>
      <c r="F65" s="14">
        <v>1.9349927</v>
      </c>
      <c r="G65" s="9">
        <v>0.17388440536686078</v>
      </c>
      <c r="H65" s="12">
        <v>0.17388440536686078</v>
      </c>
      <c r="I65">
        <f t="shared" si="2"/>
        <v>0.17388440536686078</v>
      </c>
      <c r="J65">
        <f t="shared" si="1"/>
        <v>8.6942202683430392E-2</v>
      </c>
    </row>
    <row r="66" spans="1:10" x14ac:dyDescent="0.35">
      <c r="A66" t="s">
        <v>46</v>
      </c>
      <c r="B66" t="s">
        <v>47</v>
      </c>
      <c r="C66" t="s">
        <v>39</v>
      </c>
      <c r="D66" t="s">
        <v>51</v>
      </c>
      <c r="E66">
        <v>1</v>
      </c>
      <c r="F66" s="14">
        <v>0.44111860000000003</v>
      </c>
      <c r="G66" s="9">
        <v>0.36365279450971877</v>
      </c>
      <c r="H66" s="12">
        <v>0.36365279450971877</v>
      </c>
      <c r="I66">
        <f t="shared" si="2"/>
        <v>0.36365279450971877</v>
      </c>
      <c r="J66">
        <f t="shared" si="1"/>
        <v>0.18182639725485938</v>
      </c>
    </row>
    <row r="67" spans="1:10" x14ac:dyDescent="0.35">
      <c r="A67" t="s">
        <v>46</v>
      </c>
      <c r="B67" t="s">
        <v>47</v>
      </c>
      <c r="C67" t="s">
        <v>40</v>
      </c>
      <c r="D67" t="s">
        <v>51</v>
      </c>
      <c r="E67">
        <v>1</v>
      </c>
      <c r="F67" s="14">
        <v>14.5842812</v>
      </c>
      <c r="G67" s="9">
        <v>1.8093496107711884</v>
      </c>
      <c r="H67" s="12">
        <v>1.8093496107711884</v>
      </c>
      <c r="I67">
        <f t="shared" si="2"/>
        <v>1.8093496107711884</v>
      </c>
      <c r="J67">
        <f t="shared" ref="J67:J128" si="3">I67/2</f>
        <v>0.90467480538559419</v>
      </c>
    </row>
    <row r="68" spans="1:10" x14ac:dyDescent="0.35">
      <c r="A68" t="s">
        <v>46</v>
      </c>
      <c r="B68" t="s">
        <v>47</v>
      </c>
      <c r="C68" t="s">
        <v>41</v>
      </c>
      <c r="D68" t="s">
        <v>51</v>
      </c>
      <c r="E68">
        <v>1</v>
      </c>
      <c r="F68" s="14">
        <v>98.077004100000011</v>
      </c>
      <c r="G68" s="9">
        <v>3.895112258536007</v>
      </c>
      <c r="H68" s="12">
        <v>3.895112258536007</v>
      </c>
      <c r="I68">
        <f t="shared" si="2"/>
        <v>3.895112258536007</v>
      </c>
      <c r="J68">
        <f t="shared" si="3"/>
        <v>1.9475561292680035</v>
      </c>
    </row>
    <row r="69" spans="1:10" s="8" customFormat="1" x14ac:dyDescent="0.35">
      <c r="A69" s="8" t="s">
        <v>46</v>
      </c>
      <c r="B69" s="8" t="s">
        <v>47</v>
      </c>
      <c r="C69" s="8" t="s">
        <v>42</v>
      </c>
      <c r="D69" s="8" t="s">
        <v>51</v>
      </c>
      <c r="E69" s="8">
        <v>1</v>
      </c>
      <c r="F69" s="15">
        <v>0</v>
      </c>
      <c r="G69" s="10">
        <v>0.2445048179847818</v>
      </c>
      <c r="H69" s="13">
        <v>0.2445048179847818</v>
      </c>
      <c r="I69" s="8">
        <f t="shared" si="2"/>
        <v>0.2445048179847818</v>
      </c>
      <c r="J69" s="8">
        <f t="shared" si="3"/>
        <v>0.1222524089923909</v>
      </c>
    </row>
    <row r="70" spans="1:10" x14ac:dyDescent="0.35">
      <c r="A70" t="s">
        <v>48</v>
      </c>
      <c r="B70" t="s">
        <v>49</v>
      </c>
      <c r="C70" t="s">
        <v>7</v>
      </c>
      <c r="D70" t="s">
        <v>50</v>
      </c>
      <c r="E70">
        <v>1</v>
      </c>
      <c r="F70" s="14">
        <v>6.4875883000000005</v>
      </c>
      <c r="G70" s="9">
        <v>0.78371756433918571</v>
      </c>
      <c r="H70" s="12">
        <v>0.78371756433918571</v>
      </c>
      <c r="I70">
        <f t="shared" si="2"/>
        <v>0.78371756433918571</v>
      </c>
      <c r="J70">
        <f t="shared" si="3"/>
        <v>0.39185878216959286</v>
      </c>
    </row>
    <row r="71" spans="1:10" x14ac:dyDescent="0.35">
      <c r="A71" t="s">
        <v>48</v>
      </c>
      <c r="B71" t="s">
        <v>49</v>
      </c>
      <c r="C71" t="s">
        <v>9</v>
      </c>
      <c r="D71" t="s">
        <v>50</v>
      </c>
      <c r="E71">
        <v>1</v>
      </c>
      <c r="F71" s="14">
        <v>10.9727718</v>
      </c>
      <c r="G71" s="9">
        <v>0.33491054243427321</v>
      </c>
      <c r="H71" s="12">
        <v>0.33491054243427321</v>
      </c>
      <c r="I71">
        <f t="shared" si="2"/>
        <v>0.33491054243427321</v>
      </c>
      <c r="J71">
        <f t="shared" si="3"/>
        <v>0.1674552712171366</v>
      </c>
    </row>
    <row r="72" spans="1:10" x14ac:dyDescent="0.35">
      <c r="A72" t="s">
        <v>48</v>
      </c>
      <c r="B72" t="s">
        <v>49</v>
      </c>
      <c r="C72" t="s">
        <v>10</v>
      </c>
      <c r="D72" t="s">
        <v>50</v>
      </c>
      <c r="E72">
        <v>1</v>
      </c>
      <c r="F72" s="14">
        <v>1.0574169</v>
      </c>
      <c r="G72" s="9">
        <v>7.8351723387950267E-2</v>
      </c>
      <c r="H72" s="12">
        <v>7.8351723387950267E-2</v>
      </c>
      <c r="I72">
        <f t="shared" si="2"/>
        <v>7.8351723387950267E-2</v>
      </c>
      <c r="J72">
        <f t="shared" si="3"/>
        <v>3.9175861693975134E-2</v>
      </c>
    </row>
    <row r="73" spans="1:10" x14ac:dyDescent="0.35">
      <c r="A73" t="s">
        <v>48</v>
      </c>
      <c r="B73" t="s">
        <v>49</v>
      </c>
      <c r="C73" t="s">
        <v>11</v>
      </c>
      <c r="D73" t="s">
        <v>50</v>
      </c>
      <c r="E73">
        <v>1</v>
      </c>
      <c r="F73" s="14">
        <v>24.593410299999999</v>
      </c>
      <c r="G73" s="9">
        <v>9.8309126878479844</v>
      </c>
      <c r="H73" s="12">
        <v>9.8309126878479844</v>
      </c>
      <c r="I73">
        <f t="shared" si="2"/>
        <v>9.8309126878479844</v>
      </c>
      <c r="J73">
        <f t="shared" si="3"/>
        <v>4.9154563439239922</v>
      </c>
    </row>
    <row r="74" spans="1:10" x14ac:dyDescent="0.35">
      <c r="A74" t="s">
        <v>48</v>
      </c>
      <c r="B74" t="s">
        <v>49</v>
      </c>
      <c r="C74" t="s">
        <v>12</v>
      </c>
      <c r="D74" t="s">
        <v>50</v>
      </c>
      <c r="E74">
        <v>1</v>
      </c>
      <c r="F74" s="14">
        <v>92.250922799999998</v>
      </c>
      <c r="G74" s="9">
        <v>7.4235702896453564</v>
      </c>
      <c r="H74" s="12">
        <v>7.4235702896453564</v>
      </c>
      <c r="I74">
        <f t="shared" si="2"/>
        <v>7.4235702896453564</v>
      </c>
      <c r="J74">
        <f t="shared" si="3"/>
        <v>3.7117851448226782</v>
      </c>
    </row>
    <row r="75" spans="1:10" x14ac:dyDescent="0.35">
      <c r="A75" t="s">
        <v>48</v>
      </c>
      <c r="B75" t="s">
        <v>49</v>
      </c>
      <c r="C75" t="s">
        <v>13</v>
      </c>
      <c r="D75" t="s">
        <v>50</v>
      </c>
      <c r="E75">
        <v>1</v>
      </c>
      <c r="F75" s="14">
        <v>280.79809690000002</v>
      </c>
      <c r="G75" s="9">
        <v>73.54163249194923</v>
      </c>
      <c r="H75" s="12">
        <v>73.54163249194923</v>
      </c>
      <c r="I75">
        <f t="shared" si="2"/>
        <v>73.54163249194923</v>
      </c>
      <c r="J75">
        <f t="shared" si="3"/>
        <v>36.770816245974615</v>
      </c>
    </row>
    <row r="76" spans="1:10" x14ac:dyDescent="0.35">
      <c r="A76" t="s">
        <v>48</v>
      </c>
      <c r="B76" t="s">
        <v>49</v>
      </c>
      <c r="C76" t="s">
        <v>14</v>
      </c>
      <c r="D76" t="s">
        <v>50</v>
      </c>
      <c r="E76">
        <v>1</v>
      </c>
      <c r="F76" s="14">
        <v>0</v>
      </c>
      <c r="G76" s="9">
        <v>-2.611695608638525E-2</v>
      </c>
      <c r="H76" s="12">
        <v>-2.611695608638525E-2</v>
      </c>
      <c r="I76">
        <f t="shared" si="2"/>
        <v>0</v>
      </c>
      <c r="J76">
        <f t="shared" si="3"/>
        <v>0</v>
      </c>
    </row>
    <row r="77" spans="1:10" x14ac:dyDescent="0.35">
      <c r="A77" t="s">
        <v>48</v>
      </c>
      <c r="B77" t="s">
        <v>49</v>
      </c>
      <c r="C77" t="s">
        <v>15</v>
      </c>
      <c r="D77" t="s">
        <v>50</v>
      </c>
      <c r="E77">
        <v>1</v>
      </c>
      <c r="F77" s="14">
        <v>16.017326799999999</v>
      </c>
      <c r="G77" s="9">
        <v>0.77618938541188731</v>
      </c>
      <c r="H77" s="12">
        <v>0.77618938541188731</v>
      </c>
      <c r="I77">
        <f t="shared" si="2"/>
        <v>0.77618938541188731</v>
      </c>
      <c r="J77">
        <f t="shared" si="3"/>
        <v>0.38809469270594366</v>
      </c>
    </row>
    <row r="78" spans="1:10" x14ac:dyDescent="0.35">
      <c r="A78" t="s">
        <v>48</v>
      </c>
      <c r="B78" t="s">
        <v>49</v>
      </c>
      <c r="C78" t="s">
        <v>16</v>
      </c>
      <c r="D78" t="s">
        <v>50</v>
      </c>
      <c r="E78">
        <v>1</v>
      </c>
      <c r="F78" s="14">
        <v>0</v>
      </c>
      <c r="G78" s="9">
        <v>0.16473303563567468</v>
      </c>
      <c r="H78" s="12">
        <v>0.16473303563567468</v>
      </c>
      <c r="I78">
        <f t="shared" si="2"/>
        <v>0.16473303563567468</v>
      </c>
      <c r="J78">
        <f t="shared" si="3"/>
        <v>8.236651781783734E-2</v>
      </c>
    </row>
    <row r="79" spans="1:10" x14ac:dyDescent="0.35">
      <c r="A79" t="s">
        <v>48</v>
      </c>
      <c r="B79" t="s">
        <v>49</v>
      </c>
      <c r="C79" t="s">
        <v>17</v>
      </c>
      <c r="D79" t="s">
        <v>50</v>
      </c>
      <c r="E79">
        <v>1</v>
      </c>
      <c r="F79" s="14">
        <v>3781.7041416000002</v>
      </c>
      <c r="G79" s="9">
        <v>275.67043896991129</v>
      </c>
      <c r="H79" s="12">
        <v>275.67043896991129</v>
      </c>
      <c r="I79">
        <f t="shared" si="2"/>
        <v>275.67043896991129</v>
      </c>
      <c r="J79">
        <f t="shared" si="3"/>
        <v>137.83521948495564</v>
      </c>
    </row>
    <row r="80" spans="1:10" x14ac:dyDescent="0.35">
      <c r="A80" t="s">
        <v>48</v>
      </c>
      <c r="B80" t="s">
        <v>49</v>
      </c>
      <c r="C80" t="s">
        <v>18</v>
      </c>
      <c r="D80" t="s">
        <v>50</v>
      </c>
      <c r="E80">
        <v>1</v>
      </c>
      <c r="F80" s="14">
        <v>399.9685551</v>
      </c>
      <c r="G80" s="9">
        <v>100.53341950400326</v>
      </c>
      <c r="H80" s="12">
        <v>100.53341950400326</v>
      </c>
      <c r="I80">
        <f t="shared" si="2"/>
        <v>100.53341950400326</v>
      </c>
      <c r="J80">
        <f t="shared" si="3"/>
        <v>50.266709752001631</v>
      </c>
    </row>
    <row r="81" spans="1:10" x14ac:dyDescent="0.35">
      <c r="A81" t="s">
        <v>48</v>
      </c>
      <c r="B81" t="s">
        <v>49</v>
      </c>
      <c r="C81" t="s">
        <v>20</v>
      </c>
      <c r="D81" t="s">
        <v>50</v>
      </c>
      <c r="E81">
        <v>1</v>
      </c>
      <c r="F81" s="14">
        <v>10.632385599999999</v>
      </c>
      <c r="G81" s="9">
        <v>2.2874953904190787</v>
      </c>
      <c r="H81" s="12">
        <v>2.2874953904190787</v>
      </c>
      <c r="I81">
        <f t="shared" si="2"/>
        <v>2.2874953904190787</v>
      </c>
      <c r="J81">
        <f t="shared" si="3"/>
        <v>1.1437476952095393</v>
      </c>
    </row>
    <row r="82" spans="1:10" x14ac:dyDescent="0.35">
      <c r="A82" t="s">
        <v>48</v>
      </c>
      <c r="B82" t="s">
        <v>49</v>
      </c>
      <c r="C82" t="s">
        <v>21</v>
      </c>
      <c r="D82" t="s">
        <v>50</v>
      </c>
      <c r="E82">
        <v>1</v>
      </c>
      <c r="F82" s="14">
        <v>1125.7129593</v>
      </c>
      <c r="G82" s="9">
        <v>91.826634428014344</v>
      </c>
      <c r="H82" s="12">
        <v>91.826634428014344</v>
      </c>
      <c r="I82">
        <f t="shared" si="2"/>
        <v>91.826634428014344</v>
      </c>
      <c r="J82">
        <f t="shared" si="3"/>
        <v>45.913317214007172</v>
      </c>
    </row>
    <row r="83" spans="1:10" x14ac:dyDescent="0.35">
      <c r="A83" t="s">
        <v>48</v>
      </c>
      <c r="B83" t="s">
        <v>49</v>
      </c>
      <c r="C83" t="s">
        <v>22</v>
      </c>
      <c r="D83" t="s">
        <v>50</v>
      </c>
      <c r="E83">
        <v>1</v>
      </c>
      <c r="F83" s="14">
        <v>916.77240740000002</v>
      </c>
      <c r="G83" s="9">
        <v>2.4954383605449347E-2</v>
      </c>
      <c r="H83" s="12">
        <v>2.4954383605449347E-2</v>
      </c>
      <c r="I83">
        <f t="shared" si="2"/>
        <v>2.4954383605449347E-2</v>
      </c>
      <c r="J83">
        <f t="shared" si="3"/>
        <v>1.2477191802724674E-2</v>
      </c>
    </row>
    <row r="84" spans="1:10" x14ac:dyDescent="0.35">
      <c r="A84" t="s">
        <v>48</v>
      </c>
      <c r="B84" t="s">
        <v>49</v>
      </c>
      <c r="C84" t="s">
        <v>23</v>
      </c>
      <c r="D84" t="s">
        <v>50</v>
      </c>
      <c r="E84">
        <v>1</v>
      </c>
      <c r="F84" s="14">
        <v>0.34779369999999998</v>
      </c>
      <c r="G84" s="9">
        <v>75.631288375846964</v>
      </c>
      <c r="H84" s="12">
        <v>75.631288375846964</v>
      </c>
      <c r="I84">
        <f t="shared" si="2"/>
        <v>75.631288375846964</v>
      </c>
      <c r="J84">
        <f t="shared" si="3"/>
        <v>37.815644187923482</v>
      </c>
    </row>
    <row r="85" spans="1:10" x14ac:dyDescent="0.35">
      <c r="A85" t="s">
        <v>48</v>
      </c>
      <c r="B85" t="s">
        <v>49</v>
      </c>
      <c r="C85" t="s">
        <v>24</v>
      </c>
      <c r="D85" t="s">
        <v>50</v>
      </c>
      <c r="E85">
        <v>1</v>
      </c>
      <c r="F85" s="14">
        <v>1190.6025333</v>
      </c>
      <c r="G85" s="9">
        <v>182.38921952044905</v>
      </c>
      <c r="H85" s="12">
        <v>182.38921952044905</v>
      </c>
      <c r="I85">
        <f t="shared" si="2"/>
        <v>182.38921952044905</v>
      </c>
      <c r="J85">
        <f t="shared" si="3"/>
        <v>91.194609760224523</v>
      </c>
    </row>
    <row r="86" spans="1:10" x14ac:dyDescent="0.35">
      <c r="A86" t="s">
        <v>48</v>
      </c>
      <c r="B86" t="s">
        <v>49</v>
      </c>
      <c r="C86" t="s">
        <v>25</v>
      </c>
      <c r="D86" t="s">
        <v>50</v>
      </c>
      <c r="E86">
        <v>1</v>
      </c>
      <c r="F86" s="14">
        <v>6.1077079999999997</v>
      </c>
      <c r="G86" s="9">
        <v>15.619793883810091</v>
      </c>
      <c r="H86" s="12">
        <v>15.619793883810091</v>
      </c>
      <c r="I86">
        <f t="shared" si="2"/>
        <v>15.619793883810091</v>
      </c>
      <c r="J86">
        <f t="shared" si="3"/>
        <v>7.8098969419050457</v>
      </c>
    </row>
    <row r="87" spans="1:10" x14ac:dyDescent="0.35">
      <c r="A87" t="s">
        <v>48</v>
      </c>
      <c r="B87" t="s">
        <v>49</v>
      </c>
      <c r="C87" t="s">
        <v>26</v>
      </c>
      <c r="D87" t="s">
        <v>50</v>
      </c>
      <c r="E87">
        <v>1</v>
      </c>
      <c r="F87" s="14">
        <v>1884.9026352999999</v>
      </c>
      <c r="G87" s="9">
        <v>53.949186698904299</v>
      </c>
      <c r="H87" s="12">
        <v>53.949186698904299</v>
      </c>
      <c r="I87">
        <f t="shared" si="2"/>
        <v>53.949186698904299</v>
      </c>
      <c r="J87">
        <f t="shared" si="3"/>
        <v>26.974593349452149</v>
      </c>
    </row>
    <row r="88" spans="1:10" x14ac:dyDescent="0.35">
      <c r="A88" t="s">
        <v>48</v>
      </c>
      <c r="B88" t="s">
        <v>49</v>
      </c>
      <c r="C88" t="s">
        <v>27</v>
      </c>
      <c r="D88" t="s">
        <v>50</v>
      </c>
      <c r="E88">
        <v>1</v>
      </c>
      <c r="F88" s="14">
        <v>150.35204440000001</v>
      </c>
      <c r="G88" s="9">
        <v>13.582293567734212</v>
      </c>
      <c r="H88" s="12">
        <v>13.582293567734212</v>
      </c>
      <c r="I88">
        <f t="shared" si="2"/>
        <v>13.582293567734212</v>
      </c>
      <c r="J88">
        <f t="shared" si="3"/>
        <v>6.7911467838671058</v>
      </c>
    </row>
    <row r="89" spans="1:10" x14ac:dyDescent="0.35">
      <c r="A89" t="s">
        <v>48</v>
      </c>
      <c r="B89" t="s">
        <v>49</v>
      </c>
      <c r="C89" t="s">
        <v>28</v>
      </c>
      <c r="D89" t="s">
        <v>50</v>
      </c>
      <c r="E89">
        <v>1</v>
      </c>
      <c r="F89" s="14">
        <v>54.270929700000003</v>
      </c>
      <c r="G89" s="9">
        <v>1.4729592557686841</v>
      </c>
      <c r="H89" s="12">
        <v>1.4729592557686841</v>
      </c>
      <c r="I89">
        <f t="shared" si="2"/>
        <v>1.4729592557686841</v>
      </c>
      <c r="J89">
        <f t="shared" si="3"/>
        <v>0.73647962788434207</v>
      </c>
    </row>
    <row r="90" spans="1:10" x14ac:dyDescent="0.35">
      <c r="A90" t="s">
        <v>48</v>
      </c>
      <c r="B90" t="s">
        <v>49</v>
      </c>
      <c r="C90" t="s">
        <v>29</v>
      </c>
      <c r="D90" t="s">
        <v>50</v>
      </c>
      <c r="E90">
        <v>1</v>
      </c>
      <c r="F90" s="14">
        <v>0</v>
      </c>
      <c r="G90" s="9">
        <v>9.695371156273799</v>
      </c>
      <c r="H90" s="12">
        <v>9.695371156273799</v>
      </c>
      <c r="I90">
        <f t="shared" si="2"/>
        <v>9.695371156273799</v>
      </c>
      <c r="J90">
        <f t="shared" si="3"/>
        <v>4.8476855781368995</v>
      </c>
    </row>
    <row r="91" spans="1:10" x14ac:dyDescent="0.35">
      <c r="A91" t="s">
        <v>48</v>
      </c>
      <c r="B91" t="s">
        <v>49</v>
      </c>
      <c r="C91" t="s">
        <v>30</v>
      </c>
      <c r="D91" t="s">
        <v>50</v>
      </c>
      <c r="E91">
        <v>1</v>
      </c>
      <c r="F91" s="14">
        <v>19.658987099999997</v>
      </c>
      <c r="G91" s="9">
        <v>5.7755462636561727</v>
      </c>
      <c r="H91" s="12">
        <v>5.7755462636561727</v>
      </c>
      <c r="I91">
        <f t="shared" si="2"/>
        <v>5.7755462636561727</v>
      </c>
      <c r="J91">
        <f t="shared" si="3"/>
        <v>2.8877731318280864</v>
      </c>
    </row>
    <row r="92" spans="1:10" x14ac:dyDescent="0.35">
      <c r="A92" t="s">
        <v>48</v>
      </c>
      <c r="B92" t="s">
        <v>49</v>
      </c>
      <c r="C92" t="s">
        <v>31</v>
      </c>
      <c r="D92" t="s">
        <v>50</v>
      </c>
      <c r="E92">
        <v>1</v>
      </c>
      <c r="F92" s="14">
        <v>5.1913860000000005</v>
      </c>
      <c r="G92" s="9">
        <v>1.5282512673913358</v>
      </c>
      <c r="H92" s="12">
        <v>1.5282512673913358</v>
      </c>
      <c r="I92">
        <f t="shared" si="2"/>
        <v>1.5282512673913358</v>
      </c>
      <c r="J92">
        <f t="shared" si="3"/>
        <v>0.76412563369566788</v>
      </c>
    </row>
    <row r="93" spans="1:10" x14ac:dyDescent="0.35">
      <c r="A93" t="s">
        <v>48</v>
      </c>
      <c r="B93" t="s">
        <v>49</v>
      </c>
      <c r="C93" t="s">
        <v>32</v>
      </c>
      <c r="D93" t="s">
        <v>50</v>
      </c>
      <c r="E93">
        <v>1</v>
      </c>
      <c r="F93" s="14">
        <v>40.570802199999996</v>
      </c>
      <c r="G93" s="9">
        <v>5.0175814300741726</v>
      </c>
      <c r="H93" s="12">
        <v>5.0175814300741726</v>
      </c>
      <c r="I93">
        <f t="shared" si="2"/>
        <v>5.0175814300741726</v>
      </c>
      <c r="J93">
        <f t="shared" si="3"/>
        <v>2.5087907150370863</v>
      </c>
    </row>
    <row r="94" spans="1:10" x14ac:dyDescent="0.35">
      <c r="A94" t="s">
        <v>48</v>
      </c>
      <c r="B94" t="s">
        <v>49</v>
      </c>
      <c r="C94" t="s">
        <v>33</v>
      </c>
      <c r="D94" t="s">
        <v>50</v>
      </c>
      <c r="E94">
        <v>1</v>
      </c>
      <c r="F94" s="14">
        <v>7.5946672</v>
      </c>
      <c r="G94" s="9">
        <v>0.33349229163493022</v>
      </c>
      <c r="H94" s="12">
        <v>0.33349229163493022</v>
      </c>
      <c r="I94">
        <f t="shared" si="2"/>
        <v>0.33349229163493022</v>
      </c>
      <c r="J94">
        <f t="shared" si="3"/>
        <v>0.16674614581746511</v>
      </c>
    </row>
    <row r="95" spans="1:10" x14ac:dyDescent="0.35">
      <c r="A95" t="s">
        <v>48</v>
      </c>
      <c r="B95" t="s">
        <v>49</v>
      </c>
      <c r="C95" t="s">
        <v>34</v>
      </c>
      <c r="D95" t="s">
        <v>50</v>
      </c>
      <c r="E95">
        <v>1</v>
      </c>
      <c r="F95" s="14">
        <v>0</v>
      </c>
      <c r="G95" s="9">
        <v>0.12524972146746438</v>
      </c>
      <c r="H95" s="12">
        <v>0.12524972146746438</v>
      </c>
      <c r="I95">
        <f t="shared" si="2"/>
        <v>0.12524972146746438</v>
      </c>
      <c r="J95">
        <f t="shared" si="3"/>
        <v>6.2624860733732191E-2</v>
      </c>
    </row>
    <row r="96" spans="1:10" x14ac:dyDescent="0.35">
      <c r="A96" t="s">
        <v>48</v>
      </c>
      <c r="B96" t="s">
        <v>49</v>
      </c>
      <c r="C96" t="s">
        <v>35</v>
      </c>
      <c r="D96" t="s">
        <v>50</v>
      </c>
      <c r="E96">
        <v>1</v>
      </c>
      <c r="F96" s="14">
        <v>140.17136439999999</v>
      </c>
      <c r="G96" s="9">
        <v>8.3657979554713773</v>
      </c>
      <c r="H96" s="12">
        <v>8.3657979554713773</v>
      </c>
      <c r="I96">
        <f t="shared" si="2"/>
        <v>8.3657979554713773</v>
      </c>
      <c r="J96">
        <f t="shared" si="3"/>
        <v>4.1828989777356886</v>
      </c>
    </row>
    <row r="97" spans="1:10" x14ac:dyDescent="0.35">
      <c r="A97" t="s">
        <v>48</v>
      </c>
      <c r="B97" t="s">
        <v>49</v>
      </c>
      <c r="C97" t="s">
        <v>36</v>
      </c>
      <c r="D97" t="s">
        <v>50</v>
      </c>
      <c r="E97">
        <v>1</v>
      </c>
      <c r="F97" s="14">
        <v>11.673013300000001</v>
      </c>
      <c r="G97" s="9">
        <v>0.94197356868236715</v>
      </c>
      <c r="H97" s="12">
        <v>0.94197356868236715</v>
      </c>
      <c r="I97">
        <f t="shared" si="2"/>
        <v>0.94197356868236715</v>
      </c>
      <c r="J97">
        <f t="shared" si="3"/>
        <v>0.47098678434118357</v>
      </c>
    </row>
    <row r="98" spans="1:10" x14ac:dyDescent="0.35">
      <c r="A98" t="s">
        <v>48</v>
      </c>
      <c r="B98" t="s">
        <v>49</v>
      </c>
      <c r="C98" t="s">
        <v>37</v>
      </c>
      <c r="D98" t="s">
        <v>50</v>
      </c>
      <c r="E98">
        <v>1</v>
      </c>
      <c r="F98" s="14">
        <v>76.1832311</v>
      </c>
      <c r="G98" s="9">
        <v>23.526852692670722</v>
      </c>
      <c r="H98" s="12">
        <v>23.526852692670722</v>
      </c>
      <c r="I98">
        <f t="shared" si="2"/>
        <v>23.526852692670722</v>
      </c>
      <c r="J98">
        <f t="shared" si="3"/>
        <v>11.763426346335361</v>
      </c>
    </row>
    <row r="99" spans="1:10" x14ac:dyDescent="0.35">
      <c r="A99" t="s">
        <v>48</v>
      </c>
      <c r="B99" t="s">
        <v>49</v>
      </c>
      <c r="C99" t="s">
        <v>38</v>
      </c>
      <c r="D99" t="s">
        <v>50</v>
      </c>
      <c r="E99">
        <v>1</v>
      </c>
      <c r="F99" s="14">
        <v>1.9660055999999999</v>
      </c>
      <c r="G99" s="9">
        <v>0.46790813147488836</v>
      </c>
      <c r="H99" s="12">
        <v>0.46790813147488836</v>
      </c>
      <c r="I99">
        <f t="shared" si="2"/>
        <v>0.46790813147488836</v>
      </c>
      <c r="J99">
        <f t="shared" si="3"/>
        <v>0.23395406573744418</v>
      </c>
    </row>
    <row r="100" spans="1:10" x14ac:dyDescent="0.35">
      <c r="A100" t="s">
        <v>48</v>
      </c>
      <c r="B100" t="s">
        <v>49</v>
      </c>
      <c r="C100" t="s">
        <v>39</v>
      </c>
      <c r="D100" t="s">
        <v>50</v>
      </c>
      <c r="E100">
        <v>1</v>
      </c>
      <c r="F100" s="14">
        <v>0.1649234</v>
      </c>
      <c r="G100" s="9">
        <v>0.27474158012367111</v>
      </c>
      <c r="H100" s="12">
        <v>0.27474158012367111</v>
      </c>
      <c r="I100">
        <f t="shared" si="2"/>
        <v>0.27474158012367111</v>
      </c>
      <c r="J100">
        <f t="shared" si="3"/>
        <v>0.13737079006183556</v>
      </c>
    </row>
    <row r="101" spans="1:10" x14ac:dyDescent="0.35">
      <c r="A101" t="s">
        <v>48</v>
      </c>
      <c r="B101" t="s">
        <v>49</v>
      </c>
      <c r="C101" t="s">
        <v>40</v>
      </c>
      <c r="D101" t="s">
        <v>50</v>
      </c>
      <c r="E101">
        <v>1</v>
      </c>
      <c r="F101" s="14">
        <v>12.290981200000001</v>
      </c>
      <c r="G101" s="9">
        <v>1.5366894101575754</v>
      </c>
      <c r="H101" s="12">
        <v>1.5366894101575754</v>
      </c>
      <c r="I101">
        <f t="shared" si="2"/>
        <v>1.5366894101575754</v>
      </c>
      <c r="J101">
        <f t="shared" si="3"/>
        <v>0.76834470507878772</v>
      </c>
    </row>
    <row r="102" spans="1:10" x14ac:dyDescent="0.35">
      <c r="A102" t="s">
        <v>48</v>
      </c>
      <c r="B102" t="s">
        <v>49</v>
      </c>
      <c r="C102" t="s">
        <v>41</v>
      </c>
      <c r="D102" t="s">
        <v>50</v>
      </c>
      <c r="E102">
        <v>1</v>
      </c>
      <c r="F102" s="14">
        <v>83.230081600000005</v>
      </c>
      <c r="G102" s="9">
        <v>3.2561134130699241</v>
      </c>
      <c r="H102" s="12">
        <v>3.2561134130699241</v>
      </c>
      <c r="I102">
        <f t="shared" si="2"/>
        <v>3.2561134130699241</v>
      </c>
      <c r="J102">
        <f t="shared" si="3"/>
        <v>1.628056706534962</v>
      </c>
    </row>
    <row r="103" spans="1:10" s="8" customFormat="1" x14ac:dyDescent="0.35">
      <c r="A103" s="8" t="s">
        <v>48</v>
      </c>
      <c r="B103" s="8" t="s">
        <v>49</v>
      </c>
      <c r="C103" s="8" t="s">
        <v>42</v>
      </c>
      <c r="D103" s="8" t="s">
        <v>50</v>
      </c>
      <c r="E103" s="8">
        <v>1</v>
      </c>
      <c r="F103" s="15">
        <v>0</v>
      </c>
      <c r="G103" s="10">
        <v>0.42943432079012328</v>
      </c>
      <c r="H103" s="13">
        <v>0.42943432079012328</v>
      </c>
      <c r="I103" s="8">
        <f t="shared" si="2"/>
        <v>0.42943432079012328</v>
      </c>
      <c r="J103" s="8">
        <f t="shared" si="3"/>
        <v>0.21471716039506164</v>
      </c>
    </row>
    <row r="104" spans="1:10" x14ac:dyDescent="0.35">
      <c r="A104" t="s">
        <v>52</v>
      </c>
      <c r="B104" t="s">
        <v>53</v>
      </c>
      <c r="C104" t="s">
        <v>7</v>
      </c>
      <c r="D104" t="s">
        <v>54</v>
      </c>
      <c r="E104">
        <v>1</v>
      </c>
      <c r="F104" s="14">
        <v>6.7419951999999999</v>
      </c>
      <c r="G104" s="9">
        <v>0.75160764966210225</v>
      </c>
      <c r="H104" s="12">
        <v>0.75160764966210225</v>
      </c>
      <c r="I104">
        <f t="shared" si="2"/>
        <v>0.75160764966210225</v>
      </c>
      <c r="J104">
        <f t="shared" si="3"/>
        <v>0.37580382483105113</v>
      </c>
    </row>
    <row r="105" spans="1:10" x14ac:dyDescent="0.35">
      <c r="A105" t="s">
        <v>52</v>
      </c>
      <c r="B105" t="s">
        <v>53</v>
      </c>
      <c r="C105" t="s">
        <v>9</v>
      </c>
      <c r="D105" t="s">
        <v>54</v>
      </c>
      <c r="E105">
        <v>1</v>
      </c>
      <c r="F105" s="14">
        <v>0</v>
      </c>
      <c r="G105" s="9">
        <v>-6.0648086621358024E-2</v>
      </c>
      <c r="H105" s="12">
        <v>-6.0648086621358024E-2</v>
      </c>
      <c r="I105">
        <f t="shared" si="2"/>
        <v>0</v>
      </c>
      <c r="J105">
        <f t="shared" si="3"/>
        <v>0</v>
      </c>
    </row>
    <row r="106" spans="1:10" x14ac:dyDescent="0.35">
      <c r="A106" t="s">
        <v>52</v>
      </c>
      <c r="B106" t="s">
        <v>53</v>
      </c>
      <c r="C106" t="s">
        <v>10</v>
      </c>
      <c r="D106" t="s">
        <v>54</v>
      </c>
      <c r="E106">
        <v>1</v>
      </c>
      <c r="F106" s="14">
        <v>0</v>
      </c>
      <c r="G106" s="9">
        <v>-8.37782698966681E-3</v>
      </c>
      <c r="H106" s="12">
        <v>-8.37782698966681E-3</v>
      </c>
      <c r="I106">
        <f t="shared" si="2"/>
        <v>0</v>
      </c>
      <c r="J106">
        <f t="shared" si="3"/>
        <v>0</v>
      </c>
    </row>
    <row r="107" spans="1:10" x14ac:dyDescent="0.35">
      <c r="A107" t="s">
        <v>52</v>
      </c>
      <c r="B107" t="s">
        <v>53</v>
      </c>
      <c r="C107" t="s">
        <v>11</v>
      </c>
      <c r="D107" t="s">
        <v>54</v>
      </c>
      <c r="E107">
        <v>1</v>
      </c>
      <c r="F107" s="14">
        <v>8.9879604999999998</v>
      </c>
      <c r="G107" s="9">
        <v>4.9538249109711563</v>
      </c>
      <c r="H107" s="12">
        <v>4.9538249109711563</v>
      </c>
      <c r="I107">
        <f t="shared" si="2"/>
        <v>4.9538249109711563</v>
      </c>
      <c r="J107">
        <f t="shared" si="3"/>
        <v>2.4769124554855781</v>
      </c>
    </row>
    <row r="108" spans="1:10" x14ac:dyDescent="0.35">
      <c r="A108" t="s">
        <v>52</v>
      </c>
      <c r="B108" t="s">
        <v>53</v>
      </c>
      <c r="C108" t="s">
        <v>12</v>
      </c>
      <c r="D108" t="s">
        <v>54</v>
      </c>
      <c r="E108">
        <v>1</v>
      </c>
      <c r="F108" s="14">
        <v>108.34571099999999</v>
      </c>
      <c r="G108" s="9">
        <v>8.7182369333303598</v>
      </c>
      <c r="H108" s="12">
        <v>8.7182369333303598</v>
      </c>
      <c r="I108">
        <f t="shared" si="2"/>
        <v>8.7182369333303598</v>
      </c>
      <c r="J108">
        <f t="shared" si="3"/>
        <v>4.3591184666651799</v>
      </c>
    </row>
    <row r="109" spans="1:10" x14ac:dyDescent="0.35">
      <c r="A109" t="s">
        <v>52</v>
      </c>
      <c r="B109" t="s">
        <v>53</v>
      </c>
      <c r="C109" t="s">
        <v>13</v>
      </c>
      <c r="D109" t="s">
        <v>54</v>
      </c>
      <c r="E109">
        <v>1</v>
      </c>
      <c r="F109" s="14">
        <v>327.58338859999998</v>
      </c>
      <c r="G109" s="9">
        <v>85.556537481196457</v>
      </c>
      <c r="H109" s="12">
        <v>85.556537481196457</v>
      </c>
      <c r="I109">
        <f t="shared" si="2"/>
        <v>85.556537481196457</v>
      </c>
      <c r="J109">
        <f t="shared" si="3"/>
        <v>42.778268740598229</v>
      </c>
    </row>
    <row r="110" spans="1:10" x14ac:dyDescent="0.35">
      <c r="A110" t="s">
        <v>52</v>
      </c>
      <c r="B110" t="s">
        <v>53</v>
      </c>
      <c r="C110" t="s">
        <v>14</v>
      </c>
      <c r="D110" t="s">
        <v>54</v>
      </c>
      <c r="E110">
        <v>1</v>
      </c>
      <c r="F110" s="14">
        <v>0</v>
      </c>
      <c r="G110" s="9">
        <v>-1.6659835030285779E-2</v>
      </c>
      <c r="H110" s="12">
        <v>-1.6659835030285779E-2</v>
      </c>
      <c r="I110">
        <f t="shared" si="2"/>
        <v>0</v>
      </c>
      <c r="J110">
        <f t="shared" si="3"/>
        <v>0</v>
      </c>
    </row>
    <row r="111" spans="1:10" x14ac:dyDescent="0.35">
      <c r="A111" t="s">
        <v>52</v>
      </c>
      <c r="B111" t="s">
        <v>53</v>
      </c>
      <c r="C111" t="s">
        <v>15</v>
      </c>
      <c r="D111" t="s">
        <v>54</v>
      </c>
      <c r="E111">
        <v>1</v>
      </c>
      <c r="F111" s="14">
        <v>11.593805399999999</v>
      </c>
      <c r="G111" s="9">
        <v>0.56432385624760295</v>
      </c>
      <c r="H111" s="12">
        <v>0.56432385624760295</v>
      </c>
      <c r="I111">
        <f t="shared" si="2"/>
        <v>0.56432385624760295</v>
      </c>
      <c r="J111">
        <f t="shared" si="3"/>
        <v>0.28216192812380148</v>
      </c>
    </row>
    <row r="112" spans="1:10" x14ac:dyDescent="0.35">
      <c r="A112" t="s">
        <v>52</v>
      </c>
      <c r="B112" t="s">
        <v>53</v>
      </c>
      <c r="C112" t="s">
        <v>16</v>
      </c>
      <c r="D112" t="s">
        <v>54</v>
      </c>
      <c r="E112">
        <v>1</v>
      </c>
      <c r="F112" s="14">
        <v>0</v>
      </c>
      <c r="G112" s="9">
        <v>0.62345923749598786</v>
      </c>
      <c r="H112" s="12">
        <v>0.62345923749598786</v>
      </c>
      <c r="I112">
        <f t="shared" si="2"/>
        <v>0.62345923749598786</v>
      </c>
      <c r="J112">
        <f t="shared" si="3"/>
        <v>0.31172961874799393</v>
      </c>
    </row>
    <row r="113" spans="1:10" x14ac:dyDescent="0.35">
      <c r="A113" t="s">
        <v>52</v>
      </c>
      <c r="B113" t="s">
        <v>53</v>
      </c>
      <c r="C113" t="s">
        <v>17</v>
      </c>
      <c r="D113" t="s">
        <v>54</v>
      </c>
      <c r="E113">
        <v>1</v>
      </c>
      <c r="F113" s="14">
        <v>3321.8463094000003</v>
      </c>
      <c r="G113" s="9">
        <v>242.13181051544964</v>
      </c>
      <c r="H113" s="12">
        <v>242.13181051544964</v>
      </c>
      <c r="I113">
        <f t="shared" si="2"/>
        <v>242.13181051544964</v>
      </c>
      <c r="J113">
        <f t="shared" si="3"/>
        <v>121.06590525772482</v>
      </c>
    </row>
    <row r="114" spans="1:10" x14ac:dyDescent="0.35">
      <c r="A114" t="s">
        <v>52</v>
      </c>
      <c r="B114" t="s">
        <v>53</v>
      </c>
      <c r="C114" t="s">
        <v>18</v>
      </c>
      <c r="D114" t="s">
        <v>54</v>
      </c>
      <c r="E114">
        <v>1</v>
      </c>
      <c r="F114" s="14">
        <v>303.93005879999998</v>
      </c>
      <c r="G114" s="9">
        <v>76.503090925255677</v>
      </c>
      <c r="H114" s="12">
        <v>76.503090925255677</v>
      </c>
      <c r="I114">
        <f t="shared" si="2"/>
        <v>76.503090925255677</v>
      </c>
      <c r="J114">
        <f t="shared" si="3"/>
        <v>38.251545462627838</v>
      </c>
    </row>
    <row r="115" spans="1:10" x14ac:dyDescent="0.35">
      <c r="A115" t="s">
        <v>52</v>
      </c>
      <c r="B115" t="s">
        <v>53</v>
      </c>
      <c r="C115" t="s">
        <v>20</v>
      </c>
      <c r="D115" t="s">
        <v>54</v>
      </c>
      <c r="E115">
        <v>1</v>
      </c>
      <c r="F115" s="14">
        <v>17.755788299999999</v>
      </c>
      <c r="G115" s="9">
        <v>3.7179636455747476</v>
      </c>
      <c r="H115" s="12">
        <v>3.7179636455747476</v>
      </c>
      <c r="I115">
        <f t="shared" si="2"/>
        <v>3.7179636455747476</v>
      </c>
      <c r="J115">
        <f t="shared" si="3"/>
        <v>1.8589818227873738</v>
      </c>
    </row>
    <row r="116" spans="1:10" x14ac:dyDescent="0.35">
      <c r="A116" t="s">
        <v>52</v>
      </c>
      <c r="B116" t="s">
        <v>53</v>
      </c>
      <c r="C116" t="s">
        <v>21</v>
      </c>
      <c r="D116" t="s">
        <v>54</v>
      </c>
      <c r="E116">
        <v>1</v>
      </c>
      <c r="F116" s="14">
        <v>447.58989049999997</v>
      </c>
      <c r="G116" s="9">
        <v>36.713028132990679</v>
      </c>
      <c r="H116" s="12">
        <v>36.713028132990679</v>
      </c>
      <c r="I116">
        <f t="shared" si="2"/>
        <v>36.713028132990679</v>
      </c>
      <c r="J116">
        <f t="shared" si="3"/>
        <v>18.35651406649534</v>
      </c>
    </row>
    <row r="117" spans="1:10" x14ac:dyDescent="0.35">
      <c r="A117" t="s">
        <v>52</v>
      </c>
      <c r="B117" t="s">
        <v>53</v>
      </c>
      <c r="C117" t="s">
        <v>22</v>
      </c>
      <c r="D117" t="s">
        <v>54</v>
      </c>
      <c r="E117">
        <v>1</v>
      </c>
      <c r="F117" s="14">
        <v>4.6886047</v>
      </c>
      <c r="G117" s="9">
        <v>24.759233285061107</v>
      </c>
      <c r="H117" s="12">
        <v>24.759233285061107</v>
      </c>
      <c r="I117">
        <f t="shared" si="2"/>
        <v>24.759233285061107</v>
      </c>
      <c r="J117">
        <f t="shared" si="3"/>
        <v>12.379616642530554</v>
      </c>
    </row>
    <row r="118" spans="1:10" x14ac:dyDescent="0.35">
      <c r="A118" t="s">
        <v>52</v>
      </c>
      <c r="B118" t="s">
        <v>53</v>
      </c>
      <c r="C118" t="s">
        <v>23</v>
      </c>
      <c r="D118" t="s">
        <v>54</v>
      </c>
      <c r="E118">
        <v>1</v>
      </c>
      <c r="F118" s="14">
        <v>0.28992050000000003</v>
      </c>
      <c r="G118" s="9">
        <v>90.562647076385815</v>
      </c>
      <c r="H118" s="12">
        <v>90.562647076385815</v>
      </c>
      <c r="I118">
        <f t="shared" si="2"/>
        <v>90.562647076385815</v>
      </c>
      <c r="J118">
        <f t="shared" si="3"/>
        <v>45.281323538192908</v>
      </c>
    </row>
    <row r="119" spans="1:10" x14ac:dyDescent="0.35">
      <c r="A119" t="s">
        <v>52</v>
      </c>
      <c r="B119" t="s">
        <v>53</v>
      </c>
      <c r="C119" t="s">
        <v>24</v>
      </c>
      <c r="D119" t="s">
        <v>54</v>
      </c>
      <c r="E119">
        <v>1</v>
      </c>
      <c r="F119" s="14">
        <v>1370.6615456999998</v>
      </c>
      <c r="G119" s="9">
        <v>235.84539865675961</v>
      </c>
      <c r="H119" s="12">
        <v>235.84539865675961</v>
      </c>
      <c r="I119">
        <f t="shared" si="2"/>
        <v>235.84539865675961</v>
      </c>
      <c r="J119">
        <f t="shared" si="3"/>
        <v>117.92269932837981</v>
      </c>
    </row>
    <row r="120" spans="1:10" x14ac:dyDescent="0.35">
      <c r="A120" t="s">
        <v>52</v>
      </c>
      <c r="B120" t="s">
        <v>53</v>
      </c>
      <c r="C120" t="s">
        <v>25</v>
      </c>
      <c r="D120" t="s">
        <v>54</v>
      </c>
      <c r="E120">
        <v>1</v>
      </c>
      <c r="F120" s="14">
        <v>168.89977359999997</v>
      </c>
      <c r="G120" s="9">
        <v>25.235630909140653</v>
      </c>
      <c r="H120" s="12">
        <v>25.235630909140653</v>
      </c>
      <c r="I120">
        <f t="shared" si="2"/>
        <v>25.235630909140653</v>
      </c>
      <c r="J120">
        <f t="shared" si="3"/>
        <v>12.617815454570326</v>
      </c>
    </row>
    <row r="121" spans="1:10" x14ac:dyDescent="0.35">
      <c r="A121" t="s">
        <v>52</v>
      </c>
      <c r="B121" t="s">
        <v>53</v>
      </c>
      <c r="C121" t="s">
        <v>26</v>
      </c>
      <c r="D121" t="s">
        <v>54</v>
      </c>
      <c r="E121">
        <v>1</v>
      </c>
      <c r="F121" s="14">
        <v>1838.9374591999999</v>
      </c>
      <c r="G121" s="9">
        <v>52.633123387795607</v>
      </c>
      <c r="H121" s="12">
        <v>52.633123387795607</v>
      </c>
      <c r="I121">
        <f t="shared" si="2"/>
        <v>52.633123387795607</v>
      </c>
      <c r="J121">
        <f t="shared" si="3"/>
        <v>26.316561693897803</v>
      </c>
    </row>
    <row r="122" spans="1:10" x14ac:dyDescent="0.35">
      <c r="A122" t="s">
        <v>52</v>
      </c>
      <c r="B122" t="s">
        <v>53</v>
      </c>
      <c r="C122" t="s">
        <v>27</v>
      </c>
      <c r="D122" t="s">
        <v>54</v>
      </c>
      <c r="E122">
        <v>1</v>
      </c>
      <c r="F122" s="14">
        <v>172.991759</v>
      </c>
      <c r="G122" s="9">
        <v>15.608162040392859</v>
      </c>
      <c r="H122" s="12">
        <v>15.608162040392859</v>
      </c>
      <c r="I122">
        <f t="shared" si="2"/>
        <v>15.608162040392859</v>
      </c>
      <c r="J122">
        <f t="shared" si="3"/>
        <v>7.8040810201964295</v>
      </c>
    </row>
    <row r="123" spans="1:10" x14ac:dyDescent="0.35">
      <c r="A123" t="s">
        <v>52</v>
      </c>
      <c r="B123" t="s">
        <v>53</v>
      </c>
      <c r="C123" t="s">
        <v>28</v>
      </c>
      <c r="D123" t="s">
        <v>54</v>
      </c>
      <c r="E123">
        <v>1</v>
      </c>
      <c r="F123" s="14">
        <v>49.371423900000003</v>
      </c>
      <c r="G123" s="9">
        <v>0.48536041845815581</v>
      </c>
      <c r="H123" s="12">
        <v>0.48536041845815581</v>
      </c>
      <c r="I123">
        <f t="shared" si="2"/>
        <v>0.48536041845815581</v>
      </c>
      <c r="J123">
        <f t="shared" si="3"/>
        <v>0.2426802092290779</v>
      </c>
    </row>
    <row r="124" spans="1:10" x14ac:dyDescent="0.35">
      <c r="A124" t="s">
        <v>52</v>
      </c>
      <c r="B124" t="s">
        <v>53</v>
      </c>
      <c r="C124" t="s">
        <v>29</v>
      </c>
      <c r="D124" t="s">
        <v>54</v>
      </c>
      <c r="E124">
        <v>1</v>
      </c>
      <c r="F124" s="14">
        <v>15.0574821</v>
      </c>
      <c r="G124" s="9">
        <v>4.1861411704865006</v>
      </c>
      <c r="H124" s="12">
        <v>4.1861411704865006</v>
      </c>
      <c r="I124">
        <f t="shared" si="2"/>
        <v>4.1861411704865006</v>
      </c>
      <c r="J124">
        <f t="shared" si="3"/>
        <v>2.0930705852432503</v>
      </c>
    </row>
    <row r="125" spans="1:10" x14ac:dyDescent="0.35">
      <c r="A125" t="s">
        <v>52</v>
      </c>
      <c r="B125" t="s">
        <v>53</v>
      </c>
      <c r="C125" t="s">
        <v>30</v>
      </c>
      <c r="D125" t="s">
        <v>54</v>
      </c>
      <c r="E125">
        <v>1</v>
      </c>
      <c r="F125" s="14">
        <v>29.563606199999999</v>
      </c>
      <c r="G125" s="9">
        <v>8.6797935078464281</v>
      </c>
      <c r="H125" s="12">
        <v>8.6797935078464281</v>
      </c>
      <c r="I125">
        <f t="shared" si="2"/>
        <v>8.6797935078464281</v>
      </c>
      <c r="J125">
        <f t="shared" si="3"/>
        <v>4.3398967539232141</v>
      </c>
    </row>
    <row r="126" spans="1:10" x14ac:dyDescent="0.35">
      <c r="A126" t="s">
        <v>52</v>
      </c>
      <c r="B126" t="s">
        <v>53</v>
      </c>
      <c r="C126" t="s">
        <v>31</v>
      </c>
      <c r="D126" t="s">
        <v>54</v>
      </c>
      <c r="E126">
        <v>1</v>
      </c>
      <c r="F126" s="14">
        <v>10.995604999999999</v>
      </c>
      <c r="G126" s="9">
        <v>3.274023542100204</v>
      </c>
      <c r="H126" s="12">
        <v>3.274023542100204</v>
      </c>
      <c r="I126">
        <f t="shared" ref="I126:I187" si="4">IF(G126&lt;0,0,G126)</f>
        <v>3.274023542100204</v>
      </c>
      <c r="J126">
        <f t="shared" si="3"/>
        <v>1.637011771050102</v>
      </c>
    </row>
    <row r="127" spans="1:10" x14ac:dyDescent="0.35">
      <c r="A127" t="s">
        <v>52</v>
      </c>
      <c r="B127" t="s">
        <v>53</v>
      </c>
      <c r="C127" t="s">
        <v>32</v>
      </c>
      <c r="D127" t="s">
        <v>54</v>
      </c>
      <c r="E127">
        <v>1</v>
      </c>
      <c r="F127" s="14">
        <v>27.0357579</v>
      </c>
      <c r="G127" s="9">
        <v>3.3413201405343296</v>
      </c>
      <c r="H127" s="12">
        <v>3.3413201405343296</v>
      </c>
      <c r="I127">
        <f t="shared" si="4"/>
        <v>3.3413201405343296</v>
      </c>
      <c r="J127">
        <f t="shared" si="3"/>
        <v>1.6706600702671648</v>
      </c>
    </row>
    <row r="128" spans="1:10" x14ac:dyDescent="0.35">
      <c r="A128" t="s">
        <v>52</v>
      </c>
      <c r="B128" t="s">
        <v>53</v>
      </c>
      <c r="C128" t="s">
        <v>33</v>
      </c>
      <c r="D128" t="s">
        <v>54</v>
      </c>
      <c r="E128">
        <v>1</v>
      </c>
      <c r="F128" s="14">
        <v>0</v>
      </c>
      <c r="G128" s="9">
        <v>1.6310517660904134</v>
      </c>
      <c r="H128" s="12">
        <v>1.6310517660904134</v>
      </c>
      <c r="I128">
        <f t="shared" si="4"/>
        <v>1.6310517660904134</v>
      </c>
      <c r="J128">
        <f t="shared" si="3"/>
        <v>0.81552588304520668</v>
      </c>
    </row>
    <row r="129" spans="1:10" x14ac:dyDescent="0.35">
      <c r="A129" t="s">
        <v>52</v>
      </c>
      <c r="B129" t="s">
        <v>53</v>
      </c>
      <c r="C129" t="s">
        <v>34</v>
      </c>
      <c r="D129" t="s">
        <v>54</v>
      </c>
      <c r="E129">
        <v>1</v>
      </c>
      <c r="F129" s="14">
        <v>0</v>
      </c>
      <c r="G129" s="9">
        <v>0.11580373809784786</v>
      </c>
      <c r="H129" s="12">
        <v>0.11580373809784786</v>
      </c>
      <c r="I129">
        <f t="shared" si="4"/>
        <v>0.11580373809784786</v>
      </c>
      <c r="J129">
        <f t="shared" ref="J129:J190" si="5">I129/2</f>
        <v>5.7901869048923929E-2</v>
      </c>
    </row>
    <row r="130" spans="1:10" x14ac:dyDescent="0.35">
      <c r="A130" t="s">
        <v>52</v>
      </c>
      <c r="B130" t="s">
        <v>53</v>
      </c>
      <c r="C130" t="s">
        <v>35</v>
      </c>
      <c r="D130" t="s">
        <v>54</v>
      </c>
      <c r="E130">
        <v>1</v>
      </c>
      <c r="F130" s="14">
        <v>65.4077755</v>
      </c>
      <c r="G130" s="9">
        <v>2.7742364965695265</v>
      </c>
      <c r="H130" s="12">
        <v>2.7742364965695265</v>
      </c>
      <c r="I130">
        <f t="shared" si="4"/>
        <v>2.7742364965695265</v>
      </c>
      <c r="J130">
        <f t="shared" si="5"/>
        <v>1.3871182482847633</v>
      </c>
    </row>
    <row r="131" spans="1:10" x14ac:dyDescent="0.35">
      <c r="A131" t="s">
        <v>52</v>
      </c>
      <c r="B131" t="s">
        <v>53</v>
      </c>
      <c r="C131" t="s">
        <v>36</v>
      </c>
      <c r="D131" t="s">
        <v>54</v>
      </c>
      <c r="E131">
        <v>1</v>
      </c>
      <c r="F131" s="14">
        <v>13.934635800000001</v>
      </c>
      <c r="G131" s="9">
        <v>1.1344973660186277</v>
      </c>
      <c r="H131" s="12">
        <v>1.1344973660186277</v>
      </c>
      <c r="I131">
        <f t="shared" si="4"/>
        <v>1.1344973660186277</v>
      </c>
      <c r="J131">
        <f t="shared" si="5"/>
        <v>0.56724868300931386</v>
      </c>
    </row>
    <row r="132" spans="1:10" x14ac:dyDescent="0.35">
      <c r="A132" t="s">
        <v>52</v>
      </c>
      <c r="B132" t="s">
        <v>53</v>
      </c>
      <c r="C132" t="s">
        <v>37</v>
      </c>
      <c r="D132" t="s">
        <v>54</v>
      </c>
      <c r="E132">
        <v>1</v>
      </c>
      <c r="F132" s="14">
        <v>77.338678799999997</v>
      </c>
      <c r="G132" s="9">
        <v>23.89277093034735</v>
      </c>
      <c r="H132" s="12">
        <v>23.89277093034735</v>
      </c>
      <c r="I132">
        <f t="shared" si="4"/>
        <v>23.89277093034735</v>
      </c>
      <c r="J132">
        <f t="shared" si="5"/>
        <v>11.946385465173675</v>
      </c>
    </row>
    <row r="133" spans="1:10" x14ac:dyDescent="0.35">
      <c r="A133" t="s">
        <v>52</v>
      </c>
      <c r="B133" t="s">
        <v>53</v>
      </c>
      <c r="C133" t="s">
        <v>38</v>
      </c>
      <c r="D133" t="s">
        <v>54</v>
      </c>
      <c r="E133">
        <v>1</v>
      </c>
      <c r="F133" s="14">
        <v>1.9230614000000001</v>
      </c>
      <c r="G133" s="9">
        <v>0.17085397633944033</v>
      </c>
      <c r="H133" s="12">
        <v>0.17085397633944033</v>
      </c>
      <c r="I133">
        <f t="shared" si="4"/>
        <v>0.17085397633944033</v>
      </c>
      <c r="J133">
        <f t="shared" si="5"/>
        <v>8.5426988169720164E-2</v>
      </c>
    </row>
    <row r="134" spans="1:10" x14ac:dyDescent="0.35">
      <c r="A134" t="s">
        <v>52</v>
      </c>
      <c r="B134" t="s">
        <v>53</v>
      </c>
      <c r="C134" t="s">
        <v>39</v>
      </c>
      <c r="D134" t="s">
        <v>54</v>
      </c>
      <c r="E134">
        <v>1</v>
      </c>
      <c r="F134" s="14">
        <v>0.31330810000000003</v>
      </c>
      <c r="G134" s="9">
        <v>0.32250879296372337</v>
      </c>
      <c r="H134" s="12">
        <v>0.32250879296372337</v>
      </c>
      <c r="I134">
        <f t="shared" si="4"/>
        <v>0.32250879296372337</v>
      </c>
      <c r="J134">
        <f t="shared" si="5"/>
        <v>0.16125439648186168</v>
      </c>
    </row>
    <row r="135" spans="1:10" x14ac:dyDescent="0.35">
      <c r="A135" t="s">
        <v>52</v>
      </c>
      <c r="B135" t="s">
        <v>53</v>
      </c>
      <c r="C135" t="s">
        <v>40</v>
      </c>
      <c r="D135" t="s">
        <v>54</v>
      </c>
      <c r="E135">
        <v>1</v>
      </c>
      <c r="F135" s="14">
        <v>13.6978153</v>
      </c>
      <c r="G135" s="9">
        <v>1.7039539923768401</v>
      </c>
      <c r="H135" s="12">
        <v>1.7039539923768401</v>
      </c>
      <c r="I135">
        <f t="shared" si="4"/>
        <v>1.7039539923768401</v>
      </c>
      <c r="J135">
        <f t="shared" si="5"/>
        <v>0.85197699618842004</v>
      </c>
    </row>
    <row r="136" spans="1:10" x14ac:dyDescent="0.35">
      <c r="A136" t="s">
        <v>52</v>
      </c>
      <c r="B136" t="s">
        <v>53</v>
      </c>
      <c r="C136" t="s">
        <v>41</v>
      </c>
      <c r="D136" t="s">
        <v>54</v>
      </c>
      <c r="E136">
        <v>1</v>
      </c>
      <c r="F136" s="14">
        <v>102.8591534</v>
      </c>
      <c r="G136" s="9">
        <v>4.1009319452712898</v>
      </c>
      <c r="H136" s="12">
        <v>4.1009319452712898</v>
      </c>
      <c r="I136">
        <f t="shared" si="4"/>
        <v>4.1009319452712898</v>
      </c>
      <c r="J136">
        <f t="shared" si="5"/>
        <v>2.0504659726356449</v>
      </c>
    </row>
    <row r="137" spans="1:10" s="8" customFormat="1" x14ac:dyDescent="0.35">
      <c r="A137" s="8" t="s">
        <v>52</v>
      </c>
      <c r="B137" s="8" t="s">
        <v>53</v>
      </c>
      <c r="C137" s="8" t="s">
        <v>42</v>
      </c>
      <c r="D137" s="8" t="s">
        <v>54</v>
      </c>
      <c r="E137" s="8">
        <v>1</v>
      </c>
      <c r="F137" s="15">
        <v>0</v>
      </c>
      <c r="G137" s="10">
        <v>0.27199866050258914</v>
      </c>
      <c r="H137" s="13">
        <v>0.27199866050258914</v>
      </c>
      <c r="I137" s="8">
        <f t="shared" si="4"/>
        <v>0.27199866050258914</v>
      </c>
      <c r="J137" s="8">
        <f t="shared" si="5"/>
        <v>0.13599933025129457</v>
      </c>
    </row>
    <row r="138" spans="1:10" x14ac:dyDescent="0.35">
      <c r="A138" t="s">
        <v>59</v>
      </c>
      <c r="B138" t="s">
        <v>55</v>
      </c>
      <c r="C138" t="s">
        <v>7</v>
      </c>
      <c r="D138" t="s">
        <v>8</v>
      </c>
      <c r="E138">
        <v>2</v>
      </c>
      <c r="F138" s="14">
        <v>6.8420342999999999</v>
      </c>
      <c r="G138" s="9">
        <v>0.75581911274182179</v>
      </c>
      <c r="H138" s="12">
        <v>0.75581911274182179</v>
      </c>
      <c r="I138">
        <f t="shared" si="4"/>
        <v>0.75581911274182179</v>
      </c>
      <c r="J138">
        <f t="shared" si="5"/>
        <v>0.37790955637091089</v>
      </c>
    </row>
    <row r="139" spans="1:10" x14ac:dyDescent="0.35">
      <c r="A139" t="s">
        <v>59</v>
      </c>
      <c r="B139" t="s">
        <v>55</v>
      </c>
      <c r="C139" t="s">
        <v>9</v>
      </c>
      <c r="D139" t="s">
        <v>8</v>
      </c>
      <c r="E139">
        <v>2</v>
      </c>
      <c r="F139" s="14">
        <v>1.3022845999999999</v>
      </c>
      <c r="G139" s="9">
        <v>-6.7643059799177271E-2</v>
      </c>
      <c r="H139" s="12">
        <v>-6.7643059799177271E-2</v>
      </c>
      <c r="I139">
        <f t="shared" si="4"/>
        <v>0</v>
      </c>
      <c r="J139">
        <f t="shared" si="5"/>
        <v>0</v>
      </c>
    </row>
    <row r="140" spans="1:10" x14ac:dyDescent="0.35">
      <c r="A140" t="s">
        <v>59</v>
      </c>
      <c r="B140" t="s">
        <v>55</v>
      </c>
      <c r="C140" t="s">
        <v>10</v>
      </c>
      <c r="D140" t="s">
        <v>8</v>
      </c>
      <c r="E140">
        <v>2</v>
      </c>
      <c r="F140" s="14">
        <v>0</v>
      </c>
      <c r="G140" s="9">
        <v>1.242369454100601E-3</v>
      </c>
      <c r="H140" s="12">
        <v>1.242369454100601E-3</v>
      </c>
      <c r="I140">
        <f t="shared" si="4"/>
        <v>1.242369454100601E-3</v>
      </c>
      <c r="J140">
        <f t="shared" si="5"/>
        <v>6.2118472705030049E-4</v>
      </c>
    </row>
    <row r="141" spans="1:10" x14ac:dyDescent="0.35">
      <c r="A141" t="s">
        <v>59</v>
      </c>
      <c r="B141" t="s">
        <v>55</v>
      </c>
      <c r="C141" t="s">
        <v>11</v>
      </c>
      <c r="D141" t="s">
        <v>8</v>
      </c>
      <c r="E141">
        <v>2</v>
      </c>
      <c r="F141" s="14">
        <v>28.6727925</v>
      </c>
      <c r="G141" s="9">
        <v>11.105820331406917</v>
      </c>
      <c r="H141" s="12">
        <v>11.105820331406917</v>
      </c>
      <c r="I141">
        <f t="shared" si="4"/>
        <v>11.105820331406917</v>
      </c>
      <c r="J141">
        <f t="shared" si="5"/>
        <v>5.5529101657034587</v>
      </c>
    </row>
    <row r="142" spans="1:10" x14ac:dyDescent="0.35">
      <c r="A142" t="s">
        <v>59</v>
      </c>
      <c r="B142" t="s">
        <v>55</v>
      </c>
      <c r="C142" t="s">
        <v>12</v>
      </c>
      <c r="D142" t="s">
        <v>8</v>
      </c>
      <c r="E142">
        <v>2</v>
      </c>
      <c r="F142" s="14">
        <v>111.37773660000001</v>
      </c>
      <c r="G142" s="9">
        <v>8.962133150720863</v>
      </c>
      <c r="H142" s="12">
        <v>8.962133150720863</v>
      </c>
      <c r="I142">
        <f t="shared" si="4"/>
        <v>8.962133150720863</v>
      </c>
      <c r="J142">
        <f t="shared" si="5"/>
        <v>4.4810665753604315</v>
      </c>
    </row>
    <row r="143" spans="1:10" x14ac:dyDescent="0.35">
      <c r="A143" t="s">
        <v>59</v>
      </c>
      <c r="B143" t="s">
        <v>55</v>
      </c>
      <c r="C143" t="s">
        <v>13</v>
      </c>
      <c r="D143" t="s">
        <v>8</v>
      </c>
      <c r="E143">
        <v>2</v>
      </c>
      <c r="F143" s="14">
        <v>226.38105390000001</v>
      </c>
      <c r="G143" s="9">
        <v>59.566821102926149</v>
      </c>
      <c r="H143" s="12">
        <v>59.566821102926149</v>
      </c>
      <c r="I143">
        <f t="shared" si="4"/>
        <v>59.566821102926149</v>
      </c>
      <c r="J143">
        <f t="shared" si="5"/>
        <v>29.783410551463074</v>
      </c>
    </row>
    <row r="144" spans="1:10" x14ac:dyDescent="0.35">
      <c r="A144" t="s">
        <v>59</v>
      </c>
      <c r="B144" t="s">
        <v>55</v>
      </c>
      <c r="C144" t="s">
        <v>14</v>
      </c>
      <c r="D144" t="s">
        <v>8</v>
      </c>
      <c r="E144">
        <v>2</v>
      </c>
      <c r="F144" s="14">
        <v>0</v>
      </c>
      <c r="G144" s="9">
        <v>-1.3082129950894722E-2</v>
      </c>
      <c r="H144" s="12">
        <v>-1.3082129950894722E-2</v>
      </c>
      <c r="I144">
        <f t="shared" si="4"/>
        <v>0</v>
      </c>
      <c r="J144">
        <f t="shared" si="5"/>
        <v>0</v>
      </c>
    </row>
    <row r="145" spans="1:10" x14ac:dyDescent="0.35">
      <c r="A145" t="s">
        <v>59</v>
      </c>
      <c r="B145" t="s">
        <v>55</v>
      </c>
      <c r="C145" t="s">
        <v>15</v>
      </c>
      <c r="D145" t="s">
        <v>8</v>
      </c>
      <c r="E145">
        <v>2</v>
      </c>
      <c r="F145" s="14">
        <v>13.4308449</v>
      </c>
      <c r="G145" s="9">
        <v>0.65230913799717416</v>
      </c>
      <c r="H145" s="12">
        <v>0.65230913799717416</v>
      </c>
      <c r="I145">
        <f t="shared" si="4"/>
        <v>0.65230913799717416</v>
      </c>
      <c r="J145">
        <f t="shared" si="5"/>
        <v>0.32615456899858708</v>
      </c>
    </row>
    <row r="146" spans="1:10" x14ac:dyDescent="0.35">
      <c r="A146" t="s">
        <v>59</v>
      </c>
      <c r="B146" t="s">
        <v>55</v>
      </c>
      <c r="C146" t="s">
        <v>16</v>
      </c>
      <c r="D146" t="s">
        <v>8</v>
      </c>
      <c r="E146">
        <v>2</v>
      </c>
      <c r="F146" s="14">
        <v>0</v>
      </c>
      <c r="G146" s="9">
        <v>0.12645092330325466</v>
      </c>
      <c r="H146" s="12">
        <v>0.12645092330325466</v>
      </c>
      <c r="I146">
        <f t="shared" si="4"/>
        <v>0.12645092330325466</v>
      </c>
      <c r="J146">
        <f t="shared" si="5"/>
        <v>6.3225461651627332E-2</v>
      </c>
    </row>
    <row r="147" spans="1:10" x14ac:dyDescent="0.35">
      <c r="A147" t="s">
        <v>59</v>
      </c>
      <c r="B147" t="s">
        <v>55</v>
      </c>
      <c r="C147" t="s">
        <v>17</v>
      </c>
      <c r="D147" t="s">
        <v>8</v>
      </c>
      <c r="E147">
        <v>2</v>
      </c>
      <c r="F147" s="14">
        <v>5445.5673954999993</v>
      </c>
      <c r="G147" s="9">
        <v>397.02031253978703</v>
      </c>
      <c r="H147" s="12">
        <v>397.02031253978703</v>
      </c>
      <c r="I147">
        <f t="shared" si="4"/>
        <v>397.02031253978703</v>
      </c>
      <c r="J147">
        <f t="shared" si="5"/>
        <v>198.51015626989351</v>
      </c>
    </row>
    <row r="148" spans="1:10" x14ac:dyDescent="0.35">
      <c r="A148" t="s">
        <v>59</v>
      </c>
      <c r="B148" t="s">
        <v>55</v>
      </c>
      <c r="C148" t="s">
        <v>18</v>
      </c>
      <c r="D148" t="s">
        <v>8</v>
      </c>
      <c r="E148">
        <v>2</v>
      </c>
      <c r="F148" s="14">
        <v>866.93062910000003</v>
      </c>
      <c r="G148" s="9">
        <v>217.37460969517565</v>
      </c>
      <c r="H148" s="12">
        <v>217.37460969517565</v>
      </c>
      <c r="I148">
        <f t="shared" si="4"/>
        <v>217.37460969517565</v>
      </c>
      <c r="J148">
        <f t="shared" si="5"/>
        <v>108.68730484758782</v>
      </c>
    </row>
    <row r="149" spans="1:10" x14ac:dyDescent="0.35">
      <c r="A149" t="s">
        <v>59</v>
      </c>
      <c r="B149" t="s">
        <v>55</v>
      </c>
      <c r="C149" t="s">
        <v>20</v>
      </c>
      <c r="D149" t="s">
        <v>8</v>
      </c>
      <c r="E149">
        <v>2</v>
      </c>
      <c r="F149" s="14">
        <v>20.694393299999998</v>
      </c>
      <c r="G149" s="9">
        <v>4.3080725765321706</v>
      </c>
      <c r="H149" s="12">
        <v>4.3080725765321706</v>
      </c>
      <c r="I149">
        <f t="shared" si="4"/>
        <v>4.3080725765321706</v>
      </c>
      <c r="J149">
        <f t="shared" si="5"/>
        <v>2.1540362882660853</v>
      </c>
    </row>
    <row r="150" spans="1:10" x14ac:dyDescent="0.35">
      <c r="A150" t="s">
        <v>59</v>
      </c>
      <c r="B150" t="s">
        <v>55</v>
      </c>
      <c r="C150" t="s">
        <v>21</v>
      </c>
      <c r="D150" t="s">
        <v>8</v>
      </c>
      <c r="E150">
        <v>2</v>
      </c>
      <c r="F150" s="14">
        <v>0</v>
      </c>
      <c r="G150" s="9">
        <v>-1.6409399835596993E-2</v>
      </c>
      <c r="H150" s="12">
        <v>-1.6409399835596993E-2</v>
      </c>
      <c r="I150">
        <f t="shared" si="4"/>
        <v>0</v>
      </c>
      <c r="J150">
        <f t="shared" si="5"/>
        <v>0</v>
      </c>
    </row>
    <row r="151" spans="1:10" x14ac:dyDescent="0.35">
      <c r="A151" t="s">
        <v>59</v>
      </c>
      <c r="B151" t="s">
        <v>55</v>
      </c>
      <c r="C151" t="s">
        <v>22</v>
      </c>
      <c r="D151" t="s">
        <v>8</v>
      </c>
      <c r="E151">
        <v>2</v>
      </c>
      <c r="F151" s="14">
        <v>0</v>
      </c>
      <c r="G151" s="9">
        <v>12.156160317543813</v>
      </c>
      <c r="H151" s="12">
        <v>12.156160317543813</v>
      </c>
      <c r="I151">
        <f t="shared" si="4"/>
        <v>12.156160317543813</v>
      </c>
      <c r="J151">
        <f t="shared" si="5"/>
        <v>6.0780801587719067</v>
      </c>
    </row>
    <row r="152" spans="1:10" x14ac:dyDescent="0.35">
      <c r="A152" t="s">
        <v>59</v>
      </c>
      <c r="B152" t="s">
        <v>55</v>
      </c>
      <c r="C152" t="s">
        <v>23</v>
      </c>
      <c r="D152" t="s">
        <v>8</v>
      </c>
      <c r="E152">
        <v>2</v>
      </c>
      <c r="F152" s="14">
        <v>6.4100469000000002</v>
      </c>
      <c r="G152" s="9">
        <v>10.640809207766765</v>
      </c>
      <c r="H152" s="12">
        <v>10.640809207766765</v>
      </c>
      <c r="I152">
        <f t="shared" si="4"/>
        <v>10.640809207766765</v>
      </c>
      <c r="J152">
        <f t="shared" si="5"/>
        <v>5.3204046038833823</v>
      </c>
    </row>
    <row r="153" spans="1:10" x14ac:dyDescent="0.35">
      <c r="A153" t="s">
        <v>59</v>
      </c>
      <c r="B153" t="s">
        <v>55</v>
      </c>
      <c r="C153" t="s">
        <v>24</v>
      </c>
      <c r="D153" t="s">
        <v>8</v>
      </c>
      <c r="E153">
        <v>2</v>
      </c>
      <c r="F153" s="14">
        <v>1659.2318282000001</v>
      </c>
      <c r="G153" s="9">
        <v>186.09451451417402</v>
      </c>
      <c r="H153" s="12">
        <v>186.09451451417402</v>
      </c>
      <c r="I153">
        <f t="shared" si="4"/>
        <v>186.09451451417402</v>
      </c>
      <c r="J153">
        <f t="shared" si="5"/>
        <v>93.047257257087011</v>
      </c>
    </row>
    <row r="154" spans="1:10" x14ac:dyDescent="0.35">
      <c r="A154" t="s">
        <v>59</v>
      </c>
      <c r="B154" t="s">
        <v>55</v>
      </c>
      <c r="C154" t="s">
        <v>25</v>
      </c>
      <c r="D154" t="s">
        <v>8</v>
      </c>
      <c r="E154">
        <v>2</v>
      </c>
      <c r="F154" s="14">
        <v>0</v>
      </c>
      <c r="G154" s="9">
        <v>14.697400102883535</v>
      </c>
      <c r="H154" s="12">
        <v>14.697400102883535</v>
      </c>
      <c r="I154">
        <f t="shared" si="4"/>
        <v>14.697400102883535</v>
      </c>
      <c r="J154">
        <f t="shared" si="5"/>
        <v>7.3487000514417673</v>
      </c>
    </row>
    <row r="155" spans="1:10" x14ac:dyDescent="0.35">
      <c r="A155" t="s">
        <v>59</v>
      </c>
      <c r="B155" t="s">
        <v>55</v>
      </c>
      <c r="C155" t="s">
        <v>26</v>
      </c>
      <c r="D155" t="s">
        <v>8</v>
      </c>
      <c r="E155">
        <v>2</v>
      </c>
      <c r="F155" s="14">
        <v>3097.0300643</v>
      </c>
      <c r="G155" s="9">
        <v>88.654509997291498</v>
      </c>
      <c r="H155" s="12">
        <v>88.654509997291498</v>
      </c>
      <c r="I155">
        <f t="shared" si="4"/>
        <v>88.654509997291498</v>
      </c>
      <c r="J155">
        <f t="shared" si="5"/>
        <v>44.327254998645749</v>
      </c>
    </row>
    <row r="156" spans="1:10" x14ac:dyDescent="0.35">
      <c r="A156" t="s">
        <v>59</v>
      </c>
      <c r="B156" t="s">
        <v>55</v>
      </c>
      <c r="C156" t="s">
        <v>27</v>
      </c>
      <c r="D156" t="s">
        <v>8</v>
      </c>
      <c r="E156">
        <v>2</v>
      </c>
      <c r="F156" s="14">
        <v>202.40559090000002</v>
      </c>
      <c r="G156" s="9">
        <v>18.240197981493129</v>
      </c>
      <c r="H156" s="12">
        <v>18.240197981493129</v>
      </c>
      <c r="I156">
        <f t="shared" si="4"/>
        <v>18.240197981493129</v>
      </c>
      <c r="J156">
        <f t="shared" si="5"/>
        <v>9.1200989907465644</v>
      </c>
    </row>
    <row r="157" spans="1:10" x14ac:dyDescent="0.35">
      <c r="A157" t="s">
        <v>59</v>
      </c>
      <c r="B157" t="s">
        <v>55</v>
      </c>
      <c r="C157" t="s">
        <v>28</v>
      </c>
      <c r="D157" t="s">
        <v>8</v>
      </c>
      <c r="E157">
        <v>2</v>
      </c>
      <c r="F157" s="14">
        <v>21.568108299999999</v>
      </c>
      <c r="G157" s="9">
        <v>4.3219309853364763E-3</v>
      </c>
      <c r="H157" s="12">
        <v>4.3219309853364763E-3</v>
      </c>
      <c r="I157">
        <f t="shared" si="4"/>
        <v>4.3219309853364763E-3</v>
      </c>
      <c r="J157">
        <f t="shared" si="5"/>
        <v>2.1609654926682382E-3</v>
      </c>
    </row>
    <row r="158" spans="1:10" x14ac:dyDescent="0.35">
      <c r="A158" t="s">
        <v>59</v>
      </c>
      <c r="B158" t="s">
        <v>55</v>
      </c>
      <c r="C158" t="s">
        <v>29</v>
      </c>
      <c r="D158" t="s">
        <v>8</v>
      </c>
      <c r="E158">
        <v>2</v>
      </c>
      <c r="F158" s="14">
        <v>39.595627699999994</v>
      </c>
      <c r="G158" s="9">
        <v>11.004663088341363</v>
      </c>
      <c r="H158" s="12">
        <v>11.004663088341363</v>
      </c>
      <c r="I158">
        <f t="shared" si="4"/>
        <v>11.004663088341363</v>
      </c>
      <c r="J158">
        <f t="shared" si="5"/>
        <v>5.5023315441706817</v>
      </c>
    </row>
    <row r="159" spans="1:10" x14ac:dyDescent="0.35">
      <c r="A159" t="s">
        <v>59</v>
      </c>
      <c r="B159" t="s">
        <v>55</v>
      </c>
      <c r="C159" t="s">
        <v>30</v>
      </c>
      <c r="D159" t="s">
        <v>8</v>
      </c>
      <c r="E159">
        <v>2</v>
      </c>
      <c r="F159" s="14">
        <v>15.150450300000001</v>
      </c>
      <c r="G159" s="9">
        <v>4.4535462900235858</v>
      </c>
      <c r="H159" s="12">
        <v>4.4535462900235858</v>
      </c>
      <c r="I159">
        <f t="shared" si="4"/>
        <v>4.4535462900235858</v>
      </c>
      <c r="J159">
        <f t="shared" si="5"/>
        <v>2.2267731450117929</v>
      </c>
    </row>
    <row r="160" spans="1:10" x14ac:dyDescent="0.35">
      <c r="A160" t="s">
        <v>59</v>
      </c>
      <c r="B160" t="s">
        <v>55</v>
      </c>
      <c r="C160" t="s">
        <v>31</v>
      </c>
      <c r="D160" t="s">
        <v>8</v>
      </c>
      <c r="E160">
        <v>2</v>
      </c>
      <c r="F160" s="14">
        <v>0.41733010000000004</v>
      </c>
      <c r="G160" s="9">
        <v>0.55104812059159314</v>
      </c>
      <c r="H160" s="12">
        <v>0.55104812059159314</v>
      </c>
      <c r="I160">
        <f t="shared" si="4"/>
        <v>0.55104812059159314</v>
      </c>
      <c r="J160">
        <f t="shared" si="5"/>
        <v>0.27552406029579657</v>
      </c>
    </row>
    <row r="161" spans="1:10" x14ac:dyDescent="0.35">
      <c r="A161" t="s">
        <v>59</v>
      </c>
      <c r="B161" t="s">
        <v>55</v>
      </c>
      <c r="C161" t="s">
        <v>32</v>
      </c>
      <c r="D161" t="s">
        <v>8</v>
      </c>
      <c r="E161">
        <v>2</v>
      </c>
      <c r="F161" s="14">
        <v>129.15606579999999</v>
      </c>
      <c r="G161" s="9">
        <v>15.988513748355285</v>
      </c>
      <c r="H161" s="12">
        <v>15.988513748355285</v>
      </c>
      <c r="I161">
        <f t="shared" si="4"/>
        <v>15.988513748355285</v>
      </c>
      <c r="J161">
        <f t="shared" si="5"/>
        <v>7.9942568741776423</v>
      </c>
    </row>
    <row r="162" spans="1:10" x14ac:dyDescent="0.35">
      <c r="A162" t="s">
        <v>59</v>
      </c>
      <c r="B162" t="s">
        <v>55</v>
      </c>
      <c r="C162" t="s">
        <v>33</v>
      </c>
      <c r="D162" t="s">
        <v>8</v>
      </c>
      <c r="E162">
        <v>2</v>
      </c>
      <c r="F162" s="14">
        <v>0</v>
      </c>
      <c r="G162" s="9">
        <v>14.784463771110071</v>
      </c>
      <c r="H162" s="12">
        <v>14.784463771110071</v>
      </c>
      <c r="I162">
        <f t="shared" si="4"/>
        <v>14.784463771110071</v>
      </c>
      <c r="J162">
        <f t="shared" si="5"/>
        <v>7.3922318855550353</v>
      </c>
    </row>
    <row r="163" spans="1:10" x14ac:dyDescent="0.35">
      <c r="A163" t="s">
        <v>59</v>
      </c>
      <c r="B163" t="s">
        <v>55</v>
      </c>
      <c r="C163" t="s">
        <v>34</v>
      </c>
      <c r="D163" t="s">
        <v>8</v>
      </c>
      <c r="E163">
        <v>2</v>
      </c>
      <c r="F163" s="14">
        <v>0</v>
      </c>
      <c r="G163" s="9">
        <v>0.13366443023899127</v>
      </c>
      <c r="H163" s="12">
        <v>0.13366443023899127</v>
      </c>
      <c r="I163">
        <f t="shared" si="4"/>
        <v>0.13366443023899127</v>
      </c>
      <c r="J163">
        <f t="shared" si="5"/>
        <v>6.6832215119495636E-2</v>
      </c>
    </row>
    <row r="164" spans="1:10" x14ac:dyDescent="0.35">
      <c r="A164" t="s">
        <v>59</v>
      </c>
      <c r="B164" t="s">
        <v>55</v>
      </c>
      <c r="C164" t="s">
        <v>35</v>
      </c>
      <c r="D164" t="s">
        <v>8</v>
      </c>
      <c r="E164">
        <v>2</v>
      </c>
      <c r="F164" s="14">
        <v>274.82375939999997</v>
      </c>
      <c r="G164" s="9">
        <v>25.083149624670746</v>
      </c>
      <c r="H164" s="12">
        <v>25.083149624670746</v>
      </c>
      <c r="I164">
        <f t="shared" si="4"/>
        <v>25.083149624670746</v>
      </c>
      <c r="J164">
        <f t="shared" si="5"/>
        <v>12.541574812335373</v>
      </c>
    </row>
    <row r="165" spans="1:10" x14ac:dyDescent="0.35">
      <c r="A165" t="s">
        <v>59</v>
      </c>
      <c r="B165" t="s">
        <v>55</v>
      </c>
      <c r="C165" t="s">
        <v>36</v>
      </c>
      <c r="D165" t="s">
        <v>8</v>
      </c>
      <c r="E165">
        <v>2</v>
      </c>
      <c r="F165" s="14">
        <v>0</v>
      </c>
      <c r="G165" s="9">
        <v>0.24796154999579173</v>
      </c>
      <c r="H165" s="12">
        <v>0.24796154999579173</v>
      </c>
      <c r="I165">
        <f t="shared" si="4"/>
        <v>0.24796154999579173</v>
      </c>
      <c r="J165">
        <f t="shared" si="5"/>
        <v>0.12398077499789587</v>
      </c>
    </row>
    <row r="166" spans="1:10" x14ac:dyDescent="0.35">
      <c r="A166" t="s">
        <v>59</v>
      </c>
      <c r="B166" t="s">
        <v>55</v>
      </c>
      <c r="C166" t="s">
        <v>37</v>
      </c>
      <c r="D166" t="s">
        <v>8</v>
      </c>
      <c r="E166">
        <v>2</v>
      </c>
      <c r="F166" s="14">
        <v>97.342965200000009</v>
      </c>
      <c r="G166" s="9">
        <v>30.22792360912819</v>
      </c>
      <c r="H166" s="12">
        <v>30.22792360912819</v>
      </c>
      <c r="I166">
        <f t="shared" si="4"/>
        <v>30.22792360912819</v>
      </c>
      <c r="J166">
        <f t="shared" si="5"/>
        <v>15.113961804564095</v>
      </c>
    </row>
    <row r="167" spans="1:10" x14ac:dyDescent="0.35">
      <c r="A167" t="s">
        <v>59</v>
      </c>
      <c r="B167" t="s">
        <v>55</v>
      </c>
      <c r="C167" t="s">
        <v>38</v>
      </c>
      <c r="D167" t="s">
        <v>8</v>
      </c>
      <c r="E167">
        <v>2</v>
      </c>
      <c r="F167" s="14">
        <v>1.9268451</v>
      </c>
      <c r="G167" s="9">
        <v>0.17181519375663823</v>
      </c>
      <c r="H167" s="12">
        <v>0.17181519375663823</v>
      </c>
      <c r="I167">
        <f t="shared" si="4"/>
        <v>0.17181519375663823</v>
      </c>
      <c r="J167">
        <f t="shared" si="5"/>
        <v>8.5907596878319115E-2</v>
      </c>
    </row>
    <row r="168" spans="1:10" x14ac:dyDescent="0.35">
      <c r="A168" t="s">
        <v>59</v>
      </c>
      <c r="B168" t="s">
        <v>55</v>
      </c>
      <c r="C168" t="s">
        <v>39</v>
      </c>
      <c r="D168" t="s">
        <v>8</v>
      </c>
      <c r="E168">
        <v>2</v>
      </c>
      <c r="F168" s="14">
        <v>0.3713167</v>
      </c>
      <c r="G168" s="9">
        <v>0.34118232931944498</v>
      </c>
      <c r="H168" s="12">
        <v>0.34118232931944498</v>
      </c>
      <c r="I168">
        <f t="shared" si="4"/>
        <v>0.34118232931944498</v>
      </c>
      <c r="J168">
        <f t="shared" si="5"/>
        <v>0.17059116465972249</v>
      </c>
    </row>
    <row r="169" spans="1:10" x14ac:dyDescent="0.35">
      <c r="A169" t="s">
        <v>59</v>
      </c>
      <c r="B169" t="s">
        <v>55</v>
      </c>
      <c r="C169" t="s">
        <v>40</v>
      </c>
      <c r="D169" t="s">
        <v>8</v>
      </c>
      <c r="E169">
        <v>2</v>
      </c>
      <c r="F169" s="14">
        <v>10.348815500000001</v>
      </c>
      <c r="G169" s="9">
        <v>1.3057774911366273</v>
      </c>
      <c r="H169" s="12">
        <v>1.3057774911366273</v>
      </c>
      <c r="I169">
        <f t="shared" si="4"/>
        <v>1.3057774911366273</v>
      </c>
      <c r="J169">
        <f t="shared" si="5"/>
        <v>0.65288874556831367</v>
      </c>
    </row>
    <row r="170" spans="1:10" x14ac:dyDescent="0.35">
      <c r="A170" t="s">
        <v>59</v>
      </c>
      <c r="B170" t="s">
        <v>55</v>
      </c>
      <c r="C170" t="s">
        <v>41</v>
      </c>
      <c r="D170" t="s">
        <v>8</v>
      </c>
      <c r="E170">
        <v>2</v>
      </c>
      <c r="F170" s="14">
        <v>45.146220399999997</v>
      </c>
      <c r="G170" s="9">
        <v>1.6170171266615072</v>
      </c>
      <c r="H170" s="12">
        <v>1.6170171266615072</v>
      </c>
      <c r="I170">
        <f t="shared" si="4"/>
        <v>1.6170171266615072</v>
      </c>
      <c r="J170">
        <f t="shared" si="5"/>
        <v>0.8085085633307536</v>
      </c>
    </row>
    <row r="171" spans="1:10" s="8" customFormat="1" x14ac:dyDescent="0.35">
      <c r="A171" s="8" t="s">
        <v>59</v>
      </c>
      <c r="B171" s="8" t="s">
        <v>55</v>
      </c>
      <c r="C171" s="8" t="s">
        <v>42</v>
      </c>
      <c r="D171" s="8" t="s">
        <v>8</v>
      </c>
      <c r="E171" s="8">
        <v>2</v>
      </c>
      <c r="F171" s="15">
        <v>0</v>
      </c>
      <c r="G171" s="10">
        <v>3.2505815094398969</v>
      </c>
      <c r="H171" s="13">
        <v>3.2505815094398969</v>
      </c>
      <c r="I171" s="8">
        <f t="shared" si="4"/>
        <v>3.2505815094398969</v>
      </c>
      <c r="J171" s="8">
        <f t="shared" si="5"/>
        <v>1.6252907547199484</v>
      </c>
    </row>
    <row r="172" spans="1:10" x14ac:dyDescent="0.35">
      <c r="A172" t="s">
        <v>60</v>
      </c>
      <c r="B172" t="s">
        <v>56</v>
      </c>
      <c r="C172" t="s">
        <v>7</v>
      </c>
      <c r="D172" t="s">
        <v>51</v>
      </c>
      <c r="E172">
        <v>2</v>
      </c>
      <c r="F172" s="14">
        <v>6.9187814999999997</v>
      </c>
      <c r="G172" s="9">
        <v>0.75905006544458875</v>
      </c>
      <c r="H172" s="12">
        <v>0.75905006544458875</v>
      </c>
      <c r="I172">
        <f t="shared" si="4"/>
        <v>0.75905006544458875</v>
      </c>
      <c r="J172">
        <f t="shared" si="5"/>
        <v>0.37952503272229438</v>
      </c>
    </row>
    <row r="173" spans="1:10" x14ac:dyDescent="0.35">
      <c r="A173" t="s">
        <v>60</v>
      </c>
      <c r="B173" t="s">
        <v>56</v>
      </c>
      <c r="C173" t="s">
        <v>9</v>
      </c>
      <c r="D173" t="s">
        <v>51</v>
      </c>
      <c r="E173">
        <v>2</v>
      </c>
      <c r="F173" s="14">
        <v>0</v>
      </c>
      <c r="G173" s="9">
        <v>-8.4592851021455084E-2</v>
      </c>
      <c r="H173" s="12">
        <v>-8.4592851021455084E-2</v>
      </c>
      <c r="I173">
        <f t="shared" si="4"/>
        <v>0</v>
      </c>
      <c r="J173">
        <f t="shared" si="5"/>
        <v>0</v>
      </c>
    </row>
    <row r="174" spans="1:10" x14ac:dyDescent="0.35">
      <c r="A174" t="s">
        <v>60</v>
      </c>
      <c r="B174" t="s">
        <v>56</v>
      </c>
      <c r="C174" t="s">
        <v>10</v>
      </c>
      <c r="D174" t="s">
        <v>51</v>
      </c>
      <c r="E174">
        <v>2</v>
      </c>
      <c r="F174" s="14">
        <v>0</v>
      </c>
      <c r="G174" s="9">
        <v>-3.7880924704515012E-2</v>
      </c>
      <c r="H174" s="12">
        <v>-3.7880924704515012E-2</v>
      </c>
      <c r="I174">
        <f t="shared" si="4"/>
        <v>0</v>
      </c>
      <c r="J174">
        <f t="shared" si="5"/>
        <v>0</v>
      </c>
    </row>
    <row r="175" spans="1:10" x14ac:dyDescent="0.35">
      <c r="A175" t="s">
        <v>60</v>
      </c>
      <c r="B175" t="s">
        <v>56</v>
      </c>
      <c r="C175" t="s">
        <v>11</v>
      </c>
      <c r="D175" t="s">
        <v>51</v>
      </c>
      <c r="E175">
        <v>2</v>
      </c>
      <c r="F175" s="14">
        <v>5.647691</v>
      </c>
      <c r="G175" s="9">
        <v>3.9099079430089612</v>
      </c>
      <c r="H175" s="12">
        <v>3.9099079430089612</v>
      </c>
      <c r="I175">
        <f t="shared" si="4"/>
        <v>3.9099079430089612</v>
      </c>
      <c r="J175">
        <f t="shared" si="5"/>
        <v>1.9549539715044806</v>
      </c>
    </row>
    <row r="176" spans="1:10" x14ac:dyDescent="0.35">
      <c r="A176" t="s">
        <v>60</v>
      </c>
      <c r="B176" t="s">
        <v>56</v>
      </c>
      <c r="C176" t="s">
        <v>12</v>
      </c>
      <c r="D176" t="s">
        <v>51</v>
      </c>
      <c r="E176">
        <v>2</v>
      </c>
      <c r="F176" s="14">
        <v>95.540630300000004</v>
      </c>
      <c r="G176" s="9">
        <v>7.6881947787823988</v>
      </c>
      <c r="H176" s="12">
        <v>7.6881947787823988</v>
      </c>
      <c r="I176">
        <f t="shared" si="4"/>
        <v>7.6881947787823988</v>
      </c>
      <c r="J176">
        <f t="shared" si="5"/>
        <v>3.8440973893911994</v>
      </c>
    </row>
    <row r="177" spans="1:10" x14ac:dyDescent="0.35">
      <c r="A177" t="s">
        <v>60</v>
      </c>
      <c r="B177" t="s">
        <v>56</v>
      </c>
      <c r="C177" t="s">
        <v>13</v>
      </c>
      <c r="D177" t="s">
        <v>51</v>
      </c>
      <c r="E177">
        <v>2</v>
      </c>
      <c r="F177" s="14">
        <v>140.64858090000001</v>
      </c>
      <c r="G177" s="9">
        <v>37.549912213630265</v>
      </c>
      <c r="H177" s="12">
        <v>37.549912213630265</v>
      </c>
      <c r="I177">
        <f t="shared" si="4"/>
        <v>37.549912213630265</v>
      </c>
      <c r="J177">
        <f t="shared" si="5"/>
        <v>18.774956106815132</v>
      </c>
    </row>
    <row r="178" spans="1:10" x14ac:dyDescent="0.35">
      <c r="A178" t="s">
        <v>60</v>
      </c>
      <c r="B178" t="s">
        <v>56</v>
      </c>
      <c r="C178" t="s">
        <v>14</v>
      </c>
      <c r="D178" t="s">
        <v>51</v>
      </c>
      <c r="E178">
        <v>2</v>
      </c>
      <c r="F178" s="14">
        <v>6.4803131999999994</v>
      </c>
      <c r="G178" s="9">
        <v>0.18212135094286094</v>
      </c>
      <c r="H178" s="12">
        <v>0.18212135094286094</v>
      </c>
      <c r="I178">
        <f t="shared" si="4"/>
        <v>0.18212135094286094</v>
      </c>
      <c r="J178">
        <f t="shared" si="5"/>
        <v>9.1060675471430472E-2</v>
      </c>
    </row>
    <row r="179" spans="1:10" x14ac:dyDescent="0.35">
      <c r="A179" t="s">
        <v>60</v>
      </c>
      <c r="B179" t="s">
        <v>56</v>
      </c>
      <c r="C179" t="s">
        <v>15</v>
      </c>
      <c r="D179" t="s">
        <v>51</v>
      </c>
      <c r="E179">
        <v>2</v>
      </c>
      <c r="F179" s="14">
        <v>8.8437347000000006</v>
      </c>
      <c r="G179" s="9">
        <v>0.43260866443426937</v>
      </c>
      <c r="H179" s="12">
        <v>0.43260866443426937</v>
      </c>
      <c r="I179">
        <f t="shared" si="4"/>
        <v>0.43260866443426937</v>
      </c>
      <c r="J179">
        <f t="shared" si="5"/>
        <v>0.21630433221713469</v>
      </c>
    </row>
    <row r="180" spans="1:10" x14ac:dyDescent="0.35">
      <c r="A180" t="s">
        <v>60</v>
      </c>
      <c r="B180" t="s">
        <v>56</v>
      </c>
      <c r="C180" t="s">
        <v>16</v>
      </c>
      <c r="D180" t="s">
        <v>51</v>
      </c>
      <c r="E180">
        <v>2</v>
      </c>
      <c r="F180" s="14">
        <v>0</v>
      </c>
      <c r="G180" s="9">
        <v>3.3761467240189809E-2</v>
      </c>
      <c r="H180" s="12">
        <v>3.3761467240189809E-2</v>
      </c>
      <c r="I180">
        <f t="shared" si="4"/>
        <v>3.3761467240189809E-2</v>
      </c>
      <c r="J180">
        <f t="shared" si="5"/>
        <v>1.6880733620094904E-2</v>
      </c>
    </row>
    <row r="181" spans="1:10" x14ac:dyDescent="0.35">
      <c r="A181" t="s">
        <v>60</v>
      </c>
      <c r="B181" t="s">
        <v>56</v>
      </c>
      <c r="C181" t="s">
        <v>17</v>
      </c>
      <c r="D181" t="s">
        <v>51</v>
      </c>
      <c r="E181">
        <v>2</v>
      </c>
      <c r="F181" s="14">
        <v>3886.066534</v>
      </c>
      <c r="G181" s="9">
        <v>283.28186202946358</v>
      </c>
      <c r="H181" s="12">
        <v>283.28186202946358</v>
      </c>
      <c r="I181">
        <f t="shared" si="4"/>
        <v>283.28186202946358</v>
      </c>
      <c r="J181">
        <f t="shared" si="5"/>
        <v>141.64093101473179</v>
      </c>
    </row>
    <row r="182" spans="1:10" x14ac:dyDescent="0.35">
      <c r="A182" t="s">
        <v>60</v>
      </c>
      <c r="B182" t="s">
        <v>56</v>
      </c>
      <c r="C182" t="s">
        <v>18</v>
      </c>
      <c r="D182" t="s">
        <v>51</v>
      </c>
      <c r="E182">
        <v>2</v>
      </c>
      <c r="F182" s="14">
        <v>492.49230109999996</v>
      </c>
      <c r="G182" s="9">
        <v>123.68430488681712</v>
      </c>
      <c r="H182" s="12">
        <v>123.68430488681712</v>
      </c>
      <c r="I182">
        <f t="shared" si="4"/>
        <v>123.68430488681712</v>
      </c>
      <c r="J182">
        <f t="shared" si="5"/>
        <v>61.842152443408558</v>
      </c>
    </row>
    <row r="183" spans="1:10" x14ac:dyDescent="0.35">
      <c r="A183" t="s">
        <v>60</v>
      </c>
      <c r="B183" t="s">
        <v>56</v>
      </c>
      <c r="C183" t="s">
        <v>20</v>
      </c>
      <c r="D183" t="s">
        <v>51</v>
      </c>
      <c r="E183">
        <v>2</v>
      </c>
      <c r="F183" s="14">
        <v>16.801856400000002</v>
      </c>
      <c r="G183" s="9">
        <v>3.5264024226077306</v>
      </c>
      <c r="H183" s="12">
        <v>3.5264024226077306</v>
      </c>
      <c r="I183">
        <f t="shared" si="4"/>
        <v>3.5264024226077306</v>
      </c>
      <c r="J183">
        <f t="shared" si="5"/>
        <v>1.7632012113038653</v>
      </c>
    </row>
    <row r="184" spans="1:10" x14ac:dyDescent="0.35">
      <c r="A184" t="s">
        <v>60</v>
      </c>
      <c r="B184" t="s">
        <v>56</v>
      </c>
      <c r="C184" t="s">
        <v>21</v>
      </c>
      <c r="D184" t="s">
        <v>51</v>
      </c>
      <c r="E184">
        <v>2</v>
      </c>
      <c r="F184" s="14">
        <v>528.56009199999994</v>
      </c>
      <c r="G184" s="9">
        <v>43.293780677260898</v>
      </c>
      <c r="H184" s="12">
        <v>43.293780677260898</v>
      </c>
      <c r="I184">
        <f t="shared" si="4"/>
        <v>43.293780677260898</v>
      </c>
      <c r="J184">
        <f t="shared" si="5"/>
        <v>21.646890338630449</v>
      </c>
    </row>
    <row r="185" spans="1:10" x14ac:dyDescent="0.35">
      <c r="A185" t="s">
        <v>60</v>
      </c>
      <c r="B185" t="s">
        <v>56</v>
      </c>
      <c r="C185" t="s">
        <v>22</v>
      </c>
      <c r="D185" t="s">
        <v>51</v>
      </c>
      <c r="E185">
        <v>2</v>
      </c>
      <c r="F185" s="14">
        <v>1825.5567452</v>
      </c>
      <c r="G185" s="9">
        <v>12.464548226943933</v>
      </c>
      <c r="H185" s="12">
        <v>12.464548226943933</v>
      </c>
      <c r="I185">
        <f t="shared" si="4"/>
        <v>12.464548226943933</v>
      </c>
      <c r="J185">
        <f t="shared" si="5"/>
        <v>6.2322741134719664</v>
      </c>
    </row>
    <row r="186" spans="1:10" x14ac:dyDescent="0.35">
      <c r="A186" t="s">
        <v>60</v>
      </c>
      <c r="B186" t="s">
        <v>56</v>
      </c>
      <c r="C186" t="s">
        <v>23</v>
      </c>
      <c r="D186" t="s">
        <v>51</v>
      </c>
      <c r="E186">
        <v>2</v>
      </c>
      <c r="F186" s="14">
        <v>0</v>
      </c>
      <c r="G186" s="9">
        <v>66.826915258763506</v>
      </c>
      <c r="H186" s="12">
        <v>66.826915258763506</v>
      </c>
      <c r="I186">
        <f t="shared" si="4"/>
        <v>66.826915258763506</v>
      </c>
      <c r="J186">
        <f t="shared" si="5"/>
        <v>33.413457629381753</v>
      </c>
    </row>
    <row r="187" spans="1:10" x14ac:dyDescent="0.35">
      <c r="A187" t="s">
        <v>60</v>
      </c>
      <c r="B187" t="s">
        <v>56</v>
      </c>
      <c r="C187" t="s">
        <v>24</v>
      </c>
      <c r="D187" t="s">
        <v>51</v>
      </c>
      <c r="E187">
        <v>2</v>
      </c>
      <c r="F187" s="14">
        <v>1462.6532849999999</v>
      </c>
      <c r="G187" s="9">
        <v>251.67382258073135</v>
      </c>
      <c r="H187" s="12">
        <v>251.67382258073135</v>
      </c>
      <c r="I187">
        <f t="shared" si="4"/>
        <v>251.67382258073135</v>
      </c>
      <c r="J187">
        <f t="shared" si="5"/>
        <v>125.83691129036568</v>
      </c>
    </row>
    <row r="188" spans="1:10" x14ac:dyDescent="0.35">
      <c r="A188" t="s">
        <v>60</v>
      </c>
      <c r="B188" t="s">
        <v>56</v>
      </c>
      <c r="C188" t="s">
        <v>25</v>
      </c>
      <c r="D188" t="s">
        <v>51</v>
      </c>
      <c r="E188">
        <v>2</v>
      </c>
      <c r="F188" s="14">
        <v>0.30385279999999998</v>
      </c>
      <c r="G188" s="9">
        <v>7.0182494833499884</v>
      </c>
      <c r="H188" s="12">
        <v>7.0182494833499884</v>
      </c>
      <c r="I188">
        <f t="shared" ref="I188:I250" si="6">IF(G188&lt;0,0,G188)</f>
        <v>7.0182494833499884</v>
      </c>
      <c r="J188">
        <f t="shared" si="5"/>
        <v>3.5091247416749942</v>
      </c>
    </row>
    <row r="189" spans="1:10" x14ac:dyDescent="0.35">
      <c r="A189" t="s">
        <v>60</v>
      </c>
      <c r="B189" t="s">
        <v>56</v>
      </c>
      <c r="C189" t="s">
        <v>26</v>
      </c>
      <c r="D189" t="s">
        <v>51</v>
      </c>
      <c r="E189">
        <v>2</v>
      </c>
      <c r="F189" s="14">
        <v>2284.7086469000001</v>
      </c>
      <c r="G189" s="9">
        <v>65.396331260923304</v>
      </c>
      <c r="H189" s="12">
        <v>65.396331260923304</v>
      </c>
      <c r="I189">
        <f t="shared" si="6"/>
        <v>65.396331260923304</v>
      </c>
      <c r="J189">
        <f t="shared" si="5"/>
        <v>32.698165630461652</v>
      </c>
    </row>
    <row r="190" spans="1:10" x14ac:dyDescent="0.35">
      <c r="A190" t="s">
        <v>60</v>
      </c>
      <c r="B190" t="s">
        <v>56</v>
      </c>
      <c r="C190" t="s">
        <v>27</v>
      </c>
      <c r="D190" t="s">
        <v>51</v>
      </c>
      <c r="E190">
        <v>2</v>
      </c>
      <c r="F190" s="14">
        <v>138.10811050000001</v>
      </c>
      <c r="G190" s="9">
        <v>12.486670593628187</v>
      </c>
      <c r="H190" s="12">
        <v>12.486670593628187</v>
      </c>
      <c r="I190">
        <f t="shared" si="6"/>
        <v>12.486670593628187</v>
      </c>
      <c r="J190">
        <f t="shared" si="5"/>
        <v>6.2433352968140934</v>
      </c>
    </row>
    <row r="191" spans="1:10" x14ac:dyDescent="0.35">
      <c r="A191" t="s">
        <v>60</v>
      </c>
      <c r="B191" t="s">
        <v>56</v>
      </c>
      <c r="C191" t="s">
        <v>28</v>
      </c>
      <c r="D191" t="s">
        <v>51</v>
      </c>
      <c r="E191">
        <v>2</v>
      </c>
      <c r="F191" s="14">
        <v>14.882104799999999</v>
      </c>
      <c r="G191" s="9">
        <v>0.35926743930125493</v>
      </c>
      <c r="H191" s="12">
        <v>0.35926743930125493</v>
      </c>
      <c r="I191">
        <f t="shared" si="6"/>
        <v>0.35926743930125493</v>
      </c>
      <c r="J191">
        <f t="shared" ref="J191:J252" si="7">I191/2</f>
        <v>0.17963371965062747</v>
      </c>
    </row>
    <row r="192" spans="1:10" x14ac:dyDescent="0.35">
      <c r="A192" t="s">
        <v>60</v>
      </c>
      <c r="B192" t="s">
        <v>56</v>
      </c>
      <c r="C192" t="s">
        <v>29</v>
      </c>
      <c r="D192" t="s">
        <v>51</v>
      </c>
      <c r="E192">
        <v>2</v>
      </c>
      <c r="F192" s="14">
        <v>0.1341609</v>
      </c>
      <c r="G192" s="9">
        <v>6.6673962830406772</v>
      </c>
      <c r="H192" s="12">
        <v>6.6673962830406772</v>
      </c>
      <c r="I192">
        <f t="shared" si="6"/>
        <v>6.6673962830406772</v>
      </c>
      <c r="J192">
        <f t="shared" si="7"/>
        <v>3.3336981415203386</v>
      </c>
    </row>
    <row r="193" spans="1:10" x14ac:dyDescent="0.35">
      <c r="A193" t="s">
        <v>60</v>
      </c>
      <c r="B193" t="s">
        <v>56</v>
      </c>
      <c r="C193" t="s">
        <v>30</v>
      </c>
      <c r="D193" t="s">
        <v>51</v>
      </c>
      <c r="E193">
        <v>2</v>
      </c>
      <c r="F193" s="14">
        <v>1.3623094</v>
      </c>
      <c r="G193" s="9">
        <v>0.51528872388075841</v>
      </c>
      <c r="H193" s="12">
        <v>0.51528872388075841</v>
      </c>
      <c r="I193">
        <f t="shared" si="6"/>
        <v>0.51528872388075841</v>
      </c>
      <c r="J193">
        <f t="shared" si="7"/>
        <v>0.25764436194037921</v>
      </c>
    </row>
    <row r="194" spans="1:10" x14ac:dyDescent="0.35">
      <c r="A194" t="s">
        <v>60</v>
      </c>
      <c r="B194" t="s">
        <v>56</v>
      </c>
      <c r="C194" t="s">
        <v>31</v>
      </c>
      <c r="D194" t="s">
        <v>51</v>
      </c>
      <c r="E194">
        <v>2</v>
      </c>
      <c r="F194" s="14">
        <v>0.40188240000000003</v>
      </c>
      <c r="G194" s="9">
        <v>0.29125362406970717</v>
      </c>
      <c r="H194" s="12">
        <v>0.29125362406970717</v>
      </c>
      <c r="I194">
        <f t="shared" si="6"/>
        <v>0.29125362406970717</v>
      </c>
      <c r="J194">
        <f t="shared" si="7"/>
        <v>0.14562681203485359</v>
      </c>
    </row>
    <row r="195" spans="1:10" x14ac:dyDescent="0.35">
      <c r="A195" t="s">
        <v>60</v>
      </c>
      <c r="B195" t="s">
        <v>56</v>
      </c>
      <c r="C195" t="s">
        <v>32</v>
      </c>
      <c r="D195" t="s">
        <v>51</v>
      </c>
      <c r="E195">
        <v>2</v>
      </c>
      <c r="F195" s="14">
        <v>54.570461000000002</v>
      </c>
      <c r="G195" s="9">
        <v>6.7513832216660719</v>
      </c>
      <c r="H195" s="12">
        <v>6.7513832216660719</v>
      </c>
      <c r="I195">
        <f t="shared" si="6"/>
        <v>6.7513832216660719</v>
      </c>
      <c r="J195">
        <f t="shared" si="7"/>
        <v>3.3756916108330359</v>
      </c>
    </row>
    <row r="196" spans="1:10" x14ac:dyDescent="0.35">
      <c r="A196" t="s">
        <v>60</v>
      </c>
      <c r="B196" t="s">
        <v>56</v>
      </c>
      <c r="C196" t="s">
        <v>33</v>
      </c>
      <c r="D196" t="s">
        <v>51</v>
      </c>
      <c r="E196">
        <v>2</v>
      </c>
      <c r="F196" s="14">
        <v>3.1999223999999997</v>
      </c>
      <c r="G196" s="9">
        <v>5.4613382992070871</v>
      </c>
      <c r="H196" s="12">
        <v>5.4613382992070871</v>
      </c>
      <c r="I196">
        <f t="shared" si="6"/>
        <v>5.4613382992070871</v>
      </c>
      <c r="J196">
        <f t="shared" si="7"/>
        <v>2.7306691496035436</v>
      </c>
    </row>
    <row r="197" spans="1:10" x14ac:dyDescent="0.35">
      <c r="A197" t="s">
        <v>60</v>
      </c>
      <c r="B197" t="s">
        <v>56</v>
      </c>
      <c r="C197" t="s">
        <v>34</v>
      </c>
      <c r="D197" t="s">
        <v>51</v>
      </c>
      <c r="E197">
        <v>2</v>
      </c>
      <c r="F197" s="14">
        <v>0</v>
      </c>
      <c r="G197" s="9">
        <v>0.11253162792068155</v>
      </c>
      <c r="H197" s="12">
        <v>0.11253162792068155</v>
      </c>
      <c r="I197">
        <f t="shared" si="6"/>
        <v>0.11253162792068155</v>
      </c>
      <c r="J197">
        <f t="shared" si="7"/>
        <v>5.6265813960340777E-2</v>
      </c>
    </row>
    <row r="198" spans="1:10" x14ac:dyDescent="0.35">
      <c r="A198" t="s">
        <v>60</v>
      </c>
      <c r="B198" t="s">
        <v>56</v>
      </c>
      <c r="C198" t="s">
        <v>35</v>
      </c>
      <c r="D198" t="s">
        <v>51</v>
      </c>
      <c r="E198">
        <v>2</v>
      </c>
      <c r="F198" s="14">
        <v>144.10380669999998</v>
      </c>
      <c r="G198" s="9">
        <v>8.7328506944728836</v>
      </c>
      <c r="H198" s="12">
        <v>8.7328506944728836</v>
      </c>
      <c r="I198">
        <f t="shared" si="6"/>
        <v>8.7328506944728836</v>
      </c>
      <c r="J198">
        <f t="shared" si="7"/>
        <v>4.3664253472364418</v>
      </c>
    </row>
    <row r="199" spans="1:10" x14ac:dyDescent="0.35">
      <c r="A199" t="s">
        <v>60</v>
      </c>
      <c r="B199" t="s">
        <v>56</v>
      </c>
      <c r="C199" t="s">
        <v>36</v>
      </c>
      <c r="D199" t="s">
        <v>51</v>
      </c>
      <c r="E199">
        <v>2</v>
      </c>
      <c r="F199" s="14">
        <v>3.0235837999999999</v>
      </c>
      <c r="G199" s="9">
        <v>3.5817354104133954</v>
      </c>
      <c r="H199" s="12">
        <v>3.5817354104133954</v>
      </c>
      <c r="I199">
        <f t="shared" si="6"/>
        <v>3.5817354104133954</v>
      </c>
      <c r="J199">
        <f t="shared" si="7"/>
        <v>1.7908677052066977</v>
      </c>
    </row>
    <row r="200" spans="1:10" x14ac:dyDescent="0.35">
      <c r="A200" t="s">
        <v>60</v>
      </c>
      <c r="B200" t="s">
        <v>56</v>
      </c>
      <c r="C200" t="s">
        <v>37</v>
      </c>
      <c r="D200" t="s">
        <v>51</v>
      </c>
      <c r="E200">
        <v>2</v>
      </c>
      <c r="F200" s="14">
        <v>82.943792700000003</v>
      </c>
      <c r="G200" s="9">
        <v>25.667853633772644</v>
      </c>
      <c r="H200" s="12">
        <v>25.667853633772644</v>
      </c>
      <c r="I200">
        <f t="shared" si="6"/>
        <v>25.667853633772644</v>
      </c>
      <c r="J200">
        <f t="shared" si="7"/>
        <v>12.833926816886322</v>
      </c>
    </row>
    <row r="201" spans="1:10" x14ac:dyDescent="0.35">
      <c r="A201" t="s">
        <v>60</v>
      </c>
      <c r="B201" t="s">
        <v>56</v>
      </c>
      <c r="C201" t="s">
        <v>38</v>
      </c>
      <c r="D201" t="s">
        <v>51</v>
      </c>
      <c r="E201">
        <v>2</v>
      </c>
      <c r="F201" s="14">
        <v>1.9346867999999999</v>
      </c>
      <c r="G201" s="9">
        <v>0.17380703132072706</v>
      </c>
      <c r="H201" s="12">
        <v>0.17380703132072706</v>
      </c>
      <c r="I201">
        <f t="shared" si="6"/>
        <v>0.17380703132072706</v>
      </c>
      <c r="J201">
        <f t="shared" si="7"/>
        <v>8.6903515660363528E-2</v>
      </c>
    </row>
    <row r="202" spans="1:10" x14ac:dyDescent="0.35">
      <c r="A202" t="s">
        <v>60</v>
      </c>
      <c r="B202" t="s">
        <v>56</v>
      </c>
      <c r="C202" t="s">
        <v>39</v>
      </c>
      <c r="D202" t="s">
        <v>51</v>
      </c>
      <c r="E202">
        <v>2</v>
      </c>
      <c r="F202" s="14">
        <v>0</v>
      </c>
      <c r="G202" s="9">
        <v>0.11162591824008247</v>
      </c>
      <c r="H202" s="12">
        <v>0.11162591824008247</v>
      </c>
      <c r="I202">
        <f t="shared" si="6"/>
        <v>0.11162591824008247</v>
      </c>
      <c r="J202">
        <f t="shared" si="7"/>
        <v>5.5812959120041236E-2</v>
      </c>
    </row>
    <row r="203" spans="1:10" x14ac:dyDescent="0.35">
      <c r="A203" t="s">
        <v>60</v>
      </c>
      <c r="B203" t="s">
        <v>56</v>
      </c>
      <c r="C203" t="s">
        <v>40</v>
      </c>
      <c r="D203" t="s">
        <v>51</v>
      </c>
      <c r="E203">
        <v>2</v>
      </c>
      <c r="F203" s="14">
        <v>7.3355316999999998</v>
      </c>
      <c r="G203" s="9">
        <v>0.94751572652999916</v>
      </c>
      <c r="H203" s="12">
        <v>0.94751572652999916</v>
      </c>
      <c r="I203">
        <f t="shared" si="6"/>
        <v>0.94751572652999916</v>
      </c>
      <c r="J203">
        <f t="shared" si="7"/>
        <v>0.47375786326499958</v>
      </c>
    </row>
    <row r="204" spans="1:10" x14ac:dyDescent="0.35">
      <c r="A204" t="s">
        <v>60</v>
      </c>
      <c r="B204" t="s">
        <v>56</v>
      </c>
      <c r="C204" t="s">
        <v>41</v>
      </c>
      <c r="D204" t="s">
        <v>51</v>
      </c>
      <c r="E204">
        <v>2</v>
      </c>
      <c r="F204" s="14">
        <v>0</v>
      </c>
      <c r="G204" s="9">
        <v>-0.41547661964309507</v>
      </c>
      <c r="H204" s="12">
        <v>-0.41547661964309507</v>
      </c>
      <c r="I204">
        <f t="shared" si="6"/>
        <v>0</v>
      </c>
      <c r="J204">
        <f t="shared" si="7"/>
        <v>0</v>
      </c>
    </row>
    <row r="205" spans="1:10" s="8" customFormat="1" x14ac:dyDescent="0.35">
      <c r="A205" s="8" t="s">
        <v>60</v>
      </c>
      <c r="B205" s="8" t="s">
        <v>56</v>
      </c>
      <c r="C205" s="8" t="s">
        <v>42</v>
      </c>
      <c r="D205" s="8" t="s">
        <v>51</v>
      </c>
      <c r="E205" s="8">
        <v>2</v>
      </c>
      <c r="F205" s="15">
        <v>0</v>
      </c>
      <c r="G205" s="10">
        <v>0.39805351586941795</v>
      </c>
      <c r="H205" s="13">
        <v>0.39805351586941795</v>
      </c>
      <c r="I205" s="8">
        <f t="shared" si="6"/>
        <v>0.39805351586941795</v>
      </c>
      <c r="J205" s="8">
        <f t="shared" si="7"/>
        <v>0.19902675793470898</v>
      </c>
    </row>
    <row r="206" spans="1:10" x14ac:dyDescent="0.35">
      <c r="A206" t="s">
        <v>61</v>
      </c>
      <c r="B206" t="s">
        <v>57</v>
      </c>
      <c r="C206" t="s">
        <v>7</v>
      </c>
      <c r="D206" t="s">
        <v>50</v>
      </c>
      <c r="E206">
        <v>2</v>
      </c>
      <c r="F206" s="14">
        <v>6.8520784999999993</v>
      </c>
      <c r="G206" s="9">
        <v>0.75624215587741916</v>
      </c>
      <c r="H206" s="12">
        <v>0.75624215587741916</v>
      </c>
      <c r="I206">
        <f t="shared" si="6"/>
        <v>0.75624215587741916</v>
      </c>
      <c r="J206">
        <f t="shared" si="7"/>
        <v>0.37812107793870958</v>
      </c>
    </row>
    <row r="207" spans="1:10" x14ac:dyDescent="0.35">
      <c r="A207" t="s">
        <v>61</v>
      </c>
      <c r="B207" t="s">
        <v>57</v>
      </c>
      <c r="C207" t="s">
        <v>9</v>
      </c>
      <c r="D207" t="s">
        <v>50</v>
      </c>
      <c r="E207">
        <v>2</v>
      </c>
      <c r="F207" s="14">
        <v>0.90336300000000003</v>
      </c>
      <c r="G207" s="9">
        <v>-2.5402275447774861E-2</v>
      </c>
      <c r="H207" s="12">
        <v>-2.5402275447774861E-2</v>
      </c>
      <c r="I207">
        <f t="shared" si="6"/>
        <v>0</v>
      </c>
      <c r="J207">
        <f t="shared" si="7"/>
        <v>0</v>
      </c>
    </row>
    <row r="208" spans="1:10" x14ac:dyDescent="0.35">
      <c r="A208" t="s">
        <v>61</v>
      </c>
      <c r="B208" t="s">
        <v>57</v>
      </c>
      <c r="C208" t="s">
        <v>10</v>
      </c>
      <c r="D208" t="s">
        <v>50</v>
      </c>
      <c r="E208">
        <v>2</v>
      </c>
      <c r="F208" s="14">
        <v>0</v>
      </c>
      <c r="G208" s="9">
        <v>-1.0401944387040356E-4</v>
      </c>
      <c r="H208" s="12">
        <v>-1.0401944387040356E-4</v>
      </c>
      <c r="I208">
        <f t="shared" si="6"/>
        <v>0</v>
      </c>
      <c r="J208">
        <f t="shared" si="7"/>
        <v>0</v>
      </c>
    </row>
    <row r="209" spans="1:10" x14ac:dyDescent="0.35">
      <c r="A209" t="s">
        <v>61</v>
      </c>
      <c r="B209" t="s">
        <v>57</v>
      </c>
      <c r="C209" t="s">
        <v>11</v>
      </c>
      <c r="D209" t="s">
        <v>50</v>
      </c>
      <c r="E209">
        <v>2</v>
      </c>
      <c r="F209" s="14">
        <v>15.160020299999999</v>
      </c>
      <c r="G209" s="9">
        <v>6.8827458033840792</v>
      </c>
      <c r="H209" s="12">
        <v>6.8827458033840792</v>
      </c>
      <c r="I209">
        <f t="shared" si="6"/>
        <v>6.8827458033840792</v>
      </c>
      <c r="J209">
        <f t="shared" si="7"/>
        <v>3.4413729016920396</v>
      </c>
    </row>
    <row r="210" spans="1:10" x14ac:dyDescent="0.35">
      <c r="A210" t="s">
        <v>61</v>
      </c>
      <c r="B210" t="s">
        <v>57</v>
      </c>
      <c r="C210" t="s">
        <v>12</v>
      </c>
      <c r="D210" t="s">
        <v>50</v>
      </c>
      <c r="E210">
        <v>2</v>
      </c>
      <c r="F210" s="14">
        <v>86.806049000000002</v>
      </c>
      <c r="G210" s="9">
        <v>6.9855841683683693</v>
      </c>
      <c r="H210" s="12">
        <v>6.9855841683683693</v>
      </c>
      <c r="I210">
        <f t="shared" si="6"/>
        <v>6.9855841683683693</v>
      </c>
      <c r="J210">
        <f t="shared" si="7"/>
        <v>3.4927920841841846</v>
      </c>
    </row>
    <row r="211" spans="1:10" x14ac:dyDescent="0.35">
      <c r="A211" t="s">
        <v>61</v>
      </c>
      <c r="B211" t="s">
        <v>57</v>
      </c>
      <c r="C211" t="s">
        <v>13</v>
      </c>
      <c r="D211" t="s">
        <v>50</v>
      </c>
      <c r="E211">
        <v>2</v>
      </c>
      <c r="F211" s="14">
        <v>186.48419719999998</v>
      </c>
      <c r="G211" s="9">
        <v>49.320931786919786</v>
      </c>
      <c r="H211" s="12">
        <v>49.320931786919786</v>
      </c>
      <c r="I211">
        <f t="shared" si="6"/>
        <v>49.320931786919786</v>
      </c>
      <c r="J211">
        <f t="shared" si="7"/>
        <v>24.660465893459893</v>
      </c>
    </row>
    <row r="212" spans="1:10" x14ac:dyDescent="0.35">
      <c r="A212" t="s">
        <v>61</v>
      </c>
      <c r="B212" t="s">
        <v>57</v>
      </c>
      <c r="C212" t="s">
        <v>14</v>
      </c>
      <c r="D212" t="s">
        <v>50</v>
      </c>
      <c r="E212">
        <v>2</v>
      </c>
      <c r="F212" s="14">
        <v>0</v>
      </c>
      <c r="G212" s="9">
        <v>-4.0699188801262894E-2</v>
      </c>
      <c r="H212" s="12">
        <v>-4.0699188801262894E-2</v>
      </c>
      <c r="I212">
        <f t="shared" si="6"/>
        <v>0</v>
      </c>
      <c r="J212">
        <f t="shared" si="7"/>
        <v>0</v>
      </c>
    </row>
    <row r="213" spans="1:10" x14ac:dyDescent="0.35">
      <c r="A213" t="s">
        <v>61</v>
      </c>
      <c r="B213" t="s">
        <v>57</v>
      </c>
      <c r="C213" t="s">
        <v>15</v>
      </c>
      <c r="D213" t="s">
        <v>50</v>
      </c>
      <c r="E213">
        <v>2</v>
      </c>
      <c r="F213" s="14">
        <v>9.4220830000000007</v>
      </c>
      <c r="G213" s="9">
        <v>0.46030865839767365</v>
      </c>
      <c r="H213" s="12">
        <v>0.46030865839767365</v>
      </c>
      <c r="I213">
        <f t="shared" si="6"/>
        <v>0.46030865839767365</v>
      </c>
      <c r="J213">
        <f t="shared" si="7"/>
        <v>0.23015432919883683</v>
      </c>
    </row>
    <row r="214" spans="1:10" x14ac:dyDescent="0.35">
      <c r="A214" t="s">
        <v>61</v>
      </c>
      <c r="B214" t="s">
        <v>57</v>
      </c>
      <c r="C214" t="s">
        <v>16</v>
      </c>
      <c r="D214" t="s">
        <v>50</v>
      </c>
      <c r="E214">
        <v>2</v>
      </c>
      <c r="F214" s="14">
        <v>0</v>
      </c>
      <c r="G214" s="9">
        <v>0.10298035030301216</v>
      </c>
      <c r="H214" s="12">
        <v>0.10298035030301216</v>
      </c>
      <c r="I214">
        <f t="shared" si="6"/>
        <v>0.10298035030301216</v>
      </c>
      <c r="J214">
        <f t="shared" si="7"/>
        <v>5.1490175151506078E-2</v>
      </c>
    </row>
    <row r="215" spans="1:10" x14ac:dyDescent="0.35">
      <c r="A215" t="s">
        <v>61</v>
      </c>
      <c r="B215" t="s">
        <v>57</v>
      </c>
      <c r="C215" t="s">
        <v>17</v>
      </c>
      <c r="D215" t="s">
        <v>50</v>
      </c>
      <c r="E215">
        <v>2</v>
      </c>
      <c r="F215" s="14">
        <v>3560.4576573999998</v>
      </c>
      <c r="G215" s="9">
        <v>259.53435866786356</v>
      </c>
      <c r="H215" s="12">
        <v>259.53435866786356</v>
      </c>
      <c r="I215">
        <f t="shared" si="6"/>
        <v>259.53435866786356</v>
      </c>
      <c r="J215">
        <f t="shared" si="7"/>
        <v>129.76717933393178</v>
      </c>
    </row>
    <row r="216" spans="1:10" x14ac:dyDescent="0.35">
      <c r="A216" t="s">
        <v>61</v>
      </c>
      <c r="B216" t="s">
        <v>57</v>
      </c>
      <c r="C216" t="s">
        <v>18</v>
      </c>
      <c r="D216" t="s">
        <v>50</v>
      </c>
      <c r="E216">
        <v>2</v>
      </c>
      <c r="F216" s="14">
        <v>685.87131680000005</v>
      </c>
      <c r="G216" s="9">
        <v>172.0707500936424</v>
      </c>
      <c r="H216" s="12">
        <v>172.0707500936424</v>
      </c>
      <c r="I216">
        <f t="shared" si="6"/>
        <v>172.0707500936424</v>
      </c>
      <c r="J216">
        <f t="shared" si="7"/>
        <v>86.035375046821201</v>
      </c>
    </row>
    <row r="217" spans="1:10" x14ac:dyDescent="0.35">
      <c r="A217" t="s">
        <v>61</v>
      </c>
      <c r="B217" t="s">
        <v>57</v>
      </c>
      <c r="C217" t="s">
        <v>20</v>
      </c>
      <c r="D217" t="s">
        <v>50</v>
      </c>
      <c r="E217">
        <v>2</v>
      </c>
      <c r="F217" s="14">
        <v>11.1623717</v>
      </c>
      <c r="G217" s="9">
        <v>2.3939230094236672</v>
      </c>
      <c r="H217" s="12">
        <v>2.3939230094236672</v>
      </c>
      <c r="I217">
        <f t="shared" si="6"/>
        <v>2.3939230094236672</v>
      </c>
      <c r="J217">
        <f t="shared" si="7"/>
        <v>1.1969615047118336</v>
      </c>
    </row>
    <row r="218" spans="1:10" x14ac:dyDescent="0.35">
      <c r="A218" t="s">
        <v>61</v>
      </c>
      <c r="B218" t="s">
        <v>57</v>
      </c>
      <c r="C218" t="s">
        <v>21</v>
      </c>
      <c r="D218" t="s">
        <v>50</v>
      </c>
      <c r="E218">
        <v>2</v>
      </c>
      <c r="F218" s="14">
        <v>274.52746110000004</v>
      </c>
      <c r="G218" s="9">
        <v>22.647595374193944</v>
      </c>
      <c r="H218" s="12">
        <v>22.647595374193944</v>
      </c>
      <c r="I218">
        <f t="shared" si="6"/>
        <v>22.647595374193944</v>
      </c>
      <c r="J218">
        <f t="shared" si="7"/>
        <v>11.323797687096972</v>
      </c>
    </row>
    <row r="219" spans="1:10" x14ac:dyDescent="0.35">
      <c r="A219" t="s">
        <v>61</v>
      </c>
      <c r="B219" t="s">
        <v>57</v>
      </c>
      <c r="C219" t="s">
        <v>22</v>
      </c>
      <c r="D219" t="s">
        <v>50</v>
      </c>
      <c r="E219">
        <v>2</v>
      </c>
      <c r="F219" s="14">
        <v>0</v>
      </c>
      <c r="G219" s="9">
        <v>61.774793506921029</v>
      </c>
      <c r="H219" s="12">
        <v>61.774793506921029</v>
      </c>
      <c r="I219">
        <f t="shared" si="6"/>
        <v>61.774793506921029</v>
      </c>
      <c r="J219">
        <f t="shared" si="7"/>
        <v>30.887396753460514</v>
      </c>
    </row>
    <row r="220" spans="1:10" x14ac:dyDescent="0.35">
      <c r="A220" t="s">
        <v>61</v>
      </c>
      <c r="B220" t="s">
        <v>57</v>
      </c>
      <c r="C220" t="s">
        <v>23</v>
      </c>
      <c r="D220" t="s">
        <v>50</v>
      </c>
      <c r="E220">
        <v>2</v>
      </c>
      <c r="F220" s="14">
        <v>0.3423505</v>
      </c>
      <c r="G220" s="9">
        <v>87.80805979203636</v>
      </c>
      <c r="H220" s="12">
        <v>87.80805979203636</v>
      </c>
      <c r="I220">
        <f t="shared" si="6"/>
        <v>87.80805979203636</v>
      </c>
      <c r="J220">
        <f t="shared" si="7"/>
        <v>43.90402989601818</v>
      </c>
    </row>
    <row r="221" spans="1:10" x14ac:dyDescent="0.35">
      <c r="A221" t="s">
        <v>61</v>
      </c>
      <c r="B221" t="s">
        <v>57</v>
      </c>
      <c r="C221" t="s">
        <v>24</v>
      </c>
      <c r="D221" t="s">
        <v>50</v>
      </c>
      <c r="E221">
        <v>2</v>
      </c>
      <c r="F221" s="14">
        <v>969.46835759999999</v>
      </c>
      <c r="G221" s="9">
        <v>105.22675551228097</v>
      </c>
      <c r="H221" s="12">
        <v>105.22675551228097</v>
      </c>
      <c r="I221">
        <f t="shared" si="6"/>
        <v>105.22675551228097</v>
      </c>
      <c r="J221">
        <f t="shared" si="7"/>
        <v>52.613377756140487</v>
      </c>
    </row>
    <row r="222" spans="1:10" x14ac:dyDescent="0.35">
      <c r="A222" t="s">
        <v>61</v>
      </c>
      <c r="B222" t="s">
        <v>57</v>
      </c>
      <c r="C222" t="s">
        <v>25</v>
      </c>
      <c r="D222" t="s">
        <v>50</v>
      </c>
      <c r="E222">
        <v>2</v>
      </c>
      <c r="F222" s="14">
        <v>72.725791999999998</v>
      </c>
      <c r="G222" s="9">
        <v>10.885527573836757</v>
      </c>
      <c r="H222" s="12">
        <v>10.885527573836757</v>
      </c>
      <c r="I222">
        <f t="shared" si="6"/>
        <v>10.885527573836757</v>
      </c>
      <c r="J222">
        <f t="shared" si="7"/>
        <v>5.4427637869183787</v>
      </c>
    </row>
    <row r="223" spans="1:10" x14ac:dyDescent="0.35">
      <c r="A223" t="s">
        <v>61</v>
      </c>
      <c r="B223" t="s">
        <v>57</v>
      </c>
      <c r="C223" t="s">
        <v>26</v>
      </c>
      <c r="D223" t="s">
        <v>50</v>
      </c>
      <c r="E223">
        <v>2</v>
      </c>
      <c r="F223" s="14">
        <v>1489.1782862</v>
      </c>
      <c r="G223" s="9">
        <v>42.618907939730342</v>
      </c>
      <c r="H223" s="12">
        <v>42.618907939730342</v>
      </c>
      <c r="I223">
        <f t="shared" si="6"/>
        <v>42.618907939730342</v>
      </c>
      <c r="J223">
        <f t="shared" si="7"/>
        <v>21.309453969865171</v>
      </c>
    </row>
    <row r="224" spans="1:10" x14ac:dyDescent="0.35">
      <c r="A224" t="s">
        <v>61</v>
      </c>
      <c r="B224" t="s">
        <v>57</v>
      </c>
      <c r="C224" t="s">
        <v>27</v>
      </c>
      <c r="D224" t="s">
        <v>50</v>
      </c>
      <c r="E224">
        <v>2</v>
      </c>
      <c r="F224" s="14">
        <v>105.3594409</v>
      </c>
      <c r="G224" s="9">
        <v>9.5562232666499387</v>
      </c>
      <c r="H224" s="12">
        <v>9.5562232666499387</v>
      </c>
      <c r="I224">
        <f t="shared" si="6"/>
        <v>9.5562232666499387</v>
      </c>
      <c r="J224">
        <f t="shared" si="7"/>
        <v>4.7781116333249694</v>
      </c>
    </row>
    <row r="225" spans="1:10" x14ac:dyDescent="0.35">
      <c r="A225" t="s">
        <v>61</v>
      </c>
      <c r="B225" t="s">
        <v>57</v>
      </c>
      <c r="C225" t="s">
        <v>28</v>
      </c>
      <c r="D225" t="s">
        <v>50</v>
      </c>
      <c r="E225">
        <v>2</v>
      </c>
      <c r="F225" s="14">
        <v>12.602019800000001</v>
      </c>
      <c r="G225" s="9">
        <v>0.20756246006835619</v>
      </c>
      <c r="H225" s="12">
        <v>0.20756246006835619</v>
      </c>
      <c r="I225">
        <f t="shared" si="6"/>
        <v>0.20756246006835619</v>
      </c>
      <c r="J225">
        <f t="shared" si="7"/>
        <v>0.10378123003417809</v>
      </c>
    </row>
    <row r="226" spans="1:10" x14ac:dyDescent="0.35">
      <c r="A226" t="s">
        <v>61</v>
      </c>
      <c r="B226" t="s">
        <v>57</v>
      </c>
      <c r="C226" t="s">
        <v>29</v>
      </c>
      <c r="D226" t="s">
        <v>50</v>
      </c>
      <c r="E226">
        <v>2</v>
      </c>
      <c r="F226" s="14">
        <v>16.545328399999999</v>
      </c>
      <c r="G226" s="9">
        <v>4.5995752696742596</v>
      </c>
      <c r="H226" s="12">
        <v>4.5995752696742596</v>
      </c>
      <c r="I226">
        <f t="shared" si="6"/>
        <v>4.5995752696742596</v>
      </c>
      <c r="J226">
        <f t="shared" si="7"/>
        <v>2.2997876348371298</v>
      </c>
    </row>
    <row r="227" spans="1:10" x14ac:dyDescent="0.35">
      <c r="A227" t="s">
        <v>61</v>
      </c>
      <c r="B227" t="s">
        <v>57</v>
      </c>
      <c r="C227" t="s">
        <v>30</v>
      </c>
      <c r="D227" t="s">
        <v>50</v>
      </c>
      <c r="E227">
        <v>2</v>
      </c>
      <c r="F227" s="14">
        <v>4.8586784999999999</v>
      </c>
      <c r="G227" s="9">
        <v>1.4357777460417189</v>
      </c>
      <c r="H227" s="12">
        <v>1.4357777460417189</v>
      </c>
      <c r="I227">
        <f t="shared" si="6"/>
        <v>1.4357777460417189</v>
      </c>
      <c r="J227">
        <f t="shared" si="7"/>
        <v>0.71788887302085946</v>
      </c>
    </row>
    <row r="228" spans="1:10" x14ac:dyDescent="0.35">
      <c r="A228" t="s">
        <v>61</v>
      </c>
      <c r="B228" t="s">
        <v>57</v>
      </c>
      <c r="C228" t="s">
        <v>31</v>
      </c>
      <c r="D228" t="s">
        <v>50</v>
      </c>
      <c r="E228">
        <v>2</v>
      </c>
      <c r="F228" s="14">
        <v>2.4943208000000001</v>
      </c>
      <c r="G228" s="9">
        <v>0.43954689476125108</v>
      </c>
      <c r="H228" s="12">
        <v>0.43954689476125108</v>
      </c>
      <c r="I228">
        <f t="shared" si="6"/>
        <v>0.43954689476125108</v>
      </c>
      <c r="J228">
        <f t="shared" si="7"/>
        <v>0.21977344738062554</v>
      </c>
    </row>
    <row r="229" spans="1:10" x14ac:dyDescent="0.35">
      <c r="A229" t="s">
        <v>61</v>
      </c>
      <c r="B229" t="s">
        <v>57</v>
      </c>
      <c r="C229" t="s">
        <v>32</v>
      </c>
      <c r="D229" t="s">
        <v>50</v>
      </c>
      <c r="E229">
        <v>2</v>
      </c>
      <c r="F229" s="14">
        <v>74.977003699999997</v>
      </c>
      <c r="G229" s="9">
        <v>9.278652615678455</v>
      </c>
      <c r="H229" s="12">
        <v>9.278652615678455</v>
      </c>
      <c r="I229">
        <f t="shared" si="6"/>
        <v>9.278652615678455</v>
      </c>
      <c r="J229">
        <f t="shared" si="7"/>
        <v>4.6393263078392275</v>
      </c>
    </row>
    <row r="230" spans="1:10" x14ac:dyDescent="0.35">
      <c r="A230" t="s">
        <v>61</v>
      </c>
      <c r="B230" t="s">
        <v>57</v>
      </c>
      <c r="C230" t="s">
        <v>33</v>
      </c>
      <c r="D230" t="s">
        <v>50</v>
      </c>
      <c r="E230">
        <v>2</v>
      </c>
      <c r="F230" s="14">
        <v>5.8726006000000002</v>
      </c>
      <c r="G230" s="9">
        <v>8.2916776828755374</v>
      </c>
      <c r="H230" s="12">
        <v>8.2916776828755374</v>
      </c>
      <c r="I230">
        <f t="shared" si="6"/>
        <v>8.2916776828755374</v>
      </c>
      <c r="J230">
        <f t="shared" si="7"/>
        <v>4.1458388414377687</v>
      </c>
    </row>
    <row r="231" spans="1:10" x14ac:dyDescent="0.35">
      <c r="A231" t="s">
        <v>61</v>
      </c>
      <c r="B231" t="s">
        <v>57</v>
      </c>
      <c r="C231" t="s">
        <v>34</v>
      </c>
      <c r="D231" t="s">
        <v>50</v>
      </c>
      <c r="E231">
        <v>2</v>
      </c>
      <c r="F231" s="14">
        <v>0</v>
      </c>
      <c r="G231" s="9">
        <v>8.7031858629606246E-2</v>
      </c>
      <c r="H231" s="12">
        <v>8.7031858629606246E-2</v>
      </c>
      <c r="I231">
        <f t="shared" si="6"/>
        <v>8.7031858629606246E-2</v>
      </c>
      <c r="J231">
        <f t="shared" si="7"/>
        <v>4.3515929314803123E-2</v>
      </c>
    </row>
    <row r="232" spans="1:10" x14ac:dyDescent="0.35">
      <c r="A232" t="s">
        <v>61</v>
      </c>
      <c r="B232" t="s">
        <v>57</v>
      </c>
      <c r="C232" t="s">
        <v>35</v>
      </c>
      <c r="D232" t="s">
        <v>50</v>
      </c>
      <c r="E232">
        <v>2</v>
      </c>
      <c r="F232" s="14">
        <v>188.44760479999999</v>
      </c>
      <c r="G232" s="9">
        <v>13.376483324208463</v>
      </c>
      <c r="H232" s="12">
        <v>13.376483324208463</v>
      </c>
      <c r="I232">
        <f t="shared" si="6"/>
        <v>13.376483324208463</v>
      </c>
      <c r="J232">
        <f t="shared" si="7"/>
        <v>6.6882416621042315</v>
      </c>
    </row>
    <row r="233" spans="1:10" x14ac:dyDescent="0.35">
      <c r="A233" t="s">
        <v>61</v>
      </c>
      <c r="B233" t="s">
        <v>57</v>
      </c>
      <c r="C233" t="s">
        <v>36</v>
      </c>
      <c r="D233" t="s">
        <v>50</v>
      </c>
      <c r="E233">
        <v>2</v>
      </c>
      <c r="F233" s="14">
        <v>1.256232</v>
      </c>
      <c r="G233" s="9">
        <v>2.1684607064622714</v>
      </c>
      <c r="H233" s="12">
        <v>2.1684607064622714</v>
      </c>
      <c r="I233">
        <f t="shared" si="6"/>
        <v>2.1684607064622714</v>
      </c>
      <c r="J233">
        <f t="shared" si="7"/>
        <v>1.0842303532311357</v>
      </c>
    </row>
    <row r="234" spans="1:10" x14ac:dyDescent="0.35">
      <c r="A234" t="s">
        <v>61</v>
      </c>
      <c r="B234" t="s">
        <v>57</v>
      </c>
      <c r="C234" t="s">
        <v>37</v>
      </c>
      <c r="D234" t="s">
        <v>50</v>
      </c>
      <c r="E234">
        <v>2</v>
      </c>
      <c r="F234" s="14">
        <v>60.894140200000002</v>
      </c>
      <c r="G234" s="9">
        <v>18.684953812111253</v>
      </c>
      <c r="H234" s="12">
        <v>18.684953812111253</v>
      </c>
      <c r="I234">
        <f t="shared" si="6"/>
        <v>18.684953812111253</v>
      </c>
      <c r="J234">
        <f t="shared" si="7"/>
        <v>9.3424769060556265</v>
      </c>
    </row>
    <row r="235" spans="1:10" x14ac:dyDescent="0.35">
      <c r="A235" t="s">
        <v>61</v>
      </c>
      <c r="B235" t="s">
        <v>57</v>
      </c>
      <c r="C235" t="s">
        <v>38</v>
      </c>
      <c r="D235" t="s">
        <v>50</v>
      </c>
      <c r="E235">
        <v>2</v>
      </c>
      <c r="F235" s="14">
        <v>1.9209328999999999</v>
      </c>
      <c r="G235" s="9">
        <v>0.17704717202681503</v>
      </c>
      <c r="H235" s="12">
        <v>0.17704717202681503</v>
      </c>
      <c r="I235">
        <f t="shared" si="6"/>
        <v>0.17704717202681503</v>
      </c>
      <c r="J235">
        <f t="shared" si="7"/>
        <v>8.8523586013407513E-2</v>
      </c>
    </row>
    <row r="236" spans="1:10" x14ac:dyDescent="0.35">
      <c r="A236" t="s">
        <v>61</v>
      </c>
      <c r="B236" t="s">
        <v>57</v>
      </c>
      <c r="C236" t="s">
        <v>39</v>
      </c>
      <c r="D236" t="s">
        <v>50</v>
      </c>
      <c r="E236">
        <v>2</v>
      </c>
      <c r="F236" s="14">
        <v>0</v>
      </c>
      <c r="G236" s="9">
        <v>8.4236011630952012E-2</v>
      </c>
      <c r="H236" s="12">
        <v>8.4236011630952012E-2</v>
      </c>
      <c r="I236">
        <f t="shared" si="6"/>
        <v>8.4236011630952012E-2</v>
      </c>
      <c r="J236">
        <f t="shared" si="7"/>
        <v>4.2118005815476006E-2</v>
      </c>
    </row>
    <row r="237" spans="1:10" x14ac:dyDescent="0.35">
      <c r="A237" t="s">
        <v>61</v>
      </c>
      <c r="B237" t="s">
        <v>57</v>
      </c>
      <c r="C237" t="s">
        <v>40</v>
      </c>
      <c r="D237" t="s">
        <v>50</v>
      </c>
      <c r="E237">
        <v>2</v>
      </c>
      <c r="F237" s="14">
        <v>4.4452569000000004</v>
      </c>
      <c r="G237" s="9">
        <v>0.60387852466974001</v>
      </c>
      <c r="H237" s="12">
        <v>0.60387852466974001</v>
      </c>
      <c r="I237">
        <f t="shared" si="6"/>
        <v>0.60387852466974001</v>
      </c>
      <c r="J237">
        <f t="shared" si="7"/>
        <v>0.30193926233487001</v>
      </c>
    </row>
    <row r="238" spans="1:10" x14ac:dyDescent="0.35">
      <c r="A238" t="s">
        <v>61</v>
      </c>
      <c r="B238" t="s">
        <v>57</v>
      </c>
      <c r="C238" t="s">
        <v>41</v>
      </c>
      <c r="D238" t="s">
        <v>50</v>
      </c>
      <c r="E238">
        <v>2</v>
      </c>
      <c r="F238" s="14">
        <v>34.981726999999999</v>
      </c>
      <c r="G238" s="9">
        <v>1.1795460731502923</v>
      </c>
      <c r="H238" s="12">
        <v>1.1795460731502923</v>
      </c>
      <c r="I238">
        <f t="shared" si="6"/>
        <v>1.1795460731502923</v>
      </c>
      <c r="J238">
        <f t="shared" si="7"/>
        <v>0.58977303657514613</v>
      </c>
    </row>
    <row r="239" spans="1:10" s="8" customFormat="1" x14ac:dyDescent="0.35">
      <c r="A239" s="8" t="s">
        <v>61</v>
      </c>
      <c r="B239" s="8" t="s">
        <v>57</v>
      </c>
      <c r="C239" s="8" t="s">
        <v>42</v>
      </c>
      <c r="D239" s="8" t="s">
        <v>50</v>
      </c>
      <c r="E239" s="8">
        <v>2</v>
      </c>
      <c r="F239" s="15">
        <v>0</v>
      </c>
      <c r="G239" s="10">
        <v>0.27605705869769304</v>
      </c>
      <c r="H239" s="13">
        <v>0.27605705869769304</v>
      </c>
      <c r="I239" s="8">
        <f t="shared" si="6"/>
        <v>0.27605705869769304</v>
      </c>
      <c r="J239" s="8">
        <f t="shared" si="7"/>
        <v>0.13802852934884652</v>
      </c>
    </row>
    <row r="240" spans="1:10" x14ac:dyDescent="0.35">
      <c r="A240" t="s">
        <v>62</v>
      </c>
      <c r="B240" t="s">
        <v>58</v>
      </c>
      <c r="C240" t="s">
        <v>7</v>
      </c>
      <c r="D240" t="s">
        <v>54</v>
      </c>
      <c r="E240">
        <v>2</v>
      </c>
      <c r="F240" s="14">
        <v>6.7748372000000003</v>
      </c>
      <c r="G240" s="9">
        <v>0.75299033006115057</v>
      </c>
      <c r="H240" s="12">
        <v>0.75299033006115057</v>
      </c>
      <c r="I240">
        <f t="shared" si="6"/>
        <v>0.75299033006115057</v>
      </c>
      <c r="J240">
        <f t="shared" si="7"/>
        <v>0.37649516503057529</v>
      </c>
    </row>
    <row r="241" spans="1:10" x14ac:dyDescent="0.35">
      <c r="A241" t="s">
        <v>62</v>
      </c>
      <c r="B241" t="s">
        <v>58</v>
      </c>
      <c r="C241" t="s">
        <v>9</v>
      </c>
      <c r="D241" t="s">
        <v>54</v>
      </c>
      <c r="E241">
        <v>2</v>
      </c>
      <c r="F241" s="14">
        <v>0</v>
      </c>
      <c r="G241" s="9">
        <v>-9.7712349694457981E-2</v>
      </c>
      <c r="H241" s="12">
        <v>-9.7712349694457981E-2</v>
      </c>
      <c r="I241">
        <f t="shared" si="6"/>
        <v>0</v>
      </c>
      <c r="J241">
        <f t="shared" si="7"/>
        <v>0</v>
      </c>
    </row>
    <row r="242" spans="1:10" x14ac:dyDescent="0.35">
      <c r="A242" t="s">
        <v>62</v>
      </c>
      <c r="B242" t="s">
        <v>58</v>
      </c>
      <c r="C242" t="s">
        <v>10</v>
      </c>
      <c r="D242" t="s">
        <v>54</v>
      </c>
      <c r="E242">
        <v>2</v>
      </c>
      <c r="F242" s="14">
        <v>0</v>
      </c>
      <c r="G242" s="9">
        <v>1.0619304631372801E-2</v>
      </c>
      <c r="H242" s="12">
        <v>1.0619304631372801E-2</v>
      </c>
      <c r="I242">
        <f t="shared" si="6"/>
        <v>1.0619304631372801E-2</v>
      </c>
      <c r="J242">
        <f t="shared" si="7"/>
        <v>5.3096523156864004E-3</v>
      </c>
    </row>
    <row r="243" spans="1:10" x14ac:dyDescent="0.35">
      <c r="A243" t="s">
        <v>62</v>
      </c>
      <c r="B243" t="s">
        <v>58</v>
      </c>
      <c r="C243" t="s">
        <v>11</v>
      </c>
      <c r="D243" t="s">
        <v>54</v>
      </c>
      <c r="E243">
        <v>2</v>
      </c>
      <c r="F243" s="14">
        <v>14.2505679</v>
      </c>
      <c r="G243" s="9">
        <v>6.5985195520679882</v>
      </c>
      <c r="H243" s="12">
        <v>6.5985195520679882</v>
      </c>
      <c r="I243">
        <f t="shared" si="6"/>
        <v>6.5985195520679882</v>
      </c>
      <c r="J243">
        <f t="shared" si="7"/>
        <v>3.2992597760339941</v>
      </c>
    </row>
    <row r="244" spans="1:10" x14ac:dyDescent="0.35">
      <c r="A244" t="s">
        <v>62</v>
      </c>
      <c r="B244" t="s">
        <v>58</v>
      </c>
      <c r="C244" t="s">
        <v>12</v>
      </c>
      <c r="D244" t="s">
        <v>54</v>
      </c>
      <c r="E244">
        <v>2</v>
      </c>
      <c r="F244" s="14">
        <v>85.757244099999994</v>
      </c>
      <c r="G244" s="9">
        <v>6.9012179922122394</v>
      </c>
      <c r="H244" s="12">
        <v>6.9012179922122394</v>
      </c>
      <c r="I244">
        <f t="shared" si="6"/>
        <v>6.9012179922122394</v>
      </c>
      <c r="J244">
        <f t="shared" si="7"/>
        <v>3.4506089961061197</v>
      </c>
    </row>
    <row r="245" spans="1:10" x14ac:dyDescent="0.35">
      <c r="A245" t="s">
        <v>62</v>
      </c>
      <c r="B245" t="s">
        <v>58</v>
      </c>
      <c r="C245" t="s">
        <v>13</v>
      </c>
      <c r="D245" t="s">
        <v>54</v>
      </c>
      <c r="E245">
        <v>2</v>
      </c>
      <c r="F245" s="14">
        <v>125.94263770000001</v>
      </c>
      <c r="G245" s="9">
        <v>33.773286774505372</v>
      </c>
      <c r="H245" s="12">
        <v>33.773286774505372</v>
      </c>
      <c r="I245">
        <f t="shared" si="6"/>
        <v>33.773286774505372</v>
      </c>
      <c r="J245">
        <f t="shared" si="7"/>
        <v>16.886643387252686</v>
      </c>
    </row>
    <row r="246" spans="1:10" x14ac:dyDescent="0.35">
      <c r="A246" t="s">
        <v>62</v>
      </c>
      <c r="B246" t="s">
        <v>58</v>
      </c>
      <c r="C246" t="s">
        <v>14</v>
      </c>
      <c r="D246" t="s">
        <v>54</v>
      </c>
      <c r="E246">
        <v>2</v>
      </c>
      <c r="F246" s="14">
        <v>0</v>
      </c>
      <c r="G246" s="9">
        <v>-3.5771565491337615E-2</v>
      </c>
      <c r="H246" s="12">
        <v>-3.5771565491337615E-2</v>
      </c>
      <c r="I246">
        <f t="shared" si="6"/>
        <v>0</v>
      </c>
      <c r="J246">
        <f t="shared" si="7"/>
        <v>0</v>
      </c>
    </row>
    <row r="247" spans="1:10" x14ac:dyDescent="0.35">
      <c r="A247" t="s">
        <v>62</v>
      </c>
      <c r="B247" t="s">
        <v>58</v>
      </c>
      <c r="C247" t="s">
        <v>15</v>
      </c>
      <c r="D247" t="s">
        <v>54</v>
      </c>
      <c r="E247">
        <v>2</v>
      </c>
      <c r="F247" s="14">
        <v>6.5394794000000003</v>
      </c>
      <c r="G247" s="9">
        <v>0.32224563527210376</v>
      </c>
      <c r="H247" s="12">
        <v>0.32224563527210376</v>
      </c>
      <c r="I247">
        <f t="shared" si="6"/>
        <v>0.32224563527210376</v>
      </c>
      <c r="J247">
        <f t="shared" si="7"/>
        <v>0.16112281763605188</v>
      </c>
    </row>
    <row r="248" spans="1:10" x14ac:dyDescent="0.35">
      <c r="A248" t="s">
        <v>62</v>
      </c>
      <c r="B248" t="s">
        <v>58</v>
      </c>
      <c r="C248" t="s">
        <v>16</v>
      </c>
      <c r="D248" t="s">
        <v>54</v>
      </c>
      <c r="E248">
        <v>2</v>
      </c>
      <c r="F248" s="14">
        <v>0</v>
      </c>
      <c r="G248" s="9">
        <v>1.3352978263781384E-2</v>
      </c>
      <c r="H248" s="12">
        <v>1.3352978263781384E-2</v>
      </c>
      <c r="I248">
        <f t="shared" si="6"/>
        <v>1.3352978263781384E-2</v>
      </c>
      <c r="J248">
        <f t="shared" si="7"/>
        <v>6.6764891318906918E-3</v>
      </c>
    </row>
    <row r="249" spans="1:10" x14ac:dyDescent="0.35">
      <c r="A249" t="s">
        <v>62</v>
      </c>
      <c r="B249" t="s">
        <v>58</v>
      </c>
      <c r="C249" t="s">
        <v>17</v>
      </c>
      <c r="D249" t="s">
        <v>54</v>
      </c>
      <c r="E249">
        <v>2</v>
      </c>
      <c r="F249" s="14">
        <v>2713.1368764999997</v>
      </c>
      <c r="G249" s="9">
        <v>197.73704740968151</v>
      </c>
      <c r="H249" s="12">
        <v>197.73704740968151</v>
      </c>
      <c r="I249">
        <f t="shared" si="6"/>
        <v>197.73704740968151</v>
      </c>
      <c r="J249">
        <f t="shared" si="7"/>
        <v>98.868523704840754</v>
      </c>
    </row>
    <row r="250" spans="1:10" x14ac:dyDescent="0.35">
      <c r="A250" t="s">
        <v>62</v>
      </c>
      <c r="B250" t="s">
        <v>58</v>
      </c>
      <c r="C250" t="s">
        <v>18</v>
      </c>
      <c r="D250" t="s">
        <v>54</v>
      </c>
      <c r="E250">
        <v>2</v>
      </c>
      <c r="F250" s="14">
        <v>386.46814720000003</v>
      </c>
      <c r="G250" s="9">
        <v>97.155407452957604</v>
      </c>
      <c r="H250" s="12">
        <v>97.155407452957604</v>
      </c>
      <c r="I250">
        <f t="shared" si="6"/>
        <v>97.155407452957604</v>
      </c>
      <c r="J250">
        <f t="shared" si="7"/>
        <v>48.577703726478802</v>
      </c>
    </row>
    <row r="251" spans="1:10" x14ac:dyDescent="0.35">
      <c r="A251" t="s">
        <v>62</v>
      </c>
      <c r="B251" t="s">
        <v>58</v>
      </c>
      <c r="C251" t="s">
        <v>20</v>
      </c>
      <c r="D251" t="s">
        <v>54</v>
      </c>
      <c r="E251">
        <v>2</v>
      </c>
      <c r="F251" s="14">
        <v>9.0065969999999993</v>
      </c>
      <c r="G251" s="9">
        <v>1.9610163603763733</v>
      </c>
      <c r="H251" s="12">
        <v>1.9610163603763733</v>
      </c>
      <c r="I251">
        <f t="shared" ref="I251:I312" si="8">IF(G251&lt;0,0,G251)</f>
        <v>1.9610163603763733</v>
      </c>
      <c r="J251">
        <f t="shared" si="7"/>
        <v>0.98050818018818664</v>
      </c>
    </row>
    <row r="252" spans="1:10" x14ac:dyDescent="0.35">
      <c r="A252" t="s">
        <v>62</v>
      </c>
      <c r="B252" t="s">
        <v>58</v>
      </c>
      <c r="C252" t="s">
        <v>21</v>
      </c>
      <c r="D252" t="s">
        <v>54</v>
      </c>
      <c r="E252">
        <v>2</v>
      </c>
      <c r="F252" s="14">
        <v>350.39510989999997</v>
      </c>
      <c r="G252" s="9">
        <v>28.813643766360642</v>
      </c>
      <c r="H252" s="12">
        <v>28.813643766360642</v>
      </c>
      <c r="I252">
        <f t="shared" si="8"/>
        <v>28.813643766360642</v>
      </c>
      <c r="J252">
        <f t="shared" si="7"/>
        <v>14.406821883180321</v>
      </c>
    </row>
    <row r="253" spans="1:10" x14ac:dyDescent="0.35">
      <c r="A253" t="s">
        <v>62</v>
      </c>
      <c r="B253" t="s">
        <v>58</v>
      </c>
      <c r="C253" t="s">
        <v>22</v>
      </c>
      <c r="D253" t="s">
        <v>54</v>
      </c>
      <c r="E253">
        <v>2</v>
      </c>
      <c r="F253" s="14">
        <v>958.26981290000003</v>
      </c>
      <c r="G253" s="9">
        <v>9.3363789193560471</v>
      </c>
      <c r="H253" s="12">
        <v>9.3363789193560471</v>
      </c>
      <c r="I253">
        <f t="shared" si="8"/>
        <v>9.3363789193560471</v>
      </c>
      <c r="J253">
        <f t="shared" ref="J253:J315" si="9">I253/2</f>
        <v>4.6681894596780236</v>
      </c>
    </row>
    <row r="254" spans="1:10" x14ac:dyDescent="0.35">
      <c r="A254" t="s">
        <v>62</v>
      </c>
      <c r="B254" t="s">
        <v>58</v>
      </c>
      <c r="C254" t="s">
        <v>23</v>
      </c>
      <c r="D254" t="s">
        <v>54</v>
      </c>
      <c r="E254">
        <v>2</v>
      </c>
      <c r="F254" s="14">
        <v>0.3370648</v>
      </c>
      <c r="G254" s="9">
        <v>38.794263851395755</v>
      </c>
      <c r="H254" s="12">
        <v>38.794263851395755</v>
      </c>
      <c r="I254">
        <f t="shared" si="8"/>
        <v>38.794263851395755</v>
      </c>
      <c r="J254">
        <f t="shared" si="9"/>
        <v>19.397131925697877</v>
      </c>
    </row>
    <row r="255" spans="1:10" x14ac:dyDescent="0.35">
      <c r="A255" t="s">
        <v>62</v>
      </c>
      <c r="B255" t="s">
        <v>58</v>
      </c>
      <c r="C255" t="s">
        <v>24</v>
      </c>
      <c r="D255" t="s">
        <v>54</v>
      </c>
      <c r="E255">
        <v>2</v>
      </c>
      <c r="F255" s="14">
        <v>673.41220079999994</v>
      </c>
      <c r="G255" s="9">
        <v>115.87423064042943</v>
      </c>
      <c r="H255" s="12">
        <v>115.87423064042943</v>
      </c>
      <c r="I255">
        <f t="shared" si="8"/>
        <v>115.87423064042943</v>
      </c>
      <c r="J255">
        <f t="shared" si="9"/>
        <v>57.937115320214716</v>
      </c>
    </row>
    <row r="256" spans="1:10" x14ac:dyDescent="0.35">
      <c r="A256" t="s">
        <v>62</v>
      </c>
      <c r="B256" t="s">
        <v>58</v>
      </c>
      <c r="C256" t="s">
        <v>25</v>
      </c>
      <c r="D256" t="s">
        <v>54</v>
      </c>
      <c r="E256">
        <v>2</v>
      </c>
      <c r="F256" s="14">
        <v>0</v>
      </c>
      <c r="G256" s="9">
        <v>5.0111737807079679</v>
      </c>
      <c r="H256" s="12">
        <v>5.0111737807079679</v>
      </c>
      <c r="I256">
        <f t="shared" si="8"/>
        <v>5.0111737807079679</v>
      </c>
      <c r="J256">
        <f t="shared" si="9"/>
        <v>2.505586890353984</v>
      </c>
    </row>
    <row r="257" spans="1:10" x14ac:dyDescent="0.35">
      <c r="A257" t="s">
        <v>62</v>
      </c>
      <c r="B257" t="s">
        <v>58</v>
      </c>
      <c r="C257" t="s">
        <v>26</v>
      </c>
      <c r="D257" t="s">
        <v>54</v>
      </c>
      <c r="E257">
        <v>2</v>
      </c>
      <c r="F257" s="14">
        <v>1155.0604951</v>
      </c>
      <c r="G257" s="9">
        <v>33.052532348143451</v>
      </c>
      <c r="H257" s="12">
        <v>33.052532348143451</v>
      </c>
      <c r="I257">
        <f t="shared" si="8"/>
        <v>33.052532348143451</v>
      </c>
      <c r="J257">
        <f t="shared" si="9"/>
        <v>16.526266174071726</v>
      </c>
    </row>
    <row r="258" spans="1:10" x14ac:dyDescent="0.35">
      <c r="A258" t="s">
        <v>62</v>
      </c>
      <c r="B258" t="s">
        <v>58</v>
      </c>
      <c r="C258" t="s">
        <v>27</v>
      </c>
      <c r="D258" t="s">
        <v>54</v>
      </c>
      <c r="E258">
        <v>2</v>
      </c>
      <c r="F258" s="14">
        <v>76.254628400000001</v>
      </c>
      <c r="G258" s="9">
        <v>6.951839481441187</v>
      </c>
      <c r="H258" s="12">
        <v>6.951839481441187</v>
      </c>
      <c r="I258">
        <f t="shared" si="8"/>
        <v>6.951839481441187</v>
      </c>
      <c r="J258">
        <f t="shared" si="9"/>
        <v>3.4759197407205935</v>
      </c>
    </row>
    <row r="259" spans="1:10" x14ac:dyDescent="0.35">
      <c r="A259" t="s">
        <v>62</v>
      </c>
      <c r="B259" t="s">
        <v>58</v>
      </c>
      <c r="C259" t="s">
        <v>28</v>
      </c>
      <c r="D259" t="s">
        <v>54</v>
      </c>
      <c r="E259">
        <v>2</v>
      </c>
      <c r="F259" s="14">
        <v>8.7723797000000001</v>
      </c>
      <c r="G259" s="9">
        <v>-4.162645648059439E-2</v>
      </c>
      <c r="H259" s="12">
        <v>-4.162645648059439E-2</v>
      </c>
      <c r="I259">
        <f t="shared" si="8"/>
        <v>0</v>
      </c>
      <c r="J259">
        <f t="shared" si="9"/>
        <v>0</v>
      </c>
    </row>
    <row r="260" spans="1:10" x14ac:dyDescent="0.35">
      <c r="A260" t="s">
        <v>62</v>
      </c>
      <c r="B260" t="s">
        <v>58</v>
      </c>
      <c r="C260" t="s">
        <v>29</v>
      </c>
      <c r="D260" t="s">
        <v>54</v>
      </c>
      <c r="E260">
        <v>2</v>
      </c>
      <c r="F260" s="14">
        <v>13.933102199999999</v>
      </c>
      <c r="G260" s="9">
        <v>3.8737040282262409</v>
      </c>
      <c r="H260" s="12">
        <v>3.8737040282262409</v>
      </c>
      <c r="I260">
        <f t="shared" si="8"/>
        <v>3.8737040282262409</v>
      </c>
      <c r="J260">
        <f t="shared" si="9"/>
        <v>1.9368520141131205</v>
      </c>
    </row>
    <row r="261" spans="1:10" x14ac:dyDescent="0.35">
      <c r="A261" t="s">
        <v>62</v>
      </c>
      <c r="B261" t="s">
        <v>58</v>
      </c>
      <c r="C261" t="s">
        <v>30</v>
      </c>
      <c r="D261" t="s">
        <v>54</v>
      </c>
      <c r="E261">
        <v>2</v>
      </c>
      <c r="F261" s="14">
        <v>3.3794101999999997</v>
      </c>
      <c r="G261" s="9">
        <v>1.0020247141296685</v>
      </c>
      <c r="H261" s="12">
        <v>1.0020247141296685</v>
      </c>
      <c r="I261">
        <f t="shared" si="8"/>
        <v>1.0020247141296685</v>
      </c>
      <c r="J261">
        <f t="shared" si="9"/>
        <v>0.50101235706483427</v>
      </c>
    </row>
    <row r="262" spans="1:10" x14ac:dyDescent="0.35">
      <c r="A262" t="s">
        <v>62</v>
      </c>
      <c r="B262" t="s">
        <v>58</v>
      </c>
      <c r="C262" t="s">
        <v>31</v>
      </c>
      <c r="D262" t="s">
        <v>54</v>
      </c>
      <c r="E262">
        <v>2</v>
      </c>
      <c r="F262" s="14">
        <v>2.7547325999999996</v>
      </c>
      <c r="G262" s="9">
        <v>0.79536297573838344</v>
      </c>
      <c r="H262" s="12">
        <v>0.79536297573838344</v>
      </c>
      <c r="I262">
        <f t="shared" si="8"/>
        <v>0.79536297573838344</v>
      </c>
      <c r="J262">
        <f t="shared" si="9"/>
        <v>0.39768148786919172</v>
      </c>
    </row>
    <row r="263" spans="1:10" x14ac:dyDescent="0.35">
      <c r="A263" t="s">
        <v>62</v>
      </c>
      <c r="B263" t="s">
        <v>58</v>
      </c>
      <c r="C263" t="s">
        <v>32</v>
      </c>
      <c r="D263" t="s">
        <v>54</v>
      </c>
      <c r="E263">
        <v>2</v>
      </c>
      <c r="F263" s="14">
        <v>48.937470000000005</v>
      </c>
      <c r="G263" s="9">
        <v>6.0537598263738888</v>
      </c>
      <c r="H263" s="12">
        <v>6.0537598263738888</v>
      </c>
      <c r="I263">
        <f t="shared" si="8"/>
        <v>6.0537598263738888</v>
      </c>
      <c r="J263">
        <f t="shared" si="9"/>
        <v>3.0268799131869444</v>
      </c>
    </row>
    <row r="264" spans="1:10" x14ac:dyDescent="0.35">
      <c r="A264" t="s">
        <v>62</v>
      </c>
      <c r="B264" t="s">
        <v>58</v>
      </c>
      <c r="C264" t="s">
        <v>33</v>
      </c>
      <c r="D264" t="s">
        <v>54</v>
      </c>
      <c r="E264">
        <v>2</v>
      </c>
      <c r="F264" s="14">
        <v>0</v>
      </c>
      <c r="G264" s="9">
        <v>3.1238820173862223</v>
      </c>
      <c r="H264" s="12">
        <v>3.1238820173862223</v>
      </c>
      <c r="I264">
        <f t="shared" si="8"/>
        <v>3.1238820173862223</v>
      </c>
      <c r="J264">
        <f t="shared" si="9"/>
        <v>1.5619410086931111</v>
      </c>
    </row>
    <row r="265" spans="1:10" x14ac:dyDescent="0.35">
      <c r="A265" t="s">
        <v>62</v>
      </c>
      <c r="B265" t="s">
        <v>58</v>
      </c>
      <c r="C265" t="s">
        <v>34</v>
      </c>
      <c r="D265" t="s">
        <v>54</v>
      </c>
      <c r="E265">
        <v>2</v>
      </c>
      <c r="F265" s="14">
        <v>0</v>
      </c>
      <c r="G265" s="9">
        <v>0.44924999364369023</v>
      </c>
      <c r="H265" s="12">
        <v>0.44924999364369023</v>
      </c>
      <c r="I265">
        <f t="shared" si="8"/>
        <v>0.44924999364369023</v>
      </c>
      <c r="J265">
        <f t="shared" si="9"/>
        <v>0.22462499682184511</v>
      </c>
    </row>
    <row r="266" spans="1:10" x14ac:dyDescent="0.35">
      <c r="A266" t="s">
        <v>62</v>
      </c>
      <c r="B266" t="s">
        <v>58</v>
      </c>
      <c r="C266" t="s">
        <v>35</v>
      </c>
      <c r="D266" t="s">
        <v>54</v>
      </c>
      <c r="E266">
        <v>2</v>
      </c>
      <c r="F266" s="14">
        <v>104.4818803</v>
      </c>
      <c r="G266" s="9">
        <v>5.3678754506074489</v>
      </c>
      <c r="H266" s="12">
        <v>5.3678754506074489</v>
      </c>
      <c r="I266">
        <f t="shared" si="8"/>
        <v>5.3678754506074489</v>
      </c>
      <c r="J266">
        <f t="shared" si="9"/>
        <v>2.6839377253037244</v>
      </c>
    </row>
    <row r="267" spans="1:10" x14ac:dyDescent="0.35">
      <c r="A267" t="s">
        <v>62</v>
      </c>
      <c r="B267" t="s">
        <v>58</v>
      </c>
      <c r="C267" t="s">
        <v>36</v>
      </c>
      <c r="D267" t="s">
        <v>54</v>
      </c>
      <c r="E267">
        <v>2</v>
      </c>
      <c r="F267" s="14">
        <v>0</v>
      </c>
      <c r="G267" s="9">
        <v>-0.12267710485772856</v>
      </c>
      <c r="H267" s="12">
        <v>-0.12267710485772856</v>
      </c>
      <c r="I267">
        <f t="shared" si="8"/>
        <v>0</v>
      </c>
      <c r="J267">
        <f t="shared" si="9"/>
        <v>0</v>
      </c>
    </row>
    <row r="268" spans="1:10" x14ac:dyDescent="0.35">
      <c r="A268" t="s">
        <v>62</v>
      </c>
      <c r="B268" t="s">
        <v>58</v>
      </c>
      <c r="C268" t="s">
        <v>37</v>
      </c>
      <c r="D268" t="s">
        <v>54</v>
      </c>
      <c r="E268">
        <v>2</v>
      </c>
      <c r="F268" s="14">
        <v>66.563472300000001</v>
      </c>
      <c r="G268" s="9">
        <v>20.48037364693095</v>
      </c>
      <c r="H268" s="12">
        <v>20.48037364693095</v>
      </c>
      <c r="I268">
        <f t="shared" si="8"/>
        <v>20.48037364693095</v>
      </c>
      <c r="J268">
        <f t="shared" si="9"/>
        <v>10.240186823465475</v>
      </c>
    </row>
    <row r="269" spans="1:10" x14ac:dyDescent="0.35">
      <c r="A269" t="s">
        <v>62</v>
      </c>
      <c r="B269" t="s">
        <v>58</v>
      </c>
      <c r="C269" t="s">
        <v>38</v>
      </c>
      <c r="D269" t="s">
        <v>54</v>
      </c>
      <c r="E269">
        <v>2</v>
      </c>
      <c r="F269" s="14">
        <v>1.9331859</v>
      </c>
      <c r="G269" s="9">
        <v>0.17342550417763988</v>
      </c>
      <c r="H269" s="12">
        <v>0.17342550417763988</v>
      </c>
      <c r="I269">
        <f t="shared" si="8"/>
        <v>0.17342550417763988</v>
      </c>
      <c r="J269">
        <f t="shared" si="9"/>
        <v>8.6712752088819942E-2</v>
      </c>
    </row>
    <row r="270" spans="1:10" x14ac:dyDescent="0.35">
      <c r="A270" t="s">
        <v>62</v>
      </c>
      <c r="B270" t="s">
        <v>58</v>
      </c>
      <c r="C270" t="s">
        <v>39</v>
      </c>
      <c r="D270" t="s">
        <v>54</v>
      </c>
      <c r="E270">
        <v>2</v>
      </c>
      <c r="F270" s="14">
        <v>2.0145051</v>
      </c>
      <c r="G270" s="9">
        <v>0.87014771178806838</v>
      </c>
      <c r="H270" s="12">
        <v>0.87014771178806838</v>
      </c>
      <c r="I270">
        <f t="shared" si="8"/>
        <v>0.87014771178806838</v>
      </c>
      <c r="J270">
        <f t="shared" si="9"/>
        <v>0.43507385589403419</v>
      </c>
    </row>
    <row r="271" spans="1:10" x14ac:dyDescent="0.35">
      <c r="A271" t="s">
        <v>62</v>
      </c>
      <c r="B271" t="s">
        <v>58</v>
      </c>
      <c r="C271" t="s">
        <v>40</v>
      </c>
      <c r="D271" t="s">
        <v>54</v>
      </c>
      <c r="E271">
        <v>2</v>
      </c>
      <c r="F271" s="14">
        <v>5.0696614000000002</v>
      </c>
      <c r="G271" s="9">
        <v>0.67811690293460458</v>
      </c>
      <c r="H271" s="12">
        <v>0.67811690293460458</v>
      </c>
      <c r="I271">
        <f t="shared" si="8"/>
        <v>0.67811690293460458</v>
      </c>
      <c r="J271">
        <f t="shared" si="9"/>
        <v>0.33905845146730229</v>
      </c>
    </row>
    <row r="272" spans="1:10" x14ac:dyDescent="0.35">
      <c r="A272" t="s">
        <v>62</v>
      </c>
      <c r="B272" t="s">
        <v>58</v>
      </c>
      <c r="C272" t="s">
        <v>41</v>
      </c>
      <c r="D272" t="s">
        <v>54</v>
      </c>
      <c r="E272">
        <v>2</v>
      </c>
      <c r="F272" s="14">
        <v>18.7543553</v>
      </c>
      <c r="G272" s="9">
        <v>0.481133825777457</v>
      </c>
      <c r="H272" s="12">
        <v>0.481133825777457</v>
      </c>
      <c r="I272">
        <f t="shared" si="8"/>
        <v>0.481133825777457</v>
      </c>
      <c r="J272">
        <f t="shared" si="9"/>
        <v>0.2405669128887285</v>
      </c>
    </row>
    <row r="273" spans="1:10" s="8" customFormat="1" x14ac:dyDescent="0.35">
      <c r="A273" s="8" t="s">
        <v>62</v>
      </c>
      <c r="B273" s="8" t="s">
        <v>58</v>
      </c>
      <c r="C273" s="8" t="s">
        <v>42</v>
      </c>
      <c r="D273" s="8" t="s">
        <v>54</v>
      </c>
      <c r="E273" s="8">
        <v>2</v>
      </c>
      <c r="F273" s="15">
        <v>0</v>
      </c>
      <c r="G273" s="10">
        <v>0.22623757975042857</v>
      </c>
      <c r="H273" s="13">
        <v>0.22623757975042857</v>
      </c>
      <c r="I273" s="8">
        <f t="shared" si="8"/>
        <v>0.22623757975042857</v>
      </c>
      <c r="J273" s="8">
        <f t="shared" si="9"/>
        <v>0.11311878987521429</v>
      </c>
    </row>
    <row r="274" spans="1:10" x14ac:dyDescent="0.35">
      <c r="A274" t="s">
        <v>63</v>
      </c>
      <c r="B274" t="s">
        <v>67</v>
      </c>
      <c r="C274" t="s">
        <v>7</v>
      </c>
      <c r="D274" t="s">
        <v>8</v>
      </c>
      <c r="E274">
        <v>3</v>
      </c>
      <c r="F274" s="14">
        <v>6.8264772000000002</v>
      </c>
      <c r="G274" s="9">
        <v>0.75516439911623923</v>
      </c>
      <c r="H274" s="12">
        <v>0.75516439911623923</v>
      </c>
      <c r="I274">
        <f t="shared" si="8"/>
        <v>0.75516439911623923</v>
      </c>
      <c r="J274">
        <f t="shared" si="9"/>
        <v>0.37758219955811961</v>
      </c>
    </row>
    <row r="275" spans="1:10" x14ac:dyDescent="0.35">
      <c r="A275" t="s">
        <v>63</v>
      </c>
      <c r="B275" t="s">
        <v>67</v>
      </c>
      <c r="C275" t="s">
        <v>9</v>
      </c>
      <c r="D275" t="s">
        <v>8</v>
      </c>
      <c r="E275">
        <v>3</v>
      </c>
      <c r="F275" s="14">
        <v>3.2359822</v>
      </c>
      <c r="G275" s="9">
        <v>-8.800135956132013E-2</v>
      </c>
      <c r="H275" s="12">
        <v>-8.800135956132013E-2</v>
      </c>
      <c r="I275">
        <f t="shared" si="8"/>
        <v>0</v>
      </c>
      <c r="J275">
        <f t="shared" si="9"/>
        <v>0</v>
      </c>
    </row>
    <row r="276" spans="1:10" x14ac:dyDescent="0.35">
      <c r="A276" t="s">
        <v>63</v>
      </c>
      <c r="B276" t="s">
        <v>67</v>
      </c>
      <c r="C276" t="s">
        <v>10</v>
      </c>
      <c r="D276" t="s">
        <v>8</v>
      </c>
      <c r="E276">
        <v>3</v>
      </c>
      <c r="F276" s="14">
        <v>0.14480899999999999</v>
      </c>
      <c r="G276" s="9">
        <v>3.3341987069172761E-2</v>
      </c>
      <c r="H276" s="12">
        <v>3.3341987069172761E-2</v>
      </c>
      <c r="I276">
        <f t="shared" si="8"/>
        <v>3.3341987069172761E-2</v>
      </c>
      <c r="J276">
        <f t="shared" si="9"/>
        <v>1.6670993534586381E-2</v>
      </c>
    </row>
    <row r="277" spans="1:10" x14ac:dyDescent="0.35">
      <c r="A277" t="s">
        <v>63</v>
      </c>
      <c r="B277" t="s">
        <v>67</v>
      </c>
      <c r="C277" t="s">
        <v>11</v>
      </c>
      <c r="D277" t="s">
        <v>8</v>
      </c>
      <c r="E277">
        <v>3</v>
      </c>
      <c r="F277" s="14">
        <v>17.236231100000001</v>
      </c>
      <c r="G277" s="9">
        <v>7.531612663300626</v>
      </c>
      <c r="H277" s="12">
        <v>7.531612663300626</v>
      </c>
      <c r="I277">
        <f t="shared" si="8"/>
        <v>7.531612663300626</v>
      </c>
      <c r="J277">
        <f t="shared" si="9"/>
        <v>3.765806331650313</v>
      </c>
    </row>
    <row r="278" spans="1:10" x14ac:dyDescent="0.35">
      <c r="A278" t="s">
        <v>63</v>
      </c>
      <c r="B278" t="s">
        <v>67</v>
      </c>
      <c r="C278" t="s">
        <v>12</v>
      </c>
      <c r="D278" t="s">
        <v>8</v>
      </c>
      <c r="E278">
        <v>3</v>
      </c>
      <c r="F278" s="14">
        <v>124.8379041</v>
      </c>
      <c r="G278" s="9">
        <v>10.044870786433291</v>
      </c>
      <c r="H278" s="12">
        <v>10.044870786433291</v>
      </c>
      <c r="I278">
        <f t="shared" si="8"/>
        <v>10.044870786433291</v>
      </c>
      <c r="J278">
        <f t="shared" si="9"/>
        <v>5.0224353932166457</v>
      </c>
    </row>
    <row r="279" spans="1:10" x14ac:dyDescent="0.35">
      <c r="A279" t="s">
        <v>63</v>
      </c>
      <c r="B279" t="s">
        <v>67</v>
      </c>
      <c r="C279" t="s">
        <v>13</v>
      </c>
      <c r="D279" t="s">
        <v>8</v>
      </c>
      <c r="E279">
        <v>3</v>
      </c>
      <c r="F279" s="14">
        <v>285.18064549999997</v>
      </c>
      <c r="G279" s="9">
        <v>74.667112326459545</v>
      </c>
      <c r="H279" s="12">
        <v>74.667112326459545</v>
      </c>
      <c r="I279">
        <f t="shared" si="8"/>
        <v>74.667112326459545</v>
      </c>
      <c r="J279">
        <f t="shared" si="9"/>
        <v>37.333556163229773</v>
      </c>
    </row>
    <row r="280" spans="1:10" x14ac:dyDescent="0.35">
      <c r="A280" t="s">
        <v>63</v>
      </c>
      <c r="B280" t="s">
        <v>67</v>
      </c>
      <c r="C280" t="s">
        <v>14</v>
      </c>
      <c r="D280" t="s">
        <v>8</v>
      </c>
      <c r="E280">
        <v>3</v>
      </c>
      <c r="F280" s="14">
        <v>0</v>
      </c>
      <c r="G280" s="9">
        <v>-3.2315807460863752E-2</v>
      </c>
      <c r="H280" s="12">
        <v>-3.2315807460863752E-2</v>
      </c>
      <c r="I280">
        <f t="shared" si="8"/>
        <v>0</v>
      </c>
      <c r="J280">
        <f t="shared" si="9"/>
        <v>0</v>
      </c>
    </row>
    <row r="281" spans="1:10" x14ac:dyDescent="0.35">
      <c r="A281" t="s">
        <v>63</v>
      </c>
      <c r="B281" t="s">
        <v>67</v>
      </c>
      <c r="C281" t="s">
        <v>15</v>
      </c>
      <c r="D281" t="s">
        <v>8</v>
      </c>
      <c r="E281">
        <v>3</v>
      </c>
      <c r="F281" s="14">
        <v>16.945877400000001</v>
      </c>
      <c r="G281" s="9">
        <v>0.82066247139174653</v>
      </c>
      <c r="H281" s="12">
        <v>0.82066247139174653</v>
      </c>
      <c r="I281">
        <f t="shared" si="8"/>
        <v>0.82066247139174653</v>
      </c>
      <c r="J281">
        <f t="shared" si="9"/>
        <v>0.41033123569587326</v>
      </c>
    </row>
    <row r="282" spans="1:10" x14ac:dyDescent="0.35">
      <c r="A282" t="s">
        <v>63</v>
      </c>
      <c r="B282" t="s">
        <v>67</v>
      </c>
      <c r="C282" t="s">
        <v>16</v>
      </c>
      <c r="D282" t="s">
        <v>8</v>
      </c>
      <c r="E282">
        <v>3</v>
      </c>
      <c r="F282" s="14">
        <v>0</v>
      </c>
      <c r="G282" s="9">
        <v>0.21056117104314573</v>
      </c>
      <c r="H282" s="12">
        <v>0.21056117104314573</v>
      </c>
      <c r="I282">
        <f t="shared" si="8"/>
        <v>0.21056117104314573</v>
      </c>
      <c r="J282">
        <f t="shared" si="9"/>
        <v>0.10528058552157286</v>
      </c>
    </row>
    <row r="283" spans="1:10" x14ac:dyDescent="0.35">
      <c r="A283" t="s">
        <v>63</v>
      </c>
      <c r="B283" t="s">
        <v>67</v>
      </c>
      <c r="C283" t="s">
        <v>17</v>
      </c>
      <c r="D283" t="s">
        <v>8</v>
      </c>
      <c r="E283">
        <v>3</v>
      </c>
      <c r="F283" s="14">
        <v>6027.6312852999999</v>
      </c>
      <c r="G283" s="9">
        <v>439.4717485896112</v>
      </c>
      <c r="H283" s="12">
        <v>439.4717485896112</v>
      </c>
      <c r="I283">
        <f t="shared" si="8"/>
        <v>439.4717485896112</v>
      </c>
      <c r="J283">
        <f t="shared" si="9"/>
        <v>219.7358742948056</v>
      </c>
    </row>
    <row r="284" spans="1:10" x14ac:dyDescent="0.35">
      <c r="A284" t="s">
        <v>63</v>
      </c>
      <c r="B284" t="s">
        <v>67</v>
      </c>
      <c r="C284" t="s">
        <v>18</v>
      </c>
      <c r="D284" t="s">
        <v>8</v>
      </c>
      <c r="E284">
        <v>3</v>
      </c>
      <c r="F284" s="14">
        <v>145.6746516</v>
      </c>
      <c r="G284" s="9">
        <v>36.905120330178278</v>
      </c>
      <c r="H284" s="12">
        <v>36.905120330178278</v>
      </c>
      <c r="I284">
        <f t="shared" si="8"/>
        <v>36.905120330178278</v>
      </c>
      <c r="J284">
        <f t="shared" si="9"/>
        <v>18.452560165089139</v>
      </c>
    </row>
    <row r="285" spans="1:10" x14ac:dyDescent="0.35">
      <c r="A285" t="s">
        <v>63</v>
      </c>
      <c r="B285" t="s">
        <v>67</v>
      </c>
      <c r="C285" t="s">
        <v>20</v>
      </c>
      <c r="D285" t="s">
        <v>8</v>
      </c>
      <c r="E285">
        <v>3</v>
      </c>
      <c r="F285" s="14">
        <v>19.6564327</v>
      </c>
      <c r="G285" s="9">
        <v>4.0996371216572038</v>
      </c>
      <c r="H285" s="12">
        <v>4.0996371216572038</v>
      </c>
      <c r="I285">
        <f t="shared" si="8"/>
        <v>4.0996371216572038</v>
      </c>
      <c r="J285">
        <f t="shared" si="9"/>
        <v>2.0498185608286019</v>
      </c>
    </row>
    <row r="286" spans="1:10" x14ac:dyDescent="0.35">
      <c r="A286" t="s">
        <v>63</v>
      </c>
      <c r="B286" t="s">
        <v>67</v>
      </c>
      <c r="C286" t="s">
        <v>21</v>
      </c>
      <c r="D286" t="s">
        <v>8</v>
      </c>
      <c r="E286">
        <v>3</v>
      </c>
      <c r="F286" s="14">
        <v>538.69710349999991</v>
      </c>
      <c r="G286" s="9">
        <v>6.4318311757894868</v>
      </c>
      <c r="H286" s="12">
        <v>6.4318311757894868</v>
      </c>
      <c r="I286">
        <f t="shared" si="8"/>
        <v>6.4318311757894868</v>
      </c>
      <c r="J286">
        <f t="shared" si="9"/>
        <v>3.2159155878947434</v>
      </c>
    </row>
    <row r="287" spans="1:10" x14ac:dyDescent="0.35">
      <c r="A287" t="s">
        <v>63</v>
      </c>
      <c r="B287" t="s">
        <v>67</v>
      </c>
      <c r="C287" t="s">
        <v>22</v>
      </c>
      <c r="D287" t="s">
        <v>8</v>
      </c>
      <c r="E287">
        <v>3</v>
      </c>
      <c r="F287" s="14">
        <v>2119.7910468</v>
      </c>
      <c r="G287" s="9">
        <v>6.5564551110253255</v>
      </c>
      <c r="H287" s="12">
        <v>6.5564551110253255</v>
      </c>
      <c r="I287">
        <f t="shared" si="8"/>
        <v>6.5564551110253255</v>
      </c>
      <c r="J287">
        <f t="shared" si="9"/>
        <v>3.2782275555126628</v>
      </c>
    </row>
    <row r="288" spans="1:10" x14ac:dyDescent="0.35">
      <c r="A288" t="s">
        <v>63</v>
      </c>
      <c r="B288" t="s">
        <v>67</v>
      </c>
      <c r="C288" t="s">
        <v>23</v>
      </c>
      <c r="D288" t="s">
        <v>8</v>
      </c>
      <c r="E288">
        <v>3</v>
      </c>
      <c r="F288" s="14">
        <v>0</v>
      </c>
      <c r="G288" s="9">
        <v>115.33438149959294</v>
      </c>
      <c r="H288" s="12">
        <v>115.33438149959294</v>
      </c>
      <c r="I288">
        <f t="shared" si="8"/>
        <v>115.33438149959294</v>
      </c>
      <c r="J288">
        <f t="shared" si="9"/>
        <v>57.667190749796468</v>
      </c>
    </row>
    <row r="289" spans="1:10" x14ac:dyDescent="0.35">
      <c r="A289" t="s">
        <v>63</v>
      </c>
      <c r="B289" t="s">
        <v>67</v>
      </c>
      <c r="C289" t="s">
        <v>24</v>
      </c>
      <c r="D289" t="s">
        <v>8</v>
      </c>
      <c r="E289">
        <v>3</v>
      </c>
      <c r="F289" s="14">
        <v>2252.0815032</v>
      </c>
      <c r="G289" s="9">
        <v>387.50560803591372</v>
      </c>
      <c r="H289" s="12">
        <v>387.50560803591372</v>
      </c>
      <c r="I289">
        <f t="shared" si="8"/>
        <v>387.50560803591372</v>
      </c>
      <c r="J289">
        <f t="shared" si="9"/>
        <v>193.75280401795686</v>
      </c>
    </row>
    <row r="290" spans="1:10" x14ac:dyDescent="0.35">
      <c r="A290" t="s">
        <v>63</v>
      </c>
      <c r="B290" t="s">
        <v>67</v>
      </c>
      <c r="C290" t="s">
        <v>25</v>
      </c>
      <c r="D290" t="s">
        <v>8</v>
      </c>
      <c r="E290">
        <v>3</v>
      </c>
      <c r="F290" s="14">
        <v>0</v>
      </c>
      <c r="G290" s="9">
        <v>21.826643602118914</v>
      </c>
      <c r="H290" s="12">
        <v>21.826643602118914</v>
      </c>
      <c r="I290">
        <f t="shared" si="8"/>
        <v>21.826643602118914</v>
      </c>
      <c r="J290">
        <f t="shared" si="9"/>
        <v>10.913321801059457</v>
      </c>
    </row>
    <row r="291" spans="1:10" x14ac:dyDescent="0.35">
      <c r="A291" t="s">
        <v>63</v>
      </c>
      <c r="B291" t="s">
        <v>67</v>
      </c>
      <c r="C291" t="s">
        <v>26</v>
      </c>
      <c r="D291" t="s">
        <v>8</v>
      </c>
      <c r="E291">
        <v>3</v>
      </c>
      <c r="F291" s="14">
        <v>3770.3103073000002</v>
      </c>
      <c r="G291" s="9">
        <v>107.93169875940512</v>
      </c>
      <c r="H291" s="12">
        <v>107.93169875940512</v>
      </c>
      <c r="I291">
        <f t="shared" si="8"/>
        <v>107.93169875940512</v>
      </c>
      <c r="J291">
        <f t="shared" si="9"/>
        <v>53.965849379702561</v>
      </c>
    </row>
    <row r="292" spans="1:10" x14ac:dyDescent="0.35">
      <c r="A292" t="s">
        <v>63</v>
      </c>
      <c r="B292" t="s">
        <v>67</v>
      </c>
      <c r="C292" t="s">
        <v>27</v>
      </c>
      <c r="D292" t="s">
        <v>8</v>
      </c>
      <c r="E292">
        <v>3</v>
      </c>
      <c r="F292" s="14">
        <v>346.01261060000002</v>
      </c>
      <c r="G292" s="9">
        <v>31.090575944264675</v>
      </c>
      <c r="H292" s="12">
        <v>31.090575944264675</v>
      </c>
      <c r="I292">
        <f t="shared" si="8"/>
        <v>31.090575944264675</v>
      </c>
      <c r="J292">
        <f t="shared" si="9"/>
        <v>15.545287972132337</v>
      </c>
    </row>
    <row r="293" spans="1:10" x14ac:dyDescent="0.35">
      <c r="A293" t="s">
        <v>63</v>
      </c>
      <c r="B293" t="s">
        <v>67</v>
      </c>
      <c r="C293" t="s">
        <v>28</v>
      </c>
      <c r="D293" t="s">
        <v>8</v>
      </c>
      <c r="E293">
        <v>3</v>
      </c>
      <c r="F293" s="14">
        <v>22.211565200000003</v>
      </c>
      <c r="G293" s="9">
        <v>0.26129700081457546</v>
      </c>
      <c r="H293" s="12">
        <v>0.26129700081457546</v>
      </c>
      <c r="I293">
        <f t="shared" si="8"/>
        <v>0.26129700081457546</v>
      </c>
      <c r="J293">
        <f t="shared" si="9"/>
        <v>0.13064850040728773</v>
      </c>
    </row>
    <row r="294" spans="1:10" x14ac:dyDescent="0.35">
      <c r="A294" t="s">
        <v>63</v>
      </c>
      <c r="B294" t="s">
        <v>67</v>
      </c>
      <c r="C294" t="s">
        <v>29</v>
      </c>
      <c r="D294" t="s">
        <v>8</v>
      </c>
      <c r="E294">
        <v>3</v>
      </c>
      <c r="F294" s="14">
        <v>35.4342203</v>
      </c>
      <c r="G294" s="9">
        <v>9.8483148704913379</v>
      </c>
      <c r="H294" s="12">
        <v>9.8483148704913379</v>
      </c>
      <c r="I294">
        <f t="shared" si="8"/>
        <v>9.8483148704913379</v>
      </c>
      <c r="J294">
        <f t="shared" si="9"/>
        <v>4.924157435245669</v>
      </c>
    </row>
    <row r="295" spans="1:10" x14ac:dyDescent="0.35">
      <c r="A295" t="s">
        <v>63</v>
      </c>
      <c r="B295" t="s">
        <v>67</v>
      </c>
      <c r="C295" t="s">
        <v>30</v>
      </c>
      <c r="D295" t="s">
        <v>8</v>
      </c>
      <c r="E295">
        <v>3</v>
      </c>
      <c r="F295" s="14">
        <v>17.177085099999999</v>
      </c>
      <c r="G295" s="9">
        <v>5.0477990478992751</v>
      </c>
      <c r="H295" s="12">
        <v>5.0477990478992751</v>
      </c>
      <c r="I295">
        <f t="shared" si="8"/>
        <v>5.0477990478992751</v>
      </c>
      <c r="J295">
        <f t="shared" si="9"/>
        <v>2.5238995239496376</v>
      </c>
    </row>
    <row r="296" spans="1:10" x14ac:dyDescent="0.35">
      <c r="A296" t="s">
        <v>63</v>
      </c>
      <c r="B296" t="s">
        <v>67</v>
      </c>
      <c r="C296" t="s">
        <v>31</v>
      </c>
      <c r="D296" t="s">
        <v>8</v>
      </c>
      <c r="E296">
        <v>3</v>
      </c>
      <c r="F296" s="14">
        <v>0.4224136</v>
      </c>
      <c r="G296" s="9">
        <v>6.897135836132029</v>
      </c>
      <c r="H296" s="12">
        <v>6.897135836132029</v>
      </c>
      <c r="I296">
        <f t="shared" si="8"/>
        <v>6.897135836132029</v>
      </c>
      <c r="J296">
        <f t="shared" si="9"/>
        <v>3.4485679180660145</v>
      </c>
    </row>
    <row r="297" spans="1:10" x14ac:dyDescent="0.35">
      <c r="A297" t="s">
        <v>63</v>
      </c>
      <c r="B297" t="s">
        <v>67</v>
      </c>
      <c r="C297" t="s">
        <v>32</v>
      </c>
      <c r="D297" t="s">
        <v>8</v>
      </c>
      <c r="E297">
        <v>3</v>
      </c>
      <c r="F297" s="14">
        <v>158.72421750000001</v>
      </c>
      <c r="G297" s="9">
        <v>19.650411383681998</v>
      </c>
      <c r="H297" s="12">
        <v>19.650411383681998</v>
      </c>
      <c r="I297">
        <f t="shared" si="8"/>
        <v>19.650411383681998</v>
      </c>
      <c r="J297">
        <f t="shared" si="9"/>
        <v>9.8252056918409991</v>
      </c>
    </row>
    <row r="298" spans="1:10" x14ac:dyDescent="0.35">
      <c r="A298" t="s">
        <v>63</v>
      </c>
      <c r="B298" t="s">
        <v>67</v>
      </c>
      <c r="C298" t="s">
        <v>33</v>
      </c>
      <c r="D298" t="s">
        <v>8</v>
      </c>
      <c r="E298">
        <v>3</v>
      </c>
      <c r="F298" s="14">
        <v>0</v>
      </c>
      <c r="G298" s="9">
        <v>18.257087802241777</v>
      </c>
      <c r="H298" s="12">
        <v>18.257087802241777</v>
      </c>
      <c r="I298">
        <f t="shared" si="8"/>
        <v>18.257087802241777</v>
      </c>
      <c r="J298">
        <f t="shared" si="9"/>
        <v>9.1285439011208886</v>
      </c>
    </row>
    <row r="299" spans="1:10" x14ac:dyDescent="0.35">
      <c r="A299" t="s">
        <v>63</v>
      </c>
      <c r="B299" t="s">
        <v>67</v>
      </c>
      <c r="C299" t="s">
        <v>34</v>
      </c>
      <c r="D299" t="s">
        <v>8</v>
      </c>
      <c r="E299">
        <v>3</v>
      </c>
      <c r="F299" s="14">
        <v>0</v>
      </c>
      <c r="G299" s="9">
        <v>2.7523823719268665</v>
      </c>
      <c r="H299" s="12">
        <v>2.7523823719268665</v>
      </c>
      <c r="I299">
        <f t="shared" si="8"/>
        <v>2.7523823719268665</v>
      </c>
      <c r="J299">
        <f t="shared" si="9"/>
        <v>1.3761911859634333</v>
      </c>
    </row>
    <row r="300" spans="1:10" x14ac:dyDescent="0.35">
      <c r="A300" t="s">
        <v>63</v>
      </c>
      <c r="B300" t="s">
        <v>67</v>
      </c>
      <c r="C300" t="s">
        <v>35</v>
      </c>
      <c r="D300" t="s">
        <v>8</v>
      </c>
      <c r="E300">
        <v>3</v>
      </c>
      <c r="F300" s="14">
        <v>329.71999729999999</v>
      </c>
      <c r="G300" s="9">
        <v>34.351332780111321</v>
      </c>
      <c r="H300" s="12">
        <v>34.351332780111321</v>
      </c>
      <c r="I300">
        <f t="shared" si="8"/>
        <v>34.351332780111321</v>
      </c>
      <c r="J300">
        <f t="shared" si="9"/>
        <v>17.17566639005566</v>
      </c>
    </row>
    <row r="301" spans="1:10" x14ac:dyDescent="0.35">
      <c r="A301" t="s">
        <v>63</v>
      </c>
      <c r="B301" t="s">
        <v>67</v>
      </c>
      <c r="C301" t="s">
        <v>36</v>
      </c>
      <c r="D301" t="s">
        <v>8</v>
      </c>
      <c r="E301">
        <v>3</v>
      </c>
      <c r="F301" s="14">
        <v>6.7582187999999999</v>
      </c>
      <c r="G301" s="9">
        <v>4.0893258367112413</v>
      </c>
      <c r="H301" s="12">
        <v>4.0893258367112413</v>
      </c>
      <c r="I301">
        <f t="shared" si="8"/>
        <v>4.0893258367112413</v>
      </c>
      <c r="J301">
        <f t="shared" si="9"/>
        <v>2.0446629183556206</v>
      </c>
    </row>
    <row r="302" spans="1:10" x14ac:dyDescent="0.35">
      <c r="A302" t="s">
        <v>63</v>
      </c>
      <c r="B302" t="s">
        <v>67</v>
      </c>
      <c r="C302" t="s">
        <v>37</v>
      </c>
      <c r="D302" t="s">
        <v>8</v>
      </c>
      <c r="E302">
        <v>3</v>
      </c>
      <c r="F302" s="14">
        <v>99.869837400000009</v>
      </c>
      <c r="G302" s="9">
        <v>31.028158662792862</v>
      </c>
      <c r="H302" s="12">
        <v>31.028158662792862</v>
      </c>
      <c r="I302">
        <f t="shared" si="8"/>
        <v>31.028158662792862</v>
      </c>
      <c r="J302">
        <f t="shared" si="9"/>
        <v>15.514079331396431</v>
      </c>
    </row>
    <row r="303" spans="1:10" x14ac:dyDescent="0.35">
      <c r="A303" t="s">
        <v>63</v>
      </c>
      <c r="B303" t="s">
        <v>67</v>
      </c>
      <c r="C303" t="s">
        <v>38</v>
      </c>
      <c r="D303" t="s">
        <v>8</v>
      </c>
      <c r="E303">
        <v>3</v>
      </c>
      <c r="F303" s="14">
        <v>1.9364283</v>
      </c>
      <c r="G303" s="9">
        <v>0.17424935879955677</v>
      </c>
      <c r="H303" s="12">
        <v>0.17424935879955677</v>
      </c>
      <c r="I303">
        <f t="shared" si="8"/>
        <v>0.17424935879955677</v>
      </c>
      <c r="J303">
        <f t="shared" si="9"/>
        <v>8.7124679399778387E-2</v>
      </c>
    </row>
    <row r="304" spans="1:10" x14ac:dyDescent="0.35">
      <c r="A304" t="s">
        <v>63</v>
      </c>
      <c r="B304" t="s">
        <v>67</v>
      </c>
      <c r="C304" t="s">
        <v>39</v>
      </c>
      <c r="D304" t="s">
        <v>8</v>
      </c>
      <c r="E304">
        <v>3</v>
      </c>
      <c r="F304" s="14">
        <v>1.5613623999999999</v>
      </c>
      <c r="G304" s="9">
        <v>0.72427470349532941</v>
      </c>
      <c r="H304" s="12">
        <v>0.72427470349532941</v>
      </c>
      <c r="I304">
        <f t="shared" si="8"/>
        <v>0.72427470349532941</v>
      </c>
      <c r="J304">
        <f t="shared" si="9"/>
        <v>0.3621373517476647</v>
      </c>
    </row>
    <row r="305" spans="1:10" x14ac:dyDescent="0.35">
      <c r="A305" t="s">
        <v>63</v>
      </c>
      <c r="B305" t="s">
        <v>67</v>
      </c>
      <c r="C305" t="s">
        <v>40</v>
      </c>
      <c r="D305" t="s">
        <v>8</v>
      </c>
      <c r="E305">
        <v>3</v>
      </c>
      <c r="F305" s="14">
        <v>26.125284100000002</v>
      </c>
      <c r="G305" s="9">
        <v>3.1815073238085372</v>
      </c>
      <c r="H305" s="12">
        <v>3.1815073238085372</v>
      </c>
      <c r="I305">
        <f t="shared" si="8"/>
        <v>3.1815073238085372</v>
      </c>
      <c r="J305">
        <f t="shared" si="9"/>
        <v>1.5907536619042686</v>
      </c>
    </row>
    <row r="306" spans="1:10" x14ac:dyDescent="0.35">
      <c r="A306" t="s">
        <v>63</v>
      </c>
      <c r="B306" t="s">
        <v>67</v>
      </c>
      <c r="C306" t="s">
        <v>41</v>
      </c>
      <c r="D306" t="s">
        <v>8</v>
      </c>
      <c r="E306">
        <v>3</v>
      </c>
      <c r="F306" s="14">
        <v>98.012854900000008</v>
      </c>
      <c r="G306" s="9">
        <v>3.8923515500229056</v>
      </c>
      <c r="H306" s="12">
        <v>3.8923515500229056</v>
      </c>
      <c r="I306">
        <f t="shared" si="8"/>
        <v>3.8923515500229056</v>
      </c>
      <c r="J306">
        <f t="shared" si="9"/>
        <v>1.9461757750114528</v>
      </c>
    </row>
    <row r="307" spans="1:10" s="8" customFormat="1" x14ac:dyDescent="0.35">
      <c r="A307" s="8" t="s">
        <v>63</v>
      </c>
      <c r="B307" s="8" t="s">
        <v>67</v>
      </c>
      <c r="C307" s="8" t="s">
        <v>42</v>
      </c>
      <c r="D307" s="8" t="s">
        <v>8</v>
      </c>
      <c r="E307" s="8">
        <v>3</v>
      </c>
      <c r="F307" s="15">
        <v>0</v>
      </c>
      <c r="G307" s="10">
        <v>1.2860727380647856</v>
      </c>
      <c r="H307" s="13">
        <v>1.2860727380647856</v>
      </c>
      <c r="I307" s="8">
        <f t="shared" si="8"/>
        <v>1.2860727380647856</v>
      </c>
      <c r="J307" s="8">
        <f t="shared" si="9"/>
        <v>0.64303636903239281</v>
      </c>
    </row>
    <row r="308" spans="1:10" x14ac:dyDescent="0.35">
      <c r="A308" t="s">
        <v>64</v>
      </c>
      <c r="B308" t="s">
        <v>68</v>
      </c>
      <c r="C308" t="s">
        <v>7</v>
      </c>
      <c r="D308" t="s">
        <v>51</v>
      </c>
      <c r="E308">
        <v>3</v>
      </c>
      <c r="F308" s="14">
        <v>6.8845140000000002</v>
      </c>
      <c r="G308" s="9">
        <v>0.75760743004643649</v>
      </c>
      <c r="H308" s="12">
        <v>0.75760743004643649</v>
      </c>
      <c r="I308">
        <f t="shared" si="8"/>
        <v>0.75760743004643649</v>
      </c>
      <c r="J308">
        <f t="shared" si="9"/>
        <v>0.37880371502321825</v>
      </c>
    </row>
    <row r="309" spans="1:10" x14ac:dyDescent="0.35">
      <c r="A309" t="s">
        <v>64</v>
      </c>
      <c r="B309" t="s">
        <v>68</v>
      </c>
      <c r="C309" t="s">
        <v>9</v>
      </c>
      <c r="D309" t="s">
        <v>51</v>
      </c>
      <c r="E309">
        <v>3</v>
      </c>
      <c r="F309" s="14">
        <v>4.1247161999999999</v>
      </c>
      <c r="G309" s="9">
        <v>8.9866979409676237E-2</v>
      </c>
      <c r="H309" s="12">
        <v>8.9866979409676237E-2</v>
      </c>
      <c r="I309">
        <f t="shared" si="8"/>
        <v>8.9866979409676237E-2</v>
      </c>
      <c r="J309">
        <f t="shared" si="9"/>
        <v>4.4933489704838118E-2</v>
      </c>
    </row>
    <row r="310" spans="1:10" x14ac:dyDescent="0.35">
      <c r="A310" t="s">
        <v>64</v>
      </c>
      <c r="B310" t="s">
        <v>68</v>
      </c>
      <c r="C310" t="s">
        <v>10</v>
      </c>
      <c r="D310" t="s">
        <v>51</v>
      </c>
      <c r="E310">
        <v>3</v>
      </c>
      <c r="F310" s="14" t="e">
        <v>#N/A</v>
      </c>
      <c r="G310" s="9">
        <v>1.6703509006318267E-2</v>
      </c>
      <c r="H310" s="12">
        <v>1.6703509006318267E-2</v>
      </c>
      <c r="I310">
        <f t="shared" si="8"/>
        <v>1.6703509006318267E-2</v>
      </c>
      <c r="J310">
        <f t="shared" si="9"/>
        <v>8.3517545031591336E-3</v>
      </c>
    </row>
    <row r="311" spans="1:10" x14ac:dyDescent="0.35">
      <c r="A311" t="s">
        <v>64</v>
      </c>
      <c r="B311" t="s">
        <v>68</v>
      </c>
      <c r="C311" t="s">
        <v>11</v>
      </c>
      <c r="D311" t="s">
        <v>51</v>
      </c>
      <c r="E311">
        <v>3</v>
      </c>
      <c r="F311" s="14">
        <v>14.241061499999999</v>
      </c>
      <c r="G311" s="9">
        <v>6.5955486506252647</v>
      </c>
      <c r="H311" s="12">
        <v>6.5955486506252647</v>
      </c>
      <c r="I311">
        <f t="shared" si="8"/>
        <v>6.5955486506252647</v>
      </c>
      <c r="J311">
        <f t="shared" si="9"/>
        <v>3.2977743253126324</v>
      </c>
    </row>
    <row r="312" spans="1:10" x14ac:dyDescent="0.35">
      <c r="A312" t="s">
        <v>64</v>
      </c>
      <c r="B312" t="s">
        <v>68</v>
      </c>
      <c r="C312" t="s">
        <v>12</v>
      </c>
      <c r="D312" t="s">
        <v>51</v>
      </c>
      <c r="E312">
        <v>3</v>
      </c>
      <c r="F312" s="14">
        <v>116.72914280000001</v>
      </c>
      <c r="G312" s="9">
        <v>9.392601071423913</v>
      </c>
      <c r="H312" s="12">
        <v>9.392601071423913</v>
      </c>
      <c r="I312">
        <f t="shared" si="8"/>
        <v>9.392601071423913</v>
      </c>
      <c r="J312">
        <f t="shared" si="9"/>
        <v>4.6963005357119565</v>
      </c>
    </row>
    <row r="313" spans="1:10" x14ac:dyDescent="0.35">
      <c r="A313" t="s">
        <v>64</v>
      </c>
      <c r="B313" t="s">
        <v>68</v>
      </c>
      <c r="C313" t="s">
        <v>13</v>
      </c>
      <c r="D313" t="s">
        <v>51</v>
      </c>
      <c r="E313">
        <v>3</v>
      </c>
      <c r="F313" s="14">
        <v>307.1489722</v>
      </c>
      <c r="G313" s="9">
        <v>80.308786960625071</v>
      </c>
      <c r="H313" s="12">
        <v>80.308786960625071</v>
      </c>
      <c r="I313">
        <f t="shared" ref="I313:I374" si="10">IF(G313&lt;0,0,G313)</f>
        <v>80.308786960625071</v>
      </c>
      <c r="J313">
        <f t="shared" si="9"/>
        <v>40.154393480312535</v>
      </c>
    </row>
    <row r="314" spans="1:10" x14ac:dyDescent="0.35">
      <c r="A314" t="s">
        <v>64</v>
      </c>
      <c r="B314" t="s">
        <v>68</v>
      </c>
      <c r="C314" t="s">
        <v>14</v>
      </c>
      <c r="D314" t="s">
        <v>51</v>
      </c>
      <c r="E314">
        <v>3</v>
      </c>
      <c r="F314" s="14">
        <v>0</v>
      </c>
      <c r="G314" s="9">
        <v>5.5098335405095678E-2</v>
      </c>
      <c r="H314" s="12">
        <v>5.5098335405095678E-2</v>
      </c>
      <c r="I314">
        <f t="shared" si="10"/>
        <v>5.5098335405095678E-2</v>
      </c>
      <c r="J314">
        <f t="shared" si="9"/>
        <v>2.7549167702547839E-2</v>
      </c>
    </row>
    <row r="315" spans="1:10" x14ac:dyDescent="0.35">
      <c r="A315" t="s">
        <v>64</v>
      </c>
      <c r="B315" t="s">
        <v>68</v>
      </c>
      <c r="C315" t="s">
        <v>15</v>
      </c>
      <c r="D315" t="s">
        <v>51</v>
      </c>
      <c r="E315">
        <v>3</v>
      </c>
      <c r="F315" s="14">
        <v>15.8769372</v>
      </c>
      <c r="G315" s="9">
        <v>0.76946537927278502</v>
      </c>
      <c r="H315" s="12">
        <v>0.76946537927278502</v>
      </c>
      <c r="I315">
        <f t="shared" si="10"/>
        <v>0.76946537927278502</v>
      </c>
      <c r="J315">
        <f t="shared" si="9"/>
        <v>0.38473268963639251</v>
      </c>
    </row>
    <row r="316" spans="1:10" x14ac:dyDescent="0.35">
      <c r="A316" t="s">
        <v>64</v>
      </c>
      <c r="B316" t="s">
        <v>68</v>
      </c>
      <c r="C316" t="s">
        <v>16</v>
      </c>
      <c r="D316" t="s">
        <v>51</v>
      </c>
      <c r="E316">
        <v>3</v>
      </c>
      <c r="F316" s="14">
        <v>0</v>
      </c>
      <c r="G316" s="9">
        <v>-5.3555463117686754E-2</v>
      </c>
      <c r="H316" s="12">
        <v>-5.3555463117686754E-2</v>
      </c>
      <c r="I316">
        <f t="shared" si="10"/>
        <v>0</v>
      </c>
      <c r="J316">
        <f t="shared" ref="J316:J377" si="11">I316/2</f>
        <v>0</v>
      </c>
    </row>
    <row r="317" spans="1:10" x14ac:dyDescent="0.35">
      <c r="A317" t="s">
        <v>64</v>
      </c>
      <c r="B317" t="s">
        <v>68</v>
      </c>
      <c r="C317" t="s">
        <v>17</v>
      </c>
      <c r="D317" t="s">
        <v>51</v>
      </c>
      <c r="E317">
        <v>3</v>
      </c>
      <c r="F317" s="14">
        <v>5408.4226508000002</v>
      </c>
      <c r="G317" s="9">
        <v>394.31125560663958</v>
      </c>
      <c r="H317" s="12">
        <v>394.31125560663958</v>
      </c>
      <c r="I317">
        <f t="shared" si="10"/>
        <v>394.31125560663958</v>
      </c>
      <c r="J317">
        <f t="shared" si="11"/>
        <v>197.15562780331979</v>
      </c>
    </row>
    <row r="318" spans="1:10" x14ac:dyDescent="0.35">
      <c r="A318" t="s">
        <v>64</v>
      </c>
      <c r="B318" t="s">
        <v>68</v>
      </c>
      <c r="C318" t="s">
        <v>18</v>
      </c>
      <c r="D318" t="s">
        <v>51</v>
      </c>
      <c r="E318">
        <v>3</v>
      </c>
      <c r="F318" s="14">
        <v>949.72924750000004</v>
      </c>
      <c r="G318" s="9">
        <v>238.09211932514177</v>
      </c>
      <c r="H318" s="12">
        <v>238.09211932514177</v>
      </c>
      <c r="I318">
        <f t="shared" si="10"/>
        <v>238.09211932514177</v>
      </c>
      <c r="J318">
        <f t="shared" si="11"/>
        <v>119.04605966257088</v>
      </c>
    </row>
    <row r="319" spans="1:10" x14ac:dyDescent="0.35">
      <c r="A319" t="s">
        <v>64</v>
      </c>
      <c r="B319" t="s">
        <v>68</v>
      </c>
      <c r="C319" t="s">
        <v>20</v>
      </c>
      <c r="D319" t="s">
        <v>51</v>
      </c>
      <c r="E319">
        <v>3</v>
      </c>
      <c r="F319" s="14">
        <v>20.971489000000002</v>
      </c>
      <c r="G319" s="9">
        <v>4.3637171828417767</v>
      </c>
      <c r="H319" s="12">
        <v>4.3637171828417767</v>
      </c>
      <c r="I319">
        <f t="shared" si="10"/>
        <v>4.3637171828417767</v>
      </c>
      <c r="J319">
        <f t="shared" si="11"/>
        <v>2.1818585914208883</v>
      </c>
    </row>
    <row r="320" spans="1:10" x14ac:dyDescent="0.35">
      <c r="A320" t="s">
        <v>64</v>
      </c>
      <c r="B320" t="s">
        <v>68</v>
      </c>
      <c r="C320" t="s">
        <v>21</v>
      </c>
      <c r="D320" t="s">
        <v>51</v>
      </c>
      <c r="E320">
        <v>3</v>
      </c>
      <c r="F320" s="14">
        <v>543.79471709999996</v>
      </c>
      <c r="G320" s="9">
        <v>44.531955967124411</v>
      </c>
      <c r="H320" s="12">
        <v>44.531955967124411</v>
      </c>
      <c r="I320">
        <f t="shared" si="10"/>
        <v>44.531955967124411</v>
      </c>
      <c r="J320">
        <f t="shared" si="11"/>
        <v>22.265977983562205</v>
      </c>
    </row>
    <row r="321" spans="1:10" x14ac:dyDescent="0.35">
      <c r="A321" t="s">
        <v>64</v>
      </c>
      <c r="B321" t="s">
        <v>68</v>
      </c>
      <c r="C321" t="s">
        <v>22</v>
      </c>
      <c r="D321" t="s">
        <v>51</v>
      </c>
      <c r="E321">
        <v>3</v>
      </c>
      <c r="F321" s="14">
        <v>1955.7332535999999</v>
      </c>
      <c r="G321" s="9">
        <v>477.69422298103427</v>
      </c>
      <c r="H321" s="12">
        <v>477.69422298103427</v>
      </c>
      <c r="I321">
        <f t="shared" si="10"/>
        <v>477.69422298103427</v>
      </c>
      <c r="J321">
        <f t="shared" si="11"/>
        <v>238.84711149051714</v>
      </c>
    </row>
    <row r="322" spans="1:10" x14ac:dyDescent="0.35">
      <c r="A322" t="s">
        <v>64</v>
      </c>
      <c r="B322" t="s">
        <v>68</v>
      </c>
      <c r="C322" t="s">
        <v>23</v>
      </c>
      <c r="D322" t="s">
        <v>51</v>
      </c>
      <c r="E322">
        <v>3</v>
      </c>
      <c r="F322" s="14">
        <v>0</v>
      </c>
      <c r="G322" s="9">
        <v>-0.17181211264413232</v>
      </c>
      <c r="H322" s="12">
        <v>-0.17181211264413232</v>
      </c>
      <c r="I322">
        <f t="shared" si="10"/>
        <v>0</v>
      </c>
      <c r="J322">
        <f t="shared" si="11"/>
        <v>0</v>
      </c>
    </row>
    <row r="323" spans="1:10" x14ac:dyDescent="0.35">
      <c r="A323" t="s">
        <v>64</v>
      </c>
      <c r="B323" t="s">
        <v>68</v>
      </c>
      <c r="C323" t="s">
        <v>24</v>
      </c>
      <c r="D323" t="s">
        <v>51</v>
      </c>
      <c r="E323">
        <v>3</v>
      </c>
      <c r="F323" s="14">
        <v>1913.5384208</v>
      </c>
      <c r="G323" s="9">
        <v>329.25470097197649</v>
      </c>
      <c r="H323" s="12">
        <v>329.25470097197649</v>
      </c>
      <c r="I323">
        <f t="shared" si="10"/>
        <v>329.25470097197649</v>
      </c>
      <c r="J323">
        <f t="shared" si="11"/>
        <v>164.62735048598825</v>
      </c>
    </row>
    <row r="324" spans="1:10" x14ac:dyDescent="0.35">
      <c r="A324" t="s">
        <v>64</v>
      </c>
      <c r="B324" t="s">
        <v>68</v>
      </c>
      <c r="C324" t="s">
        <v>25</v>
      </c>
      <c r="D324" t="s">
        <v>51</v>
      </c>
      <c r="E324">
        <v>3</v>
      </c>
      <c r="F324" s="14">
        <v>157.53268119999998</v>
      </c>
      <c r="G324" s="9">
        <v>23.539549232314663</v>
      </c>
      <c r="H324" s="12">
        <v>23.539549232314663</v>
      </c>
      <c r="I324">
        <f t="shared" si="10"/>
        <v>23.539549232314663</v>
      </c>
      <c r="J324">
        <f t="shared" si="11"/>
        <v>11.769774616157331</v>
      </c>
    </row>
    <row r="325" spans="1:10" x14ac:dyDescent="0.35">
      <c r="A325" t="s">
        <v>64</v>
      </c>
      <c r="B325" t="s">
        <v>68</v>
      </c>
      <c r="C325" t="s">
        <v>26</v>
      </c>
      <c r="D325" t="s">
        <v>51</v>
      </c>
      <c r="E325">
        <v>3</v>
      </c>
      <c r="F325" s="14">
        <v>3321.1106480999997</v>
      </c>
      <c r="G325" s="9">
        <v>95.07032931162459</v>
      </c>
      <c r="H325" s="12">
        <v>95.07032931162459</v>
      </c>
      <c r="I325">
        <f t="shared" si="10"/>
        <v>95.07032931162459</v>
      </c>
      <c r="J325">
        <f t="shared" si="11"/>
        <v>47.535164655812295</v>
      </c>
    </row>
    <row r="326" spans="1:10" x14ac:dyDescent="0.35">
      <c r="A326" t="s">
        <v>64</v>
      </c>
      <c r="B326" t="s">
        <v>68</v>
      </c>
      <c r="C326" t="s">
        <v>27</v>
      </c>
      <c r="D326" t="s">
        <v>51</v>
      </c>
      <c r="E326">
        <v>3</v>
      </c>
      <c r="F326" s="14">
        <v>322.12129700000003</v>
      </c>
      <c r="G326" s="9">
        <v>28.952710792406396</v>
      </c>
      <c r="H326" s="12">
        <v>28.952710792406396</v>
      </c>
      <c r="I326">
        <f t="shared" si="10"/>
        <v>28.952710792406396</v>
      </c>
      <c r="J326">
        <f t="shared" si="11"/>
        <v>14.476355396203198</v>
      </c>
    </row>
    <row r="327" spans="1:10" x14ac:dyDescent="0.35">
      <c r="A327" t="s">
        <v>64</v>
      </c>
      <c r="B327" t="s">
        <v>68</v>
      </c>
      <c r="C327" t="s">
        <v>28</v>
      </c>
      <c r="D327" t="s">
        <v>51</v>
      </c>
      <c r="E327">
        <v>3</v>
      </c>
      <c r="F327" s="14">
        <v>28.789515399999999</v>
      </c>
      <c r="G327" s="9">
        <v>0.77768441712496084</v>
      </c>
      <c r="H327" s="12">
        <v>0.77768441712496084</v>
      </c>
      <c r="I327">
        <f t="shared" si="10"/>
        <v>0.77768441712496084</v>
      </c>
      <c r="J327">
        <f t="shared" si="11"/>
        <v>0.38884220856248042</v>
      </c>
    </row>
    <row r="328" spans="1:10" x14ac:dyDescent="0.35">
      <c r="A328" t="s">
        <v>64</v>
      </c>
      <c r="B328" t="s">
        <v>68</v>
      </c>
      <c r="C328" t="s">
        <v>29</v>
      </c>
      <c r="D328" t="s">
        <v>51</v>
      </c>
      <c r="E328">
        <v>3</v>
      </c>
      <c r="F328" s="14">
        <v>29.8003447</v>
      </c>
      <c r="G328" s="9">
        <v>8.2828057575228886</v>
      </c>
      <c r="H328" s="12">
        <v>8.2828057575228886</v>
      </c>
      <c r="I328">
        <f t="shared" si="10"/>
        <v>8.2828057575228886</v>
      </c>
      <c r="J328">
        <f t="shared" si="11"/>
        <v>4.1414028787614443</v>
      </c>
    </row>
    <row r="329" spans="1:10" x14ac:dyDescent="0.35">
      <c r="A329" t="s">
        <v>64</v>
      </c>
      <c r="B329" t="s">
        <v>68</v>
      </c>
      <c r="C329" t="s">
        <v>30</v>
      </c>
      <c r="D329" t="s">
        <v>51</v>
      </c>
      <c r="E329">
        <v>3</v>
      </c>
      <c r="F329" s="14">
        <v>19.8518626</v>
      </c>
      <c r="G329" s="9">
        <v>5.8321014212056479</v>
      </c>
      <c r="H329" s="12">
        <v>5.8321014212056479</v>
      </c>
      <c r="I329">
        <f t="shared" si="10"/>
        <v>5.8321014212056479</v>
      </c>
      <c r="J329">
        <f t="shared" si="11"/>
        <v>2.9160507106028239</v>
      </c>
    </row>
    <row r="330" spans="1:10" x14ac:dyDescent="0.35">
      <c r="A330" t="s">
        <v>64</v>
      </c>
      <c r="B330" t="s">
        <v>68</v>
      </c>
      <c r="C330" t="s">
        <v>31</v>
      </c>
      <c r="D330" t="s">
        <v>51</v>
      </c>
      <c r="E330">
        <v>3</v>
      </c>
      <c r="F330" s="14">
        <v>4.6745024000000006</v>
      </c>
      <c r="G330" s="9">
        <v>1.3727848034937142</v>
      </c>
      <c r="H330" s="12">
        <v>1.3727848034937142</v>
      </c>
      <c r="I330">
        <f t="shared" si="10"/>
        <v>1.3727848034937142</v>
      </c>
      <c r="J330">
        <f t="shared" si="11"/>
        <v>0.68639240174685712</v>
      </c>
    </row>
    <row r="331" spans="1:10" x14ac:dyDescent="0.35">
      <c r="A331" t="s">
        <v>64</v>
      </c>
      <c r="B331" t="s">
        <v>68</v>
      </c>
      <c r="C331" t="s">
        <v>32</v>
      </c>
      <c r="D331" t="s">
        <v>51</v>
      </c>
      <c r="E331">
        <v>3</v>
      </c>
      <c r="F331" s="14">
        <v>112.97919229999999</v>
      </c>
      <c r="G331" s="9">
        <v>13.985072529010372</v>
      </c>
      <c r="H331" s="12">
        <v>13.985072529010372</v>
      </c>
      <c r="I331">
        <f t="shared" si="10"/>
        <v>13.985072529010372</v>
      </c>
      <c r="J331">
        <f t="shared" si="11"/>
        <v>6.9925362645051861</v>
      </c>
    </row>
    <row r="332" spans="1:10" x14ac:dyDescent="0.35">
      <c r="A332" t="s">
        <v>64</v>
      </c>
      <c r="B332" t="s">
        <v>68</v>
      </c>
      <c r="C332" t="s">
        <v>33</v>
      </c>
      <c r="D332" t="s">
        <v>51</v>
      </c>
      <c r="E332">
        <v>3</v>
      </c>
      <c r="F332" s="14" t="e">
        <v>#N/A</v>
      </c>
      <c r="G332" s="9">
        <v>6.6317454371323387E-2</v>
      </c>
      <c r="H332" s="12">
        <v>6.6317454371323387E-2</v>
      </c>
      <c r="I332">
        <f t="shared" si="10"/>
        <v>6.6317454371323387E-2</v>
      </c>
      <c r="J332">
        <f t="shared" si="11"/>
        <v>3.3158727185661693E-2</v>
      </c>
    </row>
    <row r="333" spans="1:10" x14ac:dyDescent="0.35">
      <c r="A333" t="s">
        <v>64</v>
      </c>
      <c r="B333" t="s">
        <v>68</v>
      </c>
      <c r="C333" t="s">
        <v>34</v>
      </c>
      <c r="D333" t="s">
        <v>51</v>
      </c>
      <c r="E333">
        <v>3</v>
      </c>
      <c r="F333" s="14">
        <v>0</v>
      </c>
      <c r="G333" s="9">
        <v>3.4190319010173574E-2</v>
      </c>
      <c r="H333" s="12">
        <v>3.4190319010173574E-2</v>
      </c>
      <c r="I333">
        <f t="shared" si="10"/>
        <v>3.4190319010173574E-2</v>
      </c>
      <c r="J333">
        <f t="shared" si="11"/>
        <v>1.7095159505086787E-2</v>
      </c>
    </row>
    <row r="334" spans="1:10" x14ac:dyDescent="0.35">
      <c r="A334" t="s">
        <v>64</v>
      </c>
      <c r="B334" t="s">
        <v>68</v>
      </c>
      <c r="C334" t="s">
        <v>35</v>
      </c>
      <c r="D334" t="s">
        <v>51</v>
      </c>
      <c r="E334">
        <v>3</v>
      </c>
      <c r="F334" s="14">
        <v>294.62663040000001</v>
      </c>
      <c r="G334" s="9">
        <v>28.262679154016599</v>
      </c>
      <c r="H334" s="12">
        <v>28.262679154016599</v>
      </c>
      <c r="I334">
        <f t="shared" si="10"/>
        <v>28.262679154016599</v>
      </c>
      <c r="J334">
        <f t="shared" si="11"/>
        <v>14.131339577008299</v>
      </c>
    </row>
    <row r="335" spans="1:10" x14ac:dyDescent="0.35">
      <c r="A335" t="s">
        <v>64</v>
      </c>
      <c r="B335" t="s">
        <v>68</v>
      </c>
      <c r="C335" t="s">
        <v>36</v>
      </c>
      <c r="D335" t="s">
        <v>51</v>
      </c>
      <c r="E335">
        <v>3</v>
      </c>
      <c r="F335" s="14">
        <v>1.5882030999999999</v>
      </c>
      <c r="G335" s="9">
        <v>8.3489708397120471E-2</v>
      </c>
      <c r="H335" s="12">
        <v>8.3489708397120471E-2</v>
      </c>
      <c r="I335">
        <f t="shared" si="10"/>
        <v>8.3489708397120471E-2</v>
      </c>
      <c r="J335">
        <f t="shared" si="11"/>
        <v>4.1744854198560236E-2</v>
      </c>
    </row>
    <row r="336" spans="1:10" x14ac:dyDescent="0.35">
      <c r="A336" t="s">
        <v>64</v>
      </c>
      <c r="B336" t="s">
        <v>68</v>
      </c>
      <c r="C336" t="s">
        <v>37</v>
      </c>
      <c r="D336" t="s">
        <v>51</v>
      </c>
      <c r="E336">
        <v>3</v>
      </c>
      <c r="F336" s="14">
        <v>94.496069500000004</v>
      </c>
      <c r="G336" s="9">
        <v>29.326342153164902</v>
      </c>
      <c r="H336" s="12">
        <v>29.326342153164902</v>
      </c>
      <c r="I336">
        <f t="shared" si="10"/>
        <v>29.326342153164902</v>
      </c>
      <c r="J336">
        <f t="shared" si="11"/>
        <v>14.663171076582451</v>
      </c>
    </row>
    <row r="337" spans="1:10" x14ac:dyDescent="0.35">
      <c r="A337" t="s">
        <v>64</v>
      </c>
      <c r="B337" t="s">
        <v>68</v>
      </c>
      <c r="C337" t="s">
        <v>38</v>
      </c>
      <c r="D337" t="s">
        <v>51</v>
      </c>
      <c r="E337">
        <v>3</v>
      </c>
      <c r="F337" s="14">
        <v>1.9322348</v>
      </c>
      <c r="G337" s="9">
        <v>0.17318382969907578</v>
      </c>
      <c r="H337" s="12">
        <v>0.17318382969907578</v>
      </c>
      <c r="I337">
        <f t="shared" si="10"/>
        <v>0.17318382969907578</v>
      </c>
      <c r="J337">
        <f t="shared" si="11"/>
        <v>8.659191484953789E-2</v>
      </c>
    </row>
    <row r="338" spans="1:10" x14ac:dyDescent="0.35">
      <c r="A338" t="s">
        <v>64</v>
      </c>
      <c r="B338" t="s">
        <v>68</v>
      </c>
      <c r="C338" t="s">
        <v>39</v>
      </c>
      <c r="D338" t="s">
        <v>51</v>
      </c>
      <c r="E338">
        <v>3</v>
      </c>
      <c r="F338" s="14">
        <v>0.79633739999999997</v>
      </c>
      <c r="G338" s="9">
        <v>0.47800243217810134</v>
      </c>
      <c r="H338" s="12">
        <v>0.47800243217810134</v>
      </c>
      <c r="I338">
        <f t="shared" si="10"/>
        <v>0.47800243217810134</v>
      </c>
      <c r="J338">
        <f t="shared" si="11"/>
        <v>0.23900121608905067</v>
      </c>
    </row>
    <row r="339" spans="1:10" x14ac:dyDescent="0.35">
      <c r="A339" t="s">
        <v>64</v>
      </c>
      <c r="B339" t="s">
        <v>68</v>
      </c>
      <c r="C339" t="s">
        <v>40</v>
      </c>
      <c r="D339" t="s">
        <v>51</v>
      </c>
      <c r="E339">
        <v>3</v>
      </c>
      <c r="F339" s="14">
        <v>17.029594799999998</v>
      </c>
      <c r="G339" s="9">
        <v>2.1000832673512528</v>
      </c>
      <c r="H339" s="12">
        <v>2.1000832673512528</v>
      </c>
      <c r="I339">
        <f t="shared" si="10"/>
        <v>2.1000832673512528</v>
      </c>
      <c r="J339">
        <f t="shared" si="11"/>
        <v>1.0500416336756264</v>
      </c>
    </row>
    <row r="340" spans="1:10" x14ac:dyDescent="0.35">
      <c r="A340" t="s">
        <v>64</v>
      </c>
      <c r="B340" t="s">
        <v>68</v>
      </c>
      <c r="C340" t="s">
        <v>41</v>
      </c>
      <c r="D340" t="s">
        <v>51</v>
      </c>
      <c r="E340">
        <v>3</v>
      </c>
      <c r="F340" s="14">
        <v>108.88772870000001</v>
      </c>
      <c r="G340" s="9">
        <v>4.3603964663265637</v>
      </c>
      <c r="H340" s="12">
        <v>4.3603964663265637</v>
      </c>
      <c r="I340">
        <f t="shared" si="10"/>
        <v>4.3603964663265637</v>
      </c>
      <c r="J340">
        <f t="shared" si="11"/>
        <v>2.1801982331632819</v>
      </c>
    </row>
    <row r="341" spans="1:10" s="8" customFormat="1" x14ac:dyDescent="0.35">
      <c r="A341" s="8" t="s">
        <v>64</v>
      </c>
      <c r="B341" s="8" t="s">
        <v>68</v>
      </c>
      <c r="C341" s="8" t="s">
        <v>42</v>
      </c>
      <c r="D341" s="8" t="s">
        <v>51</v>
      </c>
      <c r="E341" s="8">
        <v>3</v>
      </c>
      <c r="F341" s="15">
        <v>0</v>
      </c>
      <c r="G341" s="10">
        <v>1.2407829008730296</v>
      </c>
      <c r="H341" s="13">
        <v>1.2407829008730296</v>
      </c>
      <c r="I341" s="8">
        <f t="shared" si="10"/>
        <v>1.2407829008730296</v>
      </c>
      <c r="J341" s="8">
        <f t="shared" si="11"/>
        <v>0.62039145043651478</v>
      </c>
    </row>
    <row r="342" spans="1:10" x14ac:dyDescent="0.35">
      <c r="A342" t="s">
        <v>65</v>
      </c>
      <c r="B342" t="s">
        <v>69</v>
      </c>
      <c r="C342" t="s">
        <v>7</v>
      </c>
      <c r="D342" t="s">
        <v>50</v>
      </c>
      <c r="E342">
        <v>3</v>
      </c>
      <c r="F342" s="14">
        <v>7.0501939</v>
      </c>
      <c r="G342" s="9">
        <v>0.76458241956257189</v>
      </c>
      <c r="I342">
        <f t="shared" si="10"/>
        <v>0.76458241956257189</v>
      </c>
      <c r="J342">
        <f t="shared" si="11"/>
        <v>0.38229120978128595</v>
      </c>
    </row>
    <row r="343" spans="1:10" x14ac:dyDescent="0.35">
      <c r="A343" t="s">
        <v>65</v>
      </c>
      <c r="B343" t="s">
        <v>69</v>
      </c>
      <c r="C343" t="s">
        <v>9</v>
      </c>
      <c r="D343" t="s">
        <v>50</v>
      </c>
      <c r="E343">
        <v>3</v>
      </c>
      <c r="F343" s="14">
        <v>4.0526834999999997</v>
      </c>
      <c r="G343" s="9">
        <v>8.7289622611195272E-2</v>
      </c>
      <c r="I343">
        <f t="shared" si="10"/>
        <v>8.7289622611195272E-2</v>
      </c>
      <c r="J343">
        <f t="shared" si="11"/>
        <v>4.3644811305597636E-2</v>
      </c>
    </row>
    <row r="344" spans="1:10" x14ac:dyDescent="0.35">
      <c r="A344" t="s">
        <v>65</v>
      </c>
      <c r="B344" t="s">
        <v>69</v>
      </c>
      <c r="C344" t="s">
        <v>10</v>
      </c>
      <c r="D344" t="s">
        <v>50</v>
      </c>
      <c r="E344">
        <v>3</v>
      </c>
      <c r="F344" s="14">
        <v>0</v>
      </c>
      <c r="G344" s="9">
        <v>-2.9827352515626133E-2</v>
      </c>
      <c r="I344">
        <f t="shared" si="10"/>
        <v>0</v>
      </c>
      <c r="J344">
        <f t="shared" si="11"/>
        <v>0</v>
      </c>
    </row>
    <row r="345" spans="1:10" x14ac:dyDescent="0.35">
      <c r="A345" t="s">
        <v>65</v>
      </c>
      <c r="B345" t="s">
        <v>69</v>
      </c>
      <c r="C345" t="s">
        <v>11</v>
      </c>
      <c r="D345" t="s">
        <v>50</v>
      </c>
      <c r="E345">
        <v>3</v>
      </c>
      <c r="F345" s="14">
        <v>21.264584200000002</v>
      </c>
      <c r="G345" s="9">
        <v>8.7905725084638231</v>
      </c>
      <c r="I345">
        <f t="shared" si="10"/>
        <v>8.7905725084638231</v>
      </c>
      <c r="J345">
        <f t="shared" si="11"/>
        <v>4.3952862542319115</v>
      </c>
    </row>
    <row r="346" spans="1:10" x14ac:dyDescent="0.35">
      <c r="A346" t="s">
        <v>65</v>
      </c>
      <c r="B346" t="s">
        <v>69</v>
      </c>
      <c r="C346" t="s">
        <v>12</v>
      </c>
      <c r="D346" t="s">
        <v>50</v>
      </c>
      <c r="E346">
        <v>3</v>
      </c>
      <c r="F346" s="14">
        <v>131.61412440000001</v>
      </c>
      <c r="G346" s="9">
        <v>10.589950688568067</v>
      </c>
      <c r="I346">
        <f t="shared" si="10"/>
        <v>10.589950688568067</v>
      </c>
      <c r="J346">
        <f t="shared" si="11"/>
        <v>5.2949753442840333</v>
      </c>
    </row>
    <row r="347" spans="1:10" x14ac:dyDescent="0.35">
      <c r="A347" t="s">
        <v>65</v>
      </c>
      <c r="B347" t="s">
        <v>69</v>
      </c>
      <c r="C347" t="s">
        <v>13</v>
      </c>
      <c r="D347" t="s">
        <v>50</v>
      </c>
      <c r="E347">
        <v>3</v>
      </c>
      <c r="F347" s="14">
        <v>398.01737939999998</v>
      </c>
      <c r="G347" s="9">
        <v>103.6446521438461</v>
      </c>
      <c r="I347">
        <f t="shared" si="10"/>
        <v>103.6446521438461</v>
      </c>
      <c r="J347">
        <f t="shared" si="11"/>
        <v>51.822326071923051</v>
      </c>
    </row>
    <row r="348" spans="1:10" x14ac:dyDescent="0.35">
      <c r="A348" t="s">
        <v>65</v>
      </c>
      <c r="B348" t="s">
        <v>69</v>
      </c>
      <c r="C348" t="s">
        <v>14</v>
      </c>
      <c r="D348" t="s">
        <v>50</v>
      </c>
      <c r="E348">
        <v>3</v>
      </c>
      <c r="F348" s="14">
        <v>0</v>
      </c>
      <c r="G348" s="9">
        <v>-4.5826706632762452E-3</v>
      </c>
      <c r="I348">
        <f t="shared" si="10"/>
        <v>0</v>
      </c>
      <c r="J348">
        <f t="shared" si="11"/>
        <v>0</v>
      </c>
    </row>
    <row r="349" spans="1:10" x14ac:dyDescent="0.35">
      <c r="A349" t="s">
        <v>65</v>
      </c>
      <c r="B349" t="s">
        <v>69</v>
      </c>
      <c r="C349" t="s">
        <v>15</v>
      </c>
      <c r="D349" t="s">
        <v>50</v>
      </c>
      <c r="E349">
        <v>3</v>
      </c>
      <c r="F349" s="14">
        <v>25.339976400000001</v>
      </c>
      <c r="G349" s="9">
        <v>1.2226995908886451</v>
      </c>
      <c r="I349">
        <f t="shared" si="10"/>
        <v>1.2226995908886451</v>
      </c>
      <c r="J349">
        <f t="shared" si="11"/>
        <v>0.61134979544432255</v>
      </c>
    </row>
    <row r="350" spans="1:10" x14ac:dyDescent="0.35">
      <c r="A350" t="s">
        <v>65</v>
      </c>
      <c r="B350" t="s">
        <v>69</v>
      </c>
      <c r="C350" t="s">
        <v>16</v>
      </c>
      <c r="D350" t="s">
        <v>50</v>
      </c>
      <c r="E350">
        <v>3</v>
      </c>
      <c r="F350" s="14">
        <v>0</v>
      </c>
      <c r="G350" s="9">
        <v>-5.4259974942574389E-2</v>
      </c>
      <c r="I350">
        <f t="shared" si="10"/>
        <v>0</v>
      </c>
      <c r="J350">
        <f t="shared" si="11"/>
        <v>0</v>
      </c>
    </row>
    <row r="351" spans="1:10" x14ac:dyDescent="0.35">
      <c r="A351" t="s">
        <v>65</v>
      </c>
      <c r="B351" t="s">
        <v>69</v>
      </c>
      <c r="C351" t="s">
        <v>17</v>
      </c>
      <c r="D351" t="s">
        <v>50</v>
      </c>
      <c r="E351">
        <v>3</v>
      </c>
      <c r="F351" s="14">
        <v>7138.6245861999996</v>
      </c>
      <c r="G351" s="9">
        <v>520.49938203631007</v>
      </c>
      <c r="I351">
        <f t="shared" si="10"/>
        <v>520.49938203631007</v>
      </c>
      <c r="J351">
        <f t="shared" si="11"/>
        <v>260.24969101815503</v>
      </c>
    </row>
    <row r="352" spans="1:10" x14ac:dyDescent="0.35">
      <c r="A352" t="s">
        <v>65</v>
      </c>
      <c r="B352" t="s">
        <v>69</v>
      </c>
      <c r="C352" t="s">
        <v>18</v>
      </c>
      <c r="D352" t="s">
        <v>50</v>
      </c>
      <c r="E352">
        <v>3</v>
      </c>
      <c r="F352" s="14">
        <v>1252.4399317</v>
      </c>
      <c r="G352" s="9">
        <v>313.83505100467988</v>
      </c>
      <c r="I352">
        <f t="shared" si="10"/>
        <v>313.83505100467988</v>
      </c>
      <c r="J352">
        <f t="shared" si="11"/>
        <v>156.91752550233994</v>
      </c>
    </row>
    <row r="353" spans="1:10" x14ac:dyDescent="0.35">
      <c r="A353" t="s">
        <v>65</v>
      </c>
      <c r="B353" t="s">
        <v>69</v>
      </c>
      <c r="C353" t="s">
        <v>20</v>
      </c>
      <c r="D353" t="s">
        <v>50</v>
      </c>
      <c r="E353">
        <v>3</v>
      </c>
      <c r="F353" s="14">
        <v>0</v>
      </c>
      <c r="G353" s="9">
        <v>-3.8268150305477797E-2</v>
      </c>
      <c r="I353">
        <f t="shared" si="10"/>
        <v>0</v>
      </c>
      <c r="J353">
        <f t="shared" si="11"/>
        <v>0</v>
      </c>
    </row>
    <row r="354" spans="1:10" x14ac:dyDescent="0.35">
      <c r="A354" t="s">
        <v>65</v>
      </c>
      <c r="B354" t="s">
        <v>69</v>
      </c>
      <c r="C354" t="s">
        <v>21</v>
      </c>
      <c r="D354" t="s">
        <v>50</v>
      </c>
      <c r="E354">
        <v>3</v>
      </c>
      <c r="F354" s="14">
        <v>469.2919971</v>
      </c>
      <c r="G354" s="9">
        <v>38.47684004001421</v>
      </c>
      <c r="I354">
        <f t="shared" si="10"/>
        <v>38.47684004001421</v>
      </c>
      <c r="J354">
        <f t="shared" si="11"/>
        <v>19.238420020007105</v>
      </c>
    </row>
    <row r="355" spans="1:10" x14ac:dyDescent="0.35">
      <c r="A355" t="s">
        <v>65</v>
      </c>
      <c r="B355" t="s">
        <v>69</v>
      </c>
      <c r="C355" t="s">
        <v>22</v>
      </c>
      <c r="D355" t="s">
        <v>50</v>
      </c>
      <c r="E355">
        <v>3</v>
      </c>
      <c r="F355" s="14">
        <v>2685.9495817000002</v>
      </c>
      <c r="G355" s="9">
        <v>655.80318659971977</v>
      </c>
      <c r="I355">
        <f t="shared" si="10"/>
        <v>655.80318659971977</v>
      </c>
      <c r="J355">
        <f t="shared" si="11"/>
        <v>327.90159329985988</v>
      </c>
    </row>
    <row r="356" spans="1:10" x14ac:dyDescent="0.35">
      <c r="A356" t="s">
        <v>65</v>
      </c>
      <c r="B356" t="s">
        <v>69</v>
      </c>
      <c r="C356" t="s">
        <v>23</v>
      </c>
      <c r="D356" t="s">
        <v>50</v>
      </c>
      <c r="E356">
        <v>3</v>
      </c>
      <c r="F356" s="14">
        <v>0</v>
      </c>
      <c r="G356" s="9">
        <v>-2.2818175257400007E-2</v>
      </c>
      <c r="I356">
        <f t="shared" si="10"/>
        <v>0</v>
      </c>
      <c r="J356">
        <f t="shared" si="11"/>
        <v>0</v>
      </c>
    </row>
    <row r="357" spans="1:10" x14ac:dyDescent="0.35">
      <c r="A357" t="s">
        <v>65</v>
      </c>
      <c r="B357" t="s">
        <v>69</v>
      </c>
      <c r="C357" t="s">
        <v>24</v>
      </c>
      <c r="D357" t="s">
        <v>50</v>
      </c>
      <c r="E357">
        <v>3</v>
      </c>
      <c r="F357" s="14">
        <v>0</v>
      </c>
      <c r="G357" s="9">
        <v>-1.3629539190468458</v>
      </c>
      <c r="I357">
        <f t="shared" si="10"/>
        <v>0</v>
      </c>
      <c r="J357">
        <f t="shared" si="11"/>
        <v>0</v>
      </c>
    </row>
    <row r="358" spans="1:10" x14ac:dyDescent="0.35">
      <c r="A358" t="s">
        <v>65</v>
      </c>
      <c r="B358" t="s">
        <v>69</v>
      </c>
      <c r="C358" t="s">
        <v>25</v>
      </c>
      <c r="D358" t="s">
        <v>50</v>
      </c>
      <c r="E358">
        <v>3</v>
      </c>
      <c r="F358" s="14">
        <v>204.0390471</v>
      </c>
      <c r="G358" s="9">
        <v>30.478755673936899</v>
      </c>
      <c r="I358">
        <f t="shared" si="10"/>
        <v>30.478755673936899</v>
      </c>
      <c r="J358">
        <f t="shared" si="11"/>
        <v>15.239377836968449</v>
      </c>
    </row>
    <row r="359" spans="1:10" x14ac:dyDescent="0.35">
      <c r="A359" t="s">
        <v>65</v>
      </c>
      <c r="B359" t="s">
        <v>69</v>
      </c>
      <c r="C359" t="s">
        <v>26</v>
      </c>
      <c r="D359" t="s">
        <v>50</v>
      </c>
      <c r="E359">
        <v>3</v>
      </c>
      <c r="F359" s="14">
        <v>4129.4039155999999</v>
      </c>
      <c r="G359" s="9">
        <v>118.21317603729007</v>
      </c>
      <c r="I359">
        <f t="shared" si="10"/>
        <v>118.21317603729007</v>
      </c>
      <c r="J359">
        <f t="shared" si="11"/>
        <v>59.106588018645034</v>
      </c>
    </row>
    <row r="360" spans="1:10" x14ac:dyDescent="0.35">
      <c r="A360" t="s">
        <v>65</v>
      </c>
      <c r="B360" t="s">
        <v>69</v>
      </c>
      <c r="C360" t="s">
        <v>27</v>
      </c>
      <c r="D360" t="s">
        <v>50</v>
      </c>
      <c r="E360">
        <v>3</v>
      </c>
      <c r="F360" s="14">
        <v>381.21438460000002</v>
      </c>
      <c r="G360" s="9">
        <v>34.240534108575005</v>
      </c>
      <c r="I360">
        <f t="shared" si="10"/>
        <v>34.240534108575005</v>
      </c>
      <c r="J360">
        <f t="shared" si="11"/>
        <v>17.120267054287503</v>
      </c>
    </row>
    <row r="361" spans="1:10" x14ac:dyDescent="0.35">
      <c r="A361" t="s">
        <v>65</v>
      </c>
      <c r="B361" t="s">
        <v>69</v>
      </c>
      <c r="C361" t="s">
        <v>28</v>
      </c>
      <c r="D361" t="s">
        <v>50</v>
      </c>
      <c r="E361">
        <v>3</v>
      </c>
      <c r="F361" s="14">
        <v>23.186992999999998</v>
      </c>
      <c r="G361" s="9">
        <v>0.60912760018699241</v>
      </c>
      <c r="I361">
        <f t="shared" si="10"/>
        <v>0.60912760018699241</v>
      </c>
      <c r="J361">
        <f t="shared" si="11"/>
        <v>0.30456380009349621</v>
      </c>
    </row>
    <row r="362" spans="1:10" x14ac:dyDescent="0.35">
      <c r="A362" t="s">
        <v>65</v>
      </c>
      <c r="B362" t="s">
        <v>69</v>
      </c>
      <c r="C362" t="s">
        <v>29</v>
      </c>
      <c r="D362" t="s">
        <v>50</v>
      </c>
      <c r="E362">
        <v>3</v>
      </c>
      <c r="F362" s="14">
        <v>38.964142899999999</v>
      </c>
      <c r="G362" s="9">
        <v>0.60912760018699241</v>
      </c>
      <c r="I362">
        <f t="shared" si="10"/>
        <v>0.60912760018699241</v>
      </c>
      <c r="J362">
        <f t="shared" si="11"/>
        <v>0.30456380009349621</v>
      </c>
    </row>
    <row r="363" spans="1:10" x14ac:dyDescent="0.35">
      <c r="A363" t="s">
        <v>65</v>
      </c>
      <c r="B363" t="s">
        <v>69</v>
      </c>
      <c r="C363" t="s">
        <v>30</v>
      </c>
      <c r="D363" t="s">
        <v>50</v>
      </c>
      <c r="E363">
        <v>3</v>
      </c>
      <c r="F363" s="14">
        <v>24.454633000000001</v>
      </c>
      <c r="G363" s="9">
        <v>7.1817326218103892</v>
      </c>
      <c r="I363">
        <f t="shared" si="10"/>
        <v>7.1817326218103892</v>
      </c>
      <c r="J363">
        <f t="shared" si="11"/>
        <v>3.5908663109051946</v>
      </c>
    </row>
    <row r="364" spans="1:10" x14ac:dyDescent="0.35">
      <c r="A364" t="s">
        <v>65</v>
      </c>
      <c r="B364" t="s">
        <v>69</v>
      </c>
      <c r="C364" t="s">
        <v>31</v>
      </c>
      <c r="D364" t="s">
        <v>50</v>
      </c>
      <c r="E364">
        <v>3</v>
      </c>
      <c r="F364" s="14">
        <v>5.5145530999999997</v>
      </c>
      <c r="G364" s="9">
        <v>1.625452207494382</v>
      </c>
      <c r="I364">
        <f t="shared" si="10"/>
        <v>1.625452207494382</v>
      </c>
      <c r="J364">
        <f t="shared" si="11"/>
        <v>0.81272610374719101</v>
      </c>
    </row>
    <row r="365" spans="1:10" x14ac:dyDescent="0.35">
      <c r="A365" t="s">
        <v>65</v>
      </c>
      <c r="B365" t="s">
        <v>69</v>
      </c>
      <c r="C365" t="s">
        <v>32</v>
      </c>
      <c r="D365" t="s">
        <v>50</v>
      </c>
      <c r="E365">
        <v>3</v>
      </c>
      <c r="F365" s="14">
        <v>144.3378194</v>
      </c>
      <c r="G365" s="9">
        <v>17.868713524421004</v>
      </c>
      <c r="I365">
        <f t="shared" si="10"/>
        <v>17.868713524421004</v>
      </c>
      <c r="J365">
        <f t="shared" si="11"/>
        <v>8.934356762210502</v>
      </c>
    </row>
    <row r="366" spans="1:10" x14ac:dyDescent="0.35">
      <c r="A366" t="s">
        <v>65</v>
      </c>
      <c r="B366" t="s">
        <v>69</v>
      </c>
      <c r="C366" t="s">
        <v>33</v>
      </c>
      <c r="D366" t="s">
        <v>50</v>
      </c>
      <c r="E366">
        <v>3</v>
      </c>
      <c r="F366" s="14">
        <v>3.5786523000000003</v>
      </c>
      <c r="G366" s="9">
        <v>0.2060475466239847</v>
      </c>
      <c r="I366">
        <f t="shared" si="10"/>
        <v>0.2060475466239847</v>
      </c>
      <c r="J366">
        <f t="shared" si="11"/>
        <v>0.10302377331199235</v>
      </c>
    </row>
    <row r="367" spans="1:10" x14ac:dyDescent="0.35">
      <c r="A367" t="s">
        <v>65</v>
      </c>
      <c r="B367" t="s">
        <v>69</v>
      </c>
      <c r="C367" t="s">
        <v>34</v>
      </c>
      <c r="D367" t="s">
        <v>50</v>
      </c>
      <c r="E367">
        <v>3</v>
      </c>
      <c r="F367" s="14">
        <v>0</v>
      </c>
      <c r="G367" s="9">
        <v>4.8137567331061698E-2</v>
      </c>
      <c r="I367">
        <f t="shared" si="10"/>
        <v>4.8137567331061698E-2</v>
      </c>
      <c r="J367">
        <f t="shared" si="11"/>
        <v>2.4068783665530849E-2</v>
      </c>
    </row>
    <row r="368" spans="1:10" x14ac:dyDescent="0.35">
      <c r="A368" t="s">
        <v>65</v>
      </c>
      <c r="B368" t="s">
        <v>69</v>
      </c>
      <c r="C368" t="s">
        <v>35</v>
      </c>
      <c r="D368" t="s">
        <v>50</v>
      </c>
      <c r="E368">
        <v>3</v>
      </c>
      <c r="F368" s="14">
        <v>318.05391889999999</v>
      </c>
      <c r="G368" s="9">
        <v>32.262861688993453</v>
      </c>
      <c r="I368">
        <f t="shared" si="10"/>
        <v>32.262861688993453</v>
      </c>
      <c r="J368">
        <f t="shared" si="11"/>
        <v>16.131430844496727</v>
      </c>
    </row>
    <row r="369" spans="1:10" x14ac:dyDescent="0.35">
      <c r="A369" t="s">
        <v>65</v>
      </c>
      <c r="B369" t="s">
        <v>69</v>
      </c>
      <c r="C369" t="s">
        <v>36</v>
      </c>
      <c r="D369" t="s">
        <v>50</v>
      </c>
      <c r="E369">
        <v>3</v>
      </c>
      <c r="F369" s="14">
        <v>12.035405300000001</v>
      </c>
      <c r="G369" s="9">
        <v>0.97282255290079289</v>
      </c>
      <c r="I369">
        <f t="shared" si="10"/>
        <v>0.97282255290079289</v>
      </c>
      <c r="J369">
        <f t="shared" si="11"/>
        <v>0.48641127645039645</v>
      </c>
    </row>
    <row r="370" spans="1:10" x14ac:dyDescent="0.35">
      <c r="A370" t="s">
        <v>65</v>
      </c>
      <c r="B370" t="s">
        <v>69</v>
      </c>
      <c r="C370" t="s">
        <v>37</v>
      </c>
      <c r="D370" t="s">
        <v>50</v>
      </c>
      <c r="E370">
        <v>3</v>
      </c>
      <c r="F370" s="14">
        <v>117.986463</v>
      </c>
      <c r="G370" s="9">
        <v>36.765509067126544</v>
      </c>
      <c r="I370">
        <f t="shared" si="10"/>
        <v>36.765509067126544</v>
      </c>
      <c r="J370">
        <f t="shared" si="11"/>
        <v>18.382754533563272</v>
      </c>
    </row>
    <row r="371" spans="1:10" x14ac:dyDescent="0.35">
      <c r="A371" t="s">
        <v>65</v>
      </c>
      <c r="B371" t="s">
        <v>69</v>
      </c>
      <c r="C371" t="s">
        <v>38</v>
      </c>
      <c r="D371" t="s">
        <v>50</v>
      </c>
      <c r="E371">
        <v>3</v>
      </c>
      <c r="F371" s="14">
        <v>1.9374971999999999</v>
      </c>
      <c r="G371" s="9">
        <v>0.17452076393989766</v>
      </c>
      <c r="I371">
        <f t="shared" si="10"/>
        <v>0.17452076393989766</v>
      </c>
      <c r="J371">
        <f t="shared" si="11"/>
        <v>8.7260381969948828E-2</v>
      </c>
    </row>
    <row r="372" spans="1:10" x14ac:dyDescent="0.35">
      <c r="A372" t="s">
        <v>65</v>
      </c>
      <c r="B372" t="s">
        <v>69</v>
      </c>
      <c r="C372" t="s">
        <v>39</v>
      </c>
      <c r="D372" t="s">
        <v>50</v>
      </c>
      <c r="E372">
        <v>3</v>
      </c>
      <c r="F372" s="14">
        <v>0.83717489999999994</v>
      </c>
      <c r="G372" s="9">
        <v>0.49114903029102924</v>
      </c>
      <c r="I372">
        <f t="shared" si="10"/>
        <v>0.49114903029102924</v>
      </c>
      <c r="J372">
        <f t="shared" si="11"/>
        <v>0.24557451514551462</v>
      </c>
    </row>
    <row r="373" spans="1:10" x14ac:dyDescent="0.35">
      <c r="A373" t="s">
        <v>65</v>
      </c>
      <c r="B373" t="s">
        <v>69</v>
      </c>
      <c r="C373" t="s">
        <v>40</v>
      </c>
      <c r="D373" t="s">
        <v>50</v>
      </c>
      <c r="E373">
        <v>3</v>
      </c>
      <c r="F373" s="14">
        <v>18.683948700000002</v>
      </c>
      <c r="G373" s="9">
        <v>2.2967758425334237</v>
      </c>
      <c r="I373">
        <f t="shared" si="10"/>
        <v>2.2967758425334237</v>
      </c>
      <c r="J373">
        <f t="shared" si="11"/>
        <v>1.1483879212667119</v>
      </c>
    </row>
    <row r="374" spans="1:10" x14ac:dyDescent="0.35">
      <c r="A374" t="s">
        <v>65</v>
      </c>
      <c r="B374" t="s">
        <v>69</v>
      </c>
      <c r="C374" t="s">
        <v>41</v>
      </c>
      <c r="D374" t="s">
        <v>50</v>
      </c>
      <c r="E374">
        <v>3</v>
      </c>
      <c r="F374" s="14">
        <v>136.32512590000002</v>
      </c>
      <c r="G374" s="9">
        <v>5.5412785650866789</v>
      </c>
      <c r="I374">
        <f t="shared" si="10"/>
        <v>5.5412785650866789</v>
      </c>
      <c r="J374">
        <f t="shared" si="11"/>
        <v>2.7706392825433395</v>
      </c>
    </row>
    <row r="375" spans="1:10" s="8" customFormat="1" x14ac:dyDescent="0.35">
      <c r="A375" s="8" t="s">
        <v>65</v>
      </c>
      <c r="B375" s="8" t="s">
        <v>69</v>
      </c>
      <c r="C375" s="8" t="s">
        <v>42</v>
      </c>
      <c r="D375" s="8" t="s">
        <v>50</v>
      </c>
      <c r="E375" s="8">
        <v>3</v>
      </c>
      <c r="F375" s="15">
        <v>0</v>
      </c>
      <c r="G375" s="9">
        <v>-0.31141142555089713</v>
      </c>
      <c r="H375" s="15"/>
      <c r="I375" s="8">
        <f t="shared" ref="I375:I409" si="12">IF(G375&lt;0,0,G375)</f>
        <v>0</v>
      </c>
      <c r="J375" s="8">
        <f t="shared" si="11"/>
        <v>0</v>
      </c>
    </row>
    <row r="376" spans="1:10" x14ac:dyDescent="0.35">
      <c r="A376" t="s">
        <v>66</v>
      </c>
      <c r="B376" t="s">
        <v>70</v>
      </c>
      <c r="C376" t="s">
        <v>7</v>
      </c>
      <c r="D376" t="s">
        <v>54</v>
      </c>
      <c r="E376">
        <v>3</v>
      </c>
      <c r="F376" s="14">
        <v>7.0170779000000003</v>
      </c>
      <c r="G376" s="9">
        <v>0.76318838862130856</v>
      </c>
      <c r="H376" s="12">
        <v>0.76318838862130856</v>
      </c>
      <c r="I376">
        <f t="shared" si="12"/>
        <v>0.76318838862130856</v>
      </c>
      <c r="J376">
        <f t="shared" si="11"/>
        <v>0.38159419431065428</v>
      </c>
    </row>
    <row r="377" spans="1:10" x14ac:dyDescent="0.35">
      <c r="A377" t="s">
        <v>66</v>
      </c>
      <c r="B377" t="s">
        <v>70</v>
      </c>
      <c r="C377" t="s">
        <v>9</v>
      </c>
      <c r="D377" t="s">
        <v>54</v>
      </c>
      <c r="E377">
        <v>3</v>
      </c>
      <c r="F377" s="14">
        <v>0</v>
      </c>
      <c r="G377" s="9">
        <v>-8.1175140630208448E-2</v>
      </c>
      <c r="H377" s="12">
        <v>-8.1175140630208448E-2</v>
      </c>
      <c r="I377">
        <f t="shared" si="12"/>
        <v>0</v>
      </c>
      <c r="J377">
        <f t="shared" si="11"/>
        <v>0</v>
      </c>
    </row>
    <row r="378" spans="1:10" x14ac:dyDescent="0.35">
      <c r="A378" t="s">
        <v>66</v>
      </c>
      <c r="B378" t="s">
        <v>70</v>
      </c>
      <c r="C378" t="s">
        <v>10</v>
      </c>
      <c r="D378" t="s">
        <v>54</v>
      </c>
      <c r="E378">
        <v>3</v>
      </c>
      <c r="F378" s="14" t="e">
        <v>#N/A</v>
      </c>
      <c r="G378" s="9">
        <v>-2.7535826786817885E-2</v>
      </c>
      <c r="H378" s="12">
        <v>-2.7535826786817885E-2</v>
      </c>
      <c r="I378">
        <f t="shared" si="12"/>
        <v>0</v>
      </c>
      <c r="J378">
        <f t="shared" ref="J378:J409" si="13">I378/2</f>
        <v>0</v>
      </c>
    </row>
    <row r="379" spans="1:10" x14ac:dyDescent="0.35">
      <c r="A379" t="s">
        <v>66</v>
      </c>
      <c r="B379" t="s">
        <v>70</v>
      </c>
      <c r="C379" t="s">
        <v>11</v>
      </c>
      <c r="D379" t="s">
        <v>54</v>
      </c>
      <c r="E379">
        <v>3</v>
      </c>
      <c r="F379" s="14">
        <v>14.0620326</v>
      </c>
      <c r="G379" s="9">
        <v>6.5395975375861788</v>
      </c>
      <c r="H379" s="12">
        <v>6.5395975375861788</v>
      </c>
      <c r="I379">
        <f t="shared" si="12"/>
        <v>6.5395975375861788</v>
      </c>
      <c r="J379">
        <f t="shared" si="13"/>
        <v>3.2697987687930894</v>
      </c>
    </row>
    <row r="380" spans="1:10" x14ac:dyDescent="0.35">
      <c r="A380" t="s">
        <v>66</v>
      </c>
      <c r="B380" t="s">
        <v>70</v>
      </c>
      <c r="C380" t="s">
        <v>12</v>
      </c>
      <c r="D380" t="s">
        <v>54</v>
      </c>
      <c r="E380">
        <v>3</v>
      </c>
      <c r="F380" s="14">
        <v>104.6600483</v>
      </c>
      <c r="G380" s="9">
        <v>8.4217616906157531</v>
      </c>
      <c r="H380" s="12">
        <v>8.4217616906157531</v>
      </c>
      <c r="I380">
        <f t="shared" si="12"/>
        <v>8.4217616906157531</v>
      </c>
      <c r="J380">
        <f t="shared" si="13"/>
        <v>4.2108808453078765</v>
      </c>
    </row>
    <row r="381" spans="1:10" x14ac:dyDescent="0.35">
      <c r="A381" t="s">
        <v>66</v>
      </c>
      <c r="B381" t="s">
        <v>70</v>
      </c>
      <c r="C381" t="s">
        <v>13</v>
      </c>
      <c r="D381" t="s">
        <v>54</v>
      </c>
      <c r="E381">
        <v>3</v>
      </c>
      <c r="F381" s="14">
        <v>228.45541059999999</v>
      </c>
      <c r="G381" s="9">
        <v>60.099536395079561</v>
      </c>
      <c r="H381" s="12">
        <v>60.099536395079561</v>
      </c>
      <c r="I381">
        <f t="shared" si="12"/>
        <v>60.099536395079561</v>
      </c>
      <c r="J381">
        <f t="shared" si="13"/>
        <v>30.04976819753978</v>
      </c>
    </row>
    <row r="382" spans="1:10" x14ac:dyDescent="0.35">
      <c r="A382" t="s">
        <v>66</v>
      </c>
      <c r="B382" t="s">
        <v>70</v>
      </c>
      <c r="C382" t="s">
        <v>14</v>
      </c>
      <c r="D382" t="s">
        <v>54</v>
      </c>
      <c r="E382">
        <v>3</v>
      </c>
      <c r="F382" s="14">
        <v>0</v>
      </c>
      <c r="G382" s="9">
        <v>-6.4452373899018131E-2</v>
      </c>
      <c r="H382" s="12">
        <v>-6.4452373899018131E-2</v>
      </c>
      <c r="I382">
        <f t="shared" si="12"/>
        <v>0</v>
      </c>
      <c r="J382">
        <f t="shared" si="13"/>
        <v>0</v>
      </c>
    </row>
    <row r="383" spans="1:10" x14ac:dyDescent="0.35">
      <c r="A383" t="s">
        <v>66</v>
      </c>
      <c r="B383" t="s">
        <v>70</v>
      </c>
      <c r="C383" t="s">
        <v>15</v>
      </c>
      <c r="D383" t="s">
        <v>54</v>
      </c>
      <c r="E383">
        <v>3</v>
      </c>
      <c r="F383" s="14">
        <v>18.218656800000002</v>
      </c>
      <c r="G383" s="9">
        <v>0.88162249137440551</v>
      </c>
      <c r="H383" s="12">
        <v>0.88162249137440551</v>
      </c>
      <c r="I383">
        <f t="shared" si="12"/>
        <v>0.88162249137440551</v>
      </c>
      <c r="J383">
        <f t="shared" si="13"/>
        <v>0.44081124568720276</v>
      </c>
    </row>
    <row r="384" spans="1:10" x14ac:dyDescent="0.35">
      <c r="A384" t="s">
        <v>66</v>
      </c>
      <c r="B384" t="s">
        <v>70</v>
      </c>
      <c r="C384" t="s">
        <v>16</v>
      </c>
      <c r="D384" t="s">
        <v>54</v>
      </c>
      <c r="E384">
        <v>3</v>
      </c>
      <c r="F384" s="14">
        <v>3.6164394999999998</v>
      </c>
      <c r="G384" s="9">
        <v>0.82372290390829839</v>
      </c>
      <c r="H384" s="12">
        <v>0.82372290390829839</v>
      </c>
      <c r="I384">
        <f t="shared" si="12"/>
        <v>0.82372290390829839</v>
      </c>
      <c r="J384">
        <f t="shared" si="13"/>
        <v>0.41186145195414919</v>
      </c>
    </row>
    <row r="385" spans="1:10" x14ac:dyDescent="0.35">
      <c r="A385" t="s">
        <v>66</v>
      </c>
      <c r="B385" t="s">
        <v>70</v>
      </c>
      <c r="C385" t="s">
        <v>17</v>
      </c>
      <c r="D385" t="s">
        <v>54</v>
      </c>
      <c r="E385">
        <v>3</v>
      </c>
      <c r="F385" s="14">
        <v>7135.8008605000005</v>
      </c>
      <c r="G385" s="9">
        <v>520.2934454354961</v>
      </c>
      <c r="H385" s="12">
        <v>520.2934454354961</v>
      </c>
      <c r="I385">
        <f t="shared" si="12"/>
        <v>520.2934454354961</v>
      </c>
      <c r="J385">
        <f t="shared" si="13"/>
        <v>260.14672271774805</v>
      </c>
    </row>
    <row r="386" spans="1:10" x14ac:dyDescent="0.35">
      <c r="A386" t="s">
        <v>66</v>
      </c>
      <c r="B386" t="s">
        <v>70</v>
      </c>
      <c r="C386" t="s">
        <v>18</v>
      </c>
      <c r="D386" t="s">
        <v>54</v>
      </c>
      <c r="E386">
        <v>3</v>
      </c>
      <c r="F386" s="14">
        <v>672.0782676</v>
      </c>
      <c r="G386" s="9">
        <v>168.61951433543885</v>
      </c>
      <c r="H386" s="12">
        <v>168.61951433543885</v>
      </c>
      <c r="I386">
        <f t="shared" si="12"/>
        <v>168.61951433543885</v>
      </c>
      <c r="J386">
        <f t="shared" si="13"/>
        <v>84.309757167719425</v>
      </c>
    </row>
    <row r="387" spans="1:10" x14ac:dyDescent="0.35">
      <c r="A387" t="s">
        <v>66</v>
      </c>
      <c r="B387" t="s">
        <v>70</v>
      </c>
      <c r="C387" t="s">
        <v>20</v>
      </c>
      <c r="D387" t="s">
        <v>54</v>
      </c>
      <c r="E387">
        <v>3</v>
      </c>
      <c r="F387" s="14">
        <v>35.866234600000006</v>
      </c>
      <c r="G387" s="9">
        <v>7.3547695414813106</v>
      </c>
      <c r="H387" s="12">
        <v>7.3547695414813106</v>
      </c>
      <c r="I387">
        <f t="shared" si="12"/>
        <v>7.3547695414813106</v>
      </c>
      <c r="J387">
        <f t="shared" si="13"/>
        <v>3.6773847707406553</v>
      </c>
    </row>
    <row r="388" spans="1:10" x14ac:dyDescent="0.35">
      <c r="A388" t="s">
        <v>66</v>
      </c>
      <c r="B388" t="s">
        <v>70</v>
      </c>
      <c r="C388" t="s">
        <v>21</v>
      </c>
      <c r="D388" t="s">
        <v>54</v>
      </c>
      <c r="E388">
        <v>3</v>
      </c>
      <c r="F388" s="14">
        <v>645.73956529999998</v>
      </c>
      <c r="G388" s="9">
        <v>52.817396210637064</v>
      </c>
      <c r="H388" s="12">
        <v>52.817396210637064</v>
      </c>
      <c r="I388">
        <f t="shared" si="12"/>
        <v>52.817396210637064</v>
      </c>
      <c r="J388">
        <f t="shared" si="13"/>
        <v>26.408698105318532</v>
      </c>
    </row>
    <row r="389" spans="1:10" x14ac:dyDescent="0.35">
      <c r="A389" t="s">
        <v>66</v>
      </c>
      <c r="B389" t="s">
        <v>70</v>
      </c>
      <c r="C389" t="s">
        <v>22</v>
      </c>
      <c r="D389" t="s">
        <v>54</v>
      </c>
      <c r="E389">
        <v>3</v>
      </c>
      <c r="F389" s="14">
        <v>2472.5267080999997</v>
      </c>
      <c r="G389" s="9">
        <v>603.74666332396578</v>
      </c>
      <c r="H389" s="12">
        <v>603.74666332396578</v>
      </c>
      <c r="I389">
        <f t="shared" si="12"/>
        <v>603.74666332396578</v>
      </c>
      <c r="J389">
        <f t="shared" si="13"/>
        <v>301.87333166198289</v>
      </c>
    </row>
    <row r="390" spans="1:10" x14ac:dyDescent="0.35">
      <c r="A390" t="s">
        <v>66</v>
      </c>
      <c r="B390" t="s">
        <v>70</v>
      </c>
      <c r="C390" t="s">
        <v>23</v>
      </c>
      <c r="D390" t="s">
        <v>54</v>
      </c>
      <c r="E390">
        <v>3</v>
      </c>
      <c r="F390" s="14">
        <v>3.7790925000000004</v>
      </c>
      <c r="G390" s="9">
        <v>0.88771660918837747</v>
      </c>
      <c r="H390" s="12">
        <v>0.88771660918837747</v>
      </c>
      <c r="I390">
        <f t="shared" si="12"/>
        <v>0.88771660918837747</v>
      </c>
      <c r="J390">
        <f t="shared" si="13"/>
        <v>0.44385830459418874</v>
      </c>
    </row>
    <row r="391" spans="1:10" x14ac:dyDescent="0.35">
      <c r="A391" t="s">
        <v>66</v>
      </c>
      <c r="B391" t="s">
        <v>70</v>
      </c>
      <c r="C391" t="s">
        <v>24</v>
      </c>
      <c r="D391" t="s">
        <v>54</v>
      </c>
      <c r="E391">
        <v>3</v>
      </c>
      <c r="F391" s="14">
        <v>2318.1243254000001</v>
      </c>
      <c r="G391" s="9">
        <v>398.86917251098782</v>
      </c>
      <c r="H391" s="12">
        <v>398.86917251098782</v>
      </c>
      <c r="I391">
        <f t="shared" si="12"/>
        <v>398.86917251098782</v>
      </c>
      <c r="J391">
        <f t="shared" si="13"/>
        <v>199.43458625549391</v>
      </c>
    </row>
    <row r="392" spans="1:10" x14ac:dyDescent="0.35">
      <c r="A392" t="s">
        <v>66</v>
      </c>
      <c r="B392" t="s">
        <v>70</v>
      </c>
      <c r="C392" t="s">
        <v>25</v>
      </c>
      <c r="D392" t="s">
        <v>54</v>
      </c>
      <c r="E392">
        <v>3</v>
      </c>
      <c r="F392" s="14">
        <v>0</v>
      </c>
      <c r="G392" s="9">
        <v>2.0597789525976098E-2</v>
      </c>
      <c r="H392" s="12">
        <v>2.0597789525976098E-2</v>
      </c>
      <c r="I392">
        <f t="shared" si="12"/>
        <v>2.0597789525976098E-2</v>
      </c>
      <c r="J392">
        <f t="shared" si="13"/>
        <v>1.0298894762988049E-2</v>
      </c>
    </row>
    <row r="393" spans="1:10" x14ac:dyDescent="0.35">
      <c r="A393" t="s">
        <v>66</v>
      </c>
      <c r="B393" t="s">
        <v>70</v>
      </c>
      <c r="C393" t="s">
        <v>26</v>
      </c>
      <c r="D393" t="s">
        <v>54</v>
      </c>
      <c r="E393">
        <v>3</v>
      </c>
      <c r="F393" s="14">
        <v>4662.2390374999995</v>
      </c>
      <c r="G393" s="9">
        <v>133.46917681418947</v>
      </c>
      <c r="H393" s="12">
        <v>133.46917681418947</v>
      </c>
      <c r="I393">
        <f t="shared" si="12"/>
        <v>133.46917681418947</v>
      </c>
      <c r="J393">
        <f t="shared" si="13"/>
        <v>66.734588407094733</v>
      </c>
    </row>
    <row r="394" spans="1:10" x14ac:dyDescent="0.35">
      <c r="A394" t="s">
        <v>66</v>
      </c>
      <c r="B394" t="s">
        <v>70</v>
      </c>
      <c r="C394" t="s">
        <v>27</v>
      </c>
      <c r="D394" t="s">
        <v>54</v>
      </c>
      <c r="E394">
        <v>3</v>
      </c>
      <c r="F394" s="14">
        <v>435.78198220000002</v>
      </c>
      <c r="G394" s="9">
        <v>39.123402983134447</v>
      </c>
      <c r="H394" s="12">
        <v>39.123402983134447</v>
      </c>
      <c r="I394">
        <f t="shared" si="12"/>
        <v>39.123402983134447</v>
      </c>
      <c r="J394">
        <f t="shared" si="13"/>
        <v>19.561701491567224</v>
      </c>
    </row>
    <row r="395" spans="1:10" x14ac:dyDescent="0.35">
      <c r="A395" t="s">
        <v>66</v>
      </c>
      <c r="B395" t="s">
        <v>70</v>
      </c>
      <c r="C395" t="s">
        <v>28</v>
      </c>
      <c r="D395" t="s">
        <v>54</v>
      </c>
      <c r="E395">
        <v>3</v>
      </c>
      <c r="F395" s="14">
        <v>27.809502299999998</v>
      </c>
      <c r="G395" s="9">
        <v>0.74819968708435047</v>
      </c>
      <c r="H395" s="12">
        <v>0.74819968708435047</v>
      </c>
      <c r="I395">
        <f t="shared" si="12"/>
        <v>0.74819968708435047</v>
      </c>
      <c r="J395">
        <f t="shared" si="13"/>
        <v>0.37409984354217524</v>
      </c>
    </row>
    <row r="396" spans="1:10" x14ac:dyDescent="0.35">
      <c r="A396" t="s">
        <v>66</v>
      </c>
      <c r="B396" t="s">
        <v>70</v>
      </c>
      <c r="C396" t="s">
        <v>29</v>
      </c>
      <c r="D396" t="s">
        <v>54</v>
      </c>
      <c r="E396">
        <v>3</v>
      </c>
      <c r="F396" s="14">
        <v>40.9244567</v>
      </c>
      <c r="G396" s="9">
        <v>11.373911940668149</v>
      </c>
      <c r="H396" s="12">
        <v>11.373911940668149</v>
      </c>
      <c r="I396">
        <f t="shared" si="12"/>
        <v>11.373911940668149</v>
      </c>
      <c r="J396">
        <f t="shared" si="13"/>
        <v>5.6869559703340746</v>
      </c>
    </row>
    <row r="397" spans="1:10" x14ac:dyDescent="0.35">
      <c r="A397" t="s">
        <v>66</v>
      </c>
      <c r="B397" t="s">
        <v>70</v>
      </c>
      <c r="C397" t="s">
        <v>30</v>
      </c>
      <c r="D397" t="s">
        <v>54</v>
      </c>
      <c r="E397">
        <v>3</v>
      </c>
      <c r="F397" s="14">
        <v>11.014297500000001</v>
      </c>
      <c r="G397" s="9">
        <v>3.240737870723736</v>
      </c>
      <c r="H397" s="12">
        <v>3.240737870723736</v>
      </c>
      <c r="I397">
        <f t="shared" si="12"/>
        <v>3.240737870723736</v>
      </c>
      <c r="J397">
        <f t="shared" si="13"/>
        <v>1.620368935361868</v>
      </c>
    </row>
    <row r="398" spans="1:10" x14ac:dyDescent="0.35">
      <c r="A398" t="s">
        <v>66</v>
      </c>
      <c r="B398" t="s">
        <v>70</v>
      </c>
      <c r="C398" t="s">
        <v>31</v>
      </c>
      <c r="D398" t="s">
        <v>54</v>
      </c>
      <c r="E398">
        <v>3</v>
      </c>
      <c r="F398" s="14">
        <v>0.42648540000000001</v>
      </c>
      <c r="G398" s="9">
        <v>9.5081166691482408E-2</v>
      </c>
      <c r="H398" s="12">
        <v>9.5081166691482408E-2</v>
      </c>
      <c r="I398">
        <f t="shared" si="12"/>
        <v>9.5081166691482408E-2</v>
      </c>
      <c r="J398">
        <f t="shared" si="13"/>
        <v>4.7540583345741204E-2</v>
      </c>
    </row>
    <row r="399" spans="1:10" x14ac:dyDescent="0.35">
      <c r="A399" t="s">
        <v>66</v>
      </c>
      <c r="B399" t="s">
        <v>70</v>
      </c>
      <c r="C399" t="s">
        <v>32</v>
      </c>
      <c r="D399" t="s">
        <v>54</v>
      </c>
      <c r="E399">
        <v>3</v>
      </c>
      <c r="F399" s="14">
        <v>70.756970100000004</v>
      </c>
      <c r="G399" s="9">
        <v>8.7560183146946606</v>
      </c>
      <c r="H399" s="12">
        <v>8.7560183146946606</v>
      </c>
      <c r="I399">
        <f t="shared" si="12"/>
        <v>8.7560183146946606</v>
      </c>
      <c r="J399">
        <f t="shared" si="13"/>
        <v>4.3780091573473303</v>
      </c>
    </row>
    <row r="400" spans="1:10" x14ac:dyDescent="0.35">
      <c r="A400" t="s">
        <v>66</v>
      </c>
      <c r="B400" t="s">
        <v>70</v>
      </c>
      <c r="C400" t="s">
        <v>33</v>
      </c>
      <c r="D400" t="s">
        <v>54</v>
      </c>
      <c r="E400">
        <v>3</v>
      </c>
      <c r="F400" s="14">
        <v>3.9305621999999998</v>
      </c>
      <c r="G400" s="9">
        <v>0.21376583903349206</v>
      </c>
      <c r="H400" s="12">
        <v>0.21376583903349206</v>
      </c>
      <c r="I400">
        <f t="shared" si="12"/>
        <v>0.21376583903349206</v>
      </c>
      <c r="J400">
        <f t="shared" si="13"/>
        <v>0.10688291951674603</v>
      </c>
    </row>
    <row r="401" spans="1:10" x14ac:dyDescent="0.35">
      <c r="A401" t="s">
        <v>66</v>
      </c>
      <c r="B401" t="s">
        <v>70</v>
      </c>
      <c r="C401" t="s">
        <v>34</v>
      </c>
      <c r="D401" t="s">
        <v>54</v>
      </c>
      <c r="E401">
        <v>3</v>
      </c>
      <c r="F401" s="14">
        <v>0</v>
      </c>
      <c r="G401" s="9">
        <v>1.9914436803330347E-2</v>
      </c>
      <c r="H401" s="12">
        <v>1.9914436803330347E-2</v>
      </c>
      <c r="I401">
        <f t="shared" si="12"/>
        <v>1.9914436803330347E-2</v>
      </c>
      <c r="J401">
        <f t="shared" si="13"/>
        <v>9.9572184016651737E-3</v>
      </c>
    </row>
    <row r="402" spans="1:10" x14ac:dyDescent="0.35">
      <c r="A402" t="s">
        <v>66</v>
      </c>
      <c r="B402" t="s">
        <v>70</v>
      </c>
      <c r="C402" t="s">
        <v>35</v>
      </c>
      <c r="D402" t="s">
        <v>54</v>
      </c>
      <c r="E402">
        <v>3</v>
      </c>
      <c r="F402" s="14">
        <v>245.7771328</v>
      </c>
      <c r="G402" s="9">
        <v>20.753909359579254</v>
      </c>
      <c r="H402" s="12">
        <v>20.753909359579254</v>
      </c>
      <c r="I402">
        <f t="shared" si="12"/>
        <v>20.753909359579254</v>
      </c>
      <c r="J402">
        <f t="shared" si="13"/>
        <v>10.376954679789627</v>
      </c>
    </row>
    <row r="403" spans="1:10" x14ac:dyDescent="0.35">
      <c r="A403" t="s">
        <v>66</v>
      </c>
      <c r="B403" t="s">
        <v>70</v>
      </c>
      <c r="C403" t="s">
        <v>36</v>
      </c>
      <c r="D403" t="s">
        <v>54</v>
      </c>
      <c r="E403">
        <v>3</v>
      </c>
      <c r="F403" s="14">
        <v>8.0548824000000003</v>
      </c>
      <c r="G403" s="9">
        <v>0.63397509340303659</v>
      </c>
      <c r="H403" s="12">
        <v>0.63397509340303659</v>
      </c>
      <c r="I403">
        <f t="shared" si="12"/>
        <v>0.63397509340303659</v>
      </c>
      <c r="J403">
        <f t="shared" si="13"/>
        <v>0.3169875467015183</v>
      </c>
    </row>
    <row r="404" spans="1:10" x14ac:dyDescent="0.35">
      <c r="A404" t="s">
        <v>66</v>
      </c>
      <c r="B404" t="s">
        <v>70</v>
      </c>
      <c r="C404" t="s">
        <v>37</v>
      </c>
      <c r="D404" t="s">
        <v>54</v>
      </c>
      <c r="E404">
        <v>3</v>
      </c>
      <c r="F404" s="14">
        <v>156.79440289999999</v>
      </c>
      <c r="G404" s="9">
        <v>49.055587199916758</v>
      </c>
      <c r="H404" s="12">
        <v>49.055587199916758</v>
      </c>
      <c r="I404">
        <f t="shared" si="12"/>
        <v>49.055587199916758</v>
      </c>
      <c r="J404">
        <f t="shared" si="13"/>
        <v>24.527793599958379</v>
      </c>
    </row>
    <row r="405" spans="1:10" x14ac:dyDescent="0.35">
      <c r="A405" t="s">
        <v>66</v>
      </c>
      <c r="B405" t="s">
        <v>70</v>
      </c>
      <c r="C405" t="s">
        <v>38</v>
      </c>
      <c r="D405" t="s">
        <v>54</v>
      </c>
      <c r="E405">
        <v>3</v>
      </c>
      <c r="F405" s="14">
        <v>1.9360178000000001</v>
      </c>
      <c r="G405" s="9">
        <v>0.17414514366893474</v>
      </c>
      <c r="H405" s="12">
        <v>0.17414514366893474</v>
      </c>
      <c r="I405">
        <f t="shared" si="12"/>
        <v>0.17414514366893474</v>
      </c>
      <c r="J405">
        <f t="shared" si="13"/>
        <v>8.7072571834467372E-2</v>
      </c>
    </row>
    <row r="406" spans="1:10" x14ac:dyDescent="0.35">
      <c r="A406" t="s">
        <v>66</v>
      </c>
      <c r="B406" t="s">
        <v>70</v>
      </c>
      <c r="C406" t="s">
        <v>39</v>
      </c>
      <c r="D406" t="s">
        <v>54</v>
      </c>
      <c r="E406">
        <v>3</v>
      </c>
      <c r="F406" s="14">
        <v>0.1548988</v>
      </c>
      <c r="G406" s="9">
        <v>0.27151446997652534</v>
      </c>
      <c r="H406" s="12">
        <v>0.27151446997652534</v>
      </c>
      <c r="I406">
        <f t="shared" si="12"/>
        <v>0.27151446997652534</v>
      </c>
      <c r="J406">
        <f t="shared" si="13"/>
        <v>0.13575723498826267</v>
      </c>
    </row>
    <row r="407" spans="1:10" x14ac:dyDescent="0.35">
      <c r="A407" t="s">
        <v>66</v>
      </c>
      <c r="B407" t="s">
        <v>70</v>
      </c>
      <c r="C407" t="s">
        <v>40</v>
      </c>
      <c r="D407" t="s">
        <v>54</v>
      </c>
      <c r="E407">
        <v>3</v>
      </c>
      <c r="F407" s="14">
        <v>12.651214099999999</v>
      </c>
      <c r="G407" s="9">
        <v>1.5795194182437187</v>
      </c>
      <c r="H407" s="12">
        <v>1.5795194182437187</v>
      </c>
      <c r="I407">
        <f t="shared" si="12"/>
        <v>1.5795194182437187</v>
      </c>
      <c r="J407">
        <f t="shared" si="13"/>
        <v>0.78975970912185933</v>
      </c>
    </row>
    <row r="408" spans="1:10" x14ac:dyDescent="0.35">
      <c r="A408" t="s">
        <v>66</v>
      </c>
      <c r="B408" t="s">
        <v>70</v>
      </c>
      <c r="C408" t="s">
        <v>41</v>
      </c>
      <c r="D408" t="s">
        <v>54</v>
      </c>
      <c r="E408">
        <v>3</v>
      </c>
      <c r="F408" s="14">
        <v>151.0980055</v>
      </c>
      <c r="G408" s="9">
        <v>6.177090341127478</v>
      </c>
      <c r="H408" s="12">
        <v>6.177090341127478</v>
      </c>
      <c r="I408">
        <f t="shared" si="12"/>
        <v>6.177090341127478</v>
      </c>
      <c r="J408">
        <f t="shared" si="13"/>
        <v>3.088545170563739</v>
      </c>
    </row>
    <row r="409" spans="1:10" x14ac:dyDescent="0.35">
      <c r="A409" t="s">
        <v>66</v>
      </c>
      <c r="B409" t="s">
        <v>70</v>
      </c>
      <c r="C409" t="s">
        <v>42</v>
      </c>
      <c r="D409" t="s">
        <v>54</v>
      </c>
      <c r="E409">
        <v>3</v>
      </c>
      <c r="F409" s="14">
        <v>0</v>
      </c>
      <c r="G409" s="9">
        <v>2.6201361444021893</v>
      </c>
      <c r="H409" s="12">
        <v>2.6201361444021893</v>
      </c>
      <c r="I409">
        <f t="shared" si="12"/>
        <v>2.6201361444021893</v>
      </c>
      <c r="J409">
        <f t="shared" si="13"/>
        <v>1.3100680722010947</v>
      </c>
    </row>
  </sheetData>
  <autoFilter ref="A1:M409" xr:uid="{F87D2AA0-A749-43EE-AD4A-781A12B92C78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5469-1B10-44DC-ADB1-A2F396535F2E}">
  <dimension ref="A1:M409"/>
  <sheetViews>
    <sheetView tabSelected="1" workbookViewId="0">
      <selection activeCell="I380" sqref="I380"/>
    </sheetView>
  </sheetViews>
  <sheetFormatPr baseColWidth="10" defaultRowHeight="14.5" x14ac:dyDescent="0.35"/>
  <cols>
    <col min="3" max="3" width="10.90625" customWidth="1"/>
    <col min="6" max="6" width="18.1796875" style="14" customWidth="1"/>
    <col min="7" max="7" width="17.453125" customWidth="1"/>
    <col min="8" max="8" width="17.453125" style="14" customWidth="1"/>
    <col min="9" max="9" width="17.7265625" style="19" customWidth="1"/>
    <col min="10" max="10" width="19.08984375" customWidth="1"/>
  </cols>
  <sheetData>
    <row r="1" spans="1:13" x14ac:dyDescent="0.35">
      <c r="A1" t="s">
        <v>0</v>
      </c>
      <c r="B1" s="1" t="s">
        <v>1</v>
      </c>
      <c r="C1" s="2" t="s">
        <v>2</v>
      </c>
      <c r="D1" s="1" t="s">
        <v>3</v>
      </c>
      <c r="E1" s="1" t="s">
        <v>45</v>
      </c>
      <c r="F1" s="11" t="s">
        <v>81</v>
      </c>
      <c r="G1" s="3" t="s">
        <v>80</v>
      </c>
      <c r="H1" s="11" t="s">
        <v>80</v>
      </c>
      <c r="I1" s="18" t="s">
        <v>79</v>
      </c>
      <c r="J1" s="6" t="s">
        <v>6</v>
      </c>
    </row>
    <row r="2" spans="1:13" x14ac:dyDescent="0.35">
      <c r="A2" t="s">
        <v>44</v>
      </c>
      <c r="B2" t="s">
        <v>43</v>
      </c>
      <c r="C2" t="s">
        <v>7</v>
      </c>
      <c r="D2" t="s">
        <v>8</v>
      </c>
      <c r="E2">
        <v>1</v>
      </c>
      <c r="F2" s="14">
        <v>8.4897928</v>
      </c>
      <c r="G2" s="16" t="e">
        <v>#N/A</v>
      </c>
      <c r="H2" s="12">
        <v>0.7628293561470203</v>
      </c>
      <c r="I2" s="19" t="e">
        <f t="shared" ref="I2:I65" si="0">IF(G2&lt;0,0,G2)</f>
        <v>#N/A</v>
      </c>
      <c r="J2" t="e">
        <f>I2/2</f>
        <v>#N/A</v>
      </c>
    </row>
    <row r="3" spans="1:13" x14ac:dyDescent="0.35">
      <c r="A3" t="s">
        <v>44</v>
      </c>
      <c r="B3" t="s">
        <v>43</v>
      </c>
      <c r="C3" t="s">
        <v>9</v>
      </c>
      <c r="D3" t="s">
        <v>8</v>
      </c>
      <c r="E3">
        <v>1</v>
      </c>
      <c r="F3" s="14">
        <v>3.5278461000000001</v>
      </c>
      <c r="G3" s="16" t="e">
        <v>#N/A</v>
      </c>
      <c r="H3" s="12">
        <v>-9.4178237488491773E-2</v>
      </c>
      <c r="I3" s="19" t="e">
        <f t="shared" si="0"/>
        <v>#N/A</v>
      </c>
      <c r="J3" t="e">
        <f>I3/2</f>
        <v>#N/A</v>
      </c>
      <c r="M3" s="7" t="s">
        <v>71</v>
      </c>
    </row>
    <row r="4" spans="1:13" x14ac:dyDescent="0.35">
      <c r="A4" t="s">
        <v>44</v>
      </c>
      <c r="B4" t="s">
        <v>43</v>
      </c>
      <c r="C4" t="s">
        <v>10</v>
      </c>
      <c r="D4" t="s">
        <v>8</v>
      </c>
      <c r="E4">
        <v>1</v>
      </c>
      <c r="F4" s="14">
        <v>0.26215820000000001</v>
      </c>
      <c r="G4" s="16" t="e">
        <v>#N/A</v>
      </c>
      <c r="H4" s="12">
        <v>3.91295781694425E-2</v>
      </c>
      <c r="I4" s="19" t="e">
        <f t="shared" si="0"/>
        <v>#N/A</v>
      </c>
      <c r="J4" t="e">
        <f>I4/2</f>
        <v>#N/A</v>
      </c>
      <c r="M4" t="s">
        <v>72</v>
      </c>
    </row>
    <row r="5" spans="1:13" x14ac:dyDescent="0.35">
      <c r="A5" t="s">
        <v>44</v>
      </c>
      <c r="B5" t="s">
        <v>43</v>
      </c>
      <c r="C5" t="s">
        <v>11</v>
      </c>
      <c r="D5" t="s">
        <v>8</v>
      </c>
      <c r="E5">
        <v>1</v>
      </c>
      <c r="F5" s="14">
        <v>17.347754000000002</v>
      </c>
      <c r="G5" s="16">
        <v>2.1392031949095953</v>
      </c>
      <c r="H5" s="12">
        <v>7.5664663334075861</v>
      </c>
      <c r="I5" s="19">
        <f t="shared" si="0"/>
        <v>2.1392031949095953</v>
      </c>
      <c r="J5">
        <f t="shared" ref="J5:J68" si="1">I5/2</f>
        <v>1.0696015974547977</v>
      </c>
    </row>
    <row r="6" spans="1:13" x14ac:dyDescent="0.35">
      <c r="A6" t="s">
        <v>44</v>
      </c>
      <c r="B6" t="s">
        <v>43</v>
      </c>
      <c r="C6" t="s">
        <v>12</v>
      </c>
      <c r="D6" t="s">
        <v>8</v>
      </c>
      <c r="E6">
        <v>1</v>
      </c>
      <c r="F6" s="14">
        <v>89.994023100000007</v>
      </c>
      <c r="G6" s="16">
        <v>8.6586978561634265</v>
      </c>
      <c r="H6" s="12">
        <v>7.2420248802343758</v>
      </c>
      <c r="I6" s="19">
        <f t="shared" si="0"/>
        <v>8.6586978561634265</v>
      </c>
      <c r="J6">
        <f t="shared" si="1"/>
        <v>4.3293489280817132</v>
      </c>
    </row>
    <row r="7" spans="1:13" x14ac:dyDescent="0.35">
      <c r="A7" t="s">
        <v>44</v>
      </c>
      <c r="B7" t="s">
        <v>43</v>
      </c>
      <c r="C7" t="s">
        <v>13</v>
      </c>
      <c r="D7" t="s">
        <v>8</v>
      </c>
      <c r="E7">
        <v>1</v>
      </c>
      <c r="F7" s="14">
        <v>260.69207849999998</v>
      </c>
      <c r="G7" s="16">
        <v>25.746439380738273</v>
      </c>
      <c r="H7" s="12">
        <v>68.378216453461903</v>
      </c>
      <c r="I7" s="19">
        <f t="shared" si="0"/>
        <v>25.746439380738273</v>
      </c>
      <c r="J7">
        <f t="shared" si="1"/>
        <v>12.873219690369137</v>
      </c>
    </row>
    <row r="8" spans="1:13" x14ac:dyDescent="0.35">
      <c r="A8" t="s">
        <v>44</v>
      </c>
      <c r="B8" t="s">
        <v>43</v>
      </c>
      <c r="C8" t="s">
        <v>14</v>
      </c>
      <c r="D8" t="s">
        <v>8</v>
      </c>
      <c r="E8">
        <v>1</v>
      </c>
      <c r="F8" s="14">
        <v>0</v>
      </c>
      <c r="G8" s="16" t="e">
        <v>#N/A</v>
      </c>
      <c r="H8" s="12">
        <v>-2.1516306754649845E-2</v>
      </c>
      <c r="I8" s="19" t="e">
        <f t="shared" si="0"/>
        <v>#N/A</v>
      </c>
      <c r="J8" t="e">
        <f t="shared" si="1"/>
        <v>#N/A</v>
      </c>
    </row>
    <row r="9" spans="1:13" x14ac:dyDescent="0.35">
      <c r="A9" t="s">
        <v>44</v>
      </c>
      <c r="B9" t="s">
        <v>43</v>
      </c>
      <c r="C9" t="s">
        <v>15</v>
      </c>
      <c r="D9" t="s">
        <v>8</v>
      </c>
      <c r="E9">
        <v>1</v>
      </c>
      <c r="F9" s="14">
        <v>11.053502</v>
      </c>
      <c r="G9" s="16">
        <v>1.5609963449632269</v>
      </c>
      <c r="H9" s="12">
        <v>0.1993125415190245</v>
      </c>
      <c r="I9" s="19">
        <f t="shared" si="0"/>
        <v>1.5609963449632269</v>
      </c>
      <c r="J9">
        <f t="shared" si="1"/>
        <v>0.78049817248161346</v>
      </c>
    </row>
    <row r="10" spans="1:13" x14ac:dyDescent="0.35">
      <c r="A10" t="s">
        <v>44</v>
      </c>
      <c r="B10" t="s">
        <v>43</v>
      </c>
      <c r="C10" t="s">
        <v>16</v>
      </c>
      <c r="D10" t="s">
        <v>8</v>
      </c>
      <c r="E10">
        <v>1</v>
      </c>
      <c r="F10" s="14">
        <v>0</v>
      </c>
      <c r="G10" s="16" t="e">
        <v>#N/A</v>
      </c>
      <c r="H10" s="12">
        <v>0.90598315453649059</v>
      </c>
      <c r="I10" s="19" t="e">
        <f t="shared" si="0"/>
        <v>#N/A</v>
      </c>
      <c r="J10" t="e">
        <f t="shared" si="1"/>
        <v>#N/A</v>
      </c>
    </row>
    <row r="11" spans="1:13" x14ac:dyDescent="0.35">
      <c r="A11" t="s">
        <v>44</v>
      </c>
      <c r="B11" t="s">
        <v>43</v>
      </c>
      <c r="C11" t="s">
        <v>17</v>
      </c>
      <c r="D11" t="s">
        <v>8</v>
      </c>
      <c r="E11">
        <v>1</v>
      </c>
      <c r="F11" s="14">
        <v>3439.1469898999999</v>
      </c>
      <c r="G11" s="16">
        <v>79.550236623266215</v>
      </c>
      <c r="H11" s="12">
        <v>250.68685316557452</v>
      </c>
      <c r="I11" s="19">
        <f t="shared" si="0"/>
        <v>79.550236623266215</v>
      </c>
      <c r="J11">
        <f t="shared" si="1"/>
        <v>39.775118311633108</v>
      </c>
    </row>
    <row r="12" spans="1:13" x14ac:dyDescent="0.35">
      <c r="A12" t="s">
        <v>44</v>
      </c>
      <c r="B12" t="s">
        <v>43</v>
      </c>
      <c r="C12" t="s">
        <v>18</v>
      </c>
      <c r="D12" t="s">
        <v>8</v>
      </c>
      <c r="E12">
        <v>1</v>
      </c>
      <c r="F12" s="14">
        <v>412.95174489999999</v>
      </c>
      <c r="G12" s="16">
        <v>34.756348324007156</v>
      </c>
      <c r="H12" s="12">
        <v>103.78201606033819</v>
      </c>
      <c r="I12" s="19">
        <f t="shared" si="0"/>
        <v>34.756348324007156</v>
      </c>
      <c r="J12">
        <f t="shared" si="1"/>
        <v>17.378174162003578</v>
      </c>
    </row>
    <row r="13" spans="1:13" x14ac:dyDescent="0.35">
      <c r="A13" t="s">
        <v>44</v>
      </c>
      <c r="B13" t="s">
        <v>43</v>
      </c>
      <c r="C13" t="s">
        <v>20</v>
      </c>
      <c r="D13" t="s">
        <v>8</v>
      </c>
      <c r="E13">
        <v>1</v>
      </c>
      <c r="F13" s="14">
        <v>13.9425282</v>
      </c>
      <c r="G13" s="16">
        <v>0.91435954337326664</v>
      </c>
      <c r="H13" s="12">
        <v>2.9522131054683149</v>
      </c>
      <c r="I13" s="19">
        <f t="shared" si="0"/>
        <v>0.91435954337326664</v>
      </c>
      <c r="J13">
        <f t="shared" si="1"/>
        <v>0.45717977168663332</v>
      </c>
    </row>
    <row r="14" spans="1:13" x14ac:dyDescent="0.35">
      <c r="A14" t="s">
        <v>44</v>
      </c>
      <c r="B14" t="s">
        <v>43</v>
      </c>
      <c r="C14" t="s">
        <v>21</v>
      </c>
      <c r="D14" t="s">
        <v>8</v>
      </c>
      <c r="E14">
        <v>1</v>
      </c>
      <c r="F14" s="14">
        <v>546.45375150000007</v>
      </c>
      <c r="G14" s="16">
        <v>43.947660426640098</v>
      </c>
      <c r="H14" s="12">
        <v>44.748064843569828</v>
      </c>
      <c r="I14" s="19">
        <f t="shared" si="0"/>
        <v>43.947660426640098</v>
      </c>
      <c r="J14">
        <f t="shared" si="1"/>
        <v>21.973830213320049</v>
      </c>
    </row>
    <row r="15" spans="1:13" x14ac:dyDescent="0.35">
      <c r="A15" t="s">
        <v>44</v>
      </c>
      <c r="B15" t="s">
        <v>43</v>
      </c>
      <c r="C15" t="s">
        <v>22</v>
      </c>
      <c r="D15" t="s">
        <v>8</v>
      </c>
      <c r="E15">
        <v>1</v>
      </c>
      <c r="F15" s="14">
        <v>1231.4861953</v>
      </c>
      <c r="G15" s="16">
        <v>156.19024859325276</v>
      </c>
      <c r="H15" s="12">
        <v>14.153719572126814</v>
      </c>
      <c r="I15" s="19">
        <f t="shared" si="0"/>
        <v>156.19024859325276</v>
      </c>
      <c r="J15">
        <f t="shared" si="1"/>
        <v>78.095124296626381</v>
      </c>
    </row>
    <row r="16" spans="1:13" x14ac:dyDescent="0.35">
      <c r="A16" t="s">
        <v>44</v>
      </c>
      <c r="B16" t="s">
        <v>43</v>
      </c>
      <c r="C16" t="s">
        <v>23</v>
      </c>
      <c r="D16" t="s">
        <v>8</v>
      </c>
      <c r="E16">
        <v>1</v>
      </c>
      <c r="F16" s="14">
        <v>0.26798680000000002</v>
      </c>
      <c r="G16" s="16" t="e">
        <v>#N/A</v>
      </c>
      <c r="H16" s="12">
        <v>109.55238369789846</v>
      </c>
      <c r="I16" s="19" t="e">
        <f t="shared" si="0"/>
        <v>#N/A</v>
      </c>
      <c r="J16" t="e">
        <f t="shared" si="1"/>
        <v>#N/A</v>
      </c>
    </row>
    <row r="17" spans="1:10" x14ac:dyDescent="0.35">
      <c r="A17" t="s">
        <v>44</v>
      </c>
      <c r="B17" t="s">
        <v>43</v>
      </c>
      <c r="C17" t="s">
        <v>24</v>
      </c>
      <c r="D17" t="s">
        <v>8</v>
      </c>
      <c r="E17">
        <v>1</v>
      </c>
      <c r="F17" s="14">
        <v>1203.1442397000001</v>
      </c>
      <c r="G17" s="16">
        <v>87.09134926368418</v>
      </c>
      <c r="H17" s="12">
        <v>211.0012732885578</v>
      </c>
      <c r="I17" s="19">
        <f t="shared" si="0"/>
        <v>87.09134926368418</v>
      </c>
      <c r="J17">
        <f t="shared" si="1"/>
        <v>43.54567463184209</v>
      </c>
    </row>
    <row r="18" spans="1:10" x14ac:dyDescent="0.35">
      <c r="A18" t="s">
        <v>44</v>
      </c>
      <c r="B18" t="s">
        <v>43</v>
      </c>
      <c r="C18" t="s">
        <v>25</v>
      </c>
      <c r="D18" t="s">
        <v>8</v>
      </c>
      <c r="E18">
        <v>1</v>
      </c>
      <c r="F18" s="14">
        <v>104.461106</v>
      </c>
      <c r="G18" s="16">
        <v>6.4729619574934771</v>
      </c>
      <c r="H18" s="12">
        <v>15.62074831158357</v>
      </c>
      <c r="I18" s="19">
        <f t="shared" si="0"/>
        <v>6.4729619574934771</v>
      </c>
      <c r="J18">
        <f t="shared" si="1"/>
        <v>3.2364809787467386</v>
      </c>
    </row>
    <row r="19" spans="1:10" x14ac:dyDescent="0.35">
      <c r="A19" t="s">
        <v>44</v>
      </c>
      <c r="B19" t="s">
        <v>43</v>
      </c>
      <c r="C19" t="s">
        <v>26</v>
      </c>
      <c r="D19" t="s">
        <v>8</v>
      </c>
      <c r="E19">
        <v>1</v>
      </c>
      <c r="F19" s="14">
        <v>1589.8427466999999</v>
      </c>
      <c r="G19" s="16">
        <v>32.312425015062026</v>
      </c>
      <c r="H19" s="12">
        <v>45.501106684479183</v>
      </c>
      <c r="I19" s="19">
        <f t="shared" si="0"/>
        <v>32.312425015062026</v>
      </c>
      <c r="J19">
        <f t="shared" si="1"/>
        <v>16.156212507531013</v>
      </c>
    </row>
    <row r="20" spans="1:10" x14ac:dyDescent="0.35">
      <c r="A20" t="s">
        <v>44</v>
      </c>
      <c r="B20" t="s">
        <v>43</v>
      </c>
      <c r="C20" t="s">
        <v>27</v>
      </c>
      <c r="D20" t="s">
        <v>8</v>
      </c>
      <c r="E20">
        <v>1</v>
      </c>
      <c r="F20" s="14">
        <v>119.4432929</v>
      </c>
      <c r="G20" s="16">
        <v>12.470841037366931</v>
      </c>
      <c r="H20" s="12">
        <v>10.816487806208478</v>
      </c>
      <c r="I20" s="19">
        <f t="shared" si="0"/>
        <v>12.470841037366931</v>
      </c>
      <c r="J20">
        <f t="shared" si="1"/>
        <v>6.2354205186834655</v>
      </c>
    </row>
    <row r="21" spans="1:10" x14ac:dyDescent="0.35">
      <c r="A21" t="s">
        <v>44</v>
      </c>
      <c r="B21" t="s">
        <v>43</v>
      </c>
      <c r="C21" t="s">
        <v>28</v>
      </c>
      <c r="D21" t="s">
        <v>8</v>
      </c>
      <c r="E21">
        <v>1</v>
      </c>
      <c r="F21" s="14">
        <v>38.122469599999995</v>
      </c>
      <c r="G21" s="16">
        <v>3.7749747317641269</v>
      </c>
      <c r="H21" s="12">
        <v>1.0584745477983302</v>
      </c>
      <c r="I21" s="19">
        <f t="shared" si="0"/>
        <v>3.7749747317641269</v>
      </c>
      <c r="J21">
        <f t="shared" si="1"/>
        <v>1.8874873658820635</v>
      </c>
    </row>
    <row r="22" spans="1:10" x14ac:dyDescent="0.35">
      <c r="A22" t="s">
        <v>44</v>
      </c>
      <c r="B22" t="s">
        <v>43</v>
      </c>
      <c r="C22" t="s">
        <v>29</v>
      </c>
      <c r="D22" t="s">
        <v>8</v>
      </c>
      <c r="E22">
        <v>1</v>
      </c>
      <c r="F22" s="14">
        <v>25.829833799999999</v>
      </c>
      <c r="G22" s="16">
        <v>5.7257133286325921</v>
      </c>
      <c r="H22" s="12">
        <v>0.16806924495154285</v>
      </c>
      <c r="I22" s="19">
        <f t="shared" si="0"/>
        <v>5.7257133286325921</v>
      </c>
      <c r="J22">
        <f t="shared" si="1"/>
        <v>2.862856664316296</v>
      </c>
    </row>
    <row r="23" spans="1:10" x14ac:dyDescent="0.35">
      <c r="A23" t="s">
        <v>44</v>
      </c>
      <c r="B23" t="s">
        <v>43</v>
      </c>
      <c r="C23" t="s">
        <v>30</v>
      </c>
      <c r="D23" t="s">
        <v>8</v>
      </c>
      <c r="E23">
        <v>1</v>
      </c>
      <c r="F23" s="14">
        <v>17.306898099999998</v>
      </c>
      <c r="G23" s="16">
        <v>1.8324287231897285</v>
      </c>
      <c r="H23" s="12">
        <v>5.0858632188262405</v>
      </c>
      <c r="I23" s="19">
        <f t="shared" si="0"/>
        <v>1.8324287231897285</v>
      </c>
      <c r="J23">
        <f t="shared" si="1"/>
        <v>0.91621436159486425</v>
      </c>
    </row>
    <row r="24" spans="1:10" x14ac:dyDescent="0.35">
      <c r="A24" t="s">
        <v>44</v>
      </c>
      <c r="B24" t="s">
        <v>43</v>
      </c>
      <c r="C24" t="s">
        <v>31</v>
      </c>
      <c r="D24" t="s">
        <v>8</v>
      </c>
      <c r="E24">
        <v>1</v>
      </c>
      <c r="F24" s="14">
        <v>4.9322325000000005</v>
      </c>
      <c r="G24" s="16">
        <v>0.65366118355683944</v>
      </c>
      <c r="H24" s="12">
        <v>0.77664577651542466</v>
      </c>
      <c r="I24" s="19">
        <f t="shared" si="0"/>
        <v>0.65366118355683944</v>
      </c>
      <c r="J24">
        <f t="shared" si="1"/>
        <v>0.32683059177841972</v>
      </c>
    </row>
    <row r="25" spans="1:10" x14ac:dyDescent="0.35">
      <c r="A25" t="s">
        <v>44</v>
      </c>
      <c r="B25" t="s">
        <v>43</v>
      </c>
      <c r="C25" t="s">
        <v>32</v>
      </c>
      <c r="D25" t="s">
        <v>8</v>
      </c>
      <c r="E25">
        <v>1</v>
      </c>
      <c r="F25" s="14">
        <v>34.410478300000001</v>
      </c>
      <c r="G25" s="16">
        <v>1.2757594022595895</v>
      </c>
      <c r="H25" s="12">
        <v>4.2546496130597768</v>
      </c>
      <c r="I25" s="19">
        <f t="shared" si="0"/>
        <v>1.2757594022595895</v>
      </c>
      <c r="J25">
        <f t="shared" si="1"/>
        <v>0.63787970112979475</v>
      </c>
    </row>
    <row r="26" spans="1:10" x14ac:dyDescent="0.35">
      <c r="A26" t="s">
        <v>44</v>
      </c>
      <c r="B26" t="s">
        <v>43</v>
      </c>
      <c r="C26" t="s">
        <v>33</v>
      </c>
      <c r="D26" t="s">
        <v>8</v>
      </c>
      <c r="E26">
        <v>1</v>
      </c>
      <c r="F26" s="14">
        <v>0</v>
      </c>
      <c r="G26" s="16" t="e">
        <v>#N/A</v>
      </c>
      <c r="H26" s="12">
        <v>2.6544926573250347</v>
      </c>
      <c r="I26" s="19" t="e">
        <f t="shared" si="0"/>
        <v>#N/A</v>
      </c>
      <c r="J26" t="e">
        <f t="shared" si="1"/>
        <v>#N/A</v>
      </c>
    </row>
    <row r="27" spans="1:10" x14ac:dyDescent="0.35">
      <c r="A27" t="s">
        <v>44</v>
      </c>
      <c r="B27" t="s">
        <v>43</v>
      </c>
      <c r="C27" t="s">
        <v>34</v>
      </c>
      <c r="D27" t="s">
        <v>8</v>
      </c>
      <c r="E27">
        <v>1</v>
      </c>
      <c r="F27" s="14">
        <v>0</v>
      </c>
      <c r="G27" s="16" t="e">
        <v>#N/A</v>
      </c>
      <c r="H27" s="12">
        <v>4.2837186307227569E-2</v>
      </c>
      <c r="I27" s="19" t="e">
        <f t="shared" si="0"/>
        <v>#N/A</v>
      </c>
      <c r="J27" t="e">
        <f t="shared" si="1"/>
        <v>#N/A</v>
      </c>
    </row>
    <row r="28" spans="1:10" x14ac:dyDescent="0.35">
      <c r="A28" t="s">
        <v>44</v>
      </c>
      <c r="B28" t="s">
        <v>43</v>
      </c>
      <c r="C28" t="s">
        <v>35</v>
      </c>
      <c r="D28" t="s">
        <v>8</v>
      </c>
      <c r="E28">
        <v>1</v>
      </c>
      <c r="F28" s="14">
        <v>93.22772040000001</v>
      </c>
      <c r="G28" s="16">
        <v>3.589964153845258</v>
      </c>
      <c r="H28" s="12">
        <v>4.5470540238861918</v>
      </c>
      <c r="I28" s="19">
        <f t="shared" si="0"/>
        <v>3.589964153845258</v>
      </c>
      <c r="J28">
        <f t="shared" si="1"/>
        <v>1.794982076922629</v>
      </c>
    </row>
    <row r="29" spans="1:10" x14ac:dyDescent="0.35">
      <c r="A29" t="s">
        <v>44</v>
      </c>
      <c r="B29" t="s">
        <v>43</v>
      </c>
      <c r="C29" t="s">
        <v>36</v>
      </c>
      <c r="D29" t="s">
        <v>8</v>
      </c>
      <c r="E29">
        <v>1</v>
      </c>
      <c r="F29" s="14">
        <v>7.7498567999999999</v>
      </c>
      <c r="G29" s="16">
        <v>1.5776483984689613</v>
      </c>
      <c r="H29" s="12">
        <v>0.19184441251462891</v>
      </c>
      <c r="I29" s="19">
        <f t="shared" si="0"/>
        <v>1.5776483984689613</v>
      </c>
      <c r="J29">
        <f t="shared" si="1"/>
        <v>0.78882419923448066</v>
      </c>
    </row>
    <row r="30" spans="1:10" x14ac:dyDescent="0.35">
      <c r="A30" t="s">
        <v>44</v>
      </c>
      <c r="B30" t="s">
        <v>43</v>
      </c>
      <c r="C30" t="s">
        <v>37</v>
      </c>
      <c r="D30" t="s">
        <v>8</v>
      </c>
      <c r="E30">
        <v>1</v>
      </c>
      <c r="F30" s="14">
        <v>72.887250199999997</v>
      </c>
      <c r="G30" s="16">
        <v>7.0346461737557062</v>
      </c>
      <c r="H30" s="12">
        <v>22.483049048332916</v>
      </c>
      <c r="I30" s="19">
        <f t="shared" si="0"/>
        <v>7.0346461737557062</v>
      </c>
      <c r="J30">
        <f t="shared" si="1"/>
        <v>3.5173230868778531</v>
      </c>
    </row>
    <row r="31" spans="1:10" x14ac:dyDescent="0.35">
      <c r="A31" t="s">
        <v>44</v>
      </c>
      <c r="B31" t="s">
        <v>43</v>
      </c>
      <c r="C31" t="s">
        <v>38</v>
      </c>
      <c r="D31" t="s">
        <v>8</v>
      </c>
      <c r="E31">
        <v>1</v>
      </c>
      <c r="F31" s="14">
        <v>1.9283764000000001</v>
      </c>
      <c r="G31" s="16" t="e">
        <v>#N/A</v>
      </c>
      <c r="H31" s="12">
        <v>0.1722041884530443</v>
      </c>
      <c r="I31" s="19" t="e">
        <f t="shared" si="0"/>
        <v>#N/A</v>
      </c>
      <c r="J31" t="e">
        <f t="shared" si="1"/>
        <v>#N/A</v>
      </c>
    </row>
    <row r="32" spans="1:10" x14ac:dyDescent="0.35">
      <c r="A32" t="s">
        <v>44</v>
      </c>
      <c r="B32" t="s">
        <v>43</v>
      </c>
      <c r="C32" t="s">
        <v>39</v>
      </c>
      <c r="D32" t="s">
        <v>8</v>
      </c>
      <c r="E32">
        <v>1</v>
      </c>
      <c r="F32" s="14">
        <v>0</v>
      </c>
      <c r="G32" s="16" t="e">
        <v>#N/A</v>
      </c>
      <c r="H32" s="12">
        <v>0.13750299409121527</v>
      </c>
      <c r="I32" s="19" t="e">
        <f t="shared" si="0"/>
        <v>#N/A</v>
      </c>
      <c r="J32" t="e">
        <f t="shared" si="1"/>
        <v>#N/A</v>
      </c>
    </row>
    <row r="33" spans="1:10" x14ac:dyDescent="0.35">
      <c r="A33" t="s">
        <v>44</v>
      </c>
      <c r="B33" t="s">
        <v>43</v>
      </c>
      <c r="C33" t="s">
        <v>40</v>
      </c>
      <c r="D33" t="s">
        <v>8</v>
      </c>
      <c r="E33">
        <v>1</v>
      </c>
      <c r="F33" s="14">
        <v>5.6614434000000005</v>
      </c>
      <c r="G33" s="16">
        <v>0.63953227586051831</v>
      </c>
      <c r="H33" s="12">
        <v>0.74847597470099725</v>
      </c>
      <c r="I33" s="19">
        <f t="shared" si="0"/>
        <v>0.63953227586051831</v>
      </c>
      <c r="J33">
        <f t="shared" si="1"/>
        <v>0.31976613793025915</v>
      </c>
    </row>
    <row r="34" spans="1:10" x14ac:dyDescent="0.35">
      <c r="A34" t="s">
        <v>44</v>
      </c>
      <c r="B34" t="s">
        <v>43</v>
      </c>
      <c r="C34" t="s">
        <v>41</v>
      </c>
      <c r="D34" t="s">
        <v>8</v>
      </c>
      <c r="E34">
        <v>1</v>
      </c>
      <c r="F34" s="14">
        <v>64.036195899999996</v>
      </c>
      <c r="G34" s="16">
        <v>1.7327895364470991</v>
      </c>
      <c r="H34" s="12">
        <v>-0.10656165318409305</v>
      </c>
      <c r="I34" s="19">
        <f t="shared" si="0"/>
        <v>1.7327895364470991</v>
      </c>
      <c r="J34">
        <f t="shared" si="1"/>
        <v>0.86639476822354955</v>
      </c>
    </row>
    <row r="35" spans="1:10" s="8" customFormat="1" x14ac:dyDescent="0.35">
      <c r="A35" s="8" t="s">
        <v>44</v>
      </c>
      <c r="B35" s="8" t="s">
        <v>43</v>
      </c>
      <c r="C35" s="8" t="s">
        <v>42</v>
      </c>
      <c r="D35" s="8" t="s">
        <v>8</v>
      </c>
      <c r="E35" s="8">
        <v>1</v>
      </c>
      <c r="F35" s="15">
        <v>0</v>
      </c>
      <c r="G35" s="17" t="e">
        <v>#N/A</v>
      </c>
      <c r="H35" s="12">
        <v>0.49007247489544054</v>
      </c>
      <c r="I35" s="20" t="e">
        <f t="shared" si="0"/>
        <v>#N/A</v>
      </c>
      <c r="J35" s="8" t="e">
        <f t="shared" si="1"/>
        <v>#N/A</v>
      </c>
    </row>
    <row r="36" spans="1:10" x14ac:dyDescent="0.35">
      <c r="A36" t="s">
        <v>46</v>
      </c>
      <c r="B36" t="s">
        <v>47</v>
      </c>
      <c r="C36" t="s">
        <v>7</v>
      </c>
      <c r="D36" t="s">
        <v>51</v>
      </c>
      <c r="E36">
        <v>1</v>
      </c>
      <c r="F36" s="14">
        <v>6.7110905000000001</v>
      </c>
      <c r="G36" s="9" t="e">
        <v>#N/A</v>
      </c>
      <c r="H36" s="12">
        <v>0.75030683148048127</v>
      </c>
      <c r="I36" s="19" t="e">
        <f t="shared" si="0"/>
        <v>#N/A</v>
      </c>
      <c r="J36" t="e">
        <f t="shared" si="1"/>
        <v>#N/A</v>
      </c>
    </row>
    <row r="37" spans="1:10" x14ac:dyDescent="0.35">
      <c r="A37" t="s">
        <v>46</v>
      </c>
      <c r="B37" t="s">
        <v>47</v>
      </c>
      <c r="C37" t="s">
        <v>9</v>
      </c>
      <c r="D37" t="s">
        <v>51</v>
      </c>
      <c r="E37">
        <v>1</v>
      </c>
      <c r="F37" s="14">
        <v>0</v>
      </c>
      <c r="G37" s="9" t="e">
        <v>#N/A</v>
      </c>
      <c r="H37" s="12">
        <v>-9.9780840490940673E-2</v>
      </c>
      <c r="I37" s="19" t="e">
        <f t="shared" si="0"/>
        <v>#N/A</v>
      </c>
      <c r="J37" t="e">
        <f t="shared" si="1"/>
        <v>#N/A</v>
      </c>
    </row>
    <row r="38" spans="1:10" x14ac:dyDescent="0.35">
      <c r="A38" t="s">
        <v>46</v>
      </c>
      <c r="B38" t="s">
        <v>47</v>
      </c>
      <c r="C38" t="s">
        <v>10</v>
      </c>
      <c r="D38" t="s">
        <v>51</v>
      </c>
      <c r="E38">
        <v>1</v>
      </c>
      <c r="F38" s="14">
        <v>0</v>
      </c>
      <c r="G38" s="9" t="e">
        <v>#N/A</v>
      </c>
      <c r="H38" s="12">
        <v>-3.5037025236845577E-2</v>
      </c>
      <c r="I38" s="19" t="e">
        <f t="shared" si="0"/>
        <v>#N/A</v>
      </c>
      <c r="J38" t="e">
        <f t="shared" si="1"/>
        <v>#N/A</v>
      </c>
    </row>
    <row r="39" spans="1:10" x14ac:dyDescent="0.35">
      <c r="A39" t="s">
        <v>46</v>
      </c>
      <c r="B39" t="s">
        <v>47</v>
      </c>
      <c r="C39" t="s">
        <v>11</v>
      </c>
      <c r="D39" t="s">
        <v>51</v>
      </c>
      <c r="E39">
        <v>1</v>
      </c>
      <c r="F39" s="14">
        <v>3.4789967000000002</v>
      </c>
      <c r="G39" s="9">
        <v>0.82426176433471565</v>
      </c>
      <c r="H39" s="12">
        <v>3.2321375436473221</v>
      </c>
      <c r="I39" s="19">
        <f t="shared" si="0"/>
        <v>0.82426176433471565</v>
      </c>
      <c r="J39">
        <f t="shared" si="1"/>
        <v>0.41213088216735783</v>
      </c>
    </row>
    <row r="40" spans="1:10" x14ac:dyDescent="0.35">
      <c r="A40" t="s">
        <v>46</v>
      </c>
      <c r="B40" t="s">
        <v>47</v>
      </c>
      <c r="C40" t="s">
        <v>12</v>
      </c>
      <c r="D40" t="s">
        <v>51</v>
      </c>
      <c r="E40">
        <v>1</v>
      </c>
      <c r="F40" s="14">
        <v>76.516698599999998</v>
      </c>
      <c r="G40" s="9">
        <v>7.7609376655460292</v>
      </c>
      <c r="H40" s="12">
        <v>6.1579074238182718</v>
      </c>
      <c r="I40" s="19">
        <f t="shared" si="0"/>
        <v>7.7609376655460292</v>
      </c>
      <c r="J40">
        <f t="shared" si="1"/>
        <v>3.8804688327730146</v>
      </c>
    </row>
    <row r="41" spans="1:10" x14ac:dyDescent="0.35">
      <c r="A41" t="s">
        <v>46</v>
      </c>
      <c r="B41" t="s">
        <v>47</v>
      </c>
      <c r="C41" t="s">
        <v>13</v>
      </c>
      <c r="D41" t="s">
        <v>51</v>
      </c>
      <c r="E41">
        <v>1</v>
      </c>
      <c r="F41" s="14">
        <v>268.58298239999999</v>
      </c>
      <c r="G41" s="9">
        <v>27.527194061508329</v>
      </c>
      <c r="H41" s="12">
        <v>70.404675564985297</v>
      </c>
      <c r="I41" s="19">
        <f t="shared" si="0"/>
        <v>27.527194061508329</v>
      </c>
      <c r="J41">
        <f t="shared" si="1"/>
        <v>13.763597030754164</v>
      </c>
    </row>
    <row r="42" spans="1:10" x14ac:dyDescent="0.35">
      <c r="A42" t="s">
        <v>46</v>
      </c>
      <c r="B42" t="s">
        <v>47</v>
      </c>
      <c r="C42" t="s">
        <v>14</v>
      </c>
      <c r="D42" t="s">
        <v>51</v>
      </c>
      <c r="E42">
        <v>1</v>
      </c>
      <c r="F42" s="14">
        <v>0</v>
      </c>
      <c r="G42" s="9" t="e">
        <v>#N/A</v>
      </c>
      <c r="H42" s="12">
        <v>-2.1516306754649845E-2</v>
      </c>
      <c r="I42" s="19" t="e">
        <f t="shared" si="0"/>
        <v>#N/A</v>
      </c>
      <c r="J42" t="e">
        <f t="shared" si="1"/>
        <v>#N/A</v>
      </c>
    </row>
    <row r="43" spans="1:10" x14ac:dyDescent="0.35">
      <c r="A43" t="s">
        <v>46</v>
      </c>
      <c r="B43" t="s">
        <v>47</v>
      </c>
      <c r="C43" t="s">
        <v>15</v>
      </c>
      <c r="D43" t="s">
        <v>51</v>
      </c>
      <c r="E43">
        <v>1</v>
      </c>
      <c r="F43" s="14">
        <v>11.525569600000001</v>
      </c>
      <c r="G43" s="9">
        <v>1.7250023938709664</v>
      </c>
      <c r="H43" s="12">
        <v>0.56105569725654414</v>
      </c>
      <c r="I43" s="19">
        <f t="shared" si="0"/>
        <v>1.7250023938709664</v>
      </c>
      <c r="J43">
        <f t="shared" si="1"/>
        <v>0.86250119693548322</v>
      </c>
    </row>
    <row r="44" spans="1:10" x14ac:dyDescent="0.35">
      <c r="A44" t="s">
        <v>46</v>
      </c>
      <c r="B44" t="s">
        <v>47</v>
      </c>
      <c r="C44" t="s">
        <v>16</v>
      </c>
      <c r="D44" t="s">
        <v>51</v>
      </c>
      <c r="E44">
        <v>1</v>
      </c>
      <c r="F44" s="14">
        <v>0</v>
      </c>
      <c r="G44" s="9" t="e">
        <v>#N/A</v>
      </c>
      <c r="H44" s="12">
        <v>0.20411463044238684</v>
      </c>
      <c r="I44" s="19" t="e">
        <f t="shared" si="0"/>
        <v>#N/A</v>
      </c>
      <c r="J44" t="e">
        <f t="shared" si="1"/>
        <v>#N/A</v>
      </c>
    </row>
    <row r="45" spans="1:10" x14ac:dyDescent="0.35">
      <c r="A45" t="s">
        <v>46</v>
      </c>
      <c r="B45" t="s">
        <v>47</v>
      </c>
      <c r="C45" t="s">
        <v>17</v>
      </c>
      <c r="D45" t="s">
        <v>51</v>
      </c>
      <c r="E45">
        <v>1</v>
      </c>
      <c r="F45" s="14">
        <v>2916.7312256</v>
      </c>
      <c r="G45" s="9">
        <v>71.141898477225979</v>
      </c>
      <c r="H45" s="12">
        <v>212.58571324199292</v>
      </c>
      <c r="I45" s="19">
        <f t="shared" si="0"/>
        <v>71.141898477225979</v>
      </c>
      <c r="J45">
        <f t="shared" si="1"/>
        <v>35.57094923861299</v>
      </c>
    </row>
    <row r="46" spans="1:10" x14ac:dyDescent="0.35">
      <c r="A46" t="s">
        <v>46</v>
      </c>
      <c r="B46" t="s">
        <v>47</v>
      </c>
      <c r="C46" t="s">
        <v>18</v>
      </c>
      <c r="D46" t="s">
        <v>51</v>
      </c>
      <c r="E46">
        <v>1</v>
      </c>
      <c r="F46" s="14">
        <v>522.45979290000002</v>
      </c>
      <c r="G46" s="9">
        <v>44.032066144483352</v>
      </c>
      <c r="H46" s="12">
        <v>131.18263749324728</v>
      </c>
      <c r="I46" s="19">
        <f t="shared" si="0"/>
        <v>44.032066144483352</v>
      </c>
      <c r="J46">
        <f t="shared" si="1"/>
        <v>22.016033072241676</v>
      </c>
    </row>
    <row r="47" spans="1:10" x14ac:dyDescent="0.35">
      <c r="A47" t="s">
        <v>46</v>
      </c>
      <c r="B47" t="s">
        <v>47</v>
      </c>
      <c r="C47" t="s">
        <v>20</v>
      </c>
      <c r="D47" t="s">
        <v>51</v>
      </c>
      <c r="E47">
        <v>1</v>
      </c>
      <c r="F47" s="14">
        <v>12.7936728</v>
      </c>
      <c r="G47" s="9">
        <v>0.91435954337326664</v>
      </c>
      <c r="H47" s="12">
        <v>0.44569402921942169</v>
      </c>
      <c r="I47" s="19">
        <f t="shared" si="0"/>
        <v>0.91435954337326664</v>
      </c>
      <c r="J47">
        <f t="shared" si="1"/>
        <v>0.45717977168663332</v>
      </c>
    </row>
    <row r="48" spans="1:10" x14ac:dyDescent="0.35">
      <c r="A48" t="s">
        <v>46</v>
      </c>
      <c r="B48" t="s">
        <v>47</v>
      </c>
      <c r="C48" t="s">
        <v>21</v>
      </c>
      <c r="D48" t="s">
        <v>51</v>
      </c>
      <c r="E48">
        <v>1</v>
      </c>
      <c r="F48" s="14">
        <v>350.5571999</v>
      </c>
      <c r="G48" s="9">
        <v>27.346948025953438</v>
      </c>
      <c r="H48" s="12">
        <v>28.826817424279376</v>
      </c>
      <c r="I48" s="19">
        <f t="shared" si="0"/>
        <v>27.346948025953438</v>
      </c>
      <c r="J48">
        <f t="shared" si="1"/>
        <v>13.673474012976719</v>
      </c>
    </row>
    <row r="49" spans="1:10" x14ac:dyDescent="0.35">
      <c r="A49" t="s">
        <v>46</v>
      </c>
      <c r="B49" t="s">
        <v>47</v>
      </c>
      <c r="C49" t="s">
        <v>22</v>
      </c>
      <c r="D49" t="s">
        <v>51</v>
      </c>
      <c r="E49">
        <v>1</v>
      </c>
      <c r="F49" s="14">
        <v>874.31958989999998</v>
      </c>
      <c r="G49" s="9">
        <v>107.83511148501009</v>
      </c>
      <c r="H49" s="12">
        <v>1.8214930298731353</v>
      </c>
      <c r="I49" s="19">
        <f t="shared" si="0"/>
        <v>107.83511148501009</v>
      </c>
      <c r="J49">
        <f t="shared" si="1"/>
        <v>53.917555742505044</v>
      </c>
    </row>
    <row r="50" spans="1:10" x14ac:dyDescent="0.35">
      <c r="A50" t="s">
        <v>46</v>
      </c>
      <c r="B50" t="s">
        <v>47</v>
      </c>
      <c r="C50" t="s">
        <v>23</v>
      </c>
      <c r="D50" t="s">
        <v>51</v>
      </c>
      <c r="E50">
        <v>1</v>
      </c>
      <c r="F50" s="14">
        <v>0</v>
      </c>
      <c r="G50" s="9" t="e">
        <v>#N/A</v>
      </c>
      <c r="H50" s="12">
        <v>93.683024405987098</v>
      </c>
      <c r="I50" s="19" t="e">
        <f t="shared" si="0"/>
        <v>#N/A</v>
      </c>
      <c r="J50" t="e">
        <f t="shared" si="1"/>
        <v>#N/A</v>
      </c>
    </row>
    <row r="51" spans="1:10" x14ac:dyDescent="0.35">
      <c r="A51" t="s">
        <v>46</v>
      </c>
      <c r="B51" t="s">
        <v>47</v>
      </c>
      <c r="C51" t="s">
        <v>24</v>
      </c>
      <c r="D51" t="s">
        <v>51</v>
      </c>
      <c r="E51">
        <v>1</v>
      </c>
      <c r="F51" s="14">
        <v>1061.4238134000002</v>
      </c>
      <c r="G51" s="9">
        <v>79.560390383204378</v>
      </c>
      <c r="H51" s="12">
        <v>182.63687000367713</v>
      </c>
      <c r="I51" s="19">
        <f t="shared" si="0"/>
        <v>79.560390383204378</v>
      </c>
      <c r="J51">
        <f t="shared" si="1"/>
        <v>39.780195191602189</v>
      </c>
    </row>
    <row r="52" spans="1:10" x14ac:dyDescent="0.35">
      <c r="A52" t="s">
        <v>46</v>
      </c>
      <c r="B52" t="s">
        <v>47</v>
      </c>
      <c r="C52" t="s">
        <v>25</v>
      </c>
      <c r="D52" t="s">
        <v>51</v>
      </c>
      <c r="E52">
        <v>1</v>
      </c>
      <c r="F52" s="14">
        <v>144.85453709999999</v>
      </c>
      <c r="G52" s="9">
        <v>9.4136801849010858</v>
      </c>
      <c r="H52" s="12">
        <v>21.647845052322911</v>
      </c>
      <c r="I52" s="19">
        <f t="shared" si="0"/>
        <v>9.4136801849010858</v>
      </c>
      <c r="J52">
        <f t="shared" si="1"/>
        <v>4.7068400924505429</v>
      </c>
    </row>
    <row r="53" spans="1:10" x14ac:dyDescent="0.35">
      <c r="A53" t="s">
        <v>46</v>
      </c>
      <c r="B53" t="s">
        <v>47</v>
      </c>
      <c r="C53" t="s">
        <v>26</v>
      </c>
      <c r="D53" t="s">
        <v>51</v>
      </c>
      <c r="E53">
        <v>1</v>
      </c>
      <c r="F53" s="14">
        <v>1271.6816639000001</v>
      </c>
      <c r="G53" s="9">
        <v>27.173634017979509</v>
      </c>
      <c r="H53" s="12">
        <v>36.391599850795373</v>
      </c>
      <c r="I53" s="19">
        <f t="shared" si="0"/>
        <v>27.173634017979509</v>
      </c>
      <c r="J53">
        <f t="shared" si="1"/>
        <v>13.586817008989755</v>
      </c>
    </row>
    <row r="54" spans="1:10" x14ac:dyDescent="0.35">
      <c r="A54" t="s">
        <v>46</v>
      </c>
      <c r="B54" t="s">
        <v>47</v>
      </c>
      <c r="C54" t="s">
        <v>27</v>
      </c>
      <c r="D54" t="s">
        <v>51</v>
      </c>
      <c r="E54">
        <v>1</v>
      </c>
      <c r="F54" s="14">
        <v>132.0314176</v>
      </c>
      <c r="G54" s="9">
        <v>14.514575021411805</v>
      </c>
      <c r="H54" s="12">
        <v>11.9429103657986</v>
      </c>
      <c r="I54" s="19">
        <f t="shared" si="0"/>
        <v>14.514575021411805</v>
      </c>
      <c r="J54">
        <f t="shared" si="1"/>
        <v>7.2572875107059023</v>
      </c>
    </row>
    <row r="55" spans="1:10" x14ac:dyDescent="0.35">
      <c r="A55" t="s">
        <v>46</v>
      </c>
      <c r="B55" t="s">
        <v>47</v>
      </c>
      <c r="C55" t="s">
        <v>28</v>
      </c>
      <c r="D55" t="s">
        <v>51</v>
      </c>
      <c r="E55">
        <v>1</v>
      </c>
      <c r="F55" s="14">
        <v>33.025971699999999</v>
      </c>
      <c r="G55" s="9">
        <v>3.3653620936659938</v>
      </c>
      <c r="H55" s="12">
        <v>0.90514193862051773</v>
      </c>
      <c r="I55" s="19">
        <f t="shared" si="0"/>
        <v>3.3653620936659938</v>
      </c>
      <c r="J55">
        <f t="shared" si="1"/>
        <v>1.6826810468329969</v>
      </c>
    </row>
    <row r="56" spans="1:10" x14ac:dyDescent="0.35">
      <c r="A56" t="s">
        <v>46</v>
      </c>
      <c r="B56" t="s">
        <v>47</v>
      </c>
      <c r="C56" t="s">
        <v>29</v>
      </c>
      <c r="D56" t="s">
        <v>51</v>
      </c>
      <c r="E56">
        <v>1</v>
      </c>
      <c r="F56" s="14">
        <v>12.2454357</v>
      </c>
      <c r="G56" s="9">
        <v>3.4323858145265209</v>
      </c>
      <c r="H56" s="12">
        <v>2.3280261182177044</v>
      </c>
      <c r="I56" s="19">
        <f t="shared" si="0"/>
        <v>3.4323858145265209</v>
      </c>
      <c r="J56">
        <f t="shared" si="1"/>
        <v>1.7161929072632605</v>
      </c>
    </row>
    <row r="57" spans="1:10" x14ac:dyDescent="0.35">
      <c r="A57" t="s">
        <v>46</v>
      </c>
      <c r="B57" t="s">
        <v>47</v>
      </c>
      <c r="C57" t="s">
        <v>30</v>
      </c>
      <c r="D57" t="s">
        <v>51</v>
      </c>
      <c r="E57">
        <v>1</v>
      </c>
      <c r="F57" s="14">
        <v>51.282988500000002</v>
      </c>
      <c r="G57" s="9">
        <v>5.7174744252538297</v>
      </c>
      <c r="H57" s="12">
        <v>15.048382816017654</v>
      </c>
      <c r="I57" s="19">
        <f t="shared" si="0"/>
        <v>5.7174744252538297</v>
      </c>
      <c r="J57">
        <f t="shared" si="1"/>
        <v>2.8587372126269148</v>
      </c>
    </row>
    <row r="58" spans="1:10" x14ac:dyDescent="0.35">
      <c r="A58" t="s">
        <v>46</v>
      </c>
      <c r="B58" t="s">
        <v>47</v>
      </c>
      <c r="C58" t="s">
        <v>31</v>
      </c>
      <c r="D58" t="s">
        <v>51</v>
      </c>
      <c r="E58">
        <v>1</v>
      </c>
      <c r="F58" s="14">
        <v>10.8751377</v>
      </c>
      <c r="G58" s="9">
        <v>1.4292631563841156</v>
      </c>
      <c r="H58" s="12">
        <v>3.2377899067267442</v>
      </c>
      <c r="I58" s="19">
        <f t="shared" si="0"/>
        <v>1.4292631563841156</v>
      </c>
      <c r="J58">
        <f t="shared" si="1"/>
        <v>0.7146315781920578</v>
      </c>
    </row>
    <row r="59" spans="1:10" x14ac:dyDescent="0.35">
      <c r="A59" t="s">
        <v>46</v>
      </c>
      <c r="B59" t="s">
        <v>47</v>
      </c>
      <c r="C59" t="s">
        <v>32</v>
      </c>
      <c r="D59" t="s">
        <v>51</v>
      </c>
      <c r="E59">
        <v>1</v>
      </c>
      <c r="F59" s="14">
        <v>55.3590248</v>
      </c>
      <c r="G59" s="9">
        <v>2.2246913478713513</v>
      </c>
      <c r="H59" s="12">
        <v>6.8490436676907507</v>
      </c>
      <c r="I59" s="19">
        <f t="shared" si="0"/>
        <v>2.2246913478713513</v>
      </c>
      <c r="J59">
        <f t="shared" si="1"/>
        <v>1.1123456739356756</v>
      </c>
    </row>
    <row r="60" spans="1:10" x14ac:dyDescent="0.35">
      <c r="A60" t="s">
        <v>46</v>
      </c>
      <c r="B60" t="s">
        <v>47</v>
      </c>
      <c r="C60" t="s">
        <v>33</v>
      </c>
      <c r="D60" t="s">
        <v>51</v>
      </c>
      <c r="E60">
        <v>1</v>
      </c>
      <c r="F60" s="14">
        <v>9.1917089000000001</v>
      </c>
      <c r="G60" s="9" t="e">
        <v>#N/A</v>
      </c>
      <c r="H60" s="12">
        <v>0.40814954311194462</v>
      </c>
      <c r="I60" s="19" t="e">
        <f t="shared" si="0"/>
        <v>#N/A</v>
      </c>
      <c r="J60" t="e">
        <f t="shared" si="1"/>
        <v>#N/A</v>
      </c>
    </row>
    <row r="61" spans="1:10" x14ac:dyDescent="0.35">
      <c r="A61" t="s">
        <v>46</v>
      </c>
      <c r="B61" t="s">
        <v>47</v>
      </c>
      <c r="C61" t="s">
        <v>34</v>
      </c>
      <c r="D61" t="s">
        <v>51</v>
      </c>
      <c r="E61">
        <v>1</v>
      </c>
      <c r="F61" s="14">
        <v>0</v>
      </c>
      <c r="G61" s="9" t="e">
        <v>#N/A</v>
      </c>
      <c r="H61" s="12">
        <v>0.24879984161748689</v>
      </c>
      <c r="I61" s="19" t="e">
        <f t="shared" si="0"/>
        <v>#N/A</v>
      </c>
      <c r="J61" t="e">
        <f t="shared" si="1"/>
        <v>#N/A</v>
      </c>
    </row>
    <row r="62" spans="1:10" x14ac:dyDescent="0.35">
      <c r="A62" t="s">
        <v>46</v>
      </c>
      <c r="B62" t="s">
        <v>47</v>
      </c>
      <c r="C62" t="s">
        <v>35</v>
      </c>
      <c r="D62" t="s">
        <v>51</v>
      </c>
      <c r="E62">
        <v>1</v>
      </c>
      <c r="F62" s="14">
        <v>133.8922096</v>
      </c>
      <c r="G62" s="9">
        <v>6.4698870398649708</v>
      </c>
      <c r="H62" s="12">
        <v>7.7948184580288951</v>
      </c>
      <c r="I62" s="19">
        <f t="shared" si="0"/>
        <v>6.4698870398649708</v>
      </c>
      <c r="J62">
        <f t="shared" si="1"/>
        <v>3.2349435199324854</v>
      </c>
    </row>
    <row r="63" spans="1:10" x14ac:dyDescent="0.35">
      <c r="A63" t="s">
        <v>46</v>
      </c>
      <c r="B63" t="s">
        <v>47</v>
      </c>
      <c r="C63" t="s">
        <v>36</v>
      </c>
      <c r="D63" t="s">
        <v>51</v>
      </c>
      <c r="E63">
        <v>1</v>
      </c>
      <c r="F63" s="14">
        <v>9.4802548000000009</v>
      </c>
      <c r="G63" s="9">
        <v>1.5782572171451001</v>
      </c>
      <c r="H63" s="12">
        <v>2.6981383431522001</v>
      </c>
      <c r="I63" s="19">
        <f t="shared" si="0"/>
        <v>1.5782572171451001</v>
      </c>
      <c r="J63">
        <f t="shared" si="1"/>
        <v>0.78912860857255007</v>
      </c>
    </row>
    <row r="64" spans="1:10" x14ac:dyDescent="0.35">
      <c r="A64" t="s">
        <v>46</v>
      </c>
      <c r="B64" t="s">
        <v>47</v>
      </c>
      <c r="C64" t="s">
        <v>37</v>
      </c>
      <c r="D64" t="s">
        <v>51</v>
      </c>
      <c r="E64">
        <v>1</v>
      </c>
      <c r="F64" s="14">
        <v>61.976930500000002</v>
      </c>
      <c r="G64" s="9">
        <v>6.3745606002513613</v>
      </c>
      <c r="H64" s="12">
        <v>19.027862568489461</v>
      </c>
      <c r="I64" s="19">
        <f t="shared" si="0"/>
        <v>6.3745606002513613</v>
      </c>
      <c r="J64">
        <f t="shared" si="1"/>
        <v>3.1872803001256806</v>
      </c>
    </row>
    <row r="65" spans="1:10" x14ac:dyDescent="0.35">
      <c r="A65" t="s">
        <v>46</v>
      </c>
      <c r="B65" t="s">
        <v>47</v>
      </c>
      <c r="C65" t="s">
        <v>38</v>
      </c>
      <c r="D65" t="s">
        <v>51</v>
      </c>
      <c r="E65">
        <v>1</v>
      </c>
      <c r="F65" s="14">
        <v>1.9349927</v>
      </c>
      <c r="G65" s="9" t="e">
        <v>#N/A</v>
      </c>
      <c r="H65" s="12">
        <v>0.17388440536686078</v>
      </c>
      <c r="I65" s="19" t="e">
        <f t="shared" si="0"/>
        <v>#N/A</v>
      </c>
      <c r="J65" t="e">
        <f t="shared" si="1"/>
        <v>#N/A</v>
      </c>
    </row>
    <row r="66" spans="1:10" x14ac:dyDescent="0.35">
      <c r="A66" t="s">
        <v>46</v>
      </c>
      <c r="B66" t="s">
        <v>47</v>
      </c>
      <c r="C66" t="s">
        <v>39</v>
      </c>
      <c r="D66" t="s">
        <v>51</v>
      </c>
      <c r="E66">
        <v>1</v>
      </c>
      <c r="F66" s="14">
        <v>0.44111860000000003</v>
      </c>
      <c r="G66" s="9" t="e">
        <v>#N/A</v>
      </c>
      <c r="H66" s="12">
        <v>0.36365279450971877</v>
      </c>
      <c r="I66" s="19" t="e">
        <f t="shared" ref="I66:I129" si="2">IF(G66&lt;0,0,G66)</f>
        <v>#N/A</v>
      </c>
      <c r="J66" t="e">
        <f t="shared" si="1"/>
        <v>#N/A</v>
      </c>
    </row>
    <row r="67" spans="1:10" x14ac:dyDescent="0.35">
      <c r="A67" t="s">
        <v>46</v>
      </c>
      <c r="B67" t="s">
        <v>47</v>
      </c>
      <c r="C67" t="s">
        <v>40</v>
      </c>
      <c r="D67" t="s">
        <v>51</v>
      </c>
      <c r="E67">
        <v>1</v>
      </c>
      <c r="F67" s="14">
        <v>14.5842812</v>
      </c>
      <c r="G67" s="9">
        <v>1.6478285630556877</v>
      </c>
      <c r="H67" s="12">
        <v>1.8093496107711884</v>
      </c>
      <c r="I67" s="19">
        <f t="shared" si="2"/>
        <v>1.6478285630556877</v>
      </c>
      <c r="J67">
        <f t="shared" si="1"/>
        <v>0.82391428152784385</v>
      </c>
    </row>
    <row r="68" spans="1:10" x14ac:dyDescent="0.35">
      <c r="A68" t="s">
        <v>46</v>
      </c>
      <c r="B68" t="s">
        <v>47</v>
      </c>
      <c r="C68" t="s">
        <v>41</v>
      </c>
      <c r="D68" t="s">
        <v>51</v>
      </c>
      <c r="E68">
        <v>1</v>
      </c>
      <c r="F68" s="14">
        <v>98.077004100000011</v>
      </c>
      <c r="G68" s="9">
        <v>2.8944167570634671</v>
      </c>
      <c r="H68" s="12">
        <v>3.895112258536007</v>
      </c>
      <c r="I68" s="19">
        <f t="shared" si="2"/>
        <v>2.8944167570634671</v>
      </c>
      <c r="J68">
        <f t="shared" si="1"/>
        <v>1.4472083785317336</v>
      </c>
    </row>
    <row r="69" spans="1:10" s="8" customFormat="1" x14ac:dyDescent="0.35">
      <c r="A69" s="8" t="s">
        <v>46</v>
      </c>
      <c r="B69" s="8" t="s">
        <v>47</v>
      </c>
      <c r="C69" s="8" t="s">
        <v>42</v>
      </c>
      <c r="D69" s="8" t="s">
        <v>51</v>
      </c>
      <c r="E69" s="8">
        <v>1</v>
      </c>
      <c r="F69" s="15">
        <v>0</v>
      </c>
      <c r="G69" s="10" t="e">
        <v>#N/A</v>
      </c>
      <c r="H69" s="13">
        <v>0.2445048179847818</v>
      </c>
      <c r="I69" s="20" t="e">
        <f t="shared" si="2"/>
        <v>#N/A</v>
      </c>
      <c r="J69" s="8" t="e">
        <f t="shared" ref="J69:J132" si="3">I69/2</f>
        <v>#N/A</v>
      </c>
    </row>
    <row r="70" spans="1:10" x14ac:dyDescent="0.35">
      <c r="A70" t="s">
        <v>48</v>
      </c>
      <c r="B70" t="s">
        <v>49</v>
      </c>
      <c r="C70" t="s">
        <v>7</v>
      </c>
      <c r="D70" t="s">
        <v>50</v>
      </c>
      <c r="E70">
        <v>1</v>
      </c>
      <c r="F70" s="14">
        <v>6.4875883000000005</v>
      </c>
      <c r="G70" s="9" t="e">
        <v>#N/A</v>
      </c>
      <c r="H70" s="12">
        <v>0.78371756433918571</v>
      </c>
      <c r="I70" s="19" t="e">
        <f t="shared" si="2"/>
        <v>#N/A</v>
      </c>
      <c r="J70" t="e">
        <f t="shared" si="3"/>
        <v>#N/A</v>
      </c>
    </row>
    <row r="71" spans="1:10" x14ac:dyDescent="0.35">
      <c r="A71" t="s">
        <v>48</v>
      </c>
      <c r="B71" t="s">
        <v>49</v>
      </c>
      <c r="C71" t="s">
        <v>9</v>
      </c>
      <c r="D71" t="s">
        <v>50</v>
      </c>
      <c r="E71">
        <v>1</v>
      </c>
      <c r="F71" s="14">
        <v>10.9727718</v>
      </c>
      <c r="G71" s="9" t="e">
        <v>#N/A</v>
      </c>
      <c r="H71" s="12">
        <v>0.33491054243427321</v>
      </c>
      <c r="I71" s="19" t="e">
        <f t="shared" si="2"/>
        <v>#N/A</v>
      </c>
      <c r="J71" t="e">
        <f t="shared" si="3"/>
        <v>#N/A</v>
      </c>
    </row>
    <row r="72" spans="1:10" x14ac:dyDescent="0.35">
      <c r="A72" t="s">
        <v>48</v>
      </c>
      <c r="B72" t="s">
        <v>49</v>
      </c>
      <c r="C72" t="s">
        <v>10</v>
      </c>
      <c r="D72" t="s">
        <v>50</v>
      </c>
      <c r="E72">
        <v>1</v>
      </c>
      <c r="F72" s="14">
        <v>1.0574169</v>
      </c>
      <c r="G72" s="9" t="e">
        <v>#N/A</v>
      </c>
      <c r="H72" s="12">
        <v>7.8351723387950267E-2</v>
      </c>
      <c r="I72" s="19" t="e">
        <f t="shared" si="2"/>
        <v>#N/A</v>
      </c>
      <c r="J72" t="e">
        <f t="shared" si="3"/>
        <v>#N/A</v>
      </c>
    </row>
    <row r="73" spans="1:10" x14ac:dyDescent="0.35">
      <c r="A73" t="s">
        <v>48</v>
      </c>
      <c r="B73" t="s">
        <v>49</v>
      </c>
      <c r="C73" t="s">
        <v>11</v>
      </c>
      <c r="D73" t="s">
        <v>50</v>
      </c>
      <c r="E73">
        <v>1</v>
      </c>
      <c r="F73" s="14">
        <v>24.593410299999999</v>
      </c>
      <c r="G73" s="9">
        <v>3.1250970868691059</v>
      </c>
      <c r="H73" s="12">
        <v>9.8309126878479844</v>
      </c>
      <c r="I73" s="19">
        <f t="shared" si="2"/>
        <v>3.1250970868691059</v>
      </c>
      <c r="J73">
        <f t="shared" si="3"/>
        <v>1.562548543434553</v>
      </c>
    </row>
    <row r="74" spans="1:10" x14ac:dyDescent="0.35">
      <c r="A74" t="s">
        <v>48</v>
      </c>
      <c r="B74" t="s">
        <v>49</v>
      </c>
      <c r="C74" t="s">
        <v>12</v>
      </c>
      <c r="D74" t="s">
        <v>50</v>
      </c>
      <c r="E74">
        <v>1</v>
      </c>
      <c r="F74" s="14">
        <v>92.250922799999998</v>
      </c>
      <c r="G74" s="9">
        <v>9.2149559236353831</v>
      </c>
      <c r="H74" s="12">
        <v>7.4235702896453564</v>
      </c>
      <c r="I74" s="19">
        <f t="shared" si="2"/>
        <v>9.2149559236353831</v>
      </c>
      <c r="J74">
        <f t="shared" si="3"/>
        <v>4.6074779618176915</v>
      </c>
    </row>
    <row r="75" spans="1:10" x14ac:dyDescent="0.35">
      <c r="A75" t="s">
        <v>48</v>
      </c>
      <c r="B75" t="s">
        <v>49</v>
      </c>
      <c r="C75" t="s">
        <v>13</v>
      </c>
      <c r="D75" t="s">
        <v>50</v>
      </c>
      <c r="E75">
        <v>1</v>
      </c>
      <c r="F75" s="14">
        <v>280.79809690000002</v>
      </c>
      <c r="G75" s="9">
        <v>9.927641526980949</v>
      </c>
      <c r="H75" s="12">
        <v>73.54163249194923</v>
      </c>
      <c r="I75" s="19">
        <f t="shared" si="2"/>
        <v>9.927641526980949</v>
      </c>
      <c r="J75">
        <f t="shared" si="3"/>
        <v>4.9638207634904745</v>
      </c>
    </row>
    <row r="76" spans="1:10" x14ac:dyDescent="0.35">
      <c r="A76" t="s">
        <v>48</v>
      </c>
      <c r="B76" t="s">
        <v>49</v>
      </c>
      <c r="C76" t="s">
        <v>14</v>
      </c>
      <c r="D76" t="s">
        <v>50</v>
      </c>
      <c r="E76">
        <v>1</v>
      </c>
      <c r="F76" s="14">
        <v>0</v>
      </c>
      <c r="G76" s="9" t="e">
        <v>#N/A</v>
      </c>
      <c r="H76" s="12">
        <v>-2.611695608638525E-2</v>
      </c>
      <c r="I76" s="19" t="e">
        <f t="shared" si="2"/>
        <v>#N/A</v>
      </c>
      <c r="J76" t="e">
        <f t="shared" si="3"/>
        <v>#N/A</v>
      </c>
    </row>
    <row r="77" spans="1:10" x14ac:dyDescent="0.35">
      <c r="A77" t="s">
        <v>48</v>
      </c>
      <c r="B77" t="s">
        <v>49</v>
      </c>
      <c r="C77" t="s">
        <v>15</v>
      </c>
      <c r="D77" t="s">
        <v>50</v>
      </c>
      <c r="E77">
        <v>1</v>
      </c>
      <c r="F77" s="14">
        <v>16.017326799999999</v>
      </c>
      <c r="G77" s="9">
        <v>2.4892342292119873</v>
      </c>
      <c r="H77" s="12">
        <v>0.77618938541188731</v>
      </c>
      <c r="I77" s="19">
        <f t="shared" si="2"/>
        <v>2.4892342292119873</v>
      </c>
      <c r="J77">
        <f t="shared" si="3"/>
        <v>1.2446171146059937</v>
      </c>
    </row>
    <row r="78" spans="1:10" x14ac:dyDescent="0.35">
      <c r="A78" t="s">
        <v>48</v>
      </c>
      <c r="B78" t="s">
        <v>49</v>
      </c>
      <c r="C78" t="s">
        <v>16</v>
      </c>
      <c r="D78" t="s">
        <v>50</v>
      </c>
      <c r="E78">
        <v>1</v>
      </c>
      <c r="F78" s="14">
        <v>0</v>
      </c>
      <c r="G78" s="9" t="e">
        <v>#N/A</v>
      </c>
      <c r="H78" s="12">
        <v>0.16473303563567468</v>
      </c>
      <c r="I78" s="19" t="e">
        <f t="shared" si="2"/>
        <v>#N/A</v>
      </c>
      <c r="J78" t="e">
        <f t="shared" si="3"/>
        <v>#N/A</v>
      </c>
    </row>
    <row r="79" spans="1:10" x14ac:dyDescent="0.35">
      <c r="A79" t="s">
        <v>48</v>
      </c>
      <c r="B79" t="s">
        <v>49</v>
      </c>
      <c r="C79" t="s">
        <v>17</v>
      </c>
      <c r="D79" t="s">
        <v>50</v>
      </c>
      <c r="E79">
        <v>1</v>
      </c>
      <c r="F79" s="14">
        <v>3781.7041416000002</v>
      </c>
      <c r="G79" s="9">
        <v>25.491868148485459</v>
      </c>
      <c r="H79" s="12">
        <v>275.67043896991129</v>
      </c>
      <c r="I79" s="19">
        <f t="shared" si="2"/>
        <v>25.491868148485459</v>
      </c>
      <c r="J79">
        <f t="shared" si="3"/>
        <v>12.745934074242729</v>
      </c>
    </row>
    <row r="80" spans="1:10" x14ac:dyDescent="0.35">
      <c r="A80" t="s">
        <v>48</v>
      </c>
      <c r="B80" t="s">
        <v>49</v>
      </c>
      <c r="C80" t="s">
        <v>18</v>
      </c>
      <c r="D80" t="s">
        <v>50</v>
      </c>
      <c r="E80">
        <v>1</v>
      </c>
      <c r="F80" s="14">
        <v>399.9685551</v>
      </c>
      <c r="G80" s="9">
        <v>34.740163373768631</v>
      </c>
      <c r="H80" s="12">
        <v>100.53341950400326</v>
      </c>
      <c r="I80" s="19">
        <f t="shared" si="2"/>
        <v>34.740163373768631</v>
      </c>
      <c r="J80">
        <f t="shared" si="3"/>
        <v>17.370081686884316</v>
      </c>
    </row>
    <row r="81" spans="1:10" x14ac:dyDescent="0.35">
      <c r="A81" t="s">
        <v>48</v>
      </c>
      <c r="B81" t="s">
        <v>49</v>
      </c>
      <c r="C81" t="s">
        <v>20</v>
      </c>
      <c r="D81" t="s">
        <v>50</v>
      </c>
      <c r="E81">
        <v>1</v>
      </c>
      <c r="F81" s="14">
        <v>10.632385599999999</v>
      </c>
      <c r="G81" s="9">
        <v>0.6918657967118369</v>
      </c>
      <c r="H81" s="12">
        <v>2.2874953904190787</v>
      </c>
      <c r="I81" s="19">
        <f t="shared" si="2"/>
        <v>0.6918657967118369</v>
      </c>
      <c r="J81">
        <f t="shared" si="3"/>
        <v>0.34593289835591845</v>
      </c>
    </row>
    <row r="82" spans="1:10" x14ac:dyDescent="0.35">
      <c r="A82" t="s">
        <v>48</v>
      </c>
      <c r="B82" t="s">
        <v>49</v>
      </c>
      <c r="C82" t="s">
        <v>21</v>
      </c>
      <c r="D82" t="s">
        <v>50</v>
      </c>
      <c r="E82">
        <v>1</v>
      </c>
      <c r="F82" s="14">
        <v>1125.7129593</v>
      </c>
      <c r="G82" s="9">
        <v>13.367492690756798</v>
      </c>
      <c r="H82" s="12">
        <v>91.826634428014344</v>
      </c>
      <c r="I82" s="19">
        <f t="shared" si="2"/>
        <v>13.367492690756798</v>
      </c>
      <c r="J82">
        <f t="shared" si="3"/>
        <v>6.683746345378399</v>
      </c>
    </row>
    <row r="83" spans="1:10" x14ac:dyDescent="0.35">
      <c r="A83" t="s">
        <v>48</v>
      </c>
      <c r="B83" t="s">
        <v>49</v>
      </c>
      <c r="C83" t="s">
        <v>22</v>
      </c>
      <c r="D83" t="s">
        <v>50</v>
      </c>
      <c r="E83">
        <v>1</v>
      </c>
      <c r="F83" s="14">
        <v>916.77240740000002</v>
      </c>
      <c r="G83" s="9">
        <v>92.303960984919925</v>
      </c>
      <c r="H83" s="12">
        <v>2.4954383605449347E-2</v>
      </c>
      <c r="I83" s="19">
        <f t="shared" si="2"/>
        <v>92.303960984919925</v>
      </c>
      <c r="J83">
        <f t="shared" si="3"/>
        <v>46.151980492459963</v>
      </c>
    </row>
    <row r="84" spans="1:10" x14ac:dyDescent="0.35">
      <c r="A84" t="s">
        <v>48</v>
      </c>
      <c r="B84" t="s">
        <v>49</v>
      </c>
      <c r="C84" t="s">
        <v>23</v>
      </c>
      <c r="D84" t="s">
        <v>50</v>
      </c>
      <c r="E84">
        <v>1</v>
      </c>
      <c r="F84" s="14">
        <v>0.34779369999999998</v>
      </c>
      <c r="G84" s="9" t="e">
        <v>#N/A</v>
      </c>
      <c r="H84" s="12">
        <v>75.631288375846964</v>
      </c>
      <c r="I84" s="19" t="e">
        <f t="shared" si="2"/>
        <v>#N/A</v>
      </c>
      <c r="J84" t="e">
        <f t="shared" si="3"/>
        <v>#N/A</v>
      </c>
    </row>
    <row r="85" spans="1:10" x14ac:dyDescent="0.35">
      <c r="A85" t="s">
        <v>48</v>
      </c>
      <c r="B85" t="s">
        <v>49</v>
      </c>
      <c r="C85" t="s">
        <v>24</v>
      </c>
      <c r="D85" t="s">
        <v>50</v>
      </c>
      <c r="E85">
        <v>1</v>
      </c>
      <c r="F85" s="14">
        <v>1190.6025333</v>
      </c>
      <c r="G85" s="9">
        <v>92.501806965492776</v>
      </c>
      <c r="H85" s="12">
        <v>182.38921952044905</v>
      </c>
      <c r="I85" s="19">
        <f t="shared" si="2"/>
        <v>92.501806965492776</v>
      </c>
      <c r="J85">
        <f t="shared" si="3"/>
        <v>46.250903482746388</v>
      </c>
    </row>
    <row r="86" spans="1:10" x14ac:dyDescent="0.35">
      <c r="A86" t="s">
        <v>48</v>
      </c>
      <c r="B86" t="s">
        <v>49</v>
      </c>
      <c r="C86" t="s">
        <v>25</v>
      </c>
      <c r="D86" t="s">
        <v>50</v>
      </c>
      <c r="E86">
        <v>1</v>
      </c>
      <c r="F86" s="14">
        <v>6.1077079999999997</v>
      </c>
      <c r="G86" s="9">
        <v>7.0182408755989334</v>
      </c>
      <c r="H86" s="12">
        <v>15.619793883810091</v>
      </c>
      <c r="I86" s="19">
        <f t="shared" si="2"/>
        <v>7.0182408755989334</v>
      </c>
      <c r="J86">
        <f t="shared" si="3"/>
        <v>3.5091204377994667</v>
      </c>
    </row>
    <row r="87" spans="1:10" x14ac:dyDescent="0.35">
      <c r="A87" t="s">
        <v>48</v>
      </c>
      <c r="B87" t="s">
        <v>49</v>
      </c>
      <c r="C87" t="s">
        <v>26</v>
      </c>
      <c r="D87" t="s">
        <v>50</v>
      </c>
      <c r="E87">
        <v>1</v>
      </c>
      <c r="F87" s="14">
        <v>1884.9026352999999</v>
      </c>
      <c r="G87" s="9">
        <v>40.510985953447872</v>
      </c>
      <c r="H87" s="12">
        <v>53.949186698904299</v>
      </c>
      <c r="I87" s="19">
        <f t="shared" si="2"/>
        <v>40.510985953447872</v>
      </c>
      <c r="J87">
        <f t="shared" si="3"/>
        <v>20.255492976723936</v>
      </c>
    </row>
    <row r="88" spans="1:10" x14ac:dyDescent="0.35">
      <c r="A88" t="s">
        <v>48</v>
      </c>
      <c r="B88" t="s">
        <v>49</v>
      </c>
      <c r="C88" t="s">
        <v>27</v>
      </c>
      <c r="D88" t="s">
        <v>50</v>
      </c>
      <c r="E88">
        <v>1</v>
      </c>
      <c r="F88" s="14">
        <v>150.35204440000001</v>
      </c>
      <c r="G88" s="9">
        <v>16.858653507789946</v>
      </c>
      <c r="H88" s="12">
        <v>13.582293567734212</v>
      </c>
      <c r="I88" s="19">
        <f t="shared" si="2"/>
        <v>16.858653507789946</v>
      </c>
      <c r="J88">
        <f t="shared" si="3"/>
        <v>8.4293267538949728</v>
      </c>
    </row>
    <row r="89" spans="1:10" x14ac:dyDescent="0.35">
      <c r="A89" t="s">
        <v>48</v>
      </c>
      <c r="B89" t="s">
        <v>49</v>
      </c>
      <c r="C89" t="s">
        <v>28</v>
      </c>
      <c r="D89" t="s">
        <v>50</v>
      </c>
      <c r="E89">
        <v>1</v>
      </c>
      <c r="F89" s="14">
        <v>54.270929700000003</v>
      </c>
      <c r="G89" s="9">
        <v>5.9202491414320848</v>
      </c>
      <c r="H89" s="12">
        <v>1.4729592557686841</v>
      </c>
      <c r="I89" s="19">
        <f t="shared" si="2"/>
        <v>5.9202491414320848</v>
      </c>
      <c r="J89">
        <f t="shared" si="3"/>
        <v>2.9601245707160424</v>
      </c>
    </row>
    <row r="90" spans="1:10" x14ac:dyDescent="0.35">
      <c r="A90" t="s">
        <v>48</v>
      </c>
      <c r="B90" t="s">
        <v>49</v>
      </c>
      <c r="C90" t="s">
        <v>29</v>
      </c>
      <c r="D90" t="s">
        <v>50</v>
      </c>
      <c r="E90">
        <v>1</v>
      </c>
      <c r="F90" s="14">
        <v>0</v>
      </c>
      <c r="G90" s="9">
        <v>0</v>
      </c>
      <c r="H90" s="12">
        <v>9.695371156273799</v>
      </c>
      <c r="I90" s="19">
        <f t="shared" si="2"/>
        <v>0</v>
      </c>
      <c r="J90">
        <f t="shared" si="3"/>
        <v>0</v>
      </c>
    </row>
    <row r="91" spans="1:10" x14ac:dyDescent="0.35">
      <c r="A91" t="s">
        <v>48</v>
      </c>
      <c r="B91" t="s">
        <v>49</v>
      </c>
      <c r="C91" t="s">
        <v>30</v>
      </c>
      <c r="D91" t="s">
        <v>50</v>
      </c>
      <c r="E91">
        <v>1</v>
      </c>
      <c r="F91" s="14">
        <v>19.658987099999997</v>
      </c>
      <c r="G91" s="9">
        <v>2.3060724262891656</v>
      </c>
      <c r="H91" s="12">
        <v>5.7755462636561727</v>
      </c>
      <c r="I91" s="19">
        <f t="shared" si="2"/>
        <v>2.3060724262891656</v>
      </c>
      <c r="J91">
        <f t="shared" si="3"/>
        <v>1.1530362131445828</v>
      </c>
    </row>
    <row r="92" spans="1:10" x14ac:dyDescent="0.35">
      <c r="A92" t="s">
        <v>48</v>
      </c>
      <c r="B92" t="s">
        <v>49</v>
      </c>
      <c r="C92" t="s">
        <v>31</v>
      </c>
      <c r="D92" t="s">
        <v>50</v>
      </c>
      <c r="E92">
        <v>1</v>
      </c>
      <c r="F92" s="14">
        <v>5.1913860000000005</v>
      </c>
      <c r="G92" s="9">
        <v>0.64067999028726819</v>
      </c>
      <c r="H92" s="12">
        <v>1.5282512673913358</v>
      </c>
      <c r="I92" s="19">
        <f t="shared" si="2"/>
        <v>0.64067999028726819</v>
      </c>
      <c r="J92">
        <f t="shared" si="3"/>
        <v>0.32033999514363409</v>
      </c>
    </row>
    <row r="93" spans="1:10" x14ac:dyDescent="0.35">
      <c r="A93" t="s">
        <v>48</v>
      </c>
      <c r="B93" t="s">
        <v>49</v>
      </c>
      <c r="C93" t="s">
        <v>32</v>
      </c>
      <c r="D93" t="s">
        <v>50</v>
      </c>
      <c r="E93">
        <v>1</v>
      </c>
      <c r="F93" s="14">
        <v>40.570802199999996</v>
      </c>
      <c r="G93" s="9">
        <v>1.6413501538105706</v>
      </c>
      <c r="H93" s="12">
        <v>5.0175814300741726</v>
      </c>
      <c r="I93" s="19">
        <f t="shared" si="2"/>
        <v>1.6413501538105706</v>
      </c>
      <c r="J93">
        <f t="shared" si="3"/>
        <v>0.82067507690528529</v>
      </c>
    </row>
    <row r="94" spans="1:10" x14ac:dyDescent="0.35">
      <c r="A94" t="s">
        <v>48</v>
      </c>
      <c r="B94" t="s">
        <v>49</v>
      </c>
      <c r="C94" t="s">
        <v>33</v>
      </c>
      <c r="D94" t="s">
        <v>50</v>
      </c>
      <c r="E94">
        <v>1</v>
      </c>
      <c r="F94" s="14">
        <v>7.5946672</v>
      </c>
      <c r="G94" s="9" t="e">
        <v>#N/A</v>
      </c>
      <c r="H94" s="12">
        <v>0.33349229163493022</v>
      </c>
      <c r="I94" s="19" t="e">
        <f t="shared" si="2"/>
        <v>#N/A</v>
      </c>
      <c r="J94" t="e">
        <f t="shared" si="3"/>
        <v>#N/A</v>
      </c>
    </row>
    <row r="95" spans="1:10" x14ac:dyDescent="0.35">
      <c r="A95" t="s">
        <v>48</v>
      </c>
      <c r="B95" t="s">
        <v>49</v>
      </c>
      <c r="C95" t="s">
        <v>34</v>
      </c>
      <c r="D95" t="s">
        <v>50</v>
      </c>
      <c r="E95">
        <v>1</v>
      </c>
      <c r="F95" s="14">
        <v>0</v>
      </c>
      <c r="G95" s="9" t="e">
        <v>#N/A</v>
      </c>
      <c r="H95" s="12">
        <v>0.12524972146746438</v>
      </c>
      <c r="I95" s="19" t="e">
        <f t="shared" si="2"/>
        <v>#N/A</v>
      </c>
      <c r="J95" t="e">
        <f t="shared" si="3"/>
        <v>#N/A</v>
      </c>
    </row>
    <row r="96" spans="1:10" x14ac:dyDescent="0.35">
      <c r="A96" t="s">
        <v>48</v>
      </c>
      <c r="B96" t="s">
        <v>49</v>
      </c>
      <c r="C96" t="s">
        <v>35</v>
      </c>
      <c r="D96" t="s">
        <v>50</v>
      </c>
      <c r="E96">
        <v>1</v>
      </c>
      <c r="F96" s="14">
        <v>140.17136439999999</v>
      </c>
      <c r="G96" s="9">
        <v>7.024197095415766</v>
      </c>
      <c r="H96" s="12">
        <v>8.3657979554713773</v>
      </c>
      <c r="I96" s="19">
        <f t="shared" si="2"/>
        <v>7.024197095415766</v>
      </c>
      <c r="J96">
        <f t="shared" si="3"/>
        <v>3.512098547707883</v>
      </c>
    </row>
    <row r="97" spans="1:10" x14ac:dyDescent="0.35">
      <c r="A97" t="s">
        <v>48</v>
      </c>
      <c r="B97" t="s">
        <v>49</v>
      </c>
      <c r="C97" t="s">
        <v>36</v>
      </c>
      <c r="D97" t="s">
        <v>50</v>
      </c>
      <c r="E97">
        <v>1</v>
      </c>
      <c r="F97" s="14">
        <v>11.673013300000001</v>
      </c>
      <c r="G97" s="9">
        <v>1.1347706267206332</v>
      </c>
      <c r="H97" s="12">
        <v>0.94197356868236715</v>
      </c>
      <c r="I97" s="19">
        <f t="shared" si="2"/>
        <v>1.1347706267206332</v>
      </c>
      <c r="J97">
        <f t="shared" si="3"/>
        <v>0.56738531336031661</v>
      </c>
    </row>
    <row r="98" spans="1:10" x14ac:dyDescent="0.35">
      <c r="A98" t="s">
        <v>48</v>
      </c>
      <c r="B98" t="s">
        <v>49</v>
      </c>
      <c r="C98" t="s">
        <v>37</v>
      </c>
      <c r="D98" t="s">
        <v>50</v>
      </c>
      <c r="E98">
        <v>1</v>
      </c>
      <c r="F98" s="14">
        <v>76.1832311</v>
      </c>
      <c r="G98" s="9">
        <v>7.2277602804772636</v>
      </c>
      <c r="H98" s="12">
        <v>23.526852692670722</v>
      </c>
      <c r="I98" s="19">
        <f t="shared" si="2"/>
        <v>7.2277602804772636</v>
      </c>
      <c r="J98">
        <f t="shared" si="3"/>
        <v>3.6138801402386318</v>
      </c>
    </row>
    <row r="99" spans="1:10" x14ac:dyDescent="0.35">
      <c r="A99" t="s">
        <v>48</v>
      </c>
      <c r="B99" t="s">
        <v>49</v>
      </c>
      <c r="C99" t="s">
        <v>38</v>
      </c>
      <c r="D99" t="s">
        <v>50</v>
      </c>
      <c r="E99">
        <v>1</v>
      </c>
      <c r="F99" s="14">
        <v>1.9660055999999999</v>
      </c>
      <c r="G99" s="9" t="e">
        <v>#N/A</v>
      </c>
      <c r="H99" s="12">
        <v>0.46790813147488836</v>
      </c>
      <c r="I99" s="19" t="e">
        <f t="shared" si="2"/>
        <v>#N/A</v>
      </c>
      <c r="J99" t="e">
        <f t="shared" si="3"/>
        <v>#N/A</v>
      </c>
    </row>
    <row r="100" spans="1:10" x14ac:dyDescent="0.35">
      <c r="A100" t="s">
        <v>48</v>
      </c>
      <c r="B100" t="s">
        <v>49</v>
      </c>
      <c r="C100" t="s">
        <v>39</v>
      </c>
      <c r="D100" t="s">
        <v>50</v>
      </c>
      <c r="E100">
        <v>1</v>
      </c>
      <c r="F100" s="14">
        <v>0.1649234</v>
      </c>
      <c r="G100" s="9" t="e">
        <v>#N/A</v>
      </c>
      <c r="H100" s="12">
        <v>0.27474158012367111</v>
      </c>
      <c r="I100" s="19" t="e">
        <f t="shared" si="2"/>
        <v>#N/A</v>
      </c>
      <c r="J100" t="e">
        <f t="shared" si="3"/>
        <v>#N/A</v>
      </c>
    </row>
    <row r="101" spans="1:10" x14ac:dyDescent="0.35">
      <c r="A101" t="s">
        <v>48</v>
      </c>
      <c r="B101" t="s">
        <v>49</v>
      </c>
      <c r="C101" t="s">
        <v>40</v>
      </c>
      <c r="D101" t="s">
        <v>50</v>
      </c>
      <c r="E101">
        <v>1</v>
      </c>
      <c r="F101" s="14">
        <v>12.290981200000001</v>
      </c>
      <c r="G101" s="9">
        <v>1.4177299682924214</v>
      </c>
      <c r="H101" s="12">
        <v>1.5366894101575754</v>
      </c>
      <c r="I101" s="19">
        <f t="shared" si="2"/>
        <v>1.4177299682924214</v>
      </c>
      <c r="J101">
        <f t="shared" si="3"/>
        <v>0.70886498414621069</v>
      </c>
    </row>
    <row r="102" spans="1:10" x14ac:dyDescent="0.35">
      <c r="A102" t="s">
        <v>48</v>
      </c>
      <c r="B102" t="s">
        <v>49</v>
      </c>
      <c r="C102" t="s">
        <v>41</v>
      </c>
      <c r="D102" t="s">
        <v>50</v>
      </c>
      <c r="E102">
        <v>1</v>
      </c>
      <c r="F102" s="14">
        <v>83.230081600000005</v>
      </c>
      <c r="G102" s="9">
        <v>2.3961754041610406</v>
      </c>
      <c r="H102" s="12">
        <v>3.2561134130699241</v>
      </c>
      <c r="I102" s="19">
        <f t="shared" si="2"/>
        <v>2.3961754041610406</v>
      </c>
      <c r="J102">
        <f t="shared" si="3"/>
        <v>1.1980877020805203</v>
      </c>
    </row>
    <row r="103" spans="1:10" s="8" customFormat="1" x14ac:dyDescent="0.35">
      <c r="A103" s="8" t="s">
        <v>48</v>
      </c>
      <c r="B103" s="8" t="s">
        <v>49</v>
      </c>
      <c r="C103" s="8" t="s">
        <v>42</v>
      </c>
      <c r="D103" s="8" t="s">
        <v>50</v>
      </c>
      <c r="E103" s="8">
        <v>1</v>
      </c>
      <c r="F103" s="15">
        <v>0</v>
      </c>
      <c r="G103" s="10" t="e">
        <v>#N/A</v>
      </c>
      <c r="H103" s="13">
        <v>0.42943432079012328</v>
      </c>
      <c r="I103" s="20" t="e">
        <f t="shared" si="2"/>
        <v>#N/A</v>
      </c>
      <c r="J103" s="8" t="e">
        <f t="shared" si="3"/>
        <v>#N/A</v>
      </c>
    </row>
    <row r="104" spans="1:10" x14ac:dyDescent="0.35">
      <c r="A104" t="s">
        <v>52</v>
      </c>
      <c r="B104" t="s">
        <v>53</v>
      </c>
      <c r="C104" t="s">
        <v>7</v>
      </c>
      <c r="D104" t="s">
        <v>54</v>
      </c>
      <c r="E104">
        <v>1</v>
      </c>
      <c r="F104" s="14">
        <v>6.7419951999999999</v>
      </c>
      <c r="G104" s="9" t="e">
        <v>#N/A</v>
      </c>
      <c r="H104" s="12">
        <v>0.75160764966210225</v>
      </c>
      <c r="I104" s="19" t="e">
        <f t="shared" si="2"/>
        <v>#N/A</v>
      </c>
      <c r="J104" t="e">
        <f t="shared" si="3"/>
        <v>#N/A</v>
      </c>
    </row>
    <row r="105" spans="1:10" x14ac:dyDescent="0.35">
      <c r="A105" t="s">
        <v>52</v>
      </c>
      <c r="B105" t="s">
        <v>53</v>
      </c>
      <c r="C105" t="s">
        <v>9</v>
      </c>
      <c r="D105" t="s">
        <v>54</v>
      </c>
      <c r="E105">
        <v>1</v>
      </c>
      <c r="F105" s="14">
        <v>0</v>
      </c>
      <c r="G105" s="9" t="e">
        <v>#N/A</v>
      </c>
      <c r="H105" s="12">
        <v>-6.0648086621358024E-2</v>
      </c>
      <c r="I105" s="19" t="e">
        <f t="shared" si="2"/>
        <v>#N/A</v>
      </c>
      <c r="J105" t="e">
        <f t="shared" si="3"/>
        <v>#N/A</v>
      </c>
    </row>
    <row r="106" spans="1:10" x14ac:dyDescent="0.35">
      <c r="A106" t="s">
        <v>52</v>
      </c>
      <c r="B106" t="s">
        <v>53</v>
      </c>
      <c r="C106" t="s">
        <v>10</v>
      </c>
      <c r="D106" t="s">
        <v>54</v>
      </c>
      <c r="E106">
        <v>1</v>
      </c>
      <c r="F106" s="14">
        <v>0</v>
      </c>
      <c r="G106" s="9" t="e">
        <v>#N/A</v>
      </c>
      <c r="H106" s="12">
        <v>-8.37782698966681E-3</v>
      </c>
      <c r="I106" s="19" t="e">
        <f t="shared" si="2"/>
        <v>#N/A</v>
      </c>
      <c r="J106" t="e">
        <f t="shared" si="3"/>
        <v>#N/A</v>
      </c>
    </row>
    <row r="107" spans="1:10" x14ac:dyDescent="0.35">
      <c r="A107" t="s">
        <v>52</v>
      </c>
      <c r="B107" t="s">
        <v>53</v>
      </c>
      <c r="C107" t="s">
        <v>11</v>
      </c>
      <c r="D107" t="s">
        <v>54</v>
      </c>
      <c r="E107">
        <v>1</v>
      </c>
      <c r="F107" s="14">
        <v>8.9879604999999998</v>
      </c>
      <c r="G107" s="9">
        <v>1.4675129886486356</v>
      </c>
      <c r="H107" s="12">
        <v>4.9538249109711563</v>
      </c>
      <c r="I107" s="19">
        <f t="shared" si="2"/>
        <v>1.4675129886486356</v>
      </c>
      <c r="J107">
        <f t="shared" si="3"/>
        <v>0.73375649432431778</v>
      </c>
    </row>
    <row r="108" spans="1:10" x14ac:dyDescent="0.35">
      <c r="A108" t="s">
        <v>52</v>
      </c>
      <c r="B108" t="s">
        <v>53</v>
      </c>
      <c r="C108" t="s">
        <v>12</v>
      </c>
      <c r="D108" t="s">
        <v>54</v>
      </c>
      <c r="E108">
        <v>1</v>
      </c>
      <c r="F108" s="14">
        <v>108.34571099999999</v>
      </c>
      <c r="G108" s="9">
        <v>11.214030447457379</v>
      </c>
      <c r="H108" s="12">
        <v>8.7182369333303598</v>
      </c>
      <c r="I108" s="19">
        <f t="shared" si="2"/>
        <v>11.214030447457379</v>
      </c>
      <c r="J108">
        <f t="shared" si="3"/>
        <v>5.6070152237286894</v>
      </c>
    </row>
    <row r="109" spans="1:10" x14ac:dyDescent="0.35">
      <c r="A109" t="s">
        <v>52</v>
      </c>
      <c r="B109" t="s">
        <v>53</v>
      </c>
      <c r="C109" t="s">
        <v>13</v>
      </c>
      <c r="D109" t="s">
        <v>54</v>
      </c>
      <c r="E109">
        <v>1</v>
      </c>
      <c r="F109" s="14">
        <v>327.58338859999998</v>
      </c>
      <c r="G109" s="9">
        <v>34.744353319557547</v>
      </c>
      <c r="H109" s="12">
        <v>85.556537481196457</v>
      </c>
      <c r="I109" s="19">
        <f t="shared" si="2"/>
        <v>34.744353319557547</v>
      </c>
      <c r="J109">
        <f t="shared" si="3"/>
        <v>17.372176659778773</v>
      </c>
    </row>
    <row r="110" spans="1:10" x14ac:dyDescent="0.35">
      <c r="A110" t="s">
        <v>52</v>
      </c>
      <c r="B110" t="s">
        <v>53</v>
      </c>
      <c r="C110" t="s">
        <v>14</v>
      </c>
      <c r="D110" t="s">
        <v>54</v>
      </c>
      <c r="E110">
        <v>1</v>
      </c>
      <c r="F110" s="14">
        <v>0</v>
      </c>
      <c r="G110" s="9" t="e">
        <v>#N/A</v>
      </c>
      <c r="H110" s="12">
        <v>-1.6659835030285779E-2</v>
      </c>
      <c r="I110" s="19" t="e">
        <f t="shared" si="2"/>
        <v>#N/A</v>
      </c>
      <c r="J110" t="e">
        <f t="shared" si="3"/>
        <v>#N/A</v>
      </c>
    </row>
    <row r="111" spans="1:10" x14ac:dyDescent="0.35">
      <c r="A111" t="s">
        <v>52</v>
      </c>
      <c r="B111" t="s">
        <v>53</v>
      </c>
      <c r="C111" t="s">
        <v>15</v>
      </c>
      <c r="D111" t="s">
        <v>54</v>
      </c>
      <c r="E111">
        <v>1</v>
      </c>
      <c r="F111" s="14">
        <v>11.593805399999999</v>
      </c>
      <c r="G111" s="9">
        <v>1.8031418305002207</v>
      </c>
      <c r="H111" s="12">
        <v>0.56432385624760295</v>
      </c>
      <c r="I111" s="19">
        <f t="shared" si="2"/>
        <v>1.8031418305002207</v>
      </c>
      <c r="J111">
        <f t="shared" si="3"/>
        <v>0.90157091525011035</v>
      </c>
    </row>
    <row r="112" spans="1:10" x14ac:dyDescent="0.35">
      <c r="A112" t="s">
        <v>52</v>
      </c>
      <c r="B112" t="s">
        <v>53</v>
      </c>
      <c r="C112" t="s">
        <v>16</v>
      </c>
      <c r="D112" t="s">
        <v>54</v>
      </c>
      <c r="E112">
        <v>1</v>
      </c>
      <c r="F112" s="14">
        <v>0</v>
      </c>
      <c r="G112" s="9" t="e">
        <v>#N/A</v>
      </c>
      <c r="H112" s="12">
        <v>0.62345923749598786</v>
      </c>
      <c r="I112" s="19" t="e">
        <f t="shared" si="2"/>
        <v>#N/A</v>
      </c>
      <c r="J112" t="e">
        <f t="shared" si="3"/>
        <v>#N/A</v>
      </c>
    </row>
    <row r="113" spans="1:10" x14ac:dyDescent="0.35">
      <c r="A113" t="s">
        <v>52</v>
      </c>
      <c r="B113" t="s">
        <v>53</v>
      </c>
      <c r="C113" t="s">
        <v>17</v>
      </c>
      <c r="D113" t="s">
        <v>54</v>
      </c>
      <c r="E113">
        <v>1</v>
      </c>
      <c r="F113" s="14">
        <v>3321.8463094000003</v>
      </c>
      <c r="G113" s="9">
        <v>84.081329318070246</v>
      </c>
      <c r="H113" s="12">
        <v>242.13181051544964</v>
      </c>
      <c r="I113" s="19">
        <f t="shared" si="2"/>
        <v>84.081329318070246</v>
      </c>
      <c r="J113">
        <f t="shared" si="3"/>
        <v>42.040664659035123</v>
      </c>
    </row>
    <row r="114" spans="1:10" x14ac:dyDescent="0.35">
      <c r="A114" t="s">
        <v>52</v>
      </c>
      <c r="B114" t="s">
        <v>53</v>
      </c>
      <c r="C114" t="s">
        <v>18</v>
      </c>
      <c r="D114" t="s">
        <v>54</v>
      </c>
      <c r="E114">
        <v>1</v>
      </c>
      <c r="F114" s="14">
        <v>303.93005879999998</v>
      </c>
      <c r="G114" s="9">
        <v>28.895091705064829</v>
      </c>
      <c r="H114" s="12">
        <v>76.503090925255677</v>
      </c>
      <c r="I114" s="19">
        <f t="shared" si="2"/>
        <v>28.895091705064829</v>
      </c>
      <c r="J114">
        <f t="shared" si="3"/>
        <v>14.447545852532414</v>
      </c>
    </row>
    <row r="115" spans="1:10" x14ac:dyDescent="0.35">
      <c r="A115" t="s">
        <v>52</v>
      </c>
      <c r="B115" t="s">
        <v>53</v>
      </c>
      <c r="C115" t="s">
        <v>20</v>
      </c>
      <c r="D115" t="s">
        <v>54</v>
      </c>
      <c r="E115">
        <v>1</v>
      </c>
      <c r="F115" s="14">
        <v>17.755788299999999</v>
      </c>
      <c r="G115" s="9">
        <v>1.2702351525438726</v>
      </c>
      <c r="H115" s="12">
        <v>3.7179636455747476</v>
      </c>
      <c r="I115" s="19">
        <f t="shared" si="2"/>
        <v>1.2702351525438726</v>
      </c>
      <c r="J115">
        <f t="shared" si="3"/>
        <v>0.63511757627193632</v>
      </c>
    </row>
    <row r="116" spans="1:10" x14ac:dyDescent="0.35">
      <c r="A116" t="s">
        <v>52</v>
      </c>
      <c r="B116" t="s">
        <v>53</v>
      </c>
      <c r="C116" t="s">
        <v>21</v>
      </c>
      <c r="D116" t="s">
        <v>54</v>
      </c>
      <c r="E116">
        <v>1</v>
      </c>
      <c r="F116" s="14">
        <v>447.58989049999997</v>
      </c>
      <c r="G116" s="9">
        <v>36.283685123986629</v>
      </c>
      <c r="H116" s="12">
        <v>36.713028132990679</v>
      </c>
      <c r="I116" s="19">
        <f t="shared" si="2"/>
        <v>36.283685123986629</v>
      </c>
      <c r="J116">
        <f t="shared" si="3"/>
        <v>18.141842561993315</v>
      </c>
    </row>
    <row r="117" spans="1:10" x14ac:dyDescent="0.35">
      <c r="A117" t="s">
        <v>52</v>
      </c>
      <c r="B117" t="s">
        <v>53</v>
      </c>
      <c r="C117" t="s">
        <v>22</v>
      </c>
      <c r="D117" t="s">
        <v>54</v>
      </c>
      <c r="E117">
        <v>1</v>
      </c>
      <c r="F117" s="14">
        <v>4.6886047</v>
      </c>
      <c r="G117" s="9">
        <v>55.655673574305922</v>
      </c>
      <c r="H117" s="12">
        <v>24.759233285061107</v>
      </c>
      <c r="I117" s="19">
        <f t="shared" si="2"/>
        <v>55.655673574305922</v>
      </c>
      <c r="J117">
        <f t="shared" si="3"/>
        <v>27.827836787152961</v>
      </c>
    </row>
    <row r="118" spans="1:10" x14ac:dyDescent="0.35">
      <c r="A118" t="s">
        <v>52</v>
      </c>
      <c r="B118" t="s">
        <v>53</v>
      </c>
      <c r="C118" t="s">
        <v>23</v>
      </c>
      <c r="D118" t="s">
        <v>54</v>
      </c>
      <c r="E118">
        <v>1</v>
      </c>
      <c r="F118" s="14">
        <v>0.28992050000000003</v>
      </c>
      <c r="G118" s="9" t="e">
        <v>#N/A</v>
      </c>
      <c r="H118" s="12">
        <v>90.562647076385815</v>
      </c>
      <c r="I118" s="19" t="e">
        <f t="shared" si="2"/>
        <v>#N/A</v>
      </c>
      <c r="J118" t="e">
        <f t="shared" si="3"/>
        <v>#N/A</v>
      </c>
    </row>
    <row r="119" spans="1:10" x14ac:dyDescent="0.35">
      <c r="A119" t="s">
        <v>52</v>
      </c>
      <c r="B119" t="s">
        <v>53</v>
      </c>
      <c r="C119" t="s">
        <v>24</v>
      </c>
      <c r="D119" t="s">
        <v>54</v>
      </c>
      <c r="E119">
        <v>1</v>
      </c>
      <c r="F119" s="14">
        <v>1370.6615456999998</v>
      </c>
      <c r="G119" s="9">
        <v>63.680902506469636</v>
      </c>
      <c r="H119" s="12">
        <v>235.84539865675961</v>
      </c>
      <c r="I119" s="19">
        <f t="shared" si="2"/>
        <v>63.680902506469636</v>
      </c>
      <c r="J119">
        <f t="shared" si="3"/>
        <v>31.840451253234818</v>
      </c>
    </row>
    <row r="120" spans="1:10" x14ac:dyDescent="0.35">
      <c r="A120" t="s">
        <v>52</v>
      </c>
      <c r="B120" t="s">
        <v>53</v>
      </c>
      <c r="C120" t="s">
        <v>25</v>
      </c>
      <c r="D120" t="s">
        <v>54</v>
      </c>
      <c r="E120">
        <v>1</v>
      </c>
      <c r="F120" s="14">
        <v>168.89977359999997</v>
      </c>
      <c r="G120" s="9">
        <v>11.530632506571035</v>
      </c>
      <c r="H120" s="12">
        <v>25.235630909140653</v>
      </c>
      <c r="I120" s="19">
        <f t="shared" si="2"/>
        <v>11.530632506571035</v>
      </c>
      <c r="J120">
        <f t="shared" si="3"/>
        <v>5.7653162532855173</v>
      </c>
    </row>
    <row r="121" spans="1:10" x14ac:dyDescent="0.35">
      <c r="A121" t="s">
        <v>52</v>
      </c>
      <c r="B121" t="s">
        <v>53</v>
      </c>
      <c r="C121" t="s">
        <v>26</v>
      </c>
      <c r="D121" t="s">
        <v>54</v>
      </c>
      <c r="E121">
        <v>1</v>
      </c>
      <c r="F121" s="14">
        <v>1838.9374591999999</v>
      </c>
      <c r="G121" s="9">
        <v>40.64238305064449</v>
      </c>
      <c r="H121" s="12">
        <v>52.633123387795607</v>
      </c>
      <c r="I121" s="19">
        <f t="shared" si="2"/>
        <v>40.64238305064449</v>
      </c>
      <c r="J121">
        <f t="shared" si="3"/>
        <v>20.321191525322245</v>
      </c>
    </row>
    <row r="122" spans="1:10" x14ac:dyDescent="0.35">
      <c r="A122" t="s">
        <v>52</v>
      </c>
      <c r="B122" t="s">
        <v>53</v>
      </c>
      <c r="C122" t="s">
        <v>27</v>
      </c>
      <c r="D122" t="s">
        <v>54</v>
      </c>
      <c r="E122">
        <v>1</v>
      </c>
      <c r="F122" s="14">
        <v>172.991759</v>
      </c>
      <c r="G122" s="9">
        <v>19.834767385494153</v>
      </c>
      <c r="H122" s="12">
        <v>15.608162040392859</v>
      </c>
      <c r="I122" s="19">
        <f t="shared" si="2"/>
        <v>19.834767385494153</v>
      </c>
      <c r="J122">
        <f t="shared" si="3"/>
        <v>9.9173836927470767</v>
      </c>
    </row>
    <row r="123" spans="1:10" x14ac:dyDescent="0.35">
      <c r="A123" t="s">
        <v>52</v>
      </c>
      <c r="B123" t="s">
        <v>53</v>
      </c>
      <c r="C123" t="s">
        <v>28</v>
      </c>
      <c r="D123" t="s">
        <v>54</v>
      </c>
      <c r="E123">
        <v>1</v>
      </c>
      <c r="F123" s="14">
        <v>49.371423900000003</v>
      </c>
      <c r="G123" s="9">
        <v>5.5329054774233946</v>
      </c>
      <c r="H123" s="12">
        <v>0.48536041845815581</v>
      </c>
      <c r="I123" s="19">
        <f t="shared" si="2"/>
        <v>5.5329054774233946</v>
      </c>
      <c r="J123">
        <f t="shared" si="3"/>
        <v>2.7664527387116973</v>
      </c>
    </row>
    <row r="124" spans="1:10" x14ac:dyDescent="0.35">
      <c r="A124" t="s">
        <v>52</v>
      </c>
      <c r="B124" t="s">
        <v>53</v>
      </c>
      <c r="C124" t="s">
        <v>29</v>
      </c>
      <c r="D124" t="s">
        <v>54</v>
      </c>
      <c r="E124">
        <v>1</v>
      </c>
      <c r="F124" s="14">
        <v>15.0574821</v>
      </c>
      <c r="G124" s="9">
        <v>4.5832135117178083</v>
      </c>
      <c r="H124" s="12">
        <v>4.1861411704865006</v>
      </c>
      <c r="I124" s="19">
        <f t="shared" si="2"/>
        <v>4.5832135117178083</v>
      </c>
      <c r="J124">
        <f t="shared" si="3"/>
        <v>2.2916067558589042</v>
      </c>
    </row>
    <row r="125" spans="1:10" x14ac:dyDescent="0.35">
      <c r="A125" t="s">
        <v>52</v>
      </c>
      <c r="B125" t="s">
        <v>53</v>
      </c>
      <c r="C125" t="s">
        <v>30</v>
      </c>
      <c r="D125" t="s">
        <v>54</v>
      </c>
      <c r="E125">
        <v>1</v>
      </c>
      <c r="F125" s="14">
        <v>29.563606199999999</v>
      </c>
      <c r="G125" s="9">
        <v>3.3557285744265157</v>
      </c>
      <c r="H125" s="12">
        <v>8.6797935078464281</v>
      </c>
      <c r="I125" s="19">
        <f t="shared" si="2"/>
        <v>3.3557285744265157</v>
      </c>
      <c r="J125">
        <f t="shared" si="3"/>
        <v>1.6778642872132579</v>
      </c>
    </row>
    <row r="126" spans="1:10" x14ac:dyDescent="0.35">
      <c r="A126" t="s">
        <v>52</v>
      </c>
      <c r="B126" t="s">
        <v>53</v>
      </c>
      <c r="C126" t="s">
        <v>31</v>
      </c>
      <c r="D126" t="s">
        <v>54</v>
      </c>
      <c r="E126">
        <v>1</v>
      </c>
      <c r="F126" s="14">
        <v>10.995604999999999</v>
      </c>
      <c r="G126" s="9">
        <v>1.5580996692610596</v>
      </c>
      <c r="H126" s="12">
        <v>3.274023542100204</v>
      </c>
      <c r="I126" s="19">
        <f t="shared" si="2"/>
        <v>1.5580996692610596</v>
      </c>
      <c r="J126">
        <f t="shared" si="3"/>
        <v>0.77904983463052979</v>
      </c>
    </row>
    <row r="127" spans="1:10" x14ac:dyDescent="0.35">
      <c r="A127" t="s">
        <v>52</v>
      </c>
      <c r="B127" t="s">
        <v>53</v>
      </c>
      <c r="C127" t="s">
        <v>32</v>
      </c>
      <c r="D127" t="s">
        <v>54</v>
      </c>
      <c r="E127">
        <v>1</v>
      </c>
      <c r="F127" s="14">
        <v>27.0357579</v>
      </c>
      <c r="G127" s="9">
        <v>1.0826081793472593</v>
      </c>
      <c r="H127" s="12">
        <v>3.3413201405343296</v>
      </c>
      <c r="I127" s="19">
        <f t="shared" si="2"/>
        <v>1.0826081793472593</v>
      </c>
      <c r="J127">
        <f t="shared" si="3"/>
        <v>0.54130408967362964</v>
      </c>
    </row>
    <row r="128" spans="1:10" x14ac:dyDescent="0.35">
      <c r="A128" t="s">
        <v>52</v>
      </c>
      <c r="B128" t="s">
        <v>53</v>
      </c>
      <c r="C128" t="s">
        <v>33</v>
      </c>
      <c r="D128" t="s">
        <v>54</v>
      </c>
      <c r="E128">
        <v>1</v>
      </c>
      <c r="F128" s="14">
        <v>0</v>
      </c>
      <c r="G128" s="9" t="e">
        <v>#N/A</v>
      </c>
      <c r="H128" s="12">
        <v>1.6310517660904134</v>
      </c>
      <c r="I128" s="19" t="e">
        <f t="shared" si="2"/>
        <v>#N/A</v>
      </c>
      <c r="J128" t="e">
        <f t="shared" si="3"/>
        <v>#N/A</v>
      </c>
    </row>
    <row r="129" spans="1:10" x14ac:dyDescent="0.35">
      <c r="A129" t="s">
        <v>52</v>
      </c>
      <c r="B129" t="s">
        <v>53</v>
      </c>
      <c r="C129" t="s">
        <v>34</v>
      </c>
      <c r="D129" t="s">
        <v>54</v>
      </c>
      <c r="E129">
        <v>1</v>
      </c>
      <c r="F129" s="14">
        <v>0</v>
      </c>
      <c r="G129" s="9" t="e">
        <v>#N/A</v>
      </c>
      <c r="H129" s="12">
        <v>0.11580373809784786</v>
      </c>
      <c r="I129" s="19" t="e">
        <f t="shared" si="2"/>
        <v>#N/A</v>
      </c>
      <c r="J129" t="e">
        <f t="shared" si="3"/>
        <v>#N/A</v>
      </c>
    </row>
    <row r="130" spans="1:10" x14ac:dyDescent="0.35">
      <c r="A130" t="s">
        <v>52</v>
      </c>
      <c r="B130" t="s">
        <v>53</v>
      </c>
      <c r="C130" t="s">
        <v>35</v>
      </c>
      <c r="D130" t="s">
        <v>54</v>
      </c>
      <c r="E130">
        <v>1</v>
      </c>
      <c r="F130" s="14">
        <v>65.4077755</v>
      </c>
      <c r="G130" s="9">
        <v>2.3636280900691906</v>
      </c>
      <c r="H130" s="12">
        <v>2.7742364965695265</v>
      </c>
      <c r="I130" s="19">
        <f t="shared" ref="I130:I193" si="4">IF(G130&lt;0,0,G130)</f>
        <v>2.3636280900691906</v>
      </c>
      <c r="J130">
        <f t="shared" si="3"/>
        <v>1.1818140450345953</v>
      </c>
    </row>
    <row r="131" spans="1:10" x14ac:dyDescent="0.35">
      <c r="A131" t="s">
        <v>52</v>
      </c>
      <c r="B131" t="s">
        <v>53</v>
      </c>
      <c r="C131" t="s">
        <v>36</v>
      </c>
      <c r="D131" t="s">
        <v>54</v>
      </c>
      <c r="E131">
        <v>1</v>
      </c>
      <c r="F131" s="14">
        <v>13.934635800000001</v>
      </c>
      <c r="G131" s="9">
        <v>2.4661814036527958</v>
      </c>
      <c r="H131" s="12">
        <v>1.1344973660186277</v>
      </c>
      <c r="I131" s="19">
        <f t="shared" si="4"/>
        <v>2.4661814036527958</v>
      </c>
      <c r="J131">
        <f t="shared" si="3"/>
        <v>1.2330907018263979</v>
      </c>
    </row>
    <row r="132" spans="1:10" x14ac:dyDescent="0.35">
      <c r="A132" t="s">
        <v>52</v>
      </c>
      <c r="B132" t="s">
        <v>53</v>
      </c>
      <c r="C132" t="s">
        <v>37</v>
      </c>
      <c r="D132" t="s">
        <v>54</v>
      </c>
      <c r="E132">
        <v>1</v>
      </c>
      <c r="F132" s="14">
        <v>77.338678799999997</v>
      </c>
      <c r="G132" s="9">
        <v>8.8632715493277541</v>
      </c>
      <c r="H132" s="12">
        <v>23.89277093034735</v>
      </c>
      <c r="I132" s="19">
        <f t="shared" si="4"/>
        <v>8.8632715493277541</v>
      </c>
      <c r="J132">
        <f t="shared" si="3"/>
        <v>4.431635774663877</v>
      </c>
    </row>
    <row r="133" spans="1:10" x14ac:dyDescent="0.35">
      <c r="A133" t="s">
        <v>52</v>
      </c>
      <c r="B133" t="s">
        <v>53</v>
      </c>
      <c r="C133" t="s">
        <v>38</v>
      </c>
      <c r="D133" t="s">
        <v>54</v>
      </c>
      <c r="E133">
        <v>1</v>
      </c>
      <c r="F133" s="14">
        <v>1.9230614000000001</v>
      </c>
      <c r="G133" s="9" t="e">
        <v>#N/A</v>
      </c>
      <c r="H133" s="12">
        <v>0.17085397633944033</v>
      </c>
      <c r="I133" s="19" t="e">
        <f t="shared" si="4"/>
        <v>#N/A</v>
      </c>
      <c r="J133" t="e">
        <f t="shared" ref="J133:J196" si="5">I133/2</f>
        <v>#N/A</v>
      </c>
    </row>
    <row r="134" spans="1:10" x14ac:dyDescent="0.35">
      <c r="A134" t="s">
        <v>52</v>
      </c>
      <c r="B134" t="s">
        <v>53</v>
      </c>
      <c r="C134" t="s">
        <v>39</v>
      </c>
      <c r="D134" t="s">
        <v>54</v>
      </c>
      <c r="E134">
        <v>1</v>
      </c>
      <c r="F134" s="14">
        <v>0.31330810000000003</v>
      </c>
      <c r="G134" s="9" t="e">
        <v>#N/A</v>
      </c>
      <c r="H134" s="12">
        <v>0.32250879296372337</v>
      </c>
      <c r="I134" s="19" t="e">
        <f t="shared" si="4"/>
        <v>#N/A</v>
      </c>
      <c r="J134" t="e">
        <f t="shared" si="5"/>
        <v>#N/A</v>
      </c>
    </row>
    <row r="135" spans="1:10" x14ac:dyDescent="0.35">
      <c r="A135" t="s">
        <v>52</v>
      </c>
      <c r="B135" t="s">
        <v>53</v>
      </c>
      <c r="C135" t="s">
        <v>40</v>
      </c>
      <c r="D135" t="s">
        <v>54</v>
      </c>
      <c r="E135">
        <v>1</v>
      </c>
      <c r="F135" s="14">
        <v>13.6978153</v>
      </c>
      <c r="G135" s="9">
        <v>1.6329539334462926</v>
      </c>
      <c r="H135" s="12">
        <v>1.7039539923768401</v>
      </c>
      <c r="I135" s="19">
        <f t="shared" si="4"/>
        <v>1.6329539334462926</v>
      </c>
      <c r="J135">
        <f t="shared" si="5"/>
        <v>0.81647696672314629</v>
      </c>
    </row>
    <row r="136" spans="1:10" x14ac:dyDescent="0.35">
      <c r="A136" t="s">
        <v>52</v>
      </c>
      <c r="B136" t="s">
        <v>53</v>
      </c>
      <c r="C136" t="s">
        <v>41</v>
      </c>
      <c r="D136" t="s">
        <v>54</v>
      </c>
      <c r="E136">
        <v>1</v>
      </c>
      <c r="F136" s="14">
        <v>102.8591534</v>
      </c>
      <c r="G136" s="9">
        <v>3.259497155924413</v>
      </c>
      <c r="H136" s="12">
        <v>4.1009319452712898</v>
      </c>
      <c r="I136" s="19">
        <f t="shared" si="4"/>
        <v>3.259497155924413</v>
      </c>
      <c r="J136">
        <f t="shared" si="5"/>
        <v>1.6297485779622065</v>
      </c>
    </row>
    <row r="137" spans="1:10" s="8" customFormat="1" x14ac:dyDescent="0.35">
      <c r="A137" s="8" t="s">
        <v>52</v>
      </c>
      <c r="B137" s="8" t="s">
        <v>53</v>
      </c>
      <c r="C137" s="8" t="s">
        <v>42</v>
      </c>
      <c r="D137" s="8" t="s">
        <v>54</v>
      </c>
      <c r="E137" s="8">
        <v>1</v>
      </c>
      <c r="F137" s="15">
        <v>0</v>
      </c>
      <c r="G137" s="10" t="e">
        <v>#N/A</v>
      </c>
      <c r="H137" s="13">
        <v>0.27199866050258914</v>
      </c>
      <c r="I137" s="20" t="e">
        <f t="shared" si="4"/>
        <v>#N/A</v>
      </c>
      <c r="J137" s="8" t="e">
        <f t="shared" si="5"/>
        <v>#N/A</v>
      </c>
    </row>
    <row r="138" spans="1:10" x14ac:dyDescent="0.35">
      <c r="A138" t="s">
        <v>59</v>
      </c>
      <c r="B138" t="s">
        <v>55</v>
      </c>
      <c r="C138" t="s">
        <v>7</v>
      </c>
      <c r="D138" t="s">
        <v>8</v>
      </c>
      <c r="E138">
        <v>2</v>
      </c>
      <c r="F138" s="14">
        <v>6.8420342999999999</v>
      </c>
      <c r="G138" s="9" t="e">
        <v>#N/A</v>
      </c>
      <c r="H138" s="12">
        <v>0.75581911274182179</v>
      </c>
      <c r="I138" s="19" t="e">
        <f t="shared" si="4"/>
        <v>#N/A</v>
      </c>
      <c r="J138" t="e">
        <f t="shared" si="5"/>
        <v>#N/A</v>
      </c>
    </row>
    <row r="139" spans="1:10" x14ac:dyDescent="0.35">
      <c r="A139" t="s">
        <v>59</v>
      </c>
      <c r="B139" t="s">
        <v>55</v>
      </c>
      <c r="C139" t="s">
        <v>9</v>
      </c>
      <c r="D139" t="s">
        <v>8</v>
      </c>
      <c r="E139">
        <v>2</v>
      </c>
      <c r="F139" s="14">
        <v>1.3022845999999999</v>
      </c>
      <c r="G139" s="9" t="e">
        <v>#N/A</v>
      </c>
      <c r="H139" s="12">
        <v>-6.7643059799177271E-2</v>
      </c>
      <c r="I139" s="19" t="e">
        <f t="shared" si="4"/>
        <v>#N/A</v>
      </c>
      <c r="J139" t="e">
        <f t="shared" si="5"/>
        <v>#N/A</v>
      </c>
    </row>
    <row r="140" spans="1:10" x14ac:dyDescent="0.35">
      <c r="A140" t="s">
        <v>59</v>
      </c>
      <c r="B140" t="s">
        <v>55</v>
      </c>
      <c r="C140" t="s">
        <v>10</v>
      </c>
      <c r="D140" t="s">
        <v>8</v>
      </c>
      <c r="E140">
        <v>2</v>
      </c>
      <c r="F140" s="14">
        <v>0</v>
      </c>
      <c r="G140" s="9" t="e">
        <v>#N/A</v>
      </c>
      <c r="H140" s="12">
        <v>1.242369454100601E-3</v>
      </c>
      <c r="I140" s="19" t="e">
        <f t="shared" si="4"/>
        <v>#N/A</v>
      </c>
      <c r="J140" t="e">
        <f t="shared" si="5"/>
        <v>#N/A</v>
      </c>
    </row>
    <row r="141" spans="1:10" x14ac:dyDescent="0.35">
      <c r="A141" t="s">
        <v>59</v>
      </c>
      <c r="B141" t="s">
        <v>55</v>
      </c>
      <c r="C141" t="s">
        <v>11</v>
      </c>
      <c r="D141" t="s">
        <v>8</v>
      </c>
      <c r="E141">
        <v>2</v>
      </c>
      <c r="F141" s="14">
        <v>28.6727925</v>
      </c>
      <c r="G141" s="9">
        <v>3.2379335810136478</v>
      </c>
      <c r="H141" s="12">
        <v>11.105820331406917</v>
      </c>
      <c r="I141" s="19">
        <f t="shared" si="4"/>
        <v>3.2379335810136478</v>
      </c>
      <c r="J141">
        <f t="shared" si="5"/>
        <v>1.6189667905068239</v>
      </c>
    </row>
    <row r="142" spans="1:10" x14ac:dyDescent="0.35">
      <c r="A142" t="s">
        <v>59</v>
      </c>
      <c r="B142" t="s">
        <v>55</v>
      </c>
      <c r="C142" t="s">
        <v>12</v>
      </c>
      <c r="D142" t="s">
        <v>8</v>
      </c>
      <c r="E142">
        <v>2</v>
      </c>
      <c r="F142" s="14">
        <v>111.37773660000001</v>
      </c>
      <c r="G142" s="9">
        <v>10.675667044355084</v>
      </c>
      <c r="H142" s="12">
        <v>8.962133150720863</v>
      </c>
      <c r="I142" s="19">
        <f t="shared" si="4"/>
        <v>10.675667044355084</v>
      </c>
      <c r="J142">
        <f t="shared" si="5"/>
        <v>5.3378335221775419</v>
      </c>
    </row>
    <row r="143" spans="1:10" x14ac:dyDescent="0.35">
      <c r="A143" t="s">
        <v>59</v>
      </c>
      <c r="B143" t="s">
        <v>55</v>
      </c>
      <c r="C143" t="s">
        <v>13</v>
      </c>
      <c r="D143" t="s">
        <v>8</v>
      </c>
      <c r="E143">
        <v>2</v>
      </c>
      <c r="F143" s="14">
        <v>226.38105390000001</v>
      </c>
      <c r="G143" s="9">
        <v>22.974455505315095</v>
      </c>
      <c r="H143" s="12">
        <v>59.566821102926149</v>
      </c>
      <c r="I143" s="19">
        <f t="shared" si="4"/>
        <v>22.974455505315095</v>
      </c>
      <c r="J143">
        <f t="shared" si="5"/>
        <v>11.487227752657548</v>
      </c>
    </row>
    <row r="144" spans="1:10" x14ac:dyDescent="0.35">
      <c r="A144" t="s">
        <v>59</v>
      </c>
      <c r="B144" t="s">
        <v>55</v>
      </c>
      <c r="C144" t="s">
        <v>14</v>
      </c>
      <c r="D144" t="s">
        <v>8</v>
      </c>
      <c r="E144">
        <v>2</v>
      </c>
      <c r="F144" s="14">
        <v>0</v>
      </c>
      <c r="G144" s="9" t="e">
        <v>#N/A</v>
      </c>
      <c r="H144" s="12">
        <v>-1.3082129950894722E-2</v>
      </c>
      <c r="I144" s="19" t="e">
        <f t="shared" si="4"/>
        <v>#N/A</v>
      </c>
      <c r="J144" t="e">
        <f t="shared" si="5"/>
        <v>#N/A</v>
      </c>
    </row>
    <row r="145" spans="1:10" x14ac:dyDescent="0.35">
      <c r="A145" t="s">
        <v>59</v>
      </c>
      <c r="B145" t="s">
        <v>55</v>
      </c>
      <c r="C145" t="s">
        <v>15</v>
      </c>
      <c r="D145" t="s">
        <v>8</v>
      </c>
      <c r="E145">
        <v>2</v>
      </c>
      <c r="F145" s="14">
        <v>13.4308449</v>
      </c>
      <c r="G145" s="9">
        <v>1.897397705838562</v>
      </c>
      <c r="H145" s="12">
        <v>0.65230913799717416</v>
      </c>
      <c r="I145" s="19">
        <f t="shared" si="4"/>
        <v>1.897397705838562</v>
      </c>
      <c r="J145">
        <f t="shared" si="5"/>
        <v>0.94869885291928102</v>
      </c>
    </row>
    <row r="146" spans="1:10" x14ac:dyDescent="0.35">
      <c r="A146" t="s">
        <v>59</v>
      </c>
      <c r="B146" t="s">
        <v>55</v>
      </c>
      <c r="C146" t="s">
        <v>16</v>
      </c>
      <c r="D146" t="s">
        <v>8</v>
      </c>
      <c r="E146">
        <v>2</v>
      </c>
      <c r="F146" s="14">
        <v>0</v>
      </c>
      <c r="G146" s="9" t="e">
        <v>#N/A</v>
      </c>
      <c r="H146" s="12">
        <v>0.12645092330325466</v>
      </c>
      <c r="I146" s="19" t="e">
        <f t="shared" si="4"/>
        <v>#N/A</v>
      </c>
      <c r="J146" t="e">
        <f t="shared" si="5"/>
        <v>#N/A</v>
      </c>
    </row>
    <row r="147" spans="1:10" x14ac:dyDescent="0.35">
      <c r="A147" t="s">
        <v>59</v>
      </c>
      <c r="B147" t="s">
        <v>55</v>
      </c>
      <c r="C147" t="s">
        <v>17</v>
      </c>
      <c r="D147" t="s">
        <v>8</v>
      </c>
      <c r="E147">
        <v>2</v>
      </c>
      <c r="F147" s="14">
        <v>5445.5673954999993</v>
      </c>
      <c r="G147" s="9">
        <v>124.31606159158872</v>
      </c>
      <c r="H147" s="12">
        <v>397.02031253978703</v>
      </c>
      <c r="I147" s="19">
        <f t="shared" si="4"/>
        <v>124.31606159158872</v>
      </c>
      <c r="J147">
        <f t="shared" si="5"/>
        <v>62.15803079579436</v>
      </c>
    </row>
    <row r="148" spans="1:10" x14ac:dyDescent="0.35">
      <c r="A148" t="s">
        <v>59</v>
      </c>
      <c r="B148" t="s">
        <v>55</v>
      </c>
      <c r="C148" t="s">
        <v>18</v>
      </c>
      <c r="D148" t="s">
        <v>8</v>
      </c>
      <c r="E148">
        <v>2</v>
      </c>
      <c r="F148" s="14">
        <v>866.93062910000003</v>
      </c>
      <c r="G148" s="9">
        <v>36.248735767311643</v>
      </c>
      <c r="H148" s="12">
        <v>217.37460969517565</v>
      </c>
      <c r="I148" s="19">
        <f t="shared" si="4"/>
        <v>36.248735767311643</v>
      </c>
      <c r="J148">
        <f t="shared" si="5"/>
        <v>18.124367883655822</v>
      </c>
    </row>
    <row r="149" spans="1:10" x14ac:dyDescent="0.35">
      <c r="A149" t="s">
        <v>59</v>
      </c>
      <c r="B149" t="s">
        <v>55</v>
      </c>
      <c r="C149" t="s">
        <v>20</v>
      </c>
      <c r="D149" t="s">
        <v>8</v>
      </c>
      <c r="E149">
        <v>2</v>
      </c>
      <c r="F149" s="14">
        <v>20.694393299999998</v>
      </c>
      <c r="G149" s="9">
        <v>1.360559450282099</v>
      </c>
      <c r="H149" s="12">
        <v>4.3080725765321706</v>
      </c>
      <c r="I149" s="19">
        <f t="shared" si="4"/>
        <v>1.360559450282099</v>
      </c>
      <c r="J149">
        <f t="shared" si="5"/>
        <v>0.68027972514104951</v>
      </c>
    </row>
    <row r="150" spans="1:10" x14ac:dyDescent="0.35">
      <c r="A150" t="s">
        <v>59</v>
      </c>
      <c r="B150" t="s">
        <v>55</v>
      </c>
      <c r="C150" t="s">
        <v>21</v>
      </c>
      <c r="D150" t="s">
        <v>8</v>
      </c>
      <c r="E150">
        <v>2</v>
      </c>
      <c r="F150" s="14">
        <v>0</v>
      </c>
      <c r="G150" s="9">
        <v>0</v>
      </c>
      <c r="H150" s="12">
        <v>-1.6409399835596993E-2</v>
      </c>
      <c r="I150" s="19">
        <f t="shared" si="4"/>
        <v>0</v>
      </c>
      <c r="J150">
        <f t="shared" si="5"/>
        <v>0</v>
      </c>
    </row>
    <row r="151" spans="1:10" x14ac:dyDescent="0.35">
      <c r="A151" t="s">
        <v>59</v>
      </c>
      <c r="B151" t="s">
        <v>55</v>
      </c>
      <c r="C151" t="s">
        <v>22</v>
      </c>
      <c r="D151" t="s">
        <v>8</v>
      </c>
      <c r="E151">
        <v>2</v>
      </c>
      <c r="F151" s="14">
        <v>0</v>
      </c>
      <c r="G151" s="9">
        <v>61.992116646122426</v>
      </c>
      <c r="H151" s="12">
        <v>12.156160317543813</v>
      </c>
      <c r="I151" s="19">
        <f t="shared" si="4"/>
        <v>61.992116646122426</v>
      </c>
      <c r="J151">
        <f t="shared" si="5"/>
        <v>30.996058323061213</v>
      </c>
    </row>
    <row r="152" spans="1:10" x14ac:dyDescent="0.35">
      <c r="A152" t="s">
        <v>59</v>
      </c>
      <c r="B152" t="s">
        <v>55</v>
      </c>
      <c r="C152" t="s">
        <v>23</v>
      </c>
      <c r="D152" t="s">
        <v>8</v>
      </c>
      <c r="E152">
        <v>2</v>
      </c>
      <c r="F152" s="14">
        <v>6.4100469000000002</v>
      </c>
      <c r="G152" s="9" t="e">
        <v>#N/A</v>
      </c>
      <c r="H152" s="12">
        <v>10.640809207766765</v>
      </c>
      <c r="I152" s="19" t="e">
        <f t="shared" si="4"/>
        <v>#N/A</v>
      </c>
      <c r="J152" t="e">
        <f t="shared" si="5"/>
        <v>#N/A</v>
      </c>
    </row>
    <row r="153" spans="1:10" x14ac:dyDescent="0.35">
      <c r="A153" t="s">
        <v>59</v>
      </c>
      <c r="B153" t="s">
        <v>55</v>
      </c>
      <c r="C153" t="s">
        <v>24</v>
      </c>
      <c r="D153" t="s">
        <v>8</v>
      </c>
      <c r="E153">
        <v>2</v>
      </c>
      <c r="F153" s="14">
        <v>1659.2318282000001</v>
      </c>
      <c r="G153" s="9">
        <v>118.58786696164002</v>
      </c>
      <c r="H153" s="12">
        <v>186.09451451417402</v>
      </c>
      <c r="I153" s="19">
        <f t="shared" si="4"/>
        <v>118.58786696164002</v>
      </c>
      <c r="J153">
        <f t="shared" si="5"/>
        <v>59.293933480820009</v>
      </c>
    </row>
    <row r="154" spans="1:10" x14ac:dyDescent="0.35">
      <c r="A154" t="s">
        <v>59</v>
      </c>
      <c r="B154" t="s">
        <v>55</v>
      </c>
      <c r="C154" t="s">
        <v>25</v>
      </c>
      <c r="D154" t="s">
        <v>8</v>
      </c>
      <c r="E154">
        <v>2</v>
      </c>
      <c r="F154" s="14">
        <v>0</v>
      </c>
      <c r="G154" s="9">
        <v>6.1420340268375746</v>
      </c>
      <c r="H154" s="12">
        <v>14.697400102883535</v>
      </c>
      <c r="I154" s="19">
        <f t="shared" si="4"/>
        <v>6.1420340268375746</v>
      </c>
      <c r="J154">
        <f t="shared" si="5"/>
        <v>3.0710170134187873</v>
      </c>
    </row>
    <row r="155" spans="1:10" x14ac:dyDescent="0.35">
      <c r="A155" t="s">
        <v>59</v>
      </c>
      <c r="B155" t="s">
        <v>55</v>
      </c>
      <c r="C155" t="s">
        <v>26</v>
      </c>
      <c r="D155" t="s">
        <v>8</v>
      </c>
      <c r="E155">
        <v>2</v>
      </c>
      <c r="F155" s="14">
        <v>3097.0300643</v>
      </c>
      <c r="G155" s="9">
        <v>61.064961998702209</v>
      </c>
      <c r="H155" s="12">
        <v>88.654509997291498</v>
      </c>
      <c r="I155" s="19">
        <f t="shared" si="4"/>
        <v>61.064961998702209</v>
      </c>
      <c r="J155">
        <f t="shared" si="5"/>
        <v>30.532480999351105</v>
      </c>
    </row>
    <row r="156" spans="1:10" x14ac:dyDescent="0.35">
      <c r="A156" t="s">
        <v>59</v>
      </c>
      <c r="B156" t="s">
        <v>55</v>
      </c>
      <c r="C156" t="s">
        <v>27</v>
      </c>
      <c r="D156" t="s">
        <v>8</v>
      </c>
      <c r="E156">
        <v>2</v>
      </c>
      <c r="F156" s="14">
        <v>202.40559090000002</v>
      </c>
      <c r="G156" s="9">
        <v>20.689534612699031</v>
      </c>
      <c r="H156" s="12">
        <v>18.240197981493129</v>
      </c>
      <c r="I156" s="19">
        <f t="shared" si="4"/>
        <v>20.689534612699031</v>
      </c>
      <c r="J156">
        <f t="shared" si="5"/>
        <v>10.344767306349516</v>
      </c>
    </row>
    <row r="157" spans="1:10" x14ac:dyDescent="0.35">
      <c r="A157" t="s">
        <v>59</v>
      </c>
      <c r="B157" t="s">
        <v>55</v>
      </c>
      <c r="C157" t="s">
        <v>28</v>
      </c>
      <c r="D157" t="s">
        <v>8</v>
      </c>
      <c r="E157">
        <v>2</v>
      </c>
      <c r="F157" s="14">
        <v>21.568108299999999</v>
      </c>
      <c r="G157" s="9">
        <v>2.1072888803747643</v>
      </c>
      <c r="H157" s="12">
        <v>4.3219309853364763E-3</v>
      </c>
      <c r="I157" s="19">
        <f t="shared" si="4"/>
        <v>2.1072888803747643</v>
      </c>
      <c r="J157">
        <f t="shared" si="5"/>
        <v>1.0536444401873821</v>
      </c>
    </row>
    <row r="158" spans="1:10" x14ac:dyDescent="0.35">
      <c r="A158" t="s">
        <v>59</v>
      </c>
      <c r="B158" t="s">
        <v>55</v>
      </c>
      <c r="C158" t="s">
        <v>29</v>
      </c>
      <c r="D158" t="s">
        <v>8</v>
      </c>
      <c r="E158">
        <v>2</v>
      </c>
      <c r="F158" s="14">
        <v>39.595627699999994</v>
      </c>
      <c r="G158" s="9">
        <v>9.7306024848879602</v>
      </c>
      <c r="H158" s="12">
        <v>11.004663088341363</v>
      </c>
      <c r="I158" s="19">
        <f t="shared" si="4"/>
        <v>9.7306024848879602</v>
      </c>
      <c r="J158">
        <f t="shared" si="5"/>
        <v>4.8653012424439801</v>
      </c>
    </row>
    <row r="159" spans="1:10" x14ac:dyDescent="0.35">
      <c r="A159" t="s">
        <v>59</v>
      </c>
      <c r="B159" t="s">
        <v>55</v>
      </c>
      <c r="C159" t="s">
        <v>30</v>
      </c>
      <c r="D159" t="s">
        <v>8</v>
      </c>
      <c r="E159">
        <v>2</v>
      </c>
      <c r="F159" s="14">
        <v>15.150450300000001</v>
      </c>
      <c r="G159" s="9">
        <v>1.4814890981396143</v>
      </c>
      <c r="H159" s="12">
        <v>4.4535462900235858</v>
      </c>
      <c r="I159" s="19">
        <f t="shared" si="4"/>
        <v>1.4814890981396143</v>
      </c>
      <c r="J159">
        <f t="shared" si="5"/>
        <v>0.74074454906980713</v>
      </c>
    </row>
    <row r="160" spans="1:10" x14ac:dyDescent="0.35">
      <c r="A160" t="s">
        <v>59</v>
      </c>
      <c r="B160" t="s">
        <v>55</v>
      </c>
      <c r="C160" t="s">
        <v>31</v>
      </c>
      <c r="D160" t="s">
        <v>8</v>
      </c>
      <c r="E160">
        <v>2</v>
      </c>
      <c r="F160" s="14">
        <v>0.41733010000000004</v>
      </c>
      <c r="G160" s="9" t="e">
        <v>#N/A</v>
      </c>
      <c r="H160" s="12">
        <v>0.55104812059159314</v>
      </c>
      <c r="I160" s="19" t="e">
        <f t="shared" si="4"/>
        <v>#N/A</v>
      </c>
      <c r="J160" t="e">
        <f t="shared" si="5"/>
        <v>#N/A</v>
      </c>
    </row>
    <row r="161" spans="1:10" x14ac:dyDescent="0.35">
      <c r="A161" t="s">
        <v>59</v>
      </c>
      <c r="B161" t="s">
        <v>55</v>
      </c>
      <c r="C161" t="s">
        <v>32</v>
      </c>
      <c r="D161" t="s">
        <v>8</v>
      </c>
      <c r="E161">
        <v>2</v>
      </c>
      <c r="F161" s="14">
        <v>129.15606579999999</v>
      </c>
      <c r="G161" s="9">
        <v>4.8442359419493464</v>
      </c>
      <c r="H161" s="12">
        <v>15.988513748355285</v>
      </c>
      <c r="I161" s="19">
        <f t="shared" si="4"/>
        <v>4.8442359419493464</v>
      </c>
      <c r="J161">
        <f t="shared" si="5"/>
        <v>2.4221179709746732</v>
      </c>
    </row>
    <row r="162" spans="1:10" x14ac:dyDescent="0.35">
      <c r="A162" t="s">
        <v>59</v>
      </c>
      <c r="B162" t="s">
        <v>55</v>
      </c>
      <c r="C162" t="s">
        <v>33</v>
      </c>
      <c r="D162" t="s">
        <v>8</v>
      </c>
      <c r="E162">
        <v>2</v>
      </c>
      <c r="F162" s="14">
        <v>0</v>
      </c>
      <c r="G162" s="9" t="e">
        <v>#N/A</v>
      </c>
      <c r="H162" s="12">
        <v>14.784463771110071</v>
      </c>
      <c r="I162" s="19" t="e">
        <f t="shared" si="4"/>
        <v>#N/A</v>
      </c>
      <c r="J162" t="e">
        <f t="shared" si="5"/>
        <v>#N/A</v>
      </c>
    </row>
    <row r="163" spans="1:10" x14ac:dyDescent="0.35">
      <c r="A163" t="s">
        <v>59</v>
      </c>
      <c r="B163" t="s">
        <v>55</v>
      </c>
      <c r="C163" t="s">
        <v>34</v>
      </c>
      <c r="D163" t="s">
        <v>8</v>
      </c>
      <c r="E163">
        <v>2</v>
      </c>
      <c r="F163" s="14">
        <v>0</v>
      </c>
      <c r="G163" s="9" t="e">
        <v>#N/A</v>
      </c>
      <c r="H163" s="12">
        <v>0.13366443023899127</v>
      </c>
      <c r="I163" s="19" t="e">
        <f t="shared" si="4"/>
        <v>#N/A</v>
      </c>
      <c r="J163" t="e">
        <f t="shared" si="5"/>
        <v>#N/A</v>
      </c>
    </row>
    <row r="164" spans="1:10" x14ac:dyDescent="0.35">
      <c r="A164" t="s">
        <v>59</v>
      </c>
      <c r="B164" t="s">
        <v>55</v>
      </c>
      <c r="C164" t="s">
        <v>35</v>
      </c>
      <c r="D164" t="s">
        <v>8</v>
      </c>
      <c r="E164">
        <v>2</v>
      </c>
      <c r="F164" s="14">
        <v>274.82375939999997</v>
      </c>
      <c r="G164" s="9">
        <v>19.713721898044774</v>
      </c>
      <c r="H164" s="12">
        <v>25.083149624670746</v>
      </c>
      <c r="I164" s="19">
        <f t="shared" si="4"/>
        <v>19.713721898044774</v>
      </c>
      <c r="J164">
        <f t="shared" si="5"/>
        <v>9.8568609490223871</v>
      </c>
    </row>
    <row r="165" spans="1:10" x14ac:dyDescent="0.35">
      <c r="A165" t="s">
        <v>59</v>
      </c>
      <c r="B165" t="s">
        <v>55</v>
      </c>
      <c r="C165" t="s">
        <v>36</v>
      </c>
      <c r="D165" t="s">
        <v>8</v>
      </c>
      <c r="E165">
        <v>2</v>
      </c>
      <c r="F165" s="14">
        <v>0</v>
      </c>
      <c r="G165" s="9">
        <v>0.85902108578261183</v>
      </c>
      <c r="H165" s="12">
        <v>0.24796154999579173</v>
      </c>
      <c r="I165" s="19">
        <f t="shared" si="4"/>
        <v>0.85902108578261183</v>
      </c>
      <c r="J165">
        <f t="shared" si="5"/>
        <v>0.42951054289130591</v>
      </c>
    </row>
    <row r="166" spans="1:10" x14ac:dyDescent="0.35">
      <c r="A166" t="s">
        <v>59</v>
      </c>
      <c r="B166" t="s">
        <v>55</v>
      </c>
      <c r="C166" t="s">
        <v>37</v>
      </c>
      <c r="D166" t="s">
        <v>8</v>
      </c>
      <c r="E166">
        <v>2</v>
      </c>
      <c r="F166" s="14">
        <v>97.342965200000009</v>
      </c>
      <c r="G166" s="9">
        <v>8.7218818242788529</v>
      </c>
      <c r="H166" s="12">
        <v>30.22792360912819</v>
      </c>
      <c r="I166" s="19">
        <f t="shared" si="4"/>
        <v>8.7218818242788529</v>
      </c>
      <c r="J166">
        <f t="shared" si="5"/>
        <v>4.3609409121394265</v>
      </c>
    </row>
    <row r="167" spans="1:10" x14ac:dyDescent="0.35">
      <c r="A167" t="s">
        <v>59</v>
      </c>
      <c r="B167" t="s">
        <v>55</v>
      </c>
      <c r="C167" t="s">
        <v>38</v>
      </c>
      <c r="D167" t="s">
        <v>8</v>
      </c>
      <c r="E167">
        <v>2</v>
      </c>
      <c r="F167" s="14">
        <v>1.9268451</v>
      </c>
      <c r="G167" s="9" t="e">
        <v>#N/A</v>
      </c>
      <c r="H167" s="12">
        <v>0.17181519375663823</v>
      </c>
      <c r="I167" s="19" t="e">
        <f t="shared" si="4"/>
        <v>#N/A</v>
      </c>
      <c r="J167" t="e">
        <f t="shared" si="5"/>
        <v>#N/A</v>
      </c>
    </row>
    <row r="168" spans="1:10" x14ac:dyDescent="0.35">
      <c r="A168" t="s">
        <v>59</v>
      </c>
      <c r="B168" t="s">
        <v>55</v>
      </c>
      <c r="C168" t="s">
        <v>39</v>
      </c>
      <c r="D168" t="s">
        <v>8</v>
      </c>
      <c r="E168">
        <v>2</v>
      </c>
      <c r="F168" s="14">
        <v>0.3713167</v>
      </c>
      <c r="G168" s="9" t="e">
        <v>#N/A</v>
      </c>
      <c r="H168" s="12">
        <v>0.34118232931944498</v>
      </c>
      <c r="I168" s="19" t="e">
        <f t="shared" si="4"/>
        <v>#N/A</v>
      </c>
      <c r="J168" t="e">
        <f t="shared" si="5"/>
        <v>#N/A</v>
      </c>
    </row>
    <row r="169" spans="1:10" x14ac:dyDescent="0.35">
      <c r="A169" t="s">
        <v>59</v>
      </c>
      <c r="B169" t="s">
        <v>55</v>
      </c>
      <c r="C169" t="s">
        <v>40</v>
      </c>
      <c r="D169" t="s">
        <v>8</v>
      </c>
      <c r="E169">
        <v>2</v>
      </c>
      <c r="F169" s="14">
        <v>10.348815500000001</v>
      </c>
      <c r="G169" s="9">
        <v>1.0622420667428354</v>
      </c>
      <c r="H169" s="12">
        <v>1.3057774911366273</v>
      </c>
      <c r="I169" s="19">
        <f t="shared" si="4"/>
        <v>1.0622420667428354</v>
      </c>
      <c r="J169">
        <f t="shared" si="5"/>
        <v>0.53112103337141769</v>
      </c>
    </row>
    <row r="170" spans="1:10" x14ac:dyDescent="0.35">
      <c r="A170" t="s">
        <v>59</v>
      </c>
      <c r="B170" t="s">
        <v>55</v>
      </c>
      <c r="C170" t="s">
        <v>41</v>
      </c>
      <c r="D170" t="s">
        <v>8</v>
      </c>
      <c r="E170">
        <v>2</v>
      </c>
      <c r="F170" s="14">
        <v>45.146220399999997</v>
      </c>
      <c r="G170" s="9">
        <v>0</v>
      </c>
      <c r="H170" s="12">
        <v>1.6170171266615072</v>
      </c>
      <c r="I170" s="19">
        <f t="shared" si="4"/>
        <v>0</v>
      </c>
      <c r="J170">
        <f t="shared" si="5"/>
        <v>0</v>
      </c>
    </row>
    <row r="171" spans="1:10" s="8" customFormat="1" x14ac:dyDescent="0.35">
      <c r="A171" s="8" t="s">
        <v>59</v>
      </c>
      <c r="B171" s="8" t="s">
        <v>55</v>
      </c>
      <c r="C171" s="8" t="s">
        <v>42</v>
      </c>
      <c r="D171" s="8" t="s">
        <v>8</v>
      </c>
      <c r="E171" s="8">
        <v>2</v>
      </c>
      <c r="F171" s="15">
        <v>0</v>
      </c>
      <c r="G171" s="10" t="e">
        <v>#N/A</v>
      </c>
      <c r="H171" s="13">
        <v>3.2505815094398969</v>
      </c>
      <c r="I171" s="20" t="e">
        <f t="shared" si="4"/>
        <v>#N/A</v>
      </c>
      <c r="J171" s="8" t="e">
        <f t="shared" si="5"/>
        <v>#N/A</v>
      </c>
    </row>
    <row r="172" spans="1:10" x14ac:dyDescent="0.35">
      <c r="A172" t="s">
        <v>60</v>
      </c>
      <c r="B172" t="s">
        <v>56</v>
      </c>
      <c r="C172" t="s">
        <v>7</v>
      </c>
      <c r="D172" t="s">
        <v>51</v>
      </c>
      <c r="E172">
        <v>2</v>
      </c>
      <c r="F172" s="14">
        <v>6.9187814999999997</v>
      </c>
      <c r="G172" s="9" t="e">
        <v>#N/A</v>
      </c>
      <c r="H172" s="12">
        <v>0.75905006544458875</v>
      </c>
      <c r="I172" s="19" t="e">
        <f t="shared" si="4"/>
        <v>#N/A</v>
      </c>
      <c r="J172" t="e">
        <f t="shared" si="5"/>
        <v>#N/A</v>
      </c>
    </row>
    <row r="173" spans="1:10" x14ac:dyDescent="0.35">
      <c r="A173" t="s">
        <v>60</v>
      </c>
      <c r="B173" t="s">
        <v>56</v>
      </c>
      <c r="C173" t="s">
        <v>9</v>
      </c>
      <c r="D173" t="s">
        <v>51</v>
      </c>
      <c r="E173">
        <v>2</v>
      </c>
      <c r="F173" s="14">
        <v>0</v>
      </c>
      <c r="G173" s="9" t="e">
        <v>#N/A</v>
      </c>
      <c r="H173" s="12">
        <v>-8.4592851021455084E-2</v>
      </c>
      <c r="I173" s="19" t="e">
        <f t="shared" si="4"/>
        <v>#N/A</v>
      </c>
      <c r="J173" t="e">
        <f t="shared" si="5"/>
        <v>#N/A</v>
      </c>
    </row>
    <row r="174" spans="1:10" x14ac:dyDescent="0.35">
      <c r="A174" t="s">
        <v>60</v>
      </c>
      <c r="B174" t="s">
        <v>56</v>
      </c>
      <c r="C174" t="s">
        <v>10</v>
      </c>
      <c r="D174" t="s">
        <v>51</v>
      </c>
      <c r="E174">
        <v>2</v>
      </c>
      <c r="F174" s="14">
        <v>0</v>
      </c>
      <c r="G174" s="9" t="e">
        <v>#N/A</v>
      </c>
      <c r="H174" s="12">
        <v>-3.7880924704515012E-2</v>
      </c>
      <c r="I174" s="19" t="e">
        <f t="shared" si="4"/>
        <v>#N/A</v>
      </c>
      <c r="J174" t="e">
        <f t="shared" si="5"/>
        <v>#N/A</v>
      </c>
    </row>
    <row r="175" spans="1:10" x14ac:dyDescent="0.35">
      <c r="A175" t="s">
        <v>60</v>
      </c>
      <c r="B175" t="s">
        <v>56</v>
      </c>
      <c r="C175" t="s">
        <v>11</v>
      </c>
      <c r="D175" t="s">
        <v>51</v>
      </c>
      <c r="E175">
        <v>2</v>
      </c>
      <c r="F175" s="14">
        <v>5.647691</v>
      </c>
      <c r="G175" s="9">
        <v>0.94845655439189003</v>
      </c>
      <c r="H175" s="12">
        <v>3.9099079430089612</v>
      </c>
      <c r="I175" s="19">
        <f t="shared" si="4"/>
        <v>0.94845655439189003</v>
      </c>
      <c r="J175">
        <f t="shared" si="5"/>
        <v>0.47422827719594501</v>
      </c>
    </row>
    <row r="176" spans="1:10" x14ac:dyDescent="0.35">
      <c r="A176" t="s">
        <v>60</v>
      </c>
      <c r="B176" t="s">
        <v>56</v>
      </c>
      <c r="C176" t="s">
        <v>12</v>
      </c>
      <c r="D176" t="s">
        <v>51</v>
      </c>
      <c r="E176">
        <v>2</v>
      </c>
      <c r="F176" s="14">
        <v>95.540630300000004</v>
      </c>
      <c r="G176" s="9">
        <v>9.1538232649810674</v>
      </c>
      <c r="H176" s="12">
        <v>7.6881947787823988</v>
      </c>
      <c r="I176" s="19">
        <f t="shared" si="4"/>
        <v>9.1538232649810674</v>
      </c>
      <c r="J176">
        <f t="shared" si="5"/>
        <v>4.5769116324905337</v>
      </c>
    </row>
    <row r="177" spans="1:10" x14ac:dyDescent="0.35">
      <c r="A177" t="s">
        <v>60</v>
      </c>
      <c r="B177" t="s">
        <v>56</v>
      </c>
      <c r="C177" t="s">
        <v>13</v>
      </c>
      <c r="D177" t="s">
        <v>51</v>
      </c>
      <c r="E177">
        <v>2</v>
      </c>
      <c r="F177" s="14">
        <v>140.64858090000001</v>
      </c>
      <c r="G177" s="9">
        <v>14.418303469201067</v>
      </c>
      <c r="H177" s="12">
        <v>37.549912213630265</v>
      </c>
      <c r="I177" s="19">
        <f t="shared" si="4"/>
        <v>14.418303469201067</v>
      </c>
      <c r="J177">
        <f t="shared" si="5"/>
        <v>7.2091517346005336</v>
      </c>
    </row>
    <row r="178" spans="1:10" x14ac:dyDescent="0.35">
      <c r="A178" t="s">
        <v>60</v>
      </c>
      <c r="B178" t="s">
        <v>56</v>
      </c>
      <c r="C178" t="s">
        <v>14</v>
      </c>
      <c r="D178" t="s">
        <v>51</v>
      </c>
      <c r="E178">
        <v>2</v>
      </c>
      <c r="F178" s="14">
        <v>6.4803131999999994</v>
      </c>
      <c r="G178" s="9" t="e">
        <v>#N/A</v>
      </c>
      <c r="H178" s="12">
        <v>0.18212135094286094</v>
      </c>
      <c r="I178" s="19" t="e">
        <f t="shared" si="4"/>
        <v>#N/A</v>
      </c>
      <c r="J178" t="e">
        <f t="shared" si="5"/>
        <v>#N/A</v>
      </c>
    </row>
    <row r="179" spans="1:10" x14ac:dyDescent="0.35">
      <c r="A179" t="s">
        <v>60</v>
      </c>
      <c r="B179" t="s">
        <v>56</v>
      </c>
      <c r="C179" t="s">
        <v>15</v>
      </c>
      <c r="D179" t="s">
        <v>51</v>
      </c>
      <c r="E179">
        <v>2</v>
      </c>
      <c r="F179" s="14">
        <v>8.8437347000000006</v>
      </c>
      <c r="G179" s="9">
        <v>1.2522633815053648</v>
      </c>
      <c r="H179" s="12">
        <v>0.43260866443426937</v>
      </c>
      <c r="I179" s="19">
        <f t="shared" si="4"/>
        <v>1.2522633815053648</v>
      </c>
      <c r="J179">
        <f t="shared" si="5"/>
        <v>0.62613169075268238</v>
      </c>
    </row>
    <row r="180" spans="1:10" x14ac:dyDescent="0.35">
      <c r="A180" t="s">
        <v>60</v>
      </c>
      <c r="B180" t="s">
        <v>56</v>
      </c>
      <c r="C180" t="s">
        <v>16</v>
      </c>
      <c r="D180" t="s">
        <v>51</v>
      </c>
      <c r="E180">
        <v>2</v>
      </c>
      <c r="F180" s="14">
        <v>0</v>
      </c>
      <c r="G180" s="9" t="e">
        <v>#N/A</v>
      </c>
      <c r="H180" s="12">
        <v>3.3761467240189809E-2</v>
      </c>
      <c r="I180" s="19" t="e">
        <f t="shared" si="4"/>
        <v>#N/A</v>
      </c>
      <c r="J180" t="e">
        <f t="shared" si="5"/>
        <v>#N/A</v>
      </c>
    </row>
    <row r="181" spans="1:10" x14ac:dyDescent="0.35">
      <c r="A181" t="s">
        <v>60</v>
      </c>
      <c r="B181" t="s">
        <v>56</v>
      </c>
      <c r="C181" t="s">
        <v>17</v>
      </c>
      <c r="D181" t="s">
        <v>51</v>
      </c>
      <c r="E181">
        <v>2</v>
      </c>
      <c r="F181" s="14">
        <v>3886.066534</v>
      </c>
      <c r="G181" s="9">
        <v>88.309743113048285</v>
      </c>
      <c r="H181" s="12">
        <v>283.28186202946358</v>
      </c>
      <c r="I181" s="19">
        <f t="shared" si="4"/>
        <v>88.309743113048285</v>
      </c>
      <c r="J181">
        <f t="shared" si="5"/>
        <v>44.154871556524142</v>
      </c>
    </row>
    <row r="182" spans="1:10" x14ac:dyDescent="0.35">
      <c r="A182" t="s">
        <v>60</v>
      </c>
      <c r="B182" t="s">
        <v>56</v>
      </c>
      <c r="C182" t="s">
        <v>18</v>
      </c>
      <c r="D182" t="s">
        <v>51</v>
      </c>
      <c r="E182">
        <v>2</v>
      </c>
      <c r="F182" s="14">
        <v>492.49230109999996</v>
      </c>
      <c r="G182" s="9">
        <v>40.456472464297391</v>
      </c>
      <c r="H182" s="12">
        <v>123.68430488681712</v>
      </c>
      <c r="I182" s="19">
        <f t="shared" si="4"/>
        <v>40.456472464297391</v>
      </c>
      <c r="J182">
        <f t="shared" si="5"/>
        <v>20.228236232148696</v>
      </c>
    </row>
    <row r="183" spans="1:10" x14ac:dyDescent="0.35">
      <c r="A183" t="s">
        <v>60</v>
      </c>
      <c r="B183" t="s">
        <v>56</v>
      </c>
      <c r="C183" t="s">
        <v>20</v>
      </c>
      <c r="D183" t="s">
        <v>51</v>
      </c>
      <c r="E183">
        <v>2</v>
      </c>
      <c r="F183" s="14">
        <v>16.801856400000002</v>
      </c>
      <c r="G183" s="9">
        <v>1.0766795923951942</v>
      </c>
      <c r="H183" s="12">
        <v>3.5264024226077306</v>
      </c>
      <c r="I183" s="19">
        <f t="shared" si="4"/>
        <v>1.0766795923951942</v>
      </c>
      <c r="J183">
        <f t="shared" si="5"/>
        <v>0.53833979619759709</v>
      </c>
    </row>
    <row r="184" spans="1:10" x14ac:dyDescent="0.35">
      <c r="A184" t="s">
        <v>60</v>
      </c>
      <c r="B184" t="s">
        <v>56</v>
      </c>
      <c r="C184" t="s">
        <v>21</v>
      </c>
      <c r="D184" t="s">
        <v>51</v>
      </c>
      <c r="E184">
        <v>2</v>
      </c>
      <c r="F184" s="14">
        <v>528.56009199999994</v>
      </c>
      <c r="G184" s="9">
        <v>44.668333399949844</v>
      </c>
      <c r="H184" s="12">
        <v>43.293780677260898</v>
      </c>
      <c r="I184" s="19">
        <f t="shared" si="4"/>
        <v>44.668333399949844</v>
      </c>
      <c r="J184">
        <f t="shared" si="5"/>
        <v>22.334166699974922</v>
      </c>
    </row>
    <row r="185" spans="1:10" x14ac:dyDescent="0.35">
      <c r="A185" t="s">
        <v>60</v>
      </c>
      <c r="B185" t="s">
        <v>56</v>
      </c>
      <c r="C185" t="s">
        <v>22</v>
      </c>
      <c r="D185" t="s">
        <v>51</v>
      </c>
      <c r="E185">
        <v>2</v>
      </c>
      <c r="F185" s="14">
        <v>1825.5567452</v>
      </c>
      <c r="G185" s="9">
        <v>137.22665238350089</v>
      </c>
      <c r="H185" s="12">
        <v>12.464548226943933</v>
      </c>
      <c r="I185" s="19">
        <f t="shared" si="4"/>
        <v>137.22665238350089</v>
      </c>
      <c r="J185">
        <f t="shared" si="5"/>
        <v>68.613326191750446</v>
      </c>
    </row>
    <row r="186" spans="1:10" x14ac:dyDescent="0.35">
      <c r="A186" t="s">
        <v>60</v>
      </c>
      <c r="B186" t="s">
        <v>56</v>
      </c>
      <c r="C186" t="s">
        <v>23</v>
      </c>
      <c r="D186" t="s">
        <v>51</v>
      </c>
      <c r="E186">
        <v>2</v>
      </c>
      <c r="F186" s="14">
        <v>0</v>
      </c>
      <c r="G186" s="9" t="e">
        <v>#N/A</v>
      </c>
      <c r="H186" s="12">
        <v>66.826915258763506</v>
      </c>
      <c r="I186" s="19" t="e">
        <f t="shared" si="4"/>
        <v>#N/A</v>
      </c>
      <c r="J186" t="e">
        <f t="shared" si="5"/>
        <v>#N/A</v>
      </c>
    </row>
    <row r="187" spans="1:10" x14ac:dyDescent="0.35">
      <c r="A187" t="s">
        <v>60</v>
      </c>
      <c r="B187" t="s">
        <v>56</v>
      </c>
      <c r="C187" t="s">
        <v>24</v>
      </c>
      <c r="D187" t="s">
        <v>51</v>
      </c>
      <c r="E187">
        <v>2</v>
      </c>
      <c r="F187" s="14">
        <v>1462.6532849999999</v>
      </c>
      <c r="G187" s="9">
        <v>101.07632271488912</v>
      </c>
      <c r="H187" s="12">
        <v>251.67382258073135</v>
      </c>
      <c r="I187" s="19">
        <f t="shared" si="4"/>
        <v>101.07632271488912</v>
      </c>
      <c r="J187">
        <f t="shared" si="5"/>
        <v>50.538161357444558</v>
      </c>
    </row>
    <row r="188" spans="1:10" x14ac:dyDescent="0.35">
      <c r="A188" t="s">
        <v>60</v>
      </c>
      <c r="B188" t="s">
        <v>56</v>
      </c>
      <c r="C188" t="s">
        <v>25</v>
      </c>
      <c r="D188" t="s">
        <v>51</v>
      </c>
      <c r="E188">
        <v>2</v>
      </c>
      <c r="F188" s="14">
        <v>0.30385279999999998</v>
      </c>
      <c r="G188" s="9">
        <v>2.8419799406412261</v>
      </c>
      <c r="H188" s="12">
        <v>7.0182494833499884</v>
      </c>
      <c r="I188" s="19">
        <f t="shared" si="4"/>
        <v>2.8419799406412261</v>
      </c>
      <c r="J188">
        <f t="shared" si="5"/>
        <v>1.420989970320613</v>
      </c>
    </row>
    <row r="189" spans="1:10" x14ac:dyDescent="0.35">
      <c r="A189" t="s">
        <v>60</v>
      </c>
      <c r="B189" t="s">
        <v>56</v>
      </c>
      <c r="C189" t="s">
        <v>26</v>
      </c>
      <c r="D189" t="s">
        <v>51</v>
      </c>
      <c r="E189">
        <v>2</v>
      </c>
      <c r="F189" s="14">
        <v>2284.7086469000001</v>
      </c>
      <c r="G189" s="9">
        <v>45.282328610481066</v>
      </c>
      <c r="H189" s="12">
        <v>65.396331260923304</v>
      </c>
      <c r="I189" s="19">
        <f t="shared" si="4"/>
        <v>45.282328610481066</v>
      </c>
      <c r="J189">
        <f t="shared" si="5"/>
        <v>22.641164305240533</v>
      </c>
    </row>
    <row r="190" spans="1:10" x14ac:dyDescent="0.35">
      <c r="A190" t="s">
        <v>60</v>
      </c>
      <c r="B190" t="s">
        <v>56</v>
      </c>
      <c r="C190" t="s">
        <v>27</v>
      </c>
      <c r="D190" t="s">
        <v>51</v>
      </c>
      <c r="E190">
        <v>2</v>
      </c>
      <c r="F190" s="14">
        <v>138.10811050000001</v>
      </c>
      <c r="G190" s="9">
        <v>14.307759144730454</v>
      </c>
      <c r="H190" s="12">
        <v>12.486670593628187</v>
      </c>
      <c r="I190" s="19">
        <f t="shared" si="4"/>
        <v>14.307759144730454</v>
      </c>
      <c r="J190">
        <f t="shared" si="5"/>
        <v>7.1538795723652271</v>
      </c>
    </row>
    <row r="191" spans="1:10" x14ac:dyDescent="0.35">
      <c r="A191" t="s">
        <v>60</v>
      </c>
      <c r="B191" t="s">
        <v>56</v>
      </c>
      <c r="C191" t="s">
        <v>28</v>
      </c>
      <c r="D191" t="s">
        <v>51</v>
      </c>
      <c r="E191">
        <v>2</v>
      </c>
      <c r="F191" s="14">
        <v>14.882104799999999</v>
      </c>
      <c r="G191" s="9">
        <v>1.6734568744705136</v>
      </c>
      <c r="H191" s="12">
        <v>0.35926743930125493</v>
      </c>
      <c r="I191" s="19">
        <f t="shared" si="4"/>
        <v>1.6734568744705136</v>
      </c>
      <c r="J191">
        <f t="shared" si="5"/>
        <v>0.83672843723525681</v>
      </c>
    </row>
    <row r="192" spans="1:10" x14ac:dyDescent="0.35">
      <c r="A192" t="s">
        <v>60</v>
      </c>
      <c r="B192" t="s">
        <v>56</v>
      </c>
      <c r="C192" t="s">
        <v>29</v>
      </c>
      <c r="D192" t="s">
        <v>51</v>
      </c>
      <c r="E192">
        <v>2</v>
      </c>
      <c r="F192" s="14">
        <v>0.1341609</v>
      </c>
      <c r="G192" s="9">
        <v>5.8282898382094981</v>
      </c>
      <c r="H192" s="12">
        <v>6.6673962830406772</v>
      </c>
      <c r="I192" s="19">
        <f t="shared" si="4"/>
        <v>5.8282898382094981</v>
      </c>
      <c r="J192">
        <f t="shared" si="5"/>
        <v>2.914144919104749</v>
      </c>
    </row>
    <row r="193" spans="1:10" x14ac:dyDescent="0.35">
      <c r="A193" t="s">
        <v>60</v>
      </c>
      <c r="B193" t="s">
        <v>56</v>
      </c>
      <c r="C193" t="s">
        <v>30</v>
      </c>
      <c r="D193" t="s">
        <v>51</v>
      </c>
      <c r="E193">
        <v>2</v>
      </c>
      <c r="F193" s="14">
        <v>1.3623094</v>
      </c>
      <c r="G193" s="9">
        <v>0</v>
      </c>
      <c r="H193" s="12">
        <v>0.51528872388075841</v>
      </c>
      <c r="I193" s="19">
        <f t="shared" si="4"/>
        <v>0</v>
      </c>
      <c r="J193">
        <f t="shared" si="5"/>
        <v>0</v>
      </c>
    </row>
    <row r="194" spans="1:10" x14ac:dyDescent="0.35">
      <c r="A194" t="s">
        <v>60</v>
      </c>
      <c r="B194" t="s">
        <v>56</v>
      </c>
      <c r="C194" t="s">
        <v>31</v>
      </c>
      <c r="D194" t="s">
        <v>51</v>
      </c>
      <c r="E194">
        <v>2</v>
      </c>
      <c r="F194" s="14">
        <v>0.40188240000000003</v>
      </c>
      <c r="G194" s="9" t="e">
        <v>#N/A</v>
      </c>
      <c r="H194" s="12">
        <v>0.29125362406970717</v>
      </c>
      <c r="I194" s="19" t="e">
        <f t="shared" ref="I194:I257" si="6">IF(G194&lt;0,0,G194)</f>
        <v>#N/A</v>
      </c>
      <c r="J194" t="e">
        <f t="shared" si="5"/>
        <v>#N/A</v>
      </c>
    </row>
    <row r="195" spans="1:10" x14ac:dyDescent="0.35">
      <c r="A195" t="s">
        <v>60</v>
      </c>
      <c r="B195" t="s">
        <v>56</v>
      </c>
      <c r="C195" t="s">
        <v>32</v>
      </c>
      <c r="D195" t="s">
        <v>51</v>
      </c>
      <c r="E195">
        <v>2</v>
      </c>
      <c r="F195" s="14">
        <v>54.570461000000002</v>
      </c>
      <c r="G195" s="9">
        <v>2.0496311880072633</v>
      </c>
      <c r="H195" s="12">
        <v>6.7513832216660719</v>
      </c>
      <c r="I195" s="19">
        <f t="shared" si="6"/>
        <v>2.0496311880072633</v>
      </c>
      <c r="J195">
        <f t="shared" si="5"/>
        <v>1.0248155940036316</v>
      </c>
    </row>
    <row r="196" spans="1:10" x14ac:dyDescent="0.35">
      <c r="A196" t="s">
        <v>60</v>
      </c>
      <c r="B196" t="s">
        <v>56</v>
      </c>
      <c r="C196" t="s">
        <v>33</v>
      </c>
      <c r="D196" t="s">
        <v>51</v>
      </c>
      <c r="E196">
        <v>2</v>
      </c>
      <c r="F196" s="14">
        <v>3.1999223999999997</v>
      </c>
      <c r="G196" s="9" t="e">
        <v>#N/A</v>
      </c>
      <c r="H196" s="12">
        <v>5.4613382992070871</v>
      </c>
      <c r="I196" s="19" t="e">
        <f t="shared" si="6"/>
        <v>#N/A</v>
      </c>
      <c r="J196" t="e">
        <f t="shared" si="5"/>
        <v>#N/A</v>
      </c>
    </row>
    <row r="197" spans="1:10" x14ac:dyDescent="0.35">
      <c r="A197" t="s">
        <v>60</v>
      </c>
      <c r="B197" t="s">
        <v>56</v>
      </c>
      <c r="C197" t="s">
        <v>34</v>
      </c>
      <c r="D197" t="s">
        <v>51</v>
      </c>
      <c r="E197">
        <v>2</v>
      </c>
      <c r="F197" s="14">
        <v>0</v>
      </c>
      <c r="G197" s="9" t="e">
        <v>#N/A</v>
      </c>
      <c r="H197" s="12">
        <v>0.11253162792068155</v>
      </c>
      <c r="I197" s="19" t="e">
        <f t="shared" si="6"/>
        <v>#N/A</v>
      </c>
      <c r="J197" t="e">
        <f t="shared" ref="J197:J260" si="7">I197/2</f>
        <v>#N/A</v>
      </c>
    </row>
    <row r="198" spans="1:10" x14ac:dyDescent="0.35">
      <c r="A198" t="s">
        <v>60</v>
      </c>
      <c r="B198" t="s">
        <v>56</v>
      </c>
      <c r="C198" t="s">
        <v>35</v>
      </c>
      <c r="D198" t="s">
        <v>51</v>
      </c>
      <c r="E198">
        <v>2</v>
      </c>
      <c r="F198" s="14">
        <v>144.10380669999998</v>
      </c>
      <c r="G198" s="9">
        <v>6.7378219515218802</v>
      </c>
      <c r="H198" s="12">
        <v>8.7328506944728836</v>
      </c>
      <c r="I198" s="19">
        <f t="shared" si="6"/>
        <v>6.7378219515218802</v>
      </c>
      <c r="J198">
        <f t="shared" si="7"/>
        <v>3.3689109757609401</v>
      </c>
    </row>
    <row r="199" spans="1:10" x14ac:dyDescent="0.35">
      <c r="A199" t="s">
        <v>60</v>
      </c>
      <c r="B199" t="s">
        <v>56</v>
      </c>
      <c r="C199" t="s">
        <v>36</v>
      </c>
      <c r="D199" t="s">
        <v>51</v>
      </c>
      <c r="E199">
        <v>2</v>
      </c>
      <c r="F199" s="14">
        <v>3.0235837999999999</v>
      </c>
      <c r="G199" s="9">
        <v>1.9394649451687291</v>
      </c>
      <c r="H199" s="12">
        <v>3.5817354104133954</v>
      </c>
      <c r="I199" s="19">
        <f t="shared" si="6"/>
        <v>1.9394649451687291</v>
      </c>
      <c r="J199">
        <f t="shared" si="7"/>
        <v>0.96973247258436457</v>
      </c>
    </row>
    <row r="200" spans="1:10" x14ac:dyDescent="0.35">
      <c r="A200" t="s">
        <v>60</v>
      </c>
      <c r="B200" t="s">
        <v>56</v>
      </c>
      <c r="C200" t="s">
        <v>37</v>
      </c>
      <c r="D200" t="s">
        <v>51</v>
      </c>
      <c r="E200">
        <v>2</v>
      </c>
      <c r="F200" s="14">
        <v>82.943792700000003</v>
      </c>
      <c r="G200" s="9">
        <v>8.0242291797550163</v>
      </c>
      <c r="H200" s="12">
        <v>25.667853633772644</v>
      </c>
      <c r="I200" s="19">
        <f t="shared" si="6"/>
        <v>8.0242291797550163</v>
      </c>
      <c r="J200">
        <f t="shared" si="7"/>
        <v>4.0121145898775081</v>
      </c>
    </row>
    <row r="201" spans="1:10" x14ac:dyDescent="0.35">
      <c r="A201" t="s">
        <v>60</v>
      </c>
      <c r="B201" t="s">
        <v>56</v>
      </c>
      <c r="C201" t="s">
        <v>38</v>
      </c>
      <c r="D201" t="s">
        <v>51</v>
      </c>
      <c r="E201">
        <v>2</v>
      </c>
      <c r="F201" s="14">
        <v>1.9346867999999999</v>
      </c>
      <c r="G201" s="9" t="e">
        <v>#N/A</v>
      </c>
      <c r="H201" s="12">
        <v>0.17380703132072706</v>
      </c>
      <c r="I201" s="19" t="e">
        <f t="shared" si="6"/>
        <v>#N/A</v>
      </c>
      <c r="J201" t="e">
        <f t="shared" si="7"/>
        <v>#N/A</v>
      </c>
    </row>
    <row r="202" spans="1:10" x14ac:dyDescent="0.35">
      <c r="A202" t="s">
        <v>60</v>
      </c>
      <c r="B202" t="s">
        <v>56</v>
      </c>
      <c r="C202" t="s">
        <v>39</v>
      </c>
      <c r="D202" t="s">
        <v>51</v>
      </c>
      <c r="E202">
        <v>2</v>
      </c>
      <c r="F202" s="14">
        <v>0</v>
      </c>
      <c r="G202" s="9" t="e">
        <v>#N/A</v>
      </c>
      <c r="H202" s="12">
        <v>0.11162591824008247</v>
      </c>
      <c r="I202" s="19" t="e">
        <f t="shared" si="6"/>
        <v>#N/A</v>
      </c>
      <c r="J202" t="e">
        <f t="shared" si="7"/>
        <v>#N/A</v>
      </c>
    </row>
    <row r="203" spans="1:10" x14ac:dyDescent="0.35">
      <c r="A203" t="s">
        <v>60</v>
      </c>
      <c r="B203" t="s">
        <v>56</v>
      </c>
      <c r="C203" t="s">
        <v>40</v>
      </c>
      <c r="D203" t="s">
        <v>51</v>
      </c>
      <c r="E203">
        <v>2</v>
      </c>
      <c r="F203" s="14">
        <v>7.3355316999999998</v>
      </c>
      <c r="G203" s="9">
        <v>0.70948111518101309</v>
      </c>
      <c r="H203" s="12">
        <v>0.94751572652999916</v>
      </c>
      <c r="I203" s="19">
        <f t="shared" si="6"/>
        <v>0.70948111518101309</v>
      </c>
      <c r="J203">
        <f t="shared" si="7"/>
        <v>0.35474055759050654</v>
      </c>
    </row>
    <row r="204" spans="1:10" x14ac:dyDescent="0.35">
      <c r="A204" t="s">
        <v>60</v>
      </c>
      <c r="B204" t="s">
        <v>56</v>
      </c>
      <c r="C204" t="s">
        <v>41</v>
      </c>
      <c r="D204" t="s">
        <v>51</v>
      </c>
      <c r="E204">
        <v>2</v>
      </c>
      <c r="F204" s="14">
        <v>0</v>
      </c>
      <c r="G204" s="9">
        <v>0</v>
      </c>
      <c r="H204" s="12">
        <v>-0.41547661964309507</v>
      </c>
      <c r="I204" s="19">
        <f t="shared" si="6"/>
        <v>0</v>
      </c>
      <c r="J204">
        <f t="shared" si="7"/>
        <v>0</v>
      </c>
    </row>
    <row r="205" spans="1:10" s="8" customFormat="1" x14ac:dyDescent="0.35">
      <c r="A205" s="8" t="s">
        <v>60</v>
      </c>
      <c r="B205" s="8" t="s">
        <v>56</v>
      </c>
      <c r="C205" s="8" t="s">
        <v>42</v>
      </c>
      <c r="D205" s="8" t="s">
        <v>51</v>
      </c>
      <c r="E205" s="8">
        <v>2</v>
      </c>
      <c r="F205" s="15">
        <v>0</v>
      </c>
      <c r="G205" s="10" t="e">
        <v>#N/A</v>
      </c>
      <c r="H205" s="13">
        <v>0.39805351586941795</v>
      </c>
      <c r="I205" s="20" t="e">
        <f t="shared" si="6"/>
        <v>#N/A</v>
      </c>
      <c r="J205" s="8" t="e">
        <f t="shared" si="7"/>
        <v>#N/A</v>
      </c>
    </row>
    <row r="206" spans="1:10" x14ac:dyDescent="0.35">
      <c r="A206" t="s">
        <v>61</v>
      </c>
      <c r="B206" t="s">
        <v>57</v>
      </c>
      <c r="C206" t="s">
        <v>7</v>
      </c>
      <c r="D206" t="s">
        <v>50</v>
      </c>
      <c r="E206">
        <v>2</v>
      </c>
      <c r="F206" s="14">
        <v>6.8520784999999993</v>
      </c>
      <c r="G206" s="9" t="e">
        <v>#N/A</v>
      </c>
      <c r="H206" s="12">
        <v>0.75624215587741916</v>
      </c>
      <c r="I206" s="19" t="e">
        <f t="shared" si="6"/>
        <v>#N/A</v>
      </c>
      <c r="J206" t="e">
        <f t="shared" si="7"/>
        <v>#N/A</v>
      </c>
    </row>
    <row r="207" spans="1:10" x14ac:dyDescent="0.35">
      <c r="A207" t="s">
        <v>61</v>
      </c>
      <c r="B207" t="s">
        <v>57</v>
      </c>
      <c r="C207" t="s">
        <v>9</v>
      </c>
      <c r="D207" t="s">
        <v>50</v>
      </c>
      <c r="E207">
        <v>2</v>
      </c>
      <c r="F207" s="14">
        <v>0.90336300000000003</v>
      </c>
      <c r="G207" s="9" t="e">
        <v>#N/A</v>
      </c>
      <c r="H207" s="12">
        <v>-2.5402275447774861E-2</v>
      </c>
      <c r="I207" s="19" t="e">
        <f t="shared" si="6"/>
        <v>#N/A</v>
      </c>
      <c r="J207" t="e">
        <f t="shared" si="7"/>
        <v>#N/A</v>
      </c>
    </row>
    <row r="208" spans="1:10" x14ac:dyDescent="0.35">
      <c r="A208" t="s">
        <v>61</v>
      </c>
      <c r="B208" t="s">
        <v>57</v>
      </c>
      <c r="C208" t="s">
        <v>10</v>
      </c>
      <c r="D208" t="s">
        <v>50</v>
      </c>
      <c r="E208">
        <v>2</v>
      </c>
      <c r="F208" s="14">
        <v>0</v>
      </c>
      <c r="G208" s="9" t="e">
        <v>#N/A</v>
      </c>
      <c r="H208" s="12">
        <v>-1.0401944387040356E-4</v>
      </c>
      <c r="I208" s="19" t="e">
        <f t="shared" si="6"/>
        <v>#N/A</v>
      </c>
      <c r="J208" t="e">
        <f t="shared" si="7"/>
        <v>#N/A</v>
      </c>
    </row>
    <row r="209" spans="1:10" x14ac:dyDescent="0.35">
      <c r="A209" t="s">
        <v>61</v>
      </c>
      <c r="B209" t="s">
        <v>57</v>
      </c>
      <c r="C209" t="s">
        <v>11</v>
      </c>
      <c r="D209" t="s">
        <v>50</v>
      </c>
      <c r="E209">
        <v>2</v>
      </c>
      <c r="F209" s="14">
        <v>15.160020299999999</v>
      </c>
      <c r="G209" s="9">
        <v>1.9815879741193341</v>
      </c>
      <c r="H209" s="12">
        <v>6.8827458033840792</v>
      </c>
      <c r="I209" s="19">
        <f t="shared" si="6"/>
        <v>1.9815879741193341</v>
      </c>
      <c r="J209">
        <f t="shared" si="7"/>
        <v>0.99079398705966704</v>
      </c>
    </row>
    <row r="210" spans="1:10" x14ac:dyDescent="0.35">
      <c r="A210" t="s">
        <v>61</v>
      </c>
      <c r="B210" t="s">
        <v>57</v>
      </c>
      <c r="C210" t="s">
        <v>12</v>
      </c>
      <c r="D210" t="s">
        <v>50</v>
      </c>
      <c r="E210">
        <v>2</v>
      </c>
      <c r="F210" s="14">
        <v>86.806049000000002</v>
      </c>
      <c r="G210" s="9">
        <v>8.414475797712166</v>
      </c>
      <c r="H210" s="12">
        <v>6.9855841683683693</v>
      </c>
      <c r="I210" s="19">
        <f t="shared" si="6"/>
        <v>8.414475797712166</v>
      </c>
      <c r="J210">
        <f t="shared" si="7"/>
        <v>4.207237898856083</v>
      </c>
    </row>
    <row r="211" spans="1:10" x14ac:dyDescent="0.35">
      <c r="A211" t="s">
        <v>61</v>
      </c>
      <c r="B211" t="s">
        <v>57</v>
      </c>
      <c r="C211" t="s">
        <v>13</v>
      </c>
      <c r="D211" t="s">
        <v>50</v>
      </c>
      <c r="E211">
        <v>2</v>
      </c>
      <c r="F211" s="14">
        <v>186.48419719999998</v>
      </c>
      <c r="G211" s="9">
        <v>19.150872125900761</v>
      </c>
      <c r="H211" s="12">
        <v>49.320931786919786</v>
      </c>
      <c r="I211" s="19">
        <f t="shared" si="6"/>
        <v>19.150872125900761</v>
      </c>
      <c r="J211">
        <f t="shared" si="7"/>
        <v>9.5754360629503807</v>
      </c>
    </row>
    <row r="212" spans="1:10" x14ac:dyDescent="0.35">
      <c r="A212" t="s">
        <v>61</v>
      </c>
      <c r="B212" t="s">
        <v>57</v>
      </c>
      <c r="C212" t="s">
        <v>14</v>
      </c>
      <c r="D212" t="s">
        <v>50</v>
      </c>
      <c r="E212">
        <v>2</v>
      </c>
      <c r="F212" s="14">
        <v>0</v>
      </c>
      <c r="G212" s="9" t="e">
        <v>#N/A</v>
      </c>
      <c r="H212" s="12">
        <v>-4.0699188801262894E-2</v>
      </c>
      <c r="I212" s="19" t="e">
        <f t="shared" si="6"/>
        <v>#N/A</v>
      </c>
      <c r="J212" t="e">
        <f t="shared" si="7"/>
        <v>#N/A</v>
      </c>
    </row>
    <row r="213" spans="1:10" x14ac:dyDescent="0.35">
      <c r="A213" t="s">
        <v>61</v>
      </c>
      <c r="B213" t="s">
        <v>57</v>
      </c>
      <c r="C213" t="s">
        <v>15</v>
      </c>
      <c r="D213" t="s">
        <v>50</v>
      </c>
      <c r="E213">
        <v>2</v>
      </c>
      <c r="F213" s="14">
        <v>9.4220830000000007</v>
      </c>
      <c r="G213" s="9">
        <v>1.3743854694644184</v>
      </c>
      <c r="H213" s="12">
        <v>0.46030865839767365</v>
      </c>
      <c r="I213" s="19">
        <f t="shared" si="6"/>
        <v>1.3743854694644184</v>
      </c>
      <c r="J213">
        <f t="shared" si="7"/>
        <v>0.68719273473220921</v>
      </c>
    </row>
    <row r="214" spans="1:10" x14ac:dyDescent="0.35">
      <c r="A214" t="s">
        <v>61</v>
      </c>
      <c r="B214" t="s">
        <v>57</v>
      </c>
      <c r="C214" t="s">
        <v>16</v>
      </c>
      <c r="D214" t="s">
        <v>50</v>
      </c>
      <c r="E214">
        <v>2</v>
      </c>
      <c r="F214" s="14">
        <v>0</v>
      </c>
      <c r="G214" s="9" t="e">
        <v>#N/A</v>
      </c>
      <c r="H214" s="12">
        <v>0.10298035030301216</v>
      </c>
      <c r="I214" s="19" t="e">
        <f t="shared" si="6"/>
        <v>#N/A</v>
      </c>
      <c r="J214" t="e">
        <f t="shared" si="7"/>
        <v>#N/A</v>
      </c>
    </row>
    <row r="215" spans="1:10" x14ac:dyDescent="0.35">
      <c r="A215" t="s">
        <v>61</v>
      </c>
      <c r="B215" t="s">
        <v>57</v>
      </c>
      <c r="C215" t="s">
        <v>17</v>
      </c>
      <c r="D215" t="s">
        <v>50</v>
      </c>
      <c r="E215">
        <v>2</v>
      </c>
      <c r="F215" s="14">
        <v>3560.4576573999998</v>
      </c>
      <c r="G215" s="9">
        <v>84.588540590084094</v>
      </c>
      <c r="H215" s="12">
        <v>259.53435866786356</v>
      </c>
      <c r="I215" s="19">
        <f t="shared" si="6"/>
        <v>84.588540590084094</v>
      </c>
      <c r="J215">
        <f t="shared" si="7"/>
        <v>42.294270295042047</v>
      </c>
    </row>
    <row r="216" spans="1:10" x14ac:dyDescent="0.35">
      <c r="A216" t="s">
        <v>61</v>
      </c>
      <c r="B216" t="s">
        <v>57</v>
      </c>
      <c r="C216" t="s">
        <v>18</v>
      </c>
      <c r="D216" t="s">
        <v>50</v>
      </c>
      <c r="E216">
        <v>2</v>
      </c>
      <c r="F216" s="14">
        <v>685.87131680000005</v>
      </c>
      <c r="G216" s="9">
        <v>53.723130525075725</v>
      </c>
      <c r="H216" s="12">
        <v>172.0707500936424</v>
      </c>
      <c r="I216" s="19">
        <f t="shared" si="6"/>
        <v>53.723130525075725</v>
      </c>
      <c r="J216">
        <f t="shared" si="7"/>
        <v>26.861565262537862</v>
      </c>
    </row>
    <row r="217" spans="1:10" x14ac:dyDescent="0.35">
      <c r="A217" t="s">
        <v>61</v>
      </c>
      <c r="B217" t="s">
        <v>57</v>
      </c>
      <c r="C217" t="s">
        <v>20</v>
      </c>
      <c r="D217" t="s">
        <v>50</v>
      </c>
      <c r="E217">
        <v>2</v>
      </c>
      <c r="F217" s="14">
        <v>11.1623717</v>
      </c>
      <c r="G217" s="9">
        <v>0.75197191133104813</v>
      </c>
      <c r="H217" s="12">
        <v>2.3939230094236672</v>
      </c>
      <c r="I217" s="19">
        <f t="shared" si="6"/>
        <v>0.75197191133104813</v>
      </c>
      <c r="J217">
        <f t="shared" si="7"/>
        <v>0.37598595566552406</v>
      </c>
    </row>
    <row r="218" spans="1:10" x14ac:dyDescent="0.35">
      <c r="A218" t="s">
        <v>61</v>
      </c>
      <c r="B218" t="s">
        <v>57</v>
      </c>
      <c r="C218" t="s">
        <v>21</v>
      </c>
      <c r="D218" t="s">
        <v>50</v>
      </c>
      <c r="E218">
        <v>2</v>
      </c>
      <c r="F218" s="14">
        <v>274.52746110000004</v>
      </c>
      <c r="G218" s="9">
        <v>24.43756607986797</v>
      </c>
      <c r="H218" s="12">
        <v>22.647595374193944</v>
      </c>
      <c r="I218" s="19">
        <f t="shared" si="6"/>
        <v>24.43756607986797</v>
      </c>
      <c r="J218">
        <f t="shared" si="7"/>
        <v>12.218783039933985</v>
      </c>
    </row>
    <row r="219" spans="1:10" x14ac:dyDescent="0.35">
      <c r="A219" t="s">
        <v>61</v>
      </c>
      <c r="B219" t="s">
        <v>57</v>
      </c>
      <c r="C219" t="s">
        <v>22</v>
      </c>
      <c r="D219" t="s">
        <v>50</v>
      </c>
      <c r="E219">
        <v>2</v>
      </c>
      <c r="F219" s="14">
        <v>0</v>
      </c>
      <c r="G219" s="9">
        <v>79.916348577079859</v>
      </c>
      <c r="H219" s="12">
        <v>61.774793506921029</v>
      </c>
      <c r="I219" s="19">
        <f t="shared" si="6"/>
        <v>79.916348577079859</v>
      </c>
      <c r="J219">
        <f t="shared" si="7"/>
        <v>39.958174288539929</v>
      </c>
    </row>
    <row r="220" spans="1:10" x14ac:dyDescent="0.35">
      <c r="A220" t="s">
        <v>61</v>
      </c>
      <c r="B220" t="s">
        <v>57</v>
      </c>
      <c r="C220" t="s">
        <v>23</v>
      </c>
      <c r="D220" t="s">
        <v>50</v>
      </c>
      <c r="E220">
        <v>2</v>
      </c>
      <c r="F220" s="14">
        <v>0.3423505</v>
      </c>
      <c r="G220" s="9" t="e">
        <v>#N/A</v>
      </c>
      <c r="H220" s="12">
        <v>87.80805979203636</v>
      </c>
      <c r="I220" s="19" t="e">
        <f t="shared" si="6"/>
        <v>#N/A</v>
      </c>
      <c r="J220" t="e">
        <f t="shared" si="7"/>
        <v>#N/A</v>
      </c>
    </row>
    <row r="221" spans="1:10" x14ac:dyDescent="0.35">
      <c r="A221" t="s">
        <v>61</v>
      </c>
      <c r="B221" t="s">
        <v>57</v>
      </c>
      <c r="C221" t="s">
        <v>24</v>
      </c>
      <c r="D221" t="s">
        <v>50</v>
      </c>
      <c r="E221">
        <v>2</v>
      </c>
      <c r="F221" s="14">
        <v>969.46835759999999</v>
      </c>
      <c r="G221" s="9">
        <v>72.005615427525129</v>
      </c>
      <c r="H221" s="12">
        <v>105.22675551228097</v>
      </c>
      <c r="I221" s="19">
        <f t="shared" si="6"/>
        <v>72.005615427525129</v>
      </c>
      <c r="J221">
        <f t="shared" si="7"/>
        <v>36.002807713762564</v>
      </c>
    </row>
    <row r="222" spans="1:10" x14ac:dyDescent="0.35">
      <c r="A222" t="s">
        <v>61</v>
      </c>
      <c r="B222" t="s">
        <v>57</v>
      </c>
      <c r="C222" t="s">
        <v>25</v>
      </c>
      <c r="D222" t="s">
        <v>50</v>
      </c>
      <c r="E222">
        <v>2</v>
      </c>
      <c r="F222" s="14">
        <v>72.725791999999998</v>
      </c>
      <c r="G222" s="9">
        <v>4.6694689271411827</v>
      </c>
      <c r="H222" s="12">
        <v>10.885527573836757</v>
      </c>
      <c r="I222" s="19">
        <f t="shared" si="6"/>
        <v>4.6694689271411827</v>
      </c>
      <c r="J222">
        <f t="shared" si="7"/>
        <v>2.3347344635705913</v>
      </c>
    </row>
    <row r="223" spans="1:10" x14ac:dyDescent="0.35">
      <c r="A223" t="s">
        <v>61</v>
      </c>
      <c r="B223" t="s">
        <v>57</v>
      </c>
      <c r="C223" t="s">
        <v>26</v>
      </c>
      <c r="D223" t="s">
        <v>50</v>
      </c>
      <c r="E223">
        <v>2</v>
      </c>
      <c r="F223" s="14">
        <v>1489.1782862</v>
      </c>
      <c r="G223" s="9">
        <v>30.78031619240879</v>
      </c>
      <c r="H223" s="12">
        <v>42.618907939730342</v>
      </c>
      <c r="I223" s="19">
        <f t="shared" si="6"/>
        <v>30.78031619240879</v>
      </c>
      <c r="J223">
        <f t="shared" si="7"/>
        <v>15.390158096204395</v>
      </c>
    </row>
    <row r="224" spans="1:10" x14ac:dyDescent="0.35">
      <c r="A224" t="s">
        <v>61</v>
      </c>
      <c r="B224" t="s">
        <v>57</v>
      </c>
      <c r="C224" t="s">
        <v>27</v>
      </c>
      <c r="D224" t="s">
        <v>50</v>
      </c>
      <c r="E224">
        <v>2</v>
      </c>
      <c r="F224" s="14">
        <v>105.3594409</v>
      </c>
      <c r="G224" s="9">
        <v>11.406534237076624</v>
      </c>
      <c r="H224" s="12">
        <v>9.5562232666499387</v>
      </c>
      <c r="I224" s="19">
        <f t="shared" si="6"/>
        <v>11.406534237076624</v>
      </c>
      <c r="J224">
        <f t="shared" si="7"/>
        <v>5.7032671185383119</v>
      </c>
    </row>
    <row r="225" spans="1:10" x14ac:dyDescent="0.35">
      <c r="A225" t="s">
        <v>61</v>
      </c>
      <c r="B225" t="s">
        <v>57</v>
      </c>
      <c r="C225" t="s">
        <v>28</v>
      </c>
      <c r="D225" t="s">
        <v>50</v>
      </c>
      <c r="E225">
        <v>2</v>
      </c>
      <c r="F225" s="14">
        <v>12.602019800000001</v>
      </c>
      <c r="G225" s="9">
        <v>1.1654832001608382</v>
      </c>
      <c r="H225" s="12">
        <v>0.20756246006835619</v>
      </c>
      <c r="I225" s="19">
        <f t="shared" si="6"/>
        <v>1.1654832001608382</v>
      </c>
      <c r="J225">
        <f t="shared" si="7"/>
        <v>0.58274160008041909</v>
      </c>
    </row>
    <row r="226" spans="1:10" x14ac:dyDescent="0.35">
      <c r="A226" t="s">
        <v>61</v>
      </c>
      <c r="B226" t="s">
        <v>57</v>
      </c>
      <c r="C226" t="s">
        <v>29</v>
      </c>
      <c r="D226" t="s">
        <v>50</v>
      </c>
      <c r="E226">
        <v>2</v>
      </c>
      <c r="F226" s="14">
        <v>16.545328399999999</v>
      </c>
      <c r="G226" s="9">
        <v>4.6995527209076045</v>
      </c>
      <c r="H226" s="12">
        <v>4.5995752696742596</v>
      </c>
      <c r="I226" s="19">
        <f t="shared" si="6"/>
        <v>4.6995527209076045</v>
      </c>
      <c r="J226">
        <f t="shared" si="7"/>
        <v>2.3497763604538022</v>
      </c>
    </row>
    <row r="227" spans="1:10" x14ac:dyDescent="0.35">
      <c r="A227" t="s">
        <v>61</v>
      </c>
      <c r="B227" t="s">
        <v>57</v>
      </c>
      <c r="C227" t="s">
        <v>30</v>
      </c>
      <c r="D227" t="s">
        <v>50</v>
      </c>
      <c r="E227">
        <v>2</v>
      </c>
      <c r="F227" s="14">
        <v>4.8586784999999999</v>
      </c>
      <c r="G227" s="9">
        <v>0</v>
      </c>
      <c r="H227" s="12">
        <v>1.4357777460417189</v>
      </c>
      <c r="I227" s="19">
        <f t="shared" si="6"/>
        <v>0</v>
      </c>
      <c r="J227">
        <f t="shared" si="7"/>
        <v>0</v>
      </c>
    </row>
    <row r="228" spans="1:10" x14ac:dyDescent="0.35">
      <c r="A228" t="s">
        <v>61</v>
      </c>
      <c r="B228" t="s">
        <v>57</v>
      </c>
      <c r="C228" t="s">
        <v>31</v>
      </c>
      <c r="D228" t="s">
        <v>50</v>
      </c>
      <c r="E228">
        <v>2</v>
      </c>
      <c r="F228" s="14">
        <v>2.4943208000000001</v>
      </c>
      <c r="G228" s="9" t="e">
        <v>#N/A</v>
      </c>
      <c r="H228" s="12">
        <v>0.43954689476125108</v>
      </c>
      <c r="I228" s="19" t="e">
        <f t="shared" si="6"/>
        <v>#N/A</v>
      </c>
      <c r="J228" t="e">
        <f t="shared" si="7"/>
        <v>#N/A</v>
      </c>
    </row>
    <row r="229" spans="1:10" x14ac:dyDescent="0.35">
      <c r="A229" t="s">
        <v>61</v>
      </c>
      <c r="B229" t="s">
        <v>57</v>
      </c>
      <c r="C229" t="s">
        <v>32</v>
      </c>
      <c r="D229" t="s">
        <v>50</v>
      </c>
      <c r="E229">
        <v>2</v>
      </c>
      <c r="F229" s="14">
        <v>74.977003699999997</v>
      </c>
      <c r="G229" s="9">
        <v>2.9670487881947532</v>
      </c>
      <c r="H229" s="12">
        <v>9.278652615678455</v>
      </c>
      <c r="I229" s="19">
        <f t="shared" si="6"/>
        <v>2.9670487881947532</v>
      </c>
      <c r="J229">
        <f t="shared" si="7"/>
        <v>1.4835243940973766</v>
      </c>
    </row>
    <row r="230" spans="1:10" x14ac:dyDescent="0.35">
      <c r="A230" t="s">
        <v>61</v>
      </c>
      <c r="B230" t="s">
        <v>57</v>
      </c>
      <c r="C230" t="s">
        <v>33</v>
      </c>
      <c r="D230" t="s">
        <v>50</v>
      </c>
      <c r="E230">
        <v>2</v>
      </c>
      <c r="F230" s="14">
        <v>5.8726006000000002</v>
      </c>
      <c r="G230" s="9" t="e">
        <v>#N/A</v>
      </c>
      <c r="H230" s="12">
        <v>8.2916776828755374</v>
      </c>
      <c r="I230" s="19" t="e">
        <f t="shared" si="6"/>
        <v>#N/A</v>
      </c>
      <c r="J230" t="e">
        <f t="shared" si="7"/>
        <v>#N/A</v>
      </c>
    </row>
    <row r="231" spans="1:10" x14ac:dyDescent="0.35">
      <c r="A231" t="s">
        <v>61</v>
      </c>
      <c r="B231" t="s">
        <v>57</v>
      </c>
      <c r="C231" t="s">
        <v>34</v>
      </c>
      <c r="D231" t="s">
        <v>50</v>
      </c>
      <c r="E231">
        <v>2</v>
      </c>
      <c r="F231" s="14">
        <v>0</v>
      </c>
      <c r="G231" s="9" t="e">
        <v>#N/A</v>
      </c>
      <c r="H231" s="12">
        <v>8.7031858629606246E-2</v>
      </c>
      <c r="I231" s="19" t="e">
        <f t="shared" si="6"/>
        <v>#N/A</v>
      </c>
      <c r="J231" t="e">
        <f t="shared" si="7"/>
        <v>#N/A</v>
      </c>
    </row>
    <row r="232" spans="1:10" x14ac:dyDescent="0.35">
      <c r="A232" t="s">
        <v>61</v>
      </c>
      <c r="B232" t="s">
        <v>57</v>
      </c>
      <c r="C232" t="s">
        <v>35</v>
      </c>
      <c r="D232" t="s">
        <v>50</v>
      </c>
      <c r="E232">
        <v>2</v>
      </c>
      <c r="F232" s="14">
        <v>188.44760479999999</v>
      </c>
      <c r="G232" s="9">
        <v>10.781830680021351</v>
      </c>
      <c r="H232" s="12">
        <v>13.376483324208463</v>
      </c>
      <c r="I232" s="19">
        <f t="shared" si="6"/>
        <v>10.781830680021351</v>
      </c>
      <c r="J232">
        <f t="shared" si="7"/>
        <v>5.3909153400106753</v>
      </c>
    </row>
    <row r="233" spans="1:10" x14ac:dyDescent="0.35">
      <c r="A233" t="s">
        <v>61</v>
      </c>
      <c r="B233" t="s">
        <v>57</v>
      </c>
      <c r="C233" t="s">
        <v>36</v>
      </c>
      <c r="D233" t="s">
        <v>50</v>
      </c>
      <c r="E233">
        <v>2</v>
      </c>
      <c r="F233" s="14">
        <v>1.256232</v>
      </c>
      <c r="G233" s="9">
        <v>1.426849842056731</v>
      </c>
      <c r="H233" s="12">
        <v>2.1684607064622714</v>
      </c>
      <c r="I233" s="19">
        <f t="shared" si="6"/>
        <v>1.426849842056731</v>
      </c>
      <c r="J233">
        <f t="shared" si="7"/>
        <v>0.71342492102836552</v>
      </c>
    </row>
    <row r="234" spans="1:10" x14ac:dyDescent="0.35">
      <c r="A234" t="s">
        <v>61</v>
      </c>
      <c r="B234" t="s">
        <v>57</v>
      </c>
      <c r="C234" t="s">
        <v>37</v>
      </c>
      <c r="D234" t="s">
        <v>50</v>
      </c>
      <c r="E234">
        <v>2</v>
      </c>
      <c r="F234" s="14">
        <v>60.894140200000002</v>
      </c>
      <c r="G234" s="9">
        <v>5.6483053970333028</v>
      </c>
      <c r="H234" s="12">
        <v>18.684953812111253</v>
      </c>
      <c r="I234" s="19">
        <f t="shared" si="6"/>
        <v>5.6483053970333028</v>
      </c>
      <c r="J234">
        <f t="shared" si="7"/>
        <v>2.8241526985166514</v>
      </c>
    </row>
    <row r="235" spans="1:10" x14ac:dyDescent="0.35">
      <c r="A235" t="s">
        <v>61</v>
      </c>
      <c r="B235" t="s">
        <v>57</v>
      </c>
      <c r="C235" t="s">
        <v>38</v>
      </c>
      <c r="D235" t="s">
        <v>50</v>
      </c>
      <c r="E235">
        <v>2</v>
      </c>
      <c r="F235" s="14">
        <v>1.9209328999999999</v>
      </c>
      <c r="G235" s="9" t="e">
        <v>#N/A</v>
      </c>
      <c r="H235" s="12">
        <v>0.17704717202681503</v>
      </c>
      <c r="I235" s="19" t="e">
        <f t="shared" si="6"/>
        <v>#N/A</v>
      </c>
      <c r="J235" t="e">
        <f t="shared" si="7"/>
        <v>#N/A</v>
      </c>
    </row>
    <row r="236" spans="1:10" x14ac:dyDescent="0.35">
      <c r="A236" t="s">
        <v>61</v>
      </c>
      <c r="B236" t="s">
        <v>57</v>
      </c>
      <c r="C236" t="s">
        <v>39</v>
      </c>
      <c r="D236" t="s">
        <v>50</v>
      </c>
      <c r="E236">
        <v>2</v>
      </c>
      <c r="F236" s="14">
        <v>0</v>
      </c>
      <c r="G236" s="9" t="e">
        <v>#N/A</v>
      </c>
      <c r="H236" s="12">
        <v>8.4236011630952012E-2</v>
      </c>
      <c r="I236" s="19" t="e">
        <f t="shared" si="6"/>
        <v>#N/A</v>
      </c>
      <c r="J236" t="e">
        <f t="shared" si="7"/>
        <v>#N/A</v>
      </c>
    </row>
    <row r="237" spans="1:10" x14ac:dyDescent="0.35">
      <c r="A237" t="s">
        <v>61</v>
      </c>
      <c r="B237" t="s">
        <v>57</v>
      </c>
      <c r="C237" t="s">
        <v>40</v>
      </c>
      <c r="D237" t="s">
        <v>50</v>
      </c>
      <c r="E237">
        <v>2</v>
      </c>
      <c r="F237" s="14">
        <v>4.4452569000000004</v>
      </c>
      <c r="G237" s="9">
        <v>0.53133033731965662</v>
      </c>
      <c r="H237" s="12">
        <v>0.60387852466974001</v>
      </c>
      <c r="I237" s="19">
        <f t="shared" si="6"/>
        <v>0.53133033731965662</v>
      </c>
      <c r="J237">
        <f t="shared" si="7"/>
        <v>0.26566516865982831</v>
      </c>
    </row>
    <row r="238" spans="1:10" x14ac:dyDescent="0.35">
      <c r="A238" t="s">
        <v>61</v>
      </c>
      <c r="B238" t="s">
        <v>57</v>
      </c>
      <c r="C238" t="s">
        <v>41</v>
      </c>
      <c r="D238" t="s">
        <v>50</v>
      </c>
      <c r="E238">
        <v>2</v>
      </c>
      <c r="F238" s="14">
        <v>34.981726999999999</v>
      </c>
      <c r="G238" s="9">
        <v>0</v>
      </c>
      <c r="H238" s="12">
        <v>1.1795460731502923</v>
      </c>
      <c r="I238" s="19">
        <f t="shared" si="6"/>
        <v>0</v>
      </c>
      <c r="J238">
        <f t="shared" si="7"/>
        <v>0</v>
      </c>
    </row>
    <row r="239" spans="1:10" s="8" customFormat="1" x14ac:dyDescent="0.35">
      <c r="A239" s="8" t="s">
        <v>61</v>
      </c>
      <c r="B239" s="8" t="s">
        <v>57</v>
      </c>
      <c r="C239" s="8" t="s">
        <v>42</v>
      </c>
      <c r="D239" s="8" t="s">
        <v>50</v>
      </c>
      <c r="E239" s="8">
        <v>2</v>
      </c>
      <c r="F239" s="15">
        <v>0</v>
      </c>
      <c r="G239" s="10" t="e">
        <v>#N/A</v>
      </c>
      <c r="H239" s="13">
        <v>0.27605705869769304</v>
      </c>
      <c r="I239" s="20" t="e">
        <f t="shared" si="6"/>
        <v>#N/A</v>
      </c>
      <c r="J239" s="8" t="e">
        <f t="shared" si="7"/>
        <v>#N/A</v>
      </c>
    </row>
    <row r="240" spans="1:10" x14ac:dyDescent="0.35">
      <c r="A240" t="s">
        <v>62</v>
      </c>
      <c r="B240" t="s">
        <v>58</v>
      </c>
      <c r="C240" t="s">
        <v>7</v>
      </c>
      <c r="D240" t="s">
        <v>54</v>
      </c>
      <c r="E240">
        <v>2</v>
      </c>
      <c r="F240" s="14">
        <v>6.7748372000000003</v>
      </c>
      <c r="G240" s="9" t="e">
        <v>#N/A</v>
      </c>
      <c r="H240" s="12">
        <v>0.75299033006115057</v>
      </c>
      <c r="I240" s="19" t="e">
        <f t="shared" si="6"/>
        <v>#N/A</v>
      </c>
      <c r="J240" t="e">
        <f t="shared" si="7"/>
        <v>#N/A</v>
      </c>
    </row>
    <row r="241" spans="1:10" x14ac:dyDescent="0.35">
      <c r="A241" t="s">
        <v>62</v>
      </c>
      <c r="B241" t="s">
        <v>58</v>
      </c>
      <c r="C241" t="s">
        <v>9</v>
      </c>
      <c r="D241" t="s">
        <v>54</v>
      </c>
      <c r="E241">
        <v>2</v>
      </c>
      <c r="F241" s="14">
        <v>0</v>
      </c>
      <c r="G241" s="9" t="e">
        <v>#N/A</v>
      </c>
      <c r="H241" s="12">
        <v>-9.7712349694457981E-2</v>
      </c>
      <c r="I241" s="19" t="e">
        <f t="shared" si="6"/>
        <v>#N/A</v>
      </c>
      <c r="J241" t="e">
        <f t="shared" si="7"/>
        <v>#N/A</v>
      </c>
    </row>
    <row r="242" spans="1:10" x14ac:dyDescent="0.35">
      <c r="A242" t="s">
        <v>62</v>
      </c>
      <c r="B242" t="s">
        <v>58</v>
      </c>
      <c r="C242" t="s">
        <v>10</v>
      </c>
      <c r="D242" t="s">
        <v>54</v>
      </c>
      <c r="E242">
        <v>2</v>
      </c>
      <c r="F242" s="14">
        <v>0</v>
      </c>
      <c r="G242" s="9" t="e">
        <v>#N/A</v>
      </c>
      <c r="H242" s="12">
        <v>1.0619304631372801E-2</v>
      </c>
      <c r="I242" s="19" t="e">
        <f t="shared" si="6"/>
        <v>#N/A</v>
      </c>
      <c r="J242" t="e">
        <f t="shared" si="7"/>
        <v>#N/A</v>
      </c>
    </row>
    <row r="243" spans="1:10" x14ac:dyDescent="0.35">
      <c r="A243" t="s">
        <v>62</v>
      </c>
      <c r="B243" t="s">
        <v>58</v>
      </c>
      <c r="C243" t="s">
        <v>11</v>
      </c>
      <c r="D243" t="s">
        <v>54</v>
      </c>
      <c r="E243">
        <v>2</v>
      </c>
      <c r="F243" s="14">
        <v>14.2505679</v>
      </c>
      <c r="G243" s="9">
        <v>1.9531520819429913</v>
      </c>
      <c r="H243" s="12">
        <v>6.5985195520679882</v>
      </c>
      <c r="I243" s="19">
        <f t="shared" si="6"/>
        <v>1.9531520819429913</v>
      </c>
      <c r="J243">
        <f t="shared" si="7"/>
        <v>0.97657604097149564</v>
      </c>
    </row>
    <row r="244" spans="1:10" x14ac:dyDescent="0.35">
      <c r="A244" t="s">
        <v>62</v>
      </c>
      <c r="B244" t="s">
        <v>58</v>
      </c>
      <c r="C244" t="s">
        <v>12</v>
      </c>
      <c r="D244" t="s">
        <v>54</v>
      </c>
      <c r="E244">
        <v>2</v>
      </c>
      <c r="F244" s="14">
        <v>85.757244099999994</v>
      </c>
      <c r="G244" s="9">
        <v>8.509683645085488</v>
      </c>
      <c r="H244" s="12">
        <v>6.9012179922122394</v>
      </c>
      <c r="I244" s="19">
        <f t="shared" si="6"/>
        <v>8.509683645085488</v>
      </c>
      <c r="J244">
        <f t="shared" si="7"/>
        <v>4.254841822542744</v>
      </c>
    </row>
    <row r="245" spans="1:10" x14ac:dyDescent="0.35">
      <c r="A245" t="s">
        <v>62</v>
      </c>
      <c r="B245" t="s">
        <v>58</v>
      </c>
      <c r="C245" t="s">
        <v>13</v>
      </c>
      <c r="D245" t="s">
        <v>54</v>
      </c>
      <c r="E245">
        <v>2</v>
      </c>
      <c r="F245" s="14">
        <v>125.94263770000001</v>
      </c>
      <c r="G245" s="9">
        <v>13.777748809171717</v>
      </c>
      <c r="H245" s="12">
        <v>33.773286774505372</v>
      </c>
      <c r="I245" s="19">
        <f t="shared" si="6"/>
        <v>13.777748809171717</v>
      </c>
      <c r="J245">
        <f t="shared" si="7"/>
        <v>6.8888744045858585</v>
      </c>
    </row>
    <row r="246" spans="1:10" x14ac:dyDescent="0.35">
      <c r="A246" t="s">
        <v>62</v>
      </c>
      <c r="B246" t="s">
        <v>58</v>
      </c>
      <c r="C246" t="s">
        <v>14</v>
      </c>
      <c r="D246" t="s">
        <v>54</v>
      </c>
      <c r="E246">
        <v>2</v>
      </c>
      <c r="F246" s="14">
        <v>0</v>
      </c>
      <c r="G246" s="9" t="e">
        <v>#N/A</v>
      </c>
      <c r="H246" s="12">
        <v>-3.5771565491337615E-2</v>
      </c>
      <c r="I246" s="19" t="e">
        <f t="shared" si="6"/>
        <v>#N/A</v>
      </c>
      <c r="J246" t="e">
        <f t="shared" si="7"/>
        <v>#N/A</v>
      </c>
    </row>
    <row r="247" spans="1:10" x14ac:dyDescent="0.35">
      <c r="A247" t="s">
        <v>62</v>
      </c>
      <c r="B247" t="s">
        <v>58</v>
      </c>
      <c r="C247" t="s">
        <v>15</v>
      </c>
      <c r="D247" t="s">
        <v>54</v>
      </c>
      <c r="E247">
        <v>2</v>
      </c>
      <c r="F247" s="14">
        <v>6.5394794000000003</v>
      </c>
      <c r="G247" s="9">
        <v>1.0407369070463812</v>
      </c>
      <c r="H247" s="12">
        <v>0.32224563527210376</v>
      </c>
      <c r="I247" s="19">
        <f t="shared" si="6"/>
        <v>1.0407369070463812</v>
      </c>
      <c r="J247">
        <f t="shared" si="7"/>
        <v>0.52036845352319061</v>
      </c>
    </row>
    <row r="248" spans="1:10" x14ac:dyDescent="0.35">
      <c r="A248" t="s">
        <v>62</v>
      </c>
      <c r="B248" t="s">
        <v>58</v>
      </c>
      <c r="C248" t="s">
        <v>16</v>
      </c>
      <c r="D248" t="s">
        <v>54</v>
      </c>
      <c r="E248">
        <v>2</v>
      </c>
      <c r="F248" s="14">
        <v>0</v>
      </c>
      <c r="G248" s="9" t="e">
        <v>#N/A</v>
      </c>
      <c r="H248" s="12">
        <v>1.3352978263781384E-2</v>
      </c>
      <c r="I248" s="19" t="e">
        <f t="shared" si="6"/>
        <v>#N/A</v>
      </c>
      <c r="J248" t="e">
        <f t="shared" si="7"/>
        <v>#N/A</v>
      </c>
    </row>
    <row r="249" spans="1:10" x14ac:dyDescent="0.35">
      <c r="A249" t="s">
        <v>62</v>
      </c>
      <c r="B249" t="s">
        <v>58</v>
      </c>
      <c r="C249" t="s">
        <v>17</v>
      </c>
      <c r="D249" t="s">
        <v>54</v>
      </c>
      <c r="E249">
        <v>2</v>
      </c>
      <c r="F249" s="14">
        <v>2713.1368764999997</v>
      </c>
      <c r="G249" s="9">
        <v>66.26914337036699</v>
      </c>
      <c r="H249" s="12">
        <v>197.73704740968151</v>
      </c>
      <c r="I249" s="19">
        <f t="shared" si="6"/>
        <v>66.26914337036699</v>
      </c>
      <c r="J249">
        <f t="shared" si="7"/>
        <v>33.134571685183495</v>
      </c>
    </row>
    <row r="250" spans="1:10" x14ac:dyDescent="0.35">
      <c r="A250" t="s">
        <v>62</v>
      </c>
      <c r="B250" t="s">
        <v>58</v>
      </c>
      <c r="C250" t="s">
        <v>18</v>
      </c>
      <c r="D250" t="s">
        <v>54</v>
      </c>
      <c r="E250">
        <v>2</v>
      </c>
      <c r="F250" s="14">
        <v>386.46814720000003</v>
      </c>
      <c r="G250" s="9">
        <v>33.419248631430996</v>
      </c>
      <c r="H250" s="12">
        <v>97.155407452957604</v>
      </c>
      <c r="I250" s="19">
        <f t="shared" si="6"/>
        <v>33.419248631430996</v>
      </c>
      <c r="J250">
        <f t="shared" si="7"/>
        <v>16.709624315715498</v>
      </c>
    </row>
    <row r="251" spans="1:10" x14ac:dyDescent="0.35">
      <c r="A251" t="s">
        <v>62</v>
      </c>
      <c r="B251" t="s">
        <v>58</v>
      </c>
      <c r="C251" t="s">
        <v>20</v>
      </c>
      <c r="D251" t="s">
        <v>54</v>
      </c>
      <c r="E251">
        <v>2</v>
      </c>
      <c r="F251" s="14">
        <v>9.0065969999999993</v>
      </c>
      <c r="G251" s="9">
        <v>0.48747407993795733</v>
      </c>
      <c r="H251" s="12">
        <v>1.9610163603763733</v>
      </c>
      <c r="I251" s="19">
        <f t="shared" si="6"/>
        <v>0.48747407993795733</v>
      </c>
      <c r="J251">
        <f t="shared" si="7"/>
        <v>0.24373703996897866</v>
      </c>
    </row>
    <row r="252" spans="1:10" x14ac:dyDescent="0.35">
      <c r="A252" t="s">
        <v>62</v>
      </c>
      <c r="B252" t="s">
        <v>58</v>
      </c>
      <c r="C252" t="s">
        <v>21</v>
      </c>
      <c r="D252" t="s">
        <v>54</v>
      </c>
      <c r="E252">
        <v>2</v>
      </c>
      <c r="F252" s="14">
        <v>350.39510989999997</v>
      </c>
      <c r="G252" s="9">
        <v>29.758024745171191</v>
      </c>
      <c r="H252" s="12">
        <v>28.813643766360642</v>
      </c>
      <c r="I252" s="19">
        <f t="shared" si="6"/>
        <v>29.758024745171191</v>
      </c>
      <c r="J252">
        <f t="shared" si="7"/>
        <v>14.879012372585596</v>
      </c>
    </row>
    <row r="253" spans="1:10" x14ac:dyDescent="0.35">
      <c r="A253" t="s">
        <v>62</v>
      </c>
      <c r="B253" t="s">
        <v>58</v>
      </c>
      <c r="C253" t="s">
        <v>22</v>
      </c>
      <c r="D253" t="s">
        <v>54</v>
      </c>
      <c r="E253">
        <v>2</v>
      </c>
      <c r="F253" s="14">
        <v>958.26981290000003</v>
      </c>
      <c r="G253" s="9">
        <v>73.204821053972665</v>
      </c>
      <c r="H253" s="12">
        <v>9.3363789193560471</v>
      </c>
      <c r="I253" s="19">
        <f t="shared" si="6"/>
        <v>73.204821053972665</v>
      </c>
      <c r="J253">
        <f t="shared" si="7"/>
        <v>36.602410526986333</v>
      </c>
    </row>
    <row r="254" spans="1:10" x14ac:dyDescent="0.35">
      <c r="A254" t="s">
        <v>62</v>
      </c>
      <c r="B254" t="s">
        <v>58</v>
      </c>
      <c r="C254" t="s">
        <v>23</v>
      </c>
      <c r="D254" t="s">
        <v>54</v>
      </c>
      <c r="E254">
        <v>2</v>
      </c>
      <c r="F254" s="14">
        <v>0.3370648</v>
      </c>
      <c r="G254" s="9" t="e">
        <v>#N/A</v>
      </c>
      <c r="H254" s="12">
        <v>38.794263851395755</v>
      </c>
      <c r="I254" s="19" t="e">
        <f t="shared" si="6"/>
        <v>#N/A</v>
      </c>
      <c r="J254" t="e">
        <f t="shared" si="7"/>
        <v>#N/A</v>
      </c>
    </row>
    <row r="255" spans="1:10" x14ac:dyDescent="0.35">
      <c r="A255" t="s">
        <v>62</v>
      </c>
      <c r="B255" t="s">
        <v>58</v>
      </c>
      <c r="C255" t="s">
        <v>24</v>
      </c>
      <c r="D255" t="s">
        <v>54</v>
      </c>
      <c r="E255">
        <v>2</v>
      </c>
      <c r="F255" s="14">
        <v>673.41220079999994</v>
      </c>
      <c r="G255" s="9">
        <v>50.825660325970638</v>
      </c>
      <c r="H255" s="12">
        <v>115.87423064042943</v>
      </c>
      <c r="I255" s="19">
        <f t="shared" si="6"/>
        <v>50.825660325970638</v>
      </c>
      <c r="J255">
        <f t="shared" si="7"/>
        <v>25.412830162985319</v>
      </c>
    </row>
    <row r="256" spans="1:10" x14ac:dyDescent="0.35">
      <c r="A256" t="s">
        <v>62</v>
      </c>
      <c r="B256" t="s">
        <v>58</v>
      </c>
      <c r="C256" t="s">
        <v>25</v>
      </c>
      <c r="D256" t="s">
        <v>54</v>
      </c>
      <c r="E256">
        <v>2</v>
      </c>
      <c r="F256" s="14">
        <v>0</v>
      </c>
      <c r="G256" s="9">
        <v>1.1230007359042995</v>
      </c>
      <c r="H256" s="12">
        <v>5.0111737807079679</v>
      </c>
      <c r="I256" s="19">
        <f t="shared" si="6"/>
        <v>1.1230007359042995</v>
      </c>
      <c r="J256">
        <f t="shared" si="7"/>
        <v>0.56150036795214975</v>
      </c>
    </row>
    <row r="257" spans="1:10" x14ac:dyDescent="0.35">
      <c r="A257" t="s">
        <v>62</v>
      </c>
      <c r="B257" t="s">
        <v>58</v>
      </c>
      <c r="C257" t="s">
        <v>26</v>
      </c>
      <c r="D257" t="s">
        <v>54</v>
      </c>
      <c r="E257">
        <v>2</v>
      </c>
      <c r="F257" s="14">
        <v>1155.0604951</v>
      </c>
      <c r="G257" s="9">
        <v>24.980063895290673</v>
      </c>
      <c r="H257" s="12">
        <v>33.052532348143451</v>
      </c>
      <c r="I257" s="19">
        <f t="shared" si="6"/>
        <v>24.980063895290673</v>
      </c>
      <c r="J257">
        <f t="shared" si="7"/>
        <v>12.490031947645337</v>
      </c>
    </row>
    <row r="258" spans="1:10" x14ac:dyDescent="0.35">
      <c r="A258" t="s">
        <v>62</v>
      </c>
      <c r="B258" t="s">
        <v>58</v>
      </c>
      <c r="C258" t="s">
        <v>27</v>
      </c>
      <c r="D258" t="s">
        <v>54</v>
      </c>
      <c r="E258">
        <v>2</v>
      </c>
      <c r="F258" s="14">
        <v>76.254628400000001</v>
      </c>
      <c r="G258" s="9">
        <v>8.3833032045264861</v>
      </c>
      <c r="H258" s="12">
        <v>6.951839481441187</v>
      </c>
      <c r="I258" s="19">
        <f t="shared" ref="I258:I321" si="8">IF(G258&lt;0,0,G258)</f>
        <v>8.3833032045264861</v>
      </c>
      <c r="J258">
        <f t="shared" si="7"/>
        <v>4.1916516022632431</v>
      </c>
    </row>
    <row r="259" spans="1:10" x14ac:dyDescent="0.35">
      <c r="A259" t="s">
        <v>62</v>
      </c>
      <c r="B259" t="s">
        <v>58</v>
      </c>
      <c r="C259" t="s">
        <v>28</v>
      </c>
      <c r="D259" t="s">
        <v>54</v>
      </c>
      <c r="E259">
        <v>2</v>
      </c>
      <c r="F259" s="14">
        <v>8.7723797000000001</v>
      </c>
      <c r="G259" s="9">
        <v>0.85969346147471593</v>
      </c>
      <c r="H259" s="12">
        <v>-4.162645648059439E-2</v>
      </c>
      <c r="I259" s="19">
        <f t="shared" si="8"/>
        <v>0.85969346147471593</v>
      </c>
      <c r="J259">
        <f t="shared" si="7"/>
        <v>0.42984673073735796</v>
      </c>
    </row>
    <row r="260" spans="1:10" x14ac:dyDescent="0.35">
      <c r="A260" t="s">
        <v>62</v>
      </c>
      <c r="B260" t="s">
        <v>58</v>
      </c>
      <c r="C260" t="s">
        <v>29</v>
      </c>
      <c r="D260" t="s">
        <v>54</v>
      </c>
      <c r="E260">
        <v>2</v>
      </c>
      <c r="F260" s="14">
        <v>13.933102199999999</v>
      </c>
      <c r="G260" s="9">
        <v>3.5481780540208199</v>
      </c>
      <c r="H260" s="12">
        <v>3.8737040282262409</v>
      </c>
      <c r="I260" s="19">
        <f t="shared" si="8"/>
        <v>3.5481780540208199</v>
      </c>
      <c r="J260">
        <f t="shared" si="7"/>
        <v>1.7740890270104099</v>
      </c>
    </row>
    <row r="261" spans="1:10" x14ac:dyDescent="0.35">
      <c r="A261" t="s">
        <v>62</v>
      </c>
      <c r="B261" t="s">
        <v>58</v>
      </c>
      <c r="C261" t="s">
        <v>30</v>
      </c>
      <c r="D261" t="s">
        <v>54</v>
      </c>
      <c r="E261">
        <v>2</v>
      </c>
      <c r="F261" s="14">
        <v>3.3794101999999997</v>
      </c>
      <c r="G261" s="9">
        <v>0</v>
      </c>
      <c r="H261" s="12">
        <v>1.0020247141296685</v>
      </c>
      <c r="I261" s="19">
        <f t="shared" si="8"/>
        <v>0</v>
      </c>
      <c r="J261">
        <f t="shared" ref="J261:J324" si="9">I261/2</f>
        <v>0</v>
      </c>
    </row>
    <row r="262" spans="1:10" x14ac:dyDescent="0.35">
      <c r="A262" t="s">
        <v>62</v>
      </c>
      <c r="B262" t="s">
        <v>58</v>
      </c>
      <c r="C262" t="s">
        <v>31</v>
      </c>
      <c r="D262" t="s">
        <v>54</v>
      </c>
      <c r="E262">
        <v>2</v>
      </c>
      <c r="F262" s="14">
        <v>2.7547325999999996</v>
      </c>
      <c r="G262" s="9" t="e">
        <v>#N/A</v>
      </c>
      <c r="H262" s="12">
        <v>0.79536297573838344</v>
      </c>
      <c r="I262" s="19" t="e">
        <f t="shared" si="8"/>
        <v>#N/A</v>
      </c>
      <c r="J262" t="e">
        <f t="shared" si="9"/>
        <v>#N/A</v>
      </c>
    </row>
    <row r="263" spans="1:10" x14ac:dyDescent="0.35">
      <c r="A263" t="s">
        <v>62</v>
      </c>
      <c r="B263" t="s">
        <v>58</v>
      </c>
      <c r="C263" t="s">
        <v>32</v>
      </c>
      <c r="D263" t="s">
        <v>54</v>
      </c>
      <c r="E263">
        <v>2</v>
      </c>
      <c r="F263" s="14">
        <v>48.937470000000005</v>
      </c>
      <c r="G263" s="9">
        <v>1.9566113254328708</v>
      </c>
      <c r="H263" s="12">
        <v>6.0537598263738888</v>
      </c>
      <c r="I263" s="19">
        <f t="shared" si="8"/>
        <v>1.9566113254328708</v>
      </c>
      <c r="J263">
        <f t="shared" si="9"/>
        <v>0.97830566271643538</v>
      </c>
    </row>
    <row r="264" spans="1:10" x14ac:dyDescent="0.35">
      <c r="A264" t="s">
        <v>62</v>
      </c>
      <c r="B264" t="s">
        <v>58</v>
      </c>
      <c r="C264" t="s">
        <v>33</v>
      </c>
      <c r="D264" t="s">
        <v>54</v>
      </c>
      <c r="E264">
        <v>2</v>
      </c>
      <c r="F264" s="14">
        <v>0</v>
      </c>
      <c r="G264" s="9" t="e">
        <v>#N/A</v>
      </c>
      <c r="H264" s="12">
        <v>3.1238820173862223</v>
      </c>
      <c r="I264" s="19" t="e">
        <f t="shared" si="8"/>
        <v>#N/A</v>
      </c>
      <c r="J264" t="e">
        <f t="shared" si="9"/>
        <v>#N/A</v>
      </c>
    </row>
    <row r="265" spans="1:10" x14ac:dyDescent="0.35">
      <c r="A265" t="s">
        <v>62</v>
      </c>
      <c r="B265" t="s">
        <v>58</v>
      </c>
      <c r="C265" t="s">
        <v>34</v>
      </c>
      <c r="D265" t="s">
        <v>54</v>
      </c>
      <c r="E265">
        <v>2</v>
      </c>
      <c r="F265" s="14">
        <v>0</v>
      </c>
      <c r="G265" s="9" t="e">
        <v>#N/A</v>
      </c>
      <c r="H265" s="12">
        <v>0.44924999364369023</v>
      </c>
      <c r="I265" s="19" t="e">
        <f t="shared" si="8"/>
        <v>#N/A</v>
      </c>
      <c r="J265" t="e">
        <f t="shared" si="9"/>
        <v>#N/A</v>
      </c>
    </row>
    <row r="266" spans="1:10" x14ac:dyDescent="0.35">
      <c r="A266" t="s">
        <v>62</v>
      </c>
      <c r="B266" t="s">
        <v>58</v>
      </c>
      <c r="C266" t="s">
        <v>35</v>
      </c>
      <c r="D266" t="s">
        <v>54</v>
      </c>
      <c r="E266">
        <v>2</v>
      </c>
      <c r="F266" s="14">
        <v>104.4818803</v>
      </c>
      <c r="G266" s="9">
        <v>4.4085274052076029</v>
      </c>
      <c r="H266" s="12">
        <v>5.3678754506074489</v>
      </c>
      <c r="I266" s="19">
        <f t="shared" si="8"/>
        <v>4.4085274052076029</v>
      </c>
      <c r="J266">
        <f t="shared" si="9"/>
        <v>2.2042637026038014</v>
      </c>
    </row>
    <row r="267" spans="1:10" x14ac:dyDescent="0.35">
      <c r="A267" t="s">
        <v>62</v>
      </c>
      <c r="B267" t="s">
        <v>58</v>
      </c>
      <c r="C267" t="s">
        <v>36</v>
      </c>
      <c r="D267" t="s">
        <v>54</v>
      </c>
      <c r="E267">
        <v>2</v>
      </c>
      <c r="F267" s="14">
        <v>0</v>
      </c>
      <c r="G267" s="9">
        <v>0</v>
      </c>
      <c r="H267" s="12">
        <v>-0.12267710485772856</v>
      </c>
      <c r="I267" s="19">
        <f t="shared" si="8"/>
        <v>0</v>
      </c>
      <c r="J267">
        <f t="shared" si="9"/>
        <v>0</v>
      </c>
    </row>
    <row r="268" spans="1:10" x14ac:dyDescent="0.35">
      <c r="A268" t="s">
        <v>62</v>
      </c>
      <c r="B268" t="s">
        <v>58</v>
      </c>
      <c r="C268" t="s">
        <v>37</v>
      </c>
      <c r="D268" t="s">
        <v>54</v>
      </c>
      <c r="E268">
        <v>2</v>
      </c>
      <c r="F268" s="14">
        <v>66.563472300000001</v>
      </c>
      <c r="G268" s="9">
        <v>6.501924943454334</v>
      </c>
      <c r="H268" s="12">
        <v>20.48037364693095</v>
      </c>
      <c r="I268" s="19">
        <f t="shared" si="8"/>
        <v>6.501924943454334</v>
      </c>
      <c r="J268">
        <f t="shared" si="9"/>
        <v>3.250962471727167</v>
      </c>
    </row>
    <row r="269" spans="1:10" x14ac:dyDescent="0.35">
      <c r="A269" t="s">
        <v>62</v>
      </c>
      <c r="B269" t="s">
        <v>58</v>
      </c>
      <c r="C269" t="s">
        <v>38</v>
      </c>
      <c r="D269" t="s">
        <v>54</v>
      </c>
      <c r="E269">
        <v>2</v>
      </c>
      <c r="F269" s="14">
        <v>1.9331859</v>
      </c>
      <c r="G269" s="9" t="e">
        <v>#N/A</v>
      </c>
      <c r="H269" s="12">
        <v>0.17342550417763988</v>
      </c>
      <c r="I269" s="19" t="e">
        <f t="shared" si="8"/>
        <v>#N/A</v>
      </c>
      <c r="J269" t="e">
        <f t="shared" si="9"/>
        <v>#N/A</v>
      </c>
    </row>
    <row r="270" spans="1:10" x14ac:dyDescent="0.35">
      <c r="A270" t="s">
        <v>62</v>
      </c>
      <c r="B270" t="s">
        <v>58</v>
      </c>
      <c r="C270" t="s">
        <v>39</v>
      </c>
      <c r="D270" t="s">
        <v>54</v>
      </c>
      <c r="E270">
        <v>2</v>
      </c>
      <c r="F270" s="14">
        <v>2.0145051</v>
      </c>
      <c r="G270" s="9" t="e">
        <v>#N/A</v>
      </c>
      <c r="H270" s="12">
        <v>0.87014771178806838</v>
      </c>
      <c r="I270" s="19" t="e">
        <f t="shared" si="8"/>
        <v>#N/A</v>
      </c>
      <c r="J270" t="e">
        <f t="shared" si="9"/>
        <v>#N/A</v>
      </c>
    </row>
    <row r="271" spans="1:10" x14ac:dyDescent="0.35">
      <c r="A271" t="s">
        <v>62</v>
      </c>
      <c r="B271" t="s">
        <v>58</v>
      </c>
      <c r="C271" t="s">
        <v>40</v>
      </c>
      <c r="D271" t="s">
        <v>54</v>
      </c>
      <c r="E271">
        <v>2</v>
      </c>
      <c r="F271" s="14">
        <v>5.0696614000000002</v>
      </c>
      <c r="G271" s="9">
        <v>0.62650302375611844</v>
      </c>
      <c r="H271" s="12">
        <v>0.67811690293460458</v>
      </c>
      <c r="I271" s="19">
        <f t="shared" si="8"/>
        <v>0.62650302375611844</v>
      </c>
      <c r="J271">
        <f t="shared" si="9"/>
        <v>0.31325151187805922</v>
      </c>
    </row>
    <row r="272" spans="1:10" x14ac:dyDescent="0.35">
      <c r="A272" t="s">
        <v>62</v>
      </c>
      <c r="B272" t="s">
        <v>58</v>
      </c>
      <c r="C272" t="s">
        <v>41</v>
      </c>
      <c r="D272" t="s">
        <v>54</v>
      </c>
      <c r="E272">
        <v>2</v>
      </c>
      <c r="F272" s="14">
        <v>18.7543553</v>
      </c>
      <c r="G272" s="9">
        <v>0</v>
      </c>
      <c r="H272" s="12">
        <v>0.481133825777457</v>
      </c>
      <c r="I272" s="19">
        <f t="shared" si="8"/>
        <v>0</v>
      </c>
      <c r="J272">
        <f t="shared" si="9"/>
        <v>0</v>
      </c>
    </row>
    <row r="273" spans="1:10" s="8" customFormat="1" x14ac:dyDescent="0.35">
      <c r="A273" s="8" t="s">
        <v>62</v>
      </c>
      <c r="B273" s="8" t="s">
        <v>58</v>
      </c>
      <c r="C273" s="8" t="s">
        <v>42</v>
      </c>
      <c r="D273" s="8" t="s">
        <v>54</v>
      </c>
      <c r="E273" s="8">
        <v>2</v>
      </c>
      <c r="F273" s="15">
        <v>0</v>
      </c>
      <c r="G273" s="10" t="e">
        <v>#N/A</v>
      </c>
      <c r="H273" s="13">
        <v>0.22623757975042857</v>
      </c>
      <c r="I273" s="20" t="e">
        <f t="shared" si="8"/>
        <v>#N/A</v>
      </c>
      <c r="J273" s="8" t="e">
        <f t="shared" si="9"/>
        <v>#N/A</v>
      </c>
    </row>
    <row r="274" spans="1:10" x14ac:dyDescent="0.35">
      <c r="A274" t="s">
        <v>63</v>
      </c>
      <c r="B274" t="s">
        <v>67</v>
      </c>
      <c r="C274" t="s">
        <v>7</v>
      </c>
      <c r="D274" t="s">
        <v>8</v>
      </c>
      <c r="E274">
        <v>3</v>
      </c>
      <c r="F274" s="14">
        <v>6.8264772000000002</v>
      </c>
      <c r="G274" s="9" t="e">
        <v>#N/A</v>
      </c>
      <c r="H274" s="12">
        <v>0.75516439911623923</v>
      </c>
      <c r="I274" s="19" t="e">
        <f t="shared" si="8"/>
        <v>#N/A</v>
      </c>
      <c r="J274" t="e">
        <f t="shared" si="9"/>
        <v>#N/A</v>
      </c>
    </row>
    <row r="275" spans="1:10" x14ac:dyDescent="0.35">
      <c r="A275" t="s">
        <v>63</v>
      </c>
      <c r="B275" t="s">
        <v>67</v>
      </c>
      <c r="C275" t="s">
        <v>9</v>
      </c>
      <c r="D275" t="s">
        <v>8</v>
      </c>
      <c r="E275">
        <v>3</v>
      </c>
      <c r="F275" s="14">
        <v>3.2359822</v>
      </c>
      <c r="G275" s="9" t="e">
        <v>#N/A</v>
      </c>
      <c r="H275" s="12">
        <v>-8.800135956132013E-2</v>
      </c>
      <c r="I275" s="19" t="e">
        <f t="shared" si="8"/>
        <v>#N/A</v>
      </c>
      <c r="J275" t="e">
        <f t="shared" si="9"/>
        <v>#N/A</v>
      </c>
    </row>
    <row r="276" spans="1:10" x14ac:dyDescent="0.35">
      <c r="A276" t="s">
        <v>63</v>
      </c>
      <c r="B276" t="s">
        <v>67</v>
      </c>
      <c r="C276" t="s">
        <v>10</v>
      </c>
      <c r="D276" t="s">
        <v>8</v>
      </c>
      <c r="E276">
        <v>3</v>
      </c>
      <c r="F276" s="14">
        <v>0.14480899999999999</v>
      </c>
      <c r="G276" s="9" t="e">
        <v>#N/A</v>
      </c>
      <c r="H276" s="12">
        <v>3.3341987069172761E-2</v>
      </c>
      <c r="I276" s="19" t="e">
        <f t="shared" si="8"/>
        <v>#N/A</v>
      </c>
      <c r="J276" t="e">
        <f t="shared" si="9"/>
        <v>#N/A</v>
      </c>
    </row>
    <row r="277" spans="1:10" x14ac:dyDescent="0.35">
      <c r="A277" t="s">
        <v>63</v>
      </c>
      <c r="B277" t="s">
        <v>67</v>
      </c>
      <c r="C277" t="s">
        <v>11</v>
      </c>
      <c r="D277" t="s">
        <v>8</v>
      </c>
      <c r="E277">
        <v>3</v>
      </c>
      <c r="F277" s="14">
        <v>17.236231100000001</v>
      </c>
      <c r="G277" s="9">
        <v>2.0489205119031997</v>
      </c>
      <c r="H277" s="12">
        <v>7.531612663300626</v>
      </c>
      <c r="I277" s="19">
        <f t="shared" si="8"/>
        <v>2.0489205119031997</v>
      </c>
      <c r="J277">
        <f t="shared" si="9"/>
        <v>1.0244602559515998</v>
      </c>
    </row>
    <row r="278" spans="1:10" x14ac:dyDescent="0.35">
      <c r="A278" t="s">
        <v>63</v>
      </c>
      <c r="B278" t="s">
        <v>67</v>
      </c>
      <c r="C278" t="s">
        <v>12</v>
      </c>
      <c r="D278" t="s">
        <v>8</v>
      </c>
      <c r="E278">
        <v>3</v>
      </c>
      <c r="F278" s="14">
        <v>124.8379041</v>
      </c>
      <c r="G278" s="9">
        <v>11.490118074497328</v>
      </c>
      <c r="H278" s="12">
        <v>10.044870786433291</v>
      </c>
      <c r="I278" s="19">
        <f t="shared" si="8"/>
        <v>11.490118074497328</v>
      </c>
      <c r="J278">
        <f t="shared" si="9"/>
        <v>5.7450590372486641</v>
      </c>
    </row>
    <row r="279" spans="1:10" x14ac:dyDescent="0.35">
      <c r="A279" t="s">
        <v>63</v>
      </c>
      <c r="B279" t="s">
        <v>67</v>
      </c>
      <c r="C279" t="s">
        <v>13</v>
      </c>
      <c r="D279" t="s">
        <v>8</v>
      </c>
      <c r="E279">
        <v>3</v>
      </c>
      <c r="F279" s="14">
        <v>285.18064549999997</v>
      </c>
      <c r="G279" s="9">
        <v>27.360316903774251</v>
      </c>
      <c r="H279" s="12">
        <v>74.667112326459545</v>
      </c>
      <c r="I279" s="19">
        <f t="shared" si="8"/>
        <v>27.360316903774251</v>
      </c>
      <c r="J279">
        <f t="shared" si="9"/>
        <v>13.680158451887126</v>
      </c>
    </row>
    <row r="280" spans="1:10" x14ac:dyDescent="0.35">
      <c r="A280" t="s">
        <v>63</v>
      </c>
      <c r="B280" t="s">
        <v>67</v>
      </c>
      <c r="C280" t="s">
        <v>14</v>
      </c>
      <c r="D280" t="s">
        <v>8</v>
      </c>
      <c r="E280">
        <v>3</v>
      </c>
      <c r="F280" s="14">
        <v>0</v>
      </c>
      <c r="G280" s="9" t="e">
        <v>#N/A</v>
      </c>
      <c r="H280" s="12">
        <v>-3.2315807460863752E-2</v>
      </c>
      <c r="I280" s="19" t="e">
        <f t="shared" si="8"/>
        <v>#N/A</v>
      </c>
      <c r="J280" t="e">
        <f t="shared" si="9"/>
        <v>#N/A</v>
      </c>
    </row>
    <row r="281" spans="1:10" x14ac:dyDescent="0.35">
      <c r="A281" t="s">
        <v>63</v>
      </c>
      <c r="B281" t="s">
        <v>67</v>
      </c>
      <c r="C281" t="s">
        <v>15</v>
      </c>
      <c r="D281" t="s">
        <v>8</v>
      </c>
      <c r="E281">
        <v>3</v>
      </c>
      <c r="F281" s="14">
        <v>16.945877400000001</v>
      </c>
      <c r="G281" s="9">
        <v>2.3442270298126648</v>
      </c>
      <c r="H281" s="12">
        <v>0.82066247139174653</v>
      </c>
      <c r="I281" s="19">
        <f t="shared" si="8"/>
        <v>2.3442270298126648</v>
      </c>
      <c r="J281">
        <f t="shared" si="9"/>
        <v>1.1721135149063324</v>
      </c>
    </row>
    <row r="282" spans="1:10" x14ac:dyDescent="0.35">
      <c r="A282" t="s">
        <v>63</v>
      </c>
      <c r="B282" t="s">
        <v>67</v>
      </c>
      <c r="C282" t="s">
        <v>16</v>
      </c>
      <c r="D282" t="s">
        <v>8</v>
      </c>
      <c r="E282">
        <v>3</v>
      </c>
      <c r="F282" s="14">
        <v>0</v>
      </c>
      <c r="G282" s="9" t="e">
        <v>#N/A</v>
      </c>
      <c r="H282" s="12">
        <v>0.21056117104314573</v>
      </c>
      <c r="I282" s="19" t="e">
        <f t="shared" si="8"/>
        <v>#N/A</v>
      </c>
      <c r="J282" t="e">
        <f t="shared" si="9"/>
        <v>#N/A</v>
      </c>
    </row>
    <row r="283" spans="1:10" x14ac:dyDescent="0.35">
      <c r="A283" t="s">
        <v>63</v>
      </c>
      <c r="B283" t="s">
        <v>67</v>
      </c>
      <c r="C283" t="s">
        <v>17</v>
      </c>
      <c r="D283" t="s">
        <v>8</v>
      </c>
      <c r="E283">
        <v>3</v>
      </c>
      <c r="F283" s="14">
        <v>6027.6312852999999</v>
      </c>
      <c r="G283" s="9">
        <v>134.98891226640174</v>
      </c>
      <c r="H283" s="12">
        <v>439.4717485896112</v>
      </c>
      <c r="I283" s="19">
        <f t="shared" si="8"/>
        <v>134.98891226640174</v>
      </c>
      <c r="J283">
        <f t="shared" si="9"/>
        <v>67.49445613320087</v>
      </c>
    </row>
    <row r="284" spans="1:10" x14ac:dyDescent="0.35">
      <c r="A284" t="s">
        <v>63</v>
      </c>
      <c r="B284" t="s">
        <v>67</v>
      </c>
      <c r="C284" t="s">
        <v>18</v>
      </c>
      <c r="D284" t="s">
        <v>8</v>
      </c>
      <c r="E284">
        <v>3</v>
      </c>
      <c r="F284" s="14">
        <v>145.6746516</v>
      </c>
      <c r="G284" s="9">
        <v>13.11438740389975</v>
      </c>
      <c r="H284" s="12">
        <v>36.905120330178278</v>
      </c>
      <c r="I284" s="19">
        <f t="shared" si="8"/>
        <v>13.11438740389975</v>
      </c>
      <c r="J284">
        <f t="shared" si="9"/>
        <v>6.5571937019498749</v>
      </c>
    </row>
    <row r="285" spans="1:10" x14ac:dyDescent="0.35">
      <c r="A285" t="s">
        <v>63</v>
      </c>
      <c r="B285" t="s">
        <v>67</v>
      </c>
      <c r="C285" t="s">
        <v>20</v>
      </c>
      <c r="D285" t="s">
        <v>8</v>
      </c>
      <c r="E285">
        <v>3</v>
      </c>
      <c r="F285" s="14">
        <v>19.6564327</v>
      </c>
      <c r="G285" s="9">
        <v>1.010438771781327</v>
      </c>
      <c r="H285" s="12">
        <v>4.0996371216572038</v>
      </c>
      <c r="I285" s="19">
        <f t="shared" si="8"/>
        <v>1.010438771781327</v>
      </c>
      <c r="J285">
        <f t="shared" si="9"/>
        <v>0.50521938589066351</v>
      </c>
    </row>
    <row r="286" spans="1:10" x14ac:dyDescent="0.35">
      <c r="A286" t="s">
        <v>63</v>
      </c>
      <c r="B286" t="s">
        <v>67</v>
      </c>
      <c r="C286" t="s">
        <v>21</v>
      </c>
      <c r="D286" t="s">
        <v>8</v>
      </c>
      <c r="E286">
        <v>3</v>
      </c>
      <c r="F286" s="14">
        <v>538.69710349999991</v>
      </c>
      <c r="G286" s="9">
        <v>59.630798066689088</v>
      </c>
      <c r="H286" s="12">
        <v>6.4318311757894868</v>
      </c>
      <c r="I286" s="19">
        <f t="shared" si="8"/>
        <v>59.630798066689088</v>
      </c>
      <c r="J286">
        <f t="shared" si="9"/>
        <v>29.815399033344544</v>
      </c>
    </row>
    <row r="287" spans="1:10" x14ac:dyDescent="0.35">
      <c r="A287" t="s">
        <v>63</v>
      </c>
      <c r="B287" t="s">
        <v>67</v>
      </c>
      <c r="C287" t="s">
        <v>22</v>
      </c>
      <c r="D287" t="s">
        <v>8</v>
      </c>
      <c r="E287">
        <v>3</v>
      </c>
      <c r="F287" s="14">
        <v>2119.7910468</v>
      </c>
      <c r="G287" s="9">
        <v>162.84512477326115</v>
      </c>
      <c r="H287" s="12">
        <v>6.5564551110253255</v>
      </c>
      <c r="I287" s="19">
        <f t="shared" si="8"/>
        <v>162.84512477326115</v>
      </c>
      <c r="J287">
        <f t="shared" si="9"/>
        <v>81.422562386630574</v>
      </c>
    </row>
    <row r="288" spans="1:10" x14ac:dyDescent="0.35">
      <c r="A288" t="s">
        <v>63</v>
      </c>
      <c r="B288" t="s">
        <v>67</v>
      </c>
      <c r="C288" t="s">
        <v>23</v>
      </c>
      <c r="D288" t="s">
        <v>8</v>
      </c>
      <c r="E288">
        <v>3</v>
      </c>
      <c r="F288" s="14">
        <v>0</v>
      </c>
      <c r="G288" s="9" t="e">
        <v>#N/A</v>
      </c>
      <c r="H288" s="12">
        <v>115.33438149959294</v>
      </c>
      <c r="I288" s="19" t="e">
        <f t="shared" si="8"/>
        <v>#N/A</v>
      </c>
      <c r="J288" t="e">
        <f t="shared" si="9"/>
        <v>#N/A</v>
      </c>
    </row>
    <row r="289" spans="1:10" x14ac:dyDescent="0.35">
      <c r="A289" t="s">
        <v>63</v>
      </c>
      <c r="B289" t="s">
        <v>67</v>
      </c>
      <c r="C289" t="s">
        <v>24</v>
      </c>
      <c r="D289" t="s">
        <v>8</v>
      </c>
      <c r="E289">
        <v>3</v>
      </c>
      <c r="F289" s="14">
        <v>2252.0815032</v>
      </c>
      <c r="G289" s="9">
        <v>112.76999027723777</v>
      </c>
      <c r="H289" s="12">
        <v>387.50560803591372</v>
      </c>
      <c r="I289" s="19">
        <f t="shared" si="8"/>
        <v>112.76999027723777</v>
      </c>
      <c r="J289">
        <f t="shared" si="9"/>
        <v>56.384995138618883</v>
      </c>
    </row>
    <row r="290" spans="1:10" x14ac:dyDescent="0.35">
      <c r="A290" t="s">
        <v>63</v>
      </c>
      <c r="B290" t="s">
        <v>67</v>
      </c>
      <c r="C290" t="s">
        <v>25</v>
      </c>
      <c r="D290" t="s">
        <v>8</v>
      </c>
      <c r="E290">
        <v>3</v>
      </c>
      <c r="F290" s="14">
        <v>0</v>
      </c>
      <c r="G290" s="9">
        <v>8.8621866082566783</v>
      </c>
      <c r="H290" s="12">
        <v>21.826643602118914</v>
      </c>
      <c r="I290" s="19">
        <f t="shared" si="8"/>
        <v>8.8621866082566783</v>
      </c>
      <c r="J290">
        <f t="shared" si="9"/>
        <v>4.4310933041283391</v>
      </c>
    </row>
    <row r="291" spans="1:10" x14ac:dyDescent="0.35">
      <c r="A291" t="s">
        <v>63</v>
      </c>
      <c r="B291" t="s">
        <v>67</v>
      </c>
      <c r="C291" t="s">
        <v>26</v>
      </c>
      <c r="D291" t="s">
        <v>8</v>
      </c>
      <c r="E291">
        <v>3</v>
      </c>
      <c r="F291" s="14">
        <v>3770.3103073000002</v>
      </c>
      <c r="G291" s="9">
        <v>72.188184882705968</v>
      </c>
      <c r="H291" s="12">
        <v>107.93169875940512</v>
      </c>
      <c r="I291" s="19">
        <f t="shared" si="8"/>
        <v>72.188184882705968</v>
      </c>
      <c r="J291">
        <f t="shared" si="9"/>
        <v>36.094092441352984</v>
      </c>
    </row>
    <row r="292" spans="1:10" x14ac:dyDescent="0.35">
      <c r="A292" t="s">
        <v>63</v>
      </c>
      <c r="B292" t="s">
        <v>67</v>
      </c>
      <c r="C292" t="s">
        <v>27</v>
      </c>
      <c r="D292" t="s">
        <v>8</v>
      </c>
      <c r="E292">
        <v>3</v>
      </c>
      <c r="F292" s="14">
        <v>346.01261060000002</v>
      </c>
      <c r="G292" s="9">
        <v>34.439559549905752</v>
      </c>
      <c r="H292" s="12">
        <v>31.090575944264675</v>
      </c>
      <c r="I292" s="19">
        <f t="shared" si="8"/>
        <v>34.439559549905752</v>
      </c>
      <c r="J292">
        <f t="shared" si="9"/>
        <v>17.219779774952876</v>
      </c>
    </row>
    <row r="293" spans="1:10" x14ac:dyDescent="0.35">
      <c r="A293" t="s">
        <v>63</v>
      </c>
      <c r="B293" t="s">
        <v>67</v>
      </c>
      <c r="C293" t="s">
        <v>28</v>
      </c>
      <c r="D293" t="s">
        <v>8</v>
      </c>
      <c r="E293">
        <v>3</v>
      </c>
      <c r="F293" s="14">
        <v>22.211565200000003</v>
      </c>
      <c r="G293" s="9">
        <v>2.2121409158185212</v>
      </c>
      <c r="H293" s="12">
        <v>0.26129700081457546</v>
      </c>
      <c r="I293" s="19">
        <f t="shared" si="8"/>
        <v>2.2121409158185212</v>
      </c>
      <c r="J293">
        <f t="shared" si="9"/>
        <v>1.1060704579092606</v>
      </c>
    </row>
    <row r="294" spans="1:10" x14ac:dyDescent="0.35">
      <c r="A294" t="s">
        <v>63</v>
      </c>
      <c r="B294" t="s">
        <v>67</v>
      </c>
      <c r="C294" t="s">
        <v>29</v>
      </c>
      <c r="D294" t="s">
        <v>8</v>
      </c>
      <c r="E294">
        <v>3</v>
      </c>
      <c r="F294" s="14">
        <v>35.4342203</v>
      </c>
      <c r="G294" s="9">
        <v>8.7003046804619348</v>
      </c>
      <c r="H294" s="12">
        <v>9.8483148704913379</v>
      </c>
      <c r="I294" s="19">
        <f t="shared" si="8"/>
        <v>8.7003046804619348</v>
      </c>
      <c r="J294">
        <f t="shared" si="9"/>
        <v>4.3501523402309674</v>
      </c>
    </row>
    <row r="295" spans="1:10" x14ac:dyDescent="0.35">
      <c r="A295" t="s">
        <v>63</v>
      </c>
      <c r="B295" t="s">
        <v>67</v>
      </c>
      <c r="C295" t="s">
        <v>30</v>
      </c>
      <c r="D295" t="s">
        <v>8</v>
      </c>
      <c r="E295">
        <v>3</v>
      </c>
      <c r="F295" s="14">
        <v>17.177085099999999</v>
      </c>
      <c r="G295" s="9">
        <v>1.7504165826945264</v>
      </c>
      <c r="H295" s="12">
        <v>5.0477990478992751</v>
      </c>
      <c r="I295" s="19">
        <f t="shared" si="8"/>
        <v>1.7504165826945264</v>
      </c>
      <c r="J295">
        <f t="shared" si="9"/>
        <v>0.87520829134726319</v>
      </c>
    </row>
    <row r="296" spans="1:10" x14ac:dyDescent="0.35">
      <c r="A296" t="s">
        <v>63</v>
      </c>
      <c r="B296" t="s">
        <v>67</v>
      </c>
      <c r="C296" t="s">
        <v>31</v>
      </c>
      <c r="D296" t="s">
        <v>8</v>
      </c>
      <c r="E296">
        <v>3</v>
      </c>
      <c r="F296" s="14">
        <v>0.4224136</v>
      </c>
      <c r="G296" s="9" t="e">
        <v>#N/A</v>
      </c>
      <c r="H296" s="12">
        <v>6.897135836132029</v>
      </c>
      <c r="I296" s="19" t="e">
        <f t="shared" si="8"/>
        <v>#N/A</v>
      </c>
      <c r="J296" t="e">
        <f t="shared" si="9"/>
        <v>#N/A</v>
      </c>
    </row>
    <row r="297" spans="1:10" x14ac:dyDescent="0.35">
      <c r="A297" t="s">
        <v>63</v>
      </c>
      <c r="B297" t="s">
        <v>67</v>
      </c>
      <c r="C297" t="s">
        <v>32</v>
      </c>
      <c r="D297" t="s">
        <v>8</v>
      </c>
      <c r="E297">
        <v>3</v>
      </c>
      <c r="F297" s="14">
        <v>158.72421750000001</v>
      </c>
      <c r="G297" s="9">
        <v>5.9751598664972203</v>
      </c>
      <c r="H297" s="12">
        <v>19.650411383681998</v>
      </c>
      <c r="I297" s="19">
        <f t="shared" si="8"/>
        <v>5.9751598664972203</v>
      </c>
      <c r="J297">
        <f t="shared" si="9"/>
        <v>2.9875799332486102</v>
      </c>
    </row>
    <row r="298" spans="1:10" x14ac:dyDescent="0.35">
      <c r="A298" t="s">
        <v>63</v>
      </c>
      <c r="B298" t="s">
        <v>67</v>
      </c>
      <c r="C298" t="s">
        <v>33</v>
      </c>
      <c r="D298" t="s">
        <v>8</v>
      </c>
      <c r="E298">
        <v>3</v>
      </c>
      <c r="F298" s="14">
        <v>0</v>
      </c>
      <c r="G298" s="9" t="e">
        <v>#N/A</v>
      </c>
      <c r="H298" s="12">
        <v>18.257087802241777</v>
      </c>
      <c r="I298" s="19" t="e">
        <f t="shared" si="8"/>
        <v>#N/A</v>
      </c>
      <c r="J298" t="e">
        <f t="shared" si="9"/>
        <v>#N/A</v>
      </c>
    </row>
    <row r="299" spans="1:10" x14ac:dyDescent="0.35">
      <c r="A299" t="s">
        <v>63</v>
      </c>
      <c r="B299" t="s">
        <v>67</v>
      </c>
      <c r="C299" t="s">
        <v>34</v>
      </c>
      <c r="D299" t="s">
        <v>8</v>
      </c>
      <c r="E299">
        <v>3</v>
      </c>
      <c r="F299" s="14">
        <v>0</v>
      </c>
      <c r="G299" s="9" t="e">
        <v>#N/A</v>
      </c>
      <c r="H299" s="12">
        <v>2.7523823719268665</v>
      </c>
      <c r="I299" s="19" t="e">
        <f t="shared" si="8"/>
        <v>#N/A</v>
      </c>
      <c r="J299" t="e">
        <f t="shared" si="9"/>
        <v>#N/A</v>
      </c>
    </row>
    <row r="300" spans="1:10" x14ac:dyDescent="0.35">
      <c r="A300" t="s">
        <v>63</v>
      </c>
      <c r="B300" t="s">
        <v>67</v>
      </c>
      <c r="C300" t="s">
        <v>35</v>
      </c>
      <c r="D300" t="s">
        <v>8</v>
      </c>
      <c r="E300">
        <v>3</v>
      </c>
      <c r="F300" s="14">
        <v>329.71999729999999</v>
      </c>
      <c r="G300" s="9">
        <v>25.578058391078329</v>
      </c>
      <c r="H300" s="12">
        <v>34.351332780111321</v>
      </c>
      <c r="I300" s="19">
        <f t="shared" si="8"/>
        <v>25.578058391078329</v>
      </c>
      <c r="J300">
        <f t="shared" si="9"/>
        <v>12.789029195539165</v>
      </c>
    </row>
    <row r="301" spans="1:10" x14ac:dyDescent="0.35">
      <c r="A301" t="s">
        <v>63</v>
      </c>
      <c r="B301" t="s">
        <v>67</v>
      </c>
      <c r="C301" t="s">
        <v>36</v>
      </c>
      <c r="D301" t="s">
        <v>8</v>
      </c>
      <c r="E301">
        <v>3</v>
      </c>
      <c r="F301" s="14">
        <v>6.7582187999999999</v>
      </c>
      <c r="G301" s="9">
        <v>2.3715598125410713</v>
      </c>
      <c r="H301" s="12">
        <v>4.0893258367112413</v>
      </c>
      <c r="I301" s="19">
        <f t="shared" si="8"/>
        <v>2.3715598125410713</v>
      </c>
      <c r="J301">
        <f t="shared" si="9"/>
        <v>1.1857799062705356</v>
      </c>
    </row>
    <row r="302" spans="1:10" x14ac:dyDescent="0.35">
      <c r="A302" t="s">
        <v>63</v>
      </c>
      <c r="B302" t="s">
        <v>67</v>
      </c>
      <c r="C302" t="s">
        <v>37</v>
      </c>
      <c r="D302" t="s">
        <v>8</v>
      </c>
      <c r="E302">
        <v>3</v>
      </c>
      <c r="F302" s="14">
        <v>99.869837400000009</v>
      </c>
      <c r="G302" s="9">
        <v>9.0073183618429589</v>
      </c>
      <c r="H302" s="12">
        <v>31.028158662792862</v>
      </c>
      <c r="I302" s="19">
        <f t="shared" si="8"/>
        <v>9.0073183618429589</v>
      </c>
      <c r="J302">
        <f t="shared" si="9"/>
        <v>4.5036591809214794</v>
      </c>
    </row>
    <row r="303" spans="1:10" x14ac:dyDescent="0.35">
      <c r="A303" t="s">
        <v>63</v>
      </c>
      <c r="B303" t="s">
        <v>67</v>
      </c>
      <c r="C303" t="s">
        <v>38</v>
      </c>
      <c r="D303" t="s">
        <v>8</v>
      </c>
      <c r="E303">
        <v>3</v>
      </c>
      <c r="F303" s="14">
        <v>1.9364283</v>
      </c>
      <c r="G303" s="9" t="e">
        <v>#N/A</v>
      </c>
      <c r="H303" s="12">
        <v>0.17424935879955677</v>
      </c>
      <c r="I303" s="19" t="e">
        <f t="shared" si="8"/>
        <v>#N/A</v>
      </c>
      <c r="J303" t="e">
        <f t="shared" si="9"/>
        <v>#N/A</v>
      </c>
    </row>
    <row r="304" spans="1:10" x14ac:dyDescent="0.35">
      <c r="A304" t="s">
        <v>63</v>
      </c>
      <c r="B304" t="s">
        <v>67</v>
      </c>
      <c r="C304" t="s">
        <v>39</v>
      </c>
      <c r="D304" t="s">
        <v>8</v>
      </c>
      <c r="E304">
        <v>3</v>
      </c>
      <c r="F304" s="14">
        <v>1.5613623999999999</v>
      </c>
      <c r="G304" s="9" t="e">
        <v>#N/A</v>
      </c>
      <c r="H304" s="12">
        <v>0.72427470349532941</v>
      </c>
      <c r="I304" s="19" t="e">
        <f t="shared" si="8"/>
        <v>#N/A</v>
      </c>
      <c r="J304" t="e">
        <f t="shared" si="9"/>
        <v>#N/A</v>
      </c>
    </row>
    <row r="305" spans="1:10" x14ac:dyDescent="0.35">
      <c r="A305" t="s">
        <v>63</v>
      </c>
      <c r="B305" t="s">
        <v>67</v>
      </c>
      <c r="C305" t="s">
        <v>40</v>
      </c>
      <c r="D305" t="s">
        <v>8</v>
      </c>
      <c r="E305">
        <v>3</v>
      </c>
      <c r="F305" s="14">
        <v>26.125284100000002</v>
      </c>
      <c r="G305" s="9">
        <v>2.4380577869739213</v>
      </c>
      <c r="H305" s="12">
        <v>3.1815073238085372</v>
      </c>
      <c r="I305" s="19">
        <f t="shared" si="8"/>
        <v>2.4380577869739213</v>
      </c>
      <c r="J305">
        <f t="shared" si="9"/>
        <v>1.2190288934869606</v>
      </c>
    </row>
    <row r="306" spans="1:10" x14ac:dyDescent="0.35">
      <c r="A306" t="s">
        <v>63</v>
      </c>
      <c r="B306" t="s">
        <v>67</v>
      </c>
      <c r="C306" t="s">
        <v>41</v>
      </c>
      <c r="D306" t="s">
        <v>8</v>
      </c>
      <c r="E306">
        <v>3</v>
      </c>
      <c r="F306" s="14">
        <v>98.012854900000008</v>
      </c>
      <c r="G306" s="9">
        <v>2.5342960771311813</v>
      </c>
      <c r="H306" s="12">
        <v>3.8923515500229056</v>
      </c>
      <c r="I306" s="19">
        <f t="shared" si="8"/>
        <v>2.5342960771311813</v>
      </c>
      <c r="J306">
        <f t="shared" si="9"/>
        <v>1.2671480385655907</v>
      </c>
    </row>
    <row r="307" spans="1:10" s="8" customFormat="1" x14ac:dyDescent="0.35">
      <c r="A307" s="8" t="s">
        <v>63</v>
      </c>
      <c r="B307" s="8" t="s">
        <v>67</v>
      </c>
      <c r="C307" s="8" t="s">
        <v>42</v>
      </c>
      <c r="D307" s="8" t="s">
        <v>8</v>
      </c>
      <c r="E307" s="8">
        <v>3</v>
      </c>
      <c r="F307" s="15">
        <v>0</v>
      </c>
      <c r="G307" s="10" t="e">
        <v>#N/A</v>
      </c>
      <c r="H307" s="13">
        <v>1.2860727380647856</v>
      </c>
      <c r="I307" s="20" t="e">
        <f t="shared" si="8"/>
        <v>#N/A</v>
      </c>
      <c r="J307" s="8" t="e">
        <f t="shared" si="9"/>
        <v>#N/A</v>
      </c>
    </row>
    <row r="308" spans="1:10" x14ac:dyDescent="0.35">
      <c r="A308" t="s">
        <v>64</v>
      </c>
      <c r="B308" t="s">
        <v>68</v>
      </c>
      <c r="C308" t="s">
        <v>7</v>
      </c>
      <c r="D308" t="s">
        <v>51</v>
      </c>
      <c r="E308">
        <v>3</v>
      </c>
      <c r="F308" s="14">
        <v>6.8845140000000002</v>
      </c>
      <c r="G308" s="9" t="e">
        <v>#N/A</v>
      </c>
      <c r="H308" s="12">
        <v>0.75760743004643649</v>
      </c>
      <c r="I308" s="19" t="e">
        <f t="shared" si="8"/>
        <v>#N/A</v>
      </c>
      <c r="J308" t="e">
        <f t="shared" si="9"/>
        <v>#N/A</v>
      </c>
    </row>
    <row r="309" spans="1:10" x14ac:dyDescent="0.35">
      <c r="A309" t="s">
        <v>64</v>
      </c>
      <c r="B309" t="s">
        <v>68</v>
      </c>
      <c r="C309" t="s">
        <v>9</v>
      </c>
      <c r="D309" t="s">
        <v>51</v>
      </c>
      <c r="E309">
        <v>3</v>
      </c>
      <c r="F309" s="14">
        <v>4.1247161999999999</v>
      </c>
      <c r="G309" s="9" t="e">
        <v>#N/A</v>
      </c>
      <c r="H309" s="12">
        <v>8.9866979409676237E-2</v>
      </c>
      <c r="I309" s="19" t="e">
        <f t="shared" si="8"/>
        <v>#N/A</v>
      </c>
      <c r="J309" t="e">
        <f t="shared" si="9"/>
        <v>#N/A</v>
      </c>
    </row>
    <row r="310" spans="1:10" x14ac:dyDescent="0.35">
      <c r="A310" t="s">
        <v>64</v>
      </c>
      <c r="B310" t="s">
        <v>68</v>
      </c>
      <c r="C310" t="s">
        <v>10</v>
      </c>
      <c r="D310" t="s">
        <v>51</v>
      </c>
      <c r="E310">
        <v>3</v>
      </c>
      <c r="F310" s="14" t="e">
        <v>#N/A</v>
      </c>
      <c r="G310" s="9" t="e">
        <v>#N/A</v>
      </c>
      <c r="H310" s="12">
        <v>1.6703509006318267E-2</v>
      </c>
      <c r="I310" s="19" t="e">
        <f t="shared" si="8"/>
        <v>#N/A</v>
      </c>
      <c r="J310" t="e">
        <f t="shared" si="9"/>
        <v>#N/A</v>
      </c>
    </row>
    <row r="311" spans="1:10" x14ac:dyDescent="0.35">
      <c r="A311" t="s">
        <v>64</v>
      </c>
      <c r="B311" t="s">
        <v>68</v>
      </c>
      <c r="C311" t="s">
        <v>11</v>
      </c>
      <c r="D311" t="s">
        <v>51</v>
      </c>
      <c r="E311">
        <v>3</v>
      </c>
      <c r="F311" s="14">
        <v>14.241061499999999</v>
      </c>
      <c r="G311" s="9">
        <v>2.0780140999507437</v>
      </c>
      <c r="H311" s="12">
        <v>6.5955486506252647</v>
      </c>
      <c r="I311" s="19">
        <f t="shared" si="8"/>
        <v>2.0780140999507437</v>
      </c>
      <c r="J311">
        <f t="shared" si="9"/>
        <v>1.0390070499753719</v>
      </c>
    </row>
    <row r="312" spans="1:10" x14ac:dyDescent="0.35">
      <c r="A312" t="s">
        <v>64</v>
      </c>
      <c r="B312" t="s">
        <v>68</v>
      </c>
      <c r="C312" t="s">
        <v>12</v>
      </c>
      <c r="D312" t="s">
        <v>51</v>
      </c>
      <c r="E312">
        <v>3</v>
      </c>
      <c r="F312" s="14">
        <v>116.72914280000001</v>
      </c>
      <c r="G312" s="9">
        <v>12.412950011043797</v>
      </c>
      <c r="H312" s="12">
        <v>9.392601071423913</v>
      </c>
      <c r="I312" s="19">
        <f t="shared" si="8"/>
        <v>12.412950011043797</v>
      </c>
      <c r="J312">
        <f t="shared" si="9"/>
        <v>6.2064750055218987</v>
      </c>
    </row>
    <row r="313" spans="1:10" x14ac:dyDescent="0.35">
      <c r="A313" t="s">
        <v>64</v>
      </c>
      <c r="B313" t="s">
        <v>68</v>
      </c>
      <c r="C313" t="s">
        <v>13</v>
      </c>
      <c r="D313" t="s">
        <v>51</v>
      </c>
      <c r="E313">
        <v>3</v>
      </c>
      <c r="F313" s="14">
        <v>307.1489722</v>
      </c>
      <c r="G313" s="9">
        <v>33.909927233987503</v>
      </c>
      <c r="H313" s="12">
        <v>80.308786960625071</v>
      </c>
      <c r="I313" s="19">
        <f t="shared" si="8"/>
        <v>33.909927233987503</v>
      </c>
      <c r="J313">
        <f t="shared" si="9"/>
        <v>16.954963616993751</v>
      </c>
    </row>
    <row r="314" spans="1:10" x14ac:dyDescent="0.35">
      <c r="A314" t="s">
        <v>64</v>
      </c>
      <c r="B314" t="s">
        <v>68</v>
      </c>
      <c r="C314" t="s">
        <v>14</v>
      </c>
      <c r="D314" t="s">
        <v>51</v>
      </c>
      <c r="E314">
        <v>3</v>
      </c>
      <c r="F314" s="14">
        <v>0</v>
      </c>
      <c r="G314" s="9">
        <v>4.2849119915334564</v>
      </c>
      <c r="H314" s="12">
        <v>5.5098335405095678E-2</v>
      </c>
      <c r="I314" s="19">
        <f t="shared" si="8"/>
        <v>4.2849119915334564</v>
      </c>
      <c r="J314">
        <f t="shared" si="9"/>
        <v>2.1424559957667282</v>
      </c>
    </row>
    <row r="315" spans="1:10" x14ac:dyDescent="0.35">
      <c r="A315" t="s">
        <v>64</v>
      </c>
      <c r="B315" t="s">
        <v>68</v>
      </c>
      <c r="C315" t="s">
        <v>15</v>
      </c>
      <c r="D315" t="s">
        <v>51</v>
      </c>
      <c r="E315">
        <v>3</v>
      </c>
      <c r="F315" s="14">
        <v>15.8769372</v>
      </c>
      <c r="G315" s="9">
        <v>2.4897584039470471</v>
      </c>
      <c r="H315" s="12">
        <v>0.76946537927278502</v>
      </c>
      <c r="I315" s="19">
        <f t="shared" si="8"/>
        <v>2.4897584039470471</v>
      </c>
      <c r="J315">
        <f t="shared" si="9"/>
        <v>1.2448792019735235</v>
      </c>
    </row>
    <row r="316" spans="1:10" x14ac:dyDescent="0.35">
      <c r="A316" t="s">
        <v>64</v>
      </c>
      <c r="B316" t="s">
        <v>68</v>
      </c>
      <c r="C316" t="s">
        <v>16</v>
      </c>
      <c r="D316" t="s">
        <v>51</v>
      </c>
      <c r="E316">
        <v>3</v>
      </c>
      <c r="F316" s="14">
        <v>0</v>
      </c>
      <c r="G316" s="9" t="e">
        <v>#N/A</v>
      </c>
      <c r="H316" s="12">
        <v>-5.3555463117686754E-2</v>
      </c>
      <c r="I316" s="19" t="e">
        <f t="shared" si="8"/>
        <v>#N/A</v>
      </c>
      <c r="J316" t="e">
        <f t="shared" si="9"/>
        <v>#N/A</v>
      </c>
    </row>
    <row r="317" spans="1:10" x14ac:dyDescent="0.35">
      <c r="A317" t="s">
        <v>64</v>
      </c>
      <c r="B317" t="s">
        <v>68</v>
      </c>
      <c r="C317" t="s">
        <v>17</v>
      </c>
      <c r="D317" t="s">
        <v>51</v>
      </c>
      <c r="E317">
        <v>3</v>
      </c>
      <c r="F317" s="14">
        <v>5408.4226508000002</v>
      </c>
      <c r="G317" s="9">
        <v>71.267576413920779</v>
      </c>
      <c r="H317" s="12">
        <v>394.31125560663958</v>
      </c>
      <c r="I317" s="19">
        <f t="shared" si="8"/>
        <v>71.267576413920779</v>
      </c>
      <c r="J317">
        <f t="shared" si="9"/>
        <v>35.633788206960389</v>
      </c>
    </row>
    <row r="318" spans="1:10" x14ac:dyDescent="0.35">
      <c r="A318" t="s">
        <v>64</v>
      </c>
      <c r="B318" t="s">
        <v>68</v>
      </c>
      <c r="C318" t="s">
        <v>18</v>
      </c>
      <c r="D318" t="s">
        <v>51</v>
      </c>
      <c r="E318">
        <v>3</v>
      </c>
      <c r="F318" s="14">
        <v>949.72924750000004</v>
      </c>
      <c r="G318" s="9">
        <v>34.712094988795897</v>
      </c>
      <c r="H318" s="12">
        <v>238.09211932514177</v>
      </c>
      <c r="I318" s="19">
        <f t="shared" si="8"/>
        <v>34.712094988795897</v>
      </c>
      <c r="J318">
        <f t="shared" si="9"/>
        <v>17.356047494397949</v>
      </c>
    </row>
    <row r="319" spans="1:10" x14ac:dyDescent="0.35">
      <c r="A319" t="s">
        <v>64</v>
      </c>
      <c r="B319" t="s">
        <v>68</v>
      </c>
      <c r="C319" t="s">
        <v>20</v>
      </c>
      <c r="D319" t="s">
        <v>51</v>
      </c>
      <c r="E319">
        <v>3</v>
      </c>
      <c r="F319" s="14">
        <v>20.971489000000002</v>
      </c>
      <c r="G319" s="9">
        <v>1.51993270114431</v>
      </c>
      <c r="H319" s="12">
        <v>4.3637171828417767</v>
      </c>
      <c r="I319" s="19">
        <f t="shared" si="8"/>
        <v>1.51993270114431</v>
      </c>
      <c r="J319">
        <f t="shared" si="9"/>
        <v>0.759966350572155</v>
      </c>
    </row>
    <row r="320" spans="1:10" x14ac:dyDescent="0.35">
      <c r="A320" t="s">
        <v>64</v>
      </c>
      <c r="B320" t="s">
        <v>68</v>
      </c>
      <c r="C320" t="s">
        <v>21</v>
      </c>
      <c r="D320" t="s">
        <v>51</v>
      </c>
      <c r="E320">
        <v>3</v>
      </c>
      <c r="F320" s="14">
        <v>543.79471709999996</v>
      </c>
      <c r="G320" s="9">
        <v>5.2542200187226165</v>
      </c>
      <c r="H320" s="12">
        <v>44.531955967124411</v>
      </c>
      <c r="I320" s="19">
        <f t="shared" si="8"/>
        <v>5.2542200187226165</v>
      </c>
      <c r="J320">
        <f t="shared" si="9"/>
        <v>2.6271100093613082</v>
      </c>
    </row>
    <row r="321" spans="1:10" x14ac:dyDescent="0.35">
      <c r="A321" t="s">
        <v>64</v>
      </c>
      <c r="B321" t="s">
        <v>68</v>
      </c>
      <c r="C321" t="s">
        <v>22</v>
      </c>
      <c r="D321" t="s">
        <v>51</v>
      </c>
      <c r="E321">
        <v>3</v>
      </c>
      <c r="F321" s="14">
        <v>1955.7332535999999</v>
      </c>
      <c r="G321" s="9">
        <v>78.493152123632186</v>
      </c>
      <c r="H321" s="12">
        <v>477.69422298103427</v>
      </c>
      <c r="I321" s="19">
        <f t="shared" si="8"/>
        <v>78.493152123632186</v>
      </c>
      <c r="J321">
        <f t="shared" si="9"/>
        <v>39.246576061816093</v>
      </c>
    </row>
    <row r="322" spans="1:10" x14ac:dyDescent="0.35">
      <c r="A322" t="s">
        <v>64</v>
      </c>
      <c r="B322" t="s">
        <v>68</v>
      </c>
      <c r="C322" t="s">
        <v>23</v>
      </c>
      <c r="D322" t="s">
        <v>51</v>
      </c>
      <c r="E322">
        <v>3</v>
      </c>
      <c r="F322" s="14">
        <v>0</v>
      </c>
      <c r="G322" s="9" t="e">
        <v>#N/A</v>
      </c>
      <c r="H322" s="12">
        <v>-0.17181211264413232</v>
      </c>
      <c r="I322" s="19" t="e">
        <f t="shared" ref="I322:I385" si="10">IF(G322&lt;0,0,G322)</f>
        <v>#N/A</v>
      </c>
      <c r="J322" t="e">
        <f t="shared" si="9"/>
        <v>#N/A</v>
      </c>
    </row>
    <row r="323" spans="1:10" x14ac:dyDescent="0.35">
      <c r="A323" t="s">
        <v>64</v>
      </c>
      <c r="B323" t="s">
        <v>68</v>
      </c>
      <c r="C323" t="s">
        <v>24</v>
      </c>
      <c r="D323" t="s">
        <v>51</v>
      </c>
      <c r="E323">
        <v>3</v>
      </c>
      <c r="F323" s="14">
        <v>1913.5384208</v>
      </c>
      <c r="G323" s="9">
        <v>88.779828662188692</v>
      </c>
      <c r="H323" s="12">
        <v>329.25470097197649</v>
      </c>
      <c r="I323" s="19">
        <f t="shared" si="10"/>
        <v>88.779828662188692</v>
      </c>
      <c r="J323">
        <f t="shared" si="9"/>
        <v>44.389914331094346</v>
      </c>
    </row>
    <row r="324" spans="1:10" x14ac:dyDescent="0.35">
      <c r="A324" t="s">
        <v>64</v>
      </c>
      <c r="B324" t="s">
        <v>68</v>
      </c>
      <c r="C324" t="s">
        <v>25</v>
      </c>
      <c r="D324" t="s">
        <v>51</v>
      </c>
      <c r="E324">
        <v>3</v>
      </c>
      <c r="F324" s="14">
        <v>157.53268119999998</v>
      </c>
      <c r="G324" s="9">
        <v>11.116238923946071</v>
      </c>
      <c r="H324" s="12">
        <v>23.539549232314663</v>
      </c>
      <c r="I324" s="19">
        <f t="shared" si="10"/>
        <v>11.116238923946071</v>
      </c>
      <c r="J324">
        <f t="shared" si="9"/>
        <v>5.5581194619730354</v>
      </c>
    </row>
    <row r="325" spans="1:10" x14ac:dyDescent="0.35">
      <c r="A325" t="s">
        <v>64</v>
      </c>
      <c r="B325" t="s">
        <v>68</v>
      </c>
      <c r="C325" t="s">
        <v>26</v>
      </c>
      <c r="D325" t="s">
        <v>51</v>
      </c>
      <c r="E325">
        <v>3</v>
      </c>
      <c r="F325" s="14">
        <v>3321.1106480999997</v>
      </c>
      <c r="G325" s="9">
        <v>72.780164308270969</v>
      </c>
      <c r="H325" s="12">
        <v>95.07032931162459</v>
      </c>
      <c r="I325" s="19">
        <f t="shared" si="10"/>
        <v>72.780164308270969</v>
      </c>
      <c r="J325">
        <f t="shared" ref="J325:J388" si="11">I325/2</f>
        <v>36.390082154135484</v>
      </c>
    </row>
    <row r="326" spans="1:10" x14ac:dyDescent="0.35">
      <c r="A326" t="s">
        <v>64</v>
      </c>
      <c r="B326" t="s">
        <v>68</v>
      </c>
      <c r="C326" t="s">
        <v>27</v>
      </c>
      <c r="D326" t="s">
        <v>51</v>
      </c>
      <c r="E326">
        <v>3</v>
      </c>
      <c r="F326" s="14">
        <v>322.12129700000003</v>
      </c>
      <c r="G326" s="9">
        <v>36.976624226003906</v>
      </c>
      <c r="H326" s="12">
        <v>28.952710792406396</v>
      </c>
      <c r="I326" s="19">
        <f t="shared" si="10"/>
        <v>36.976624226003906</v>
      </c>
      <c r="J326">
        <f t="shared" si="11"/>
        <v>18.488312113001953</v>
      </c>
    </row>
    <row r="327" spans="1:10" x14ac:dyDescent="0.35">
      <c r="A327" t="s">
        <v>64</v>
      </c>
      <c r="B327" t="s">
        <v>68</v>
      </c>
      <c r="C327" t="s">
        <v>28</v>
      </c>
      <c r="D327" t="s">
        <v>51</v>
      </c>
      <c r="E327">
        <v>3</v>
      </c>
      <c r="F327" s="14">
        <v>28.789515399999999</v>
      </c>
      <c r="G327" s="9">
        <v>3.1585812112567697</v>
      </c>
      <c r="H327" s="12">
        <v>0.77768441712496084</v>
      </c>
      <c r="I327" s="19">
        <f t="shared" si="10"/>
        <v>3.1585812112567697</v>
      </c>
      <c r="J327">
        <f t="shared" si="11"/>
        <v>1.5792906056283849</v>
      </c>
    </row>
    <row r="328" spans="1:10" x14ac:dyDescent="0.35">
      <c r="A328" t="s">
        <v>64</v>
      </c>
      <c r="B328" t="s">
        <v>68</v>
      </c>
      <c r="C328" t="s">
        <v>29</v>
      </c>
      <c r="D328" t="s">
        <v>51</v>
      </c>
      <c r="E328">
        <v>3</v>
      </c>
      <c r="F328" s="14">
        <v>29.8003447</v>
      </c>
      <c r="G328" s="9">
        <v>8.7885877496051652</v>
      </c>
      <c r="H328" s="12">
        <v>8.2828057575228886</v>
      </c>
      <c r="I328" s="19">
        <f t="shared" si="10"/>
        <v>8.7885877496051652</v>
      </c>
      <c r="J328">
        <f t="shared" si="11"/>
        <v>4.3942938748025826</v>
      </c>
    </row>
    <row r="329" spans="1:10" x14ac:dyDescent="0.35">
      <c r="A329" t="s">
        <v>64</v>
      </c>
      <c r="B329" t="s">
        <v>68</v>
      </c>
      <c r="C329" t="s">
        <v>30</v>
      </c>
      <c r="D329" t="s">
        <v>51</v>
      </c>
      <c r="E329">
        <v>3</v>
      </c>
      <c r="F329" s="14">
        <v>19.8518626</v>
      </c>
      <c r="G329" s="9">
        <v>2.2702853623787327</v>
      </c>
      <c r="H329" s="12">
        <v>5.8321014212056479</v>
      </c>
      <c r="I329" s="19">
        <f t="shared" si="10"/>
        <v>2.2702853623787327</v>
      </c>
      <c r="J329">
        <f t="shared" si="11"/>
        <v>1.1351426811893663</v>
      </c>
    </row>
    <row r="330" spans="1:10" x14ac:dyDescent="0.35">
      <c r="A330" t="s">
        <v>64</v>
      </c>
      <c r="B330" t="s">
        <v>68</v>
      </c>
      <c r="C330" t="s">
        <v>31</v>
      </c>
      <c r="D330" t="s">
        <v>51</v>
      </c>
      <c r="E330">
        <v>3</v>
      </c>
      <c r="F330" s="14">
        <v>4.6745024000000006</v>
      </c>
      <c r="G330" s="9" t="e">
        <v>#N/A</v>
      </c>
      <c r="H330" s="12">
        <v>1.3727848034937142</v>
      </c>
      <c r="I330" s="19" t="e">
        <f t="shared" si="10"/>
        <v>#N/A</v>
      </c>
      <c r="J330" t="e">
        <f t="shared" si="11"/>
        <v>#N/A</v>
      </c>
    </row>
    <row r="331" spans="1:10" x14ac:dyDescent="0.35">
      <c r="A331" t="s">
        <v>64</v>
      </c>
      <c r="B331" t="s">
        <v>68</v>
      </c>
      <c r="C331" t="s">
        <v>32</v>
      </c>
      <c r="D331" t="s">
        <v>51</v>
      </c>
      <c r="E331">
        <v>3</v>
      </c>
      <c r="F331" s="14">
        <v>112.97919229999999</v>
      </c>
      <c r="G331" s="9">
        <v>4.8827475445200479</v>
      </c>
      <c r="H331" s="12">
        <v>13.985072529010372</v>
      </c>
      <c r="I331" s="19">
        <f t="shared" si="10"/>
        <v>4.8827475445200479</v>
      </c>
      <c r="J331">
        <f t="shared" si="11"/>
        <v>2.4413737722600239</v>
      </c>
    </row>
    <row r="332" spans="1:10" x14ac:dyDescent="0.35">
      <c r="A332" t="s">
        <v>64</v>
      </c>
      <c r="B332" t="s">
        <v>68</v>
      </c>
      <c r="C332" t="s">
        <v>33</v>
      </c>
      <c r="D332" t="s">
        <v>51</v>
      </c>
      <c r="E332">
        <v>3</v>
      </c>
      <c r="F332" s="14" t="e">
        <v>#N/A</v>
      </c>
      <c r="G332" s="9" t="e">
        <v>#N/A</v>
      </c>
      <c r="H332" s="12">
        <v>6.6317454371323387E-2</v>
      </c>
      <c r="I332" s="19" t="e">
        <f t="shared" si="10"/>
        <v>#N/A</v>
      </c>
      <c r="J332" t="e">
        <f t="shared" si="11"/>
        <v>#N/A</v>
      </c>
    </row>
    <row r="333" spans="1:10" x14ac:dyDescent="0.35">
      <c r="A333" t="s">
        <v>64</v>
      </c>
      <c r="B333" t="s">
        <v>68</v>
      </c>
      <c r="C333" t="s">
        <v>34</v>
      </c>
      <c r="D333" t="s">
        <v>51</v>
      </c>
      <c r="E333">
        <v>3</v>
      </c>
      <c r="F333" s="14">
        <v>0</v>
      </c>
      <c r="G333" s="9" t="e">
        <v>#N/A</v>
      </c>
      <c r="H333" s="12">
        <v>3.4190319010173574E-2</v>
      </c>
      <c r="I333" s="19" t="e">
        <f t="shared" si="10"/>
        <v>#N/A</v>
      </c>
      <c r="J333" t="e">
        <f t="shared" si="11"/>
        <v>#N/A</v>
      </c>
    </row>
    <row r="334" spans="1:10" x14ac:dyDescent="0.35">
      <c r="A334" t="s">
        <v>64</v>
      </c>
      <c r="B334" t="s">
        <v>68</v>
      </c>
      <c r="C334" t="s">
        <v>35</v>
      </c>
      <c r="D334" t="s">
        <v>51</v>
      </c>
      <c r="E334">
        <v>3</v>
      </c>
      <c r="F334" s="14">
        <v>294.62663040000001</v>
      </c>
      <c r="G334" s="9">
        <v>24.587395597897238</v>
      </c>
      <c r="H334" s="12">
        <v>28.262679154016599</v>
      </c>
      <c r="I334" s="19">
        <f t="shared" si="10"/>
        <v>24.587395597897238</v>
      </c>
      <c r="J334">
        <f t="shared" si="11"/>
        <v>12.293697798948619</v>
      </c>
    </row>
    <row r="335" spans="1:10" x14ac:dyDescent="0.35">
      <c r="A335" t="s">
        <v>64</v>
      </c>
      <c r="B335" t="s">
        <v>68</v>
      </c>
      <c r="C335" t="s">
        <v>36</v>
      </c>
      <c r="D335" t="s">
        <v>51</v>
      </c>
      <c r="E335">
        <v>3</v>
      </c>
      <c r="F335" s="14">
        <v>1.5882030999999999</v>
      </c>
      <c r="G335" s="9">
        <v>1.6506219558540189</v>
      </c>
      <c r="H335" s="12">
        <v>8.3489708397120471E-2</v>
      </c>
      <c r="I335" s="19">
        <f t="shared" si="10"/>
        <v>1.6506219558540189</v>
      </c>
      <c r="J335">
        <f t="shared" si="11"/>
        <v>0.82531097792700947</v>
      </c>
    </row>
    <row r="336" spans="1:10" x14ac:dyDescent="0.35">
      <c r="A336" t="s">
        <v>64</v>
      </c>
      <c r="B336" t="s">
        <v>68</v>
      </c>
      <c r="C336" t="s">
        <v>37</v>
      </c>
      <c r="D336" t="s">
        <v>51</v>
      </c>
      <c r="E336">
        <v>3</v>
      </c>
      <c r="F336" s="14">
        <v>94.496069500000004</v>
      </c>
      <c r="G336" s="9">
        <v>9.5591275965844105</v>
      </c>
      <c r="H336" s="12">
        <v>29.326342153164902</v>
      </c>
      <c r="I336" s="19">
        <f t="shared" si="10"/>
        <v>9.5591275965844105</v>
      </c>
      <c r="J336">
        <f t="shared" si="11"/>
        <v>4.7795637982922052</v>
      </c>
    </row>
    <row r="337" spans="1:10" x14ac:dyDescent="0.35">
      <c r="A337" t="s">
        <v>64</v>
      </c>
      <c r="B337" t="s">
        <v>68</v>
      </c>
      <c r="C337" t="s">
        <v>38</v>
      </c>
      <c r="D337" t="s">
        <v>51</v>
      </c>
      <c r="E337">
        <v>3</v>
      </c>
      <c r="F337" s="14">
        <v>1.9322348</v>
      </c>
      <c r="G337" s="9" t="e">
        <v>#N/A</v>
      </c>
      <c r="H337" s="12">
        <v>0.17318382969907578</v>
      </c>
      <c r="I337" s="19" t="e">
        <f t="shared" si="10"/>
        <v>#N/A</v>
      </c>
      <c r="J337" t="e">
        <f t="shared" si="11"/>
        <v>#N/A</v>
      </c>
    </row>
    <row r="338" spans="1:10" x14ac:dyDescent="0.35">
      <c r="A338" t="s">
        <v>64</v>
      </c>
      <c r="B338" t="s">
        <v>68</v>
      </c>
      <c r="C338" t="s">
        <v>39</v>
      </c>
      <c r="D338" t="s">
        <v>51</v>
      </c>
      <c r="E338">
        <v>3</v>
      </c>
      <c r="F338" s="14">
        <v>0.79633739999999997</v>
      </c>
      <c r="G338" s="9" t="e">
        <v>#N/A</v>
      </c>
      <c r="H338" s="12">
        <v>0.47800243217810134</v>
      </c>
      <c r="I338" s="19" t="e">
        <f t="shared" si="10"/>
        <v>#N/A</v>
      </c>
      <c r="J338" t="e">
        <f t="shared" si="11"/>
        <v>#N/A</v>
      </c>
    </row>
    <row r="339" spans="1:10" x14ac:dyDescent="0.35">
      <c r="A339" t="s">
        <v>64</v>
      </c>
      <c r="B339" t="s">
        <v>68</v>
      </c>
      <c r="C339" t="s">
        <v>40</v>
      </c>
      <c r="D339" t="s">
        <v>51</v>
      </c>
      <c r="E339">
        <v>3</v>
      </c>
      <c r="F339" s="14">
        <v>17.029594799999998</v>
      </c>
      <c r="G339" s="9">
        <v>1.9689248612015424</v>
      </c>
      <c r="H339" s="12">
        <v>2.1000832673512528</v>
      </c>
      <c r="I339" s="19">
        <f t="shared" si="10"/>
        <v>1.9689248612015424</v>
      </c>
      <c r="J339">
        <f t="shared" si="11"/>
        <v>0.98446243060077121</v>
      </c>
    </row>
    <row r="340" spans="1:10" x14ac:dyDescent="0.35">
      <c r="A340" t="s">
        <v>64</v>
      </c>
      <c r="B340" t="s">
        <v>68</v>
      </c>
      <c r="C340" t="s">
        <v>41</v>
      </c>
      <c r="D340" t="s">
        <v>51</v>
      </c>
      <c r="E340">
        <v>3</v>
      </c>
      <c r="F340" s="14">
        <v>108.88772870000001</v>
      </c>
      <c r="G340" s="9">
        <v>3.4245043528307679</v>
      </c>
      <c r="H340" s="12">
        <v>4.3603964663265637</v>
      </c>
      <c r="I340" s="19">
        <f t="shared" si="10"/>
        <v>3.4245043528307679</v>
      </c>
      <c r="J340">
        <f t="shared" si="11"/>
        <v>1.712252176415384</v>
      </c>
    </row>
    <row r="341" spans="1:10" s="8" customFormat="1" x14ac:dyDescent="0.35">
      <c r="A341" s="8" t="s">
        <v>64</v>
      </c>
      <c r="B341" s="8" t="s">
        <v>68</v>
      </c>
      <c r="C341" s="8" t="s">
        <v>42</v>
      </c>
      <c r="D341" s="8" t="s">
        <v>51</v>
      </c>
      <c r="E341" s="8">
        <v>3</v>
      </c>
      <c r="F341" s="15">
        <v>0</v>
      </c>
      <c r="G341" s="10" t="e">
        <v>#N/A</v>
      </c>
      <c r="H341" s="13">
        <v>1.2407829008730296</v>
      </c>
      <c r="I341" s="20" t="e">
        <f t="shared" si="10"/>
        <v>#N/A</v>
      </c>
      <c r="J341" s="8" t="e">
        <f t="shared" si="11"/>
        <v>#N/A</v>
      </c>
    </row>
    <row r="342" spans="1:10" x14ac:dyDescent="0.35">
      <c r="A342" t="s">
        <v>65</v>
      </c>
      <c r="B342" t="s">
        <v>69</v>
      </c>
      <c r="C342" t="s">
        <v>7</v>
      </c>
      <c r="D342" t="s">
        <v>50</v>
      </c>
      <c r="E342">
        <v>3</v>
      </c>
      <c r="F342" s="14">
        <v>7.0501939</v>
      </c>
      <c r="G342" s="9" t="e">
        <v>#N/A</v>
      </c>
      <c r="I342" s="19" t="e">
        <f t="shared" si="10"/>
        <v>#N/A</v>
      </c>
      <c r="J342" t="e">
        <f t="shared" si="11"/>
        <v>#N/A</v>
      </c>
    </row>
    <row r="343" spans="1:10" x14ac:dyDescent="0.35">
      <c r="A343" t="s">
        <v>65</v>
      </c>
      <c r="B343" t="s">
        <v>69</v>
      </c>
      <c r="C343" t="s">
        <v>9</v>
      </c>
      <c r="D343" t="s">
        <v>50</v>
      </c>
      <c r="E343">
        <v>3</v>
      </c>
      <c r="F343" s="14">
        <v>4.0526834999999997</v>
      </c>
      <c r="G343" s="9" t="e">
        <v>#N/A</v>
      </c>
      <c r="I343" s="19" t="e">
        <f t="shared" si="10"/>
        <v>#N/A</v>
      </c>
      <c r="J343" t="e">
        <f t="shared" si="11"/>
        <v>#N/A</v>
      </c>
    </row>
    <row r="344" spans="1:10" x14ac:dyDescent="0.35">
      <c r="A344" t="s">
        <v>65</v>
      </c>
      <c r="B344" t="s">
        <v>69</v>
      </c>
      <c r="C344" t="s">
        <v>10</v>
      </c>
      <c r="D344" t="s">
        <v>50</v>
      </c>
      <c r="E344">
        <v>3</v>
      </c>
      <c r="F344" s="14">
        <v>0</v>
      </c>
      <c r="G344" s="9" t="e">
        <v>#N/A</v>
      </c>
      <c r="I344" s="19" t="e">
        <f t="shared" si="10"/>
        <v>#N/A</v>
      </c>
      <c r="J344" t="e">
        <f t="shared" si="11"/>
        <v>#N/A</v>
      </c>
    </row>
    <row r="345" spans="1:10" x14ac:dyDescent="0.35">
      <c r="A345" t="s">
        <v>65</v>
      </c>
      <c r="B345" t="s">
        <v>69</v>
      </c>
      <c r="C345" t="s">
        <v>11</v>
      </c>
      <c r="D345" t="s">
        <v>50</v>
      </c>
      <c r="E345">
        <v>3</v>
      </c>
      <c r="F345" s="14">
        <v>21.264584200000002</v>
      </c>
      <c r="G345" s="9">
        <v>1.7706006011975217</v>
      </c>
      <c r="I345" s="19">
        <f t="shared" si="10"/>
        <v>1.7706006011975217</v>
      </c>
      <c r="J345">
        <f t="shared" si="11"/>
        <v>0.88530030059876086</v>
      </c>
    </row>
    <row r="346" spans="1:10" x14ac:dyDescent="0.35">
      <c r="A346" t="s">
        <v>65</v>
      </c>
      <c r="B346" t="s">
        <v>69</v>
      </c>
      <c r="C346" t="s">
        <v>12</v>
      </c>
      <c r="D346" t="s">
        <v>50</v>
      </c>
      <c r="E346">
        <v>3</v>
      </c>
      <c r="F346" s="14">
        <v>131.61412440000001</v>
      </c>
      <c r="G346" s="9">
        <v>11.119585875766278</v>
      </c>
      <c r="I346" s="19">
        <f t="shared" si="10"/>
        <v>11.119585875766278</v>
      </c>
      <c r="J346">
        <f t="shared" si="11"/>
        <v>5.559792937883139</v>
      </c>
    </row>
    <row r="347" spans="1:10" x14ac:dyDescent="0.35">
      <c r="A347" t="s">
        <v>65</v>
      </c>
      <c r="B347" t="s">
        <v>69</v>
      </c>
      <c r="C347" t="s">
        <v>13</v>
      </c>
      <c r="D347" t="s">
        <v>50</v>
      </c>
      <c r="E347">
        <v>3</v>
      </c>
      <c r="F347" s="14">
        <v>398.01737939999998</v>
      </c>
      <c r="G347" s="9">
        <v>30.153726404106763</v>
      </c>
      <c r="I347" s="19">
        <f t="shared" si="10"/>
        <v>30.153726404106763</v>
      </c>
      <c r="J347">
        <f t="shared" si="11"/>
        <v>15.076863202053381</v>
      </c>
    </row>
    <row r="348" spans="1:10" x14ac:dyDescent="0.35">
      <c r="A348" t="s">
        <v>65</v>
      </c>
      <c r="B348" t="s">
        <v>69</v>
      </c>
      <c r="C348" t="s">
        <v>14</v>
      </c>
      <c r="D348" t="s">
        <v>50</v>
      </c>
      <c r="E348">
        <v>3</v>
      </c>
      <c r="F348" s="14">
        <v>0</v>
      </c>
      <c r="G348" s="9" t="e">
        <v>#N/A</v>
      </c>
      <c r="I348" s="19" t="e">
        <f t="shared" si="10"/>
        <v>#N/A</v>
      </c>
      <c r="J348" t="e">
        <f t="shared" si="11"/>
        <v>#N/A</v>
      </c>
    </row>
    <row r="349" spans="1:10" x14ac:dyDescent="0.35">
      <c r="A349" t="s">
        <v>65</v>
      </c>
      <c r="B349" t="s">
        <v>69</v>
      </c>
      <c r="C349" t="s">
        <v>15</v>
      </c>
      <c r="D349" t="s">
        <v>50</v>
      </c>
      <c r="E349">
        <v>3</v>
      </c>
      <c r="F349" s="14">
        <v>25.339976400000001</v>
      </c>
      <c r="G349" s="9">
        <v>2.1792224213713594</v>
      </c>
      <c r="I349" s="19">
        <f t="shared" si="10"/>
        <v>2.1792224213713594</v>
      </c>
      <c r="J349">
        <f t="shared" si="11"/>
        <v>1.0896112106856797</v>
      </c>
    </row>
    <row r="350" spans="1:10" x14ac:dyDescent="0.35">
      <c r="A350" t="s">
        <v>65</v>
      </c>
      <c r="B350" t="s">
        <v>69</v>
      </c>
      <c r="C350" t="s">
        <v>16</v>
      </c>
      <c r="D350" t="s">
        <v>50</v>
      </c>
      <c r="E350">
        <v>3</v>
      </c>
      <c r="F350" s="14">
        <v>0</v>
      </c>
      <c r="G350" s="9" t="e">
        <v>#N/A</v>
      </c>
      <c r="I350" s="19" t="e">
        <f t="shared" si="10"/>
        <v>#N/A</v>
      </c>
      <c r="J350" t="e">
        <f t="shared" si="11"/>
        <v>#N/A</v>
      </c>
    </row>
    <row r="351" spans="1:10" x14ac:dyDescent="0.35">
      <c r="A351" t="s">
        <v>65</v>
      </c>
      <c r="B351" t="s">
        <v>69</v>
      </c>
      <c r="C351" t="s">
        <v>17</v>
      </c>
      <c r="D351" t="s">
        <v>50</v>
      </c>
      <c r="E351">
        <v>3</v>
      </c>
      <c r="F351" s="14">
        <v>7138.6245861999996</v>
      </c>
      <c r="G351" s="9">
        <v>32.56635625768218</v>
      </c>
      <c r="I351" s="19">
        <f t="shared" si="10"/>
        <v>32.56635625768218</v>
      </c>
      <c r="J351">
        <f t="shared" si="11"/>
        <v>16.28317812884109</v>
      </c>
    </row>
    <row r="352" spans="1:10" x14ac:dyDescent="0.35">
      <c r="A352" t="s">
        <v>65</v>
      </c>
      <c r="B352" t="s">
        <v>69</v>
      </c>
      <c r="C352" t="s">
        <v>18</v>
      </c>
      <c r="D352" t="s">
        <v>50</v>
      </c>
      <c r="E352">
        <v>3</v>
      </c>
      <c r="F352" s="14">
        <v>1252.4399317</v>
      </c>
      <c r="G352" s="9">
        <v>89.582297156472492</v>
      </c>
      <c r="I352" s="19">
        <f t="shared" si="10"/>
        <v>89.582297156472492</v>
      </c>
      <c r="J352">
        <f t="shared" si="11"/>
        <v>44.791148578236246</v>
      </c>
    </row>
    <row r="353" spans="1:10" x14ac:dyDescent="0.35">
      <c r="A353" t="s">
        <v>65</v>
      </c>
      <c r="B353" t="s">
        <v>69</v>
      </c>
      <c r="C353" t="s">
        <v>20</v>
      </c>
      <c r="D353" t="s">
        <v>50</v>
      </c>
      <c r="E353">
        <v>3</v>
      </c>
      <c r="F353" s="14">
        <v>0</v>
      </c>
      <c r="G353" s="9">
        <v>1.7059707609487011</v>
      </c>
      <c r="I353" s="19">
        <f t="shared" si="10"/>
        <v>1.7059707609487011</v>
      </c>
      <c r="J353">
        <f t="shared" si="11"/>
        <v>0.85298538047435057</v>
      </c>
    </row>
    <row r="354" spans="1:10" x14ac:dyDescent="0.35">
      <c r="A354" t="s">
        <v>65</v>
      </c>
      <c r="B354" t="s">
        <v>69</v>
      </c>
      <c r="C354" t="s">
        <v>21</v>
      </c>
      <c r="D354" t="s">
        <v>50</v>
      </c>
      <c r="E354">
        <v>3</v>
      </c>
      <c r="F354" s="14">
        <v>469.2919971</v>
      </c>
      <c r="G354" s="9">
        <v>50.934979817512641</v>
      </c>
      <c r="I354" s="19">
        <f t="shared" si="10"/>
        <v>50.934979817512641</v>
      </c>
      <c r="J354">
        <f t="shared" si="11"/>
        <v>25.46748990875632</v>
      </c>
    </row>
    <row r="355" spans="1:10" x14ac:dyDescent="0.35">
      <c r="A355" t="s">
        <v>65</v>
      </c>
      <c r="B355" t="s">
        <v>69</v>
      </c>
      <c r="C355" t="s">
        <v>22</v>
      </c>
      <c r="D355" t="s">
        <v>50</v>
      </c>
      <c r="E355">
        <v>3</v>
      </c>
      <c r="F355" s="14">
        <v>2685.9495817000002</v>
      </c>
      <c r="G355" s="9">
        <v>1.7282827442921</v>
      </c>
      <c r="I355" s="19">
        <f t="shared" si="10"/>
        <v>1.7282827442921</v>
      </c>
      <c r="J355">
        <f t="shared" si="11"/>
        <v>0.86414137214605002</v>
      </c>
    </row>
    <row r="356" spans="1:10" x14ac:dyDescent="0.35">
      <c r="A356" t="s">
        <v>65</v>
      </c>
      <c r="B356" t="s">
        <v>69</v>
      </c>
      <c r="C356" t="s">
        <v>23</v>
      </c>
      <c r="D356" t="s">
        <v>50</v>
      </c>
      <c r="E356">
        <v>3</v>
      </c>
      <c r="F356" s="14">
        <v>0</v>
      </c>
      <c r="G356" s="9" t="e">
        <v>#N/A</v>
      </c>
      <c r="I356" s="19" t="e">
        <f t="shared" si="10"/>
        <v>#N/A</v>
      </c>
      <c r="J356" t="e">
        <f t="shared" si="11"/>
        <v>#N/A</v>
      </c>
    </row>
    <row r="357" spans="1:10" x14ac:dyDescent="0.35">
      <c r="A357" t="s">
        <v>65</v>
      </c>
      <c r="B357" t="s">
        <v>69</v>
      </c>
      <c r="C357" t="s">
        <v>24</v>
      </c>
      <c r="D357" t="s">
        <v>50</v>
      </c>
      <c r="E357">
        <v>3</v>
      </c>
      <c r="F357" s="14">
        <v>0</v>
      </c>
      <c r="G357" s="9">
        <v>1.7168916296884933</v>
      </c>
      <c r="I357" s="19">
        <f t="shared" si="10"/>
        <v>1.7168916296884933</v>
      </c>
      <c r="J357">
        <f t="shared" si="11"/>
        <v>0.85844581484424665</v>
      </c>
    </row>
    <row r="358" spans="1:10" x14ac:dyDescent="0.35">
      <c r="A358" t="s">
        <v>65</v>
      </c>
      <c r="B358" t="s">
        <v>69</v>
      </c>
      <c r="C358" t="s">
        <v>25</v>
      </c>
      <c r="D358" t="s">
        <v>50</v>
      </c>
      <c r="E358">
        <v>3</v>
      </c>
      <c r="F358" s="14">
        <v>204.0390471</v>
      </c>
      <c r="G358" s="9">
        <v>9.1556369826361674</v>
      </c>
      <c r="I358" s="19">
        <f t="shared" si="10"/>
        <v>9.1556369826361674</v>
      </c>
      <c r="J358">
        <f t="shared" si="11"/>
        <v>4.5778184913180837</v>
      </c>
    </row>
    <row r="359" spans="1:10" x14ac:dyDescent="0.35">
      <c r="A359" t="s">
        <v>65</v>
      </c>
      <c r="B359" t="s">
        <v>69</v>
      </c>
      <c r="C359" t="s">
        <v>26</v>
      </c>
      <c r="D359" t="s">
        <v>50</v>
      </c>
      <c r="E359">
        <v>3</v>
      </c>
      <c r="F359" s="14">
        <v>4129.4039155999999</v>
      </c>
      <c r="G359" s="9">
        <v>65.542811775273023</v>
      </c>
      <c r="I359" s="19">
        <f t="shared" si="10"/>
        <v>65.542811775273023</v>
      </c>
      <c r="J359">
        <f t="shared" si="11"/>
        <v>32.771405887636512</v>
      </c>
    </row>
    <row r="360" spans="1:10" x14ac:dyDescent="0.35">
      <c r="A360" t="s">
        <v>65</v>
      </c>
      <c r="B360" t="s">
        <v>69</v>
      </c>
      <c r="C360" t="s">
        <v>27</v>
      </c>
      <c r="D360" t="s">
        <v>50</v>
      </c>
      <c r="E360">
        <v>3</v>
      </c>
      <c r="F360" s="14">
        <v>381.21438460000002</v>
      </c>
      <c r="G360" s="9">
        <v>31.780357997912919</v>
      </c>
      <c r="I360" s="19">
        <f t="shared" si="10"/>
        <v>31.780357997912919</v>
      </c>
      <c r="J360">
        <f t="shared" si="11"/>
        <v>15.890178998956459</v>
      </c>
    </row>
    <row r="361" spans="1:10" x14ac:dyDescent="0.35">
      <c r="A361" t="s">
        <v>65</v>
      </c>
      <c r="B361" t="s">
        <v>69</v>
      </c>
      <c r="C361" t="s">
        <v>28</v>
      </c>
      <c r="D361" t="s">
        <v>50</v>
      </c>
      <c r="E361">
        <v>3</v>
      </c>
      <c r="F361" s="14">
        <v>23.186992999999998</v>
      </c>
      <c r="G361" s="9">
        <v>2.7658516578633199</v>
      </c>
      <c r="I361" s="19">
        <f t="shared" si="10"/>
        <v>2.7658516578633199</v>
      </c>
      <c r="J361">
        <f t="shared" si="11"/>
        <v>1.3829258289316599</v>
      </c>
    </row>
    <row r="362" spans="1:10" x14ac:dyDescent="0.35">
      <c r="A362" t="s">
        <v>65</v>
      </c>
      <c r="B362" t="s">
        <v>69</v>
      </c>
      <c r="C362" t="s">
        <v>29</v>
      </c>
      <c r="D362" t="s">
        <v>50</v>
      </c>
      <c r="E362">
        <v>3</v>
      </c>
      <c r="F362" s="14">
        <v>38.964142899999999</v>
      </c>
      <c r="G362" s="9">
        <v>8.8954604275172926</v>
      </c>
      <c r="I362" s="19">
        <f t="shared" si="10"/>
        <v>8.8954604275172926</v>
      </c>
      <c r="J362">
        <f t="shared" si="11"/>
        <v>4.4477302137586463</v>
      </c>
    </row>
    <row r="363" spans="1:10" x14ac:dyDescent="0.35">
      <c r="A363" t="s">
        <v>65</v>
      </c>
      <c r="B363" t="s">
        <v>69</v>
      </c>
      <c r="C363" t="s">
        <v>30</v>
      </c>
      <c r="D363" t="s">
        <v>50</v>
      </c>
      <c r="E363">
        <v>3</v>
      </c>
      <c r="F363" s="14">
        <v>24.454633000000001</v>
      </c>
      <c r="G363" s="9">
        <v>1.8561526011553919</v>
      </c>
      <c r="I363" s="19">
        <f t="shared" si="10"/>
        <v>1.8561526011553919</v>
      </c>
      <c r="J363">
        <f t="shared" si="11"/>
        <v>0.92807630057769597</v>
      </c>
    </row>
    <row r="364" spans="1:10" x14ac:dyDescent="0.35">
      <c r="A364" t="s">
        <v>65</v>
      </c>
      <c r="B364" t="s">
        <v>69</v>
      </c>
      <c r="C364" t="s">
        <v>31</v>
      </c>
      <c r="D364" t="s">
        <v>50</v>
      </c>
      <c r="E364">
        <v>3</v>
      </c>
      <c r="F364" s="14">
        <v>5.5145530999999997</v>
      </c>
      <c r="G364" s="9">
        <v>0.89949580660708339</v>
      </c>
      <c r="I364" s="19">
        <f t="shared" si="10"/>
        <v>0.89949580660708339</v>
      </c>
      <c r="J364">
        <f t="shared" si="11"/>
        <v>0.4497479033035417</v>
      </c>
    </row>
    <row r="365" spans="1:10" x14ac:dyDescent="0.35">
      <c r="A365" t="s">
        <v>65</v>
      </c>
      <c r="B365" t="s">
        <v>69</v>
      </c>
      <c r="C365" t="s">
        <v>32</v>
      </c>
      <c r="D365" t="s">
        <v>50</v>
      </c>
      <c r="E365">
        <v>3</v>
      </c>
      <c r="F365" s="14">
        <v>144.3378194</v>
      </c>
      <c r="G365" s="9">
        <v>3.6615725224523721</v>
      </c>
      <c r="I365" s="19">
        <f t="shared" si="10"/>
        <v>3.6615725224523721</v>
      </c>
      <c r="J365">
        <f t="shared" si="11"/>
        <v>1.830786261226186</v>
      </c>
    </row>
    <row r="366" spans="1:10" x14ac:dyDescent="0.35">
      <c r="A366" t="s">
        <v>65</v>
      </c>
      <c r="B366" t="s">
        <v>69</v>
      </c>
      <c r="C366" t="s">
        <v>33</v>
      </c>
      <c r="D366" t="s">
        <v>50</v>
      </c>
      <c r="E366">
        <v>3</v>
      </c>
      <c r="F366" s="14">
        <v>3.5786523000000003</v>
      </c>
      <c r="G366" s="9" t="e">
        <v>#N/A</v>
      </c>
      <c r="I366" s="19" t="e">
        <f t="shared" si="10"/>
        <v>#N/A</v>
      </c>
      <c r="J366" t="e">
        <f t="shared" si="11"/>
        <v>#N/A</v>
      </c>
    </row>
    <row r="367" spans="1:10" x14ac:dyDescent="0.35">
      <c r="A367" t="s">
        <v>65</v>
      </c>
      <c r="B367" t="s">
        <v>69</v>
      </c>
      <c r="C367" t="s">
        <v>34</v>
      </c>
      <c r="D367" t="s">
        <v>50</v>
      </c>
      <c r="E367">
        <v>3</v>
      </c>
      <c r="F367" s="14">
        <v>0</v>
      </c>
      <c r="G367" s="9" t="e">
        <v>#N/A</v>
      </c>
      <c r="I367" s="19" t="e">
        <f t="shared" si="10"/>
        <v>#N/A</v>
      </c>
      <c r="J367" t="e">
        <f t="shared" si="11"/>
        <v>#N/A</v>
      </c>
    </row>
    <row r="368" spans="1:10" x14ac:dyDescent="0.35">
      <c r="A368" t="s">
        <v>65</v>
      </c>
      <c r="B368" t="s">
        <v>69</v>
      </c>
      <c r="C368" t="s">
        <v>35</v>
      </c>
      <c r="D368" t="s">
        <v>50</v>
      </c>
      <c r="E368">
        <v>3</v>
      </c>
      <c r="F368" s="14">
        <v>318.05391889999999</v>
      </c>
      <c r="G368" s="9">
        <v>20.402607563098776</v>
      </c>
      <c r="I368" s="19">
        <f t="shared" si="10"/>
        <v>20.402607563098776</v>
      </c>
      <c r="J368">
        <f t="shared" si="11"/>
        <v>10.201303781549388</v>
      </c>
    </row>
    <row r="369" spans="1:10" x14ac:dyDescent="0.35">
      <c r="A369" t="s">
        <v>65</v>
      </c>
      <c r="B369" t="s">
        <v>69</v>
      </c>
      <c r="C369" t="s">
        <v>36</v>
      </c>
      <c r="D369" t="s">
        <v>50</v>
      </c>
      <c r="E369">
        <v>3</v>
      </c>
      <c r="F369" s="14">
        <v>12.035405300000001</v>
      </c>
      <c r="G369" s="9">
        <v>1.303903971243344</v>
      </c>
      <c r="I369" s="19">
        <f t="shared" si="10"/>
        <v>1.303903971243344</v>
      </c>
      <c r="J369">
        <f t="shared" si="11"/>
        <v>0.651951985621672</v>
      </c>
    </row>
    <row r="370" spans="1:10" x14ac:dyDescent="0.35">
      <c r="A370" t="s">
        <v>65</v>
      </c>
      <c r="B370" t="s">
        <v>69</v>
      </c>
      <c r="C370" t="s">
        <v>37</v>
      </c>
      <c r="D370" t="s">
        <v>50</v>
      </c>
      <c r="E370">
        <v>3</v>
      </c>
      <c r="F370" s="14">
        <v>117.986463</v>
      </c>
      <c r="G370" s="9">
        <v>9.462340789434565</v>
      </c>
      <c r="I370" s="19">
        <f t="shared" si="10"/>
        <v>9.462340789434565</v>
      </c>
      <c r="J370">
        <f t="shared" si="11"/>
        <v>4.7311703947172825</v>
      </c>
    </row>
    <row r="371" spans="1:10" x14ac:dyDescent="0.35">
      <c r="A371" t="s">
        <v>65</v>
      </c>
      <c r="B371" t="s">
        <v>69</v>
      </c>
      <c r="C371" t="s">
        <v>38</v>
      </c>
      <c r="D371" t="s">
        <v>50</v>
      </c>
      <c r="E371">
        <v>3</v>
      </c>
      <c r="F371" s="14">
        <v>1.9374971999999999</v>
      </c>
      <c r="G371" s="9" t="e">
        <v>#N/A</v>
      </c>
      <c r="I371" s="19" t="e">
        <f t="shared" si="10"/>
        <v>#N/A</v>
      </c>
      <c r="J371" t="e">
        <f t="shared" si="11"/>
        <v>#N/A</v>
      </c>
    </row>
    <row r="372" spans="1:10" x14ac:dyDescent="0.35">
      <c r="A372" t="s">
        <v>65</v>
      </c>
      <c r="B372" t="s">
        <v>69</v>
      </c>
      <c r="C372" t="s">
        <v>39</v>
      </c>
      <c r="D372" t="s">
        <v>50</v>
      </c>
      <c r="E372">
        <v>3</v>
      </c>
      <c r="F372" s="14">
        <v>0.83717489999999994</v>
      </c>
      <c r="G372" s="9" t="e">
        <v>#N/A</v>
      </c>
      <c r="I372" s="19" t="e">
        <f t="shared" si="10"/>
        <v>#N/A</v>
      </c>
      <c r="J372" t="e">
        <f t="shared" si="11"/>
        <v>#N/A</v>
      </c>
    </row>
    <row r="373" spans="1:10" x14ac:dyDescent="0.35">
      <c r="A373" t="s">
        <v>65</v>
      </c>
      <c r="B373" t="s">
        <v>69</v>
      </c>
      <c r="C373" t="s">
        <v>40</v>
      </c>
      <c r="D373" t="s">
        <v>50</v>
      </c>
      <c r="E373">
        <v>3</v>
      </c>
      <c r="F373" s="14">
        <v>18.683948700000002</v>
      </c>
      <c r="G373" s="9">
        <v>1.6287947001419631</v>
      </c>
      <c r="I373" s="19">
        <f t="shared" si="10"/>
        <v>1.6287947001419631</v>
      </c>
      <c r="J373">
        <f t="shared" si="11"/>
        <v>0.81439735007098157</v>
      </c>
    </row>
    <row r="374" spans="1:10" x14ac:dyDescent="0.35">
      <c r="A374" t="s">
        <v>65</v>
      </c>
      <c r="B374" t="s">
        <v>69</v>
      </c>
      <c r="C374" t="s">
        <v>41</v>
      </c>
      <c r="D374" t="s">
        <v>50</v>
      </c>
      <c r="E374">
        <v>3</v>
      </c>
      <c r="F374" s="14">
        <v>136.32512590000002</v>
      </c>
      <c r="G374" s="9">
        <v>3.2418732475982397</v>
      </c>
      <c r="I374" s="19">
        <f t="shared" si="10"/>
        <v>3.2418732475982397</v>
      </c>
      <c r="J374">
        <f t="shared" si="11"/>
        <v>1.6209366237991198</v>
      </c>
    </row>
    <row r="375" spans="1:10" s="8" customFormat="1" x14ac:dyDescent="0.35">
      <c r="A375" s="8" t="s">
        <v>65</v>
      </c>
      <c r="B375" s="8" t="s">
        <v>69</v>
      </c>
      <c r="C375" s="8" t="s">
        <v>42</v>
      </c>
      <c r="D375" s="8" t="s">
        <v>50</v>
      </c>
      <c r="E375" s="8">
        <v>3</v>
      </c>
      <c r="F375" s="15">
        <v>0</v>
      </c>
      <c r="G375" s="9" t="e">
        <v>#N/A</v>
      </c>
      <c r="H375" s="15"/>
      <c r="I375" s="20" t="e">
        <f t="shared" si="10"/>
        <v>#N/A</v>
      </c>
      <c r="J375" s="8" t="e">
        <f t="shared" si="11"/>
        <v>#N/A</v>
      </c>
    </row>
    <row r="376" spans="1:10" x14ac:dyDescent="0.35">
      <c r="A376" t="s">
        <v>66</v>
      </c>
      <c r="B376" t="s">
        <v>70</v>
      </c>
      <c r="C376" t="s">
        <v>7</v>
      </c>
      <c r="D376" t="s">
        <v>54</v>
      </c>
      <c r="E376">
        <v>3</v>
      </c>
      <c r="F376" s="14">
        <v>7.0170779000000003</v>
      </c>
      <c r="G376" s="9" t="e">
        <v>#N/A</v>
      </c>
      <c r="H376" s="12">
        <v>0.76318838862130856</v>
      </c>
      <c r="I376" s="19" t="e">
        <f t="shared" si="10"/>
        <v>#N/A</v>
      </c>
      <c r="J376" t="e">
        <f t="shared" si="11"/>
        <v>#N/A</v>
      </c>
    </row>
    <row r="377" spans="1:10" x14ac:dyDescent="0.35">
      <c r="A377" t="s">
        <v>66</v>
      </c>
      <c r="B377" t="s">
        <v>70</v>
      </c>
      <c r="C377" t="s">
        <v>9</v>
      </c>
      <c r="D377" t="s">
        <v>54</v>
      </c>
      <c r="E377">
        <v>3</v>
      </c>
      <c r="F377" s="14">
        <v>0</v>
      </c>
      <c r="G377" s="9" t="e">
        <v>#N/A</v>
      </c>
      <c r="H377" s="12">
        <v>-8.1175140630208448E-2</v>
      </c>
      <c r="I377" s="19" t="e">
        <f t="shared" si="10"/>
        <v>#N/A</v>
      </c>
      <c r="J377" t="e">
        <f t="shared" si="11"/>
        <v>#N/A</v>
      </c>
    </row>
    <row r="378" spans="1:10" x14ac:dyDescent="0.35">
      <c r="A378" t="s">
        <v>66</v>
      </c>
      <c r="B378" t="s">
        <v>70</v>
      </c>
      <c r="C378" t="s">
        <v>10</v>
      </c>
      <c r="D378" t="s">
        <v>54</v>
      </c>
      <c r="E378">
        <v>3</v>
      </c>
      <c r="F378" s="14" t="e">
        <v>#N/A</v>
      </c>
      <c r="G378" s="9" t="e">
        <v>#N/A</v>
      </c>
      <c r="H378" s="12">
        <v>-2.7535826786817885E-2</v>
      </c>
      <c r="I378" s="19" t="e">
        <f t="shared" si="10"/>
        <v>#N/A</v>
      </c>
      <c r="J378" t="e">
        <f t="shared" si="11"/>
        <v>#N/A</v>
      </c>
    </row>
    <row r="379" spans="1:10" x14ac:dyDescent="0.35">
      <c r="A379" t="s">
        <v>66</v>
      </c>
      <c r="B379" t="s">
        <v>70</v>
      </c>
      <c r="C379" t="s">
        <v>11</v>
      </c>
      <c r="D379" t="s">
        <v>54</v>
      </c>
      <c r="E379">
        <v>3</v>
      </c>
      <c r="F379" s="14">
        <v>14.0620326</v>
      </c>
      <c r="G379" s="9">
        <v>1.7363944294516584</v>
      </c>
      <c r="H379" s="12">
        <v>6.5395975375861788</v>
      </c>
      <c r="I379" s="19">
        <f t="shared" si="10"/>
        <v>1.7363944294516584</v>
      </c>
      <c r="J379">
        <f t="shared" si="11"/>
        <v>0.86819721472582922</v>
      </c>
    </row>
    <row r="380" spans="1:10" x14ac:dyDescent="0.35">
      <c r="A380" t="s">
        <v>66</v>
      </c>
      <c r="B380" t="s">
        <v>70</v>
      </c>
      <c r="C380" t="s">
        <v>12</v>
      </c>
      <c r="D380" t="s">
        <v>54</v>
      </c>
      <c r="E380">
        <v>3</v>
      </c>
      <c r="F380" s="14">
        <v>104.6600483</v>
      </c>
      <c r="G380" s="9">
        <v>9.7781836278370768</v>
      </c>
      <c r="H380" s="12">
        <v>8.4217616906157531</v>
      </c>
      <c r="I380" s="19">
        <f t="shared" si="10"/>
        <v>9.7781836278370768</v>
      </c>
      <c r="J380">
        <f t="shared" si="11"/>
        <v>4.8890918139185384</v>
      </c>
    </row>
    <row r="381" spans="1:10" x14ac:dyDescent="0.35">
      <c r="A381" t="s">
        <v>66</v>
      </c>
      <c r="B381" t="s">
        <v>70</v>
      </c>
      <c r="C381" t="s">
        <v>13</v>
      </c>
      <c r="D381" t="s">
        <v>54</v>
      </c>
      <c r="E381">
        <v>3</v>
      </c>
      <c r="F381" s="14">
        <v>228.45541059999999</v>
      </c>
      <c r="G381" s="9">
        <v>22.797148475131905</v>
      </c>
      <c r="H381" s="12">
        <v>60.099536395079561</v>
      </c>
      <c r="I381" s="19">
        <f t="shared" si="10"/>
        <v>22.797148475131905</v>
      </c>
      <c r="J381">
        <f t="shared" si="11"/>
        <v>11.398574237565953</v>
      </c>
    </row>
    <row r="382" spans="1:10" x14ac:dyDescent="0.35">
      <c r="A382" t="s">
        <v>66</v>
      </c>
      <c r="B382" t="s">
        <v>70</v>
      </c>
      <c r="C382" t="s">
        <v>14</v>
      </c>
      <c r="D382" t="s">
        <v>54</v>
      </c>
      <c r="E382">
        <v>3</v>
      </c>
      <c r="F382" s="14">
        <v>0</v>
      </c>
      <c r="G382" s="9" t="e">
        <v>#N/A</v>
      </c>
      <c r="H382" s="12">
        <v>-6.4452373899018131E-2</v>
      </c>
      <c r="I382" s="19" t="e">
        <f t="shared" si="10"/>
        <v>#N/A</v>
      </c>
      <c r="J382" t="e">
        <f t="shared" si="11"/>
        <v>#N/A</v>
      </c>
    </row>
    <row r="383" spans="1:10" x14ac:dyDescent="0.35">
      <c r="A383" t="s">
        <v>66</v>
      </c>
      <c r="B383" t="s">
        <v>70</v>
      </c>
      <c r="C383" t="s">
        <v>15</v>
      </c>
      <c r="D383" t="s">
        <v>54</v>
      </c>
      <c r="E383">
        <v>3</v>
      </c>
      <c r="F383" s="14">
        <v>18.218656800000002</v>
      </c>
      <c r="G383" s="9">
        <v>2.609390800818816</v>
      </c>
      <c r="H383" s="12">
        <v>0.88162249137440551</v>
      </c>
      <c r="I383" s="19">
        <f t="shared" si="10"/>
        <v>2.609390800818816</v>
      </c>
      <c r="J383">
        <f t="shared" si="11"/>
        <v>1.304695400409408</v>
      </c>
    </row>
    <row r="384" spans="1:10" x14ac:dyDescent="0.35">
      <c r="A384" t="s">
        <v>66</v>
      </c>
      <c r="B384" t="s">
        <v>70</v>
      </c>
      <c r="C384" t="s">
        <v>16</v>
      </c>
      <c r="D384" t="s">
        <v>54</v>
      </c>
      <c r="E384">
        <v>3</v>
      </c>
      <c r="F384" s="14">
        <v>3.6164394999999998</v>
      </c>
      <c r="G384" s="9">
        <v>0.31420745260823968</v>
      </c>
      <c r="H384" s="12">
        <v>0.82372290390829839</v>
      </c>
      <c r="I384" s="19">
        <f t="shared" si="10"/>
        <v>0.31420745260823968</v>
      </c>
      <c r="J384">
        <f t="shared" si="11"/>
        <v>0.15710372630411984</v>
      </c>
    </row>
    <row r="385" spans="1:10" x14ac:dyDescent="0.35">
      <c r="A385" t="s">
        <v>66</v>
      </c>
      <c r="B385" t="s">
        <v>70</v>
      </c>
      <c r="C385" t="s">
        <v>17</v>
      </c>
      <c r="D385" t="s">
        <v>54</v>
      </c>
      <c r="E385">
        <v>3</v>
      </c>
      <c r="F385" s="14">
        <v>7135.8008605000005</v>
      </c>
      <c r="G385" s="9">
        <v>82.271579870317439</v>
      </c>
      <c r="H385" s="12">
        <v>520.2934454354961</v>
      </c>
      <c r="I385" s="19">
        <f t="shared" si="10"/>
        <v>82.271579870317439</v>
      </c>
      <c r="J385">
        <f t="shared" si="11"/>
        <v>41.135789935158719</v>
      </c>
    </row>
    <row r="386" spans="1:10" x14ac:dyDescent="0.35">
      <c r="A386" t="s">
        <v>66</v>
      </c>
      <c r="B386" t="s">
        <v>70</v>
      </c>
      <c r="C386" t="s">
        <v>18</v>
      </c>
      <c r="D386" t="s">
        <v>54</v>
      </c>
      <c r="E386">
        <v>3</v>
      </c>
      <c r="F386" s="14">
        <v>672.0782676</v>
      </c>
      <c r="G386" s="9">
        <v>34.012517024886655</v>
      </c>
      <c r="H386" s="12">
        <v>168.61951433543885</v>
      </c>
      <c r="I386" s="19">
        <f t="shared" ref="I386:I409" si="12">IF(G386&lt;0,0,G386)</f>
        <v>34.012517024886655</v>
      </c>
      <c r="J386">
        <f t="shared" si="11"/>
        <v>17.006258512443328</v>
      </c>
    </row>
    <row r="387" spans="1:10" x14ac:dyDescent="0.35">
      <c r="A387" t="s">
        <v>66</v>
      </c>
      <c r="B387" t="s">
        <v>70</v>
      </c>
      <c r="C387" t="s">
        <v>20</v>
      </c>
      <c r="D387" t="s">
        <v>54</v>
      </c>
      <c r="E387">
        <v>3</v>
      </c>
      <c r="F387" s="14">
        <v>35.866234600000006</v>
      </c>
      <c r="G387" s="9" t="e">
        <v>#N/A</v>
      </c>
      <c r="H387" s="12">
        <v>7.3547695414813106</v>
      </c>
      <c r="I387" s="19" t="e">
        <f t="shared" si="12"/>
        <v>#N/A</v>
      </c>
      <c r="J387" t="e">
        <f t="shared" si="11"/>
        <v>#N/A</v>
      </c>
    </row>
    <row r="388" spans="1:10" x14ac:dyDescent="0.35">
      <c r="A388" t="s">
        <v>66</v>
      </c>
      <c r="B388" t="s">
        <v>70</v>
      </c>
      <c r="C388" t="s">
        <v>21</v>
      </c>
      <c r="D388" t="s">
        <v>54</v>
      </c>
      <c r="E388">
        <v>3</v>
      </c>
      <c r="F388" s="14">
        <v>645.73956529999998</v>
      </c>
      <c r="G388" s="9">
        <v>0.73266841074868849</v>
      </c>
      <c r="H388" s="12">
        <v>52.817396210637064</v>
      </c>
      <c r="I388" s="19">
        <f t="shared" si="12"/>
        <v>0.73266841074868849</v>
      </c>
      <c r="J388">
        <f t="shared" si="11"/>
        <v>0.36633420537434425</v>
      </c>
    </row>
    <row r="389" spans="1:10" x14ac:dyDescent="0.35">
      <c r="A389" t="s">
        <v>66</v>
      </c>
      <c r="B389" t="s">
        <v>70</v>
      </c>
      <c r="C389" t="s">
        <v>22</v>
      </c>
      <c r="D389" t="s">
        <v>54</v>
      </c>
      <c r="E389">
        <v>3</v>
      </c>
      <c r="F389" s="14">
        <v>2472.5267080999997</v>
      </c>
      <c r="G389" s="9">
        <v>8.9148114478847233</v>
      </c>
      <c r="H389" s="12">
        <v>603.74666332396578</v>
      </c>
      <c r="I389" s="19">
        <f t="shared" si="12"/>
        <v>8.9148114478847233</v>
      </c>
      <c r="J389">
        <f t="shared" ref="J389:J409" si="13">I389/2</f>
        <v>4.4574057239423617</v>
      </c>
    </row>
    <row r="390" spans="1:10" x14ac:dyDescent="0.35">
      <c r="A390" t="s">
        <v>66</v>
      </c>
      <c r="B390" t="s">
        <v>70</v>
      </c>
      <c r="C390" t="s">
        <v>23</v>
      </c>
      <c r="D390" t="s">
        <v>54</v>
      </c>
      <c r="E390">
        <v>3</v>
      </c>
      <c r="F390" s="14">
        <v>3.7790925000000004</v>
      </c>
      <c r="G390" s="9" t="e">
        <v>#N/A</v>
      </c>
      <c r="H390" s="12">
        <v>0.88771660918837747</v>
      </c>
      <c r="I390" s="19" t="e">
        <f t="shared" si="12"/>
        <v>#N/A</v>
      </c>
      <c r="J390" t="e">
        <f t="shared" si="13"/>
        <v>#N/A</v>
      </c>
    </row>
    <row r="391" spans="1:10" x14ac:dyDescent="0.35">
      <c r="A391" t="s">
        <v>66</v>
      </c>
      <c r="B391" t="s">
        <v>70</v>
      </c>
      <c r="C391" t="s">
        <v>24</v>
      </c>
      <c r="D391" t="s">
        <v>54</v>
      </c>
      <c r="E391">
        <v>3</v>
      </c>
      <c r="F391" s="14">
        <v>2318.1243254000001</v>
      </c>
      <c r="G391" s="9">
        <v>82.048778253712399</v>
      </c>
      <c r="H391" s="12">
        <v>398.86917251098782</v>
      </c>
      <c r="I391" s="19">
        <f t="shared" si="12"/>
        <v>82.048778253712399</v>
      </c>
      <c r="J391">
        <f t="shared" si="13"/>
        <v>41.0243891268562</v>
      </c>
    </row>
    <row r="392" spans="1:10" x14ac:dyDescent="0.35">
      <c r="A392" t="s">
        <v>66</v>
      </c>
      <c r="B392" t="s">
        <v>70</v>
      </c>
      <c r="C392" t="s">
        <v>25</v>
      </c>
      <c r="D392" t="s">
        <v>54</v>
      </c>
      <c r="E392">
        <v>3</v>
      </c>
      <c r="F392" s="14">
        <v>0</v>
      </c>
      <c r="G392" s="9">
        <v>0</v>
      </c>
      <c r="H392" s="12">
        <v>2.0597789525976098E-2</v>
      </c>
      <c r="I392" s="19">
        <f t="shared" si="12"/>
        <v>0</v>
      </c>
      <c r="J392">
        <f t="shared" si="13"/>
        <v>0</v>
      </c>
    </row>
    <row r="393" spans="1:10" x14ac:dyDescent="0.35">
      <c r="A393" t="s">
        <v>66</v>
      </c>
      <c r="B393" t="s">
        <v>70</v>
      </c>
      <c r="C393" t="s">
        <v>26</v>
      </c>
      <c r="D393" t="s">
        <v>54</v>
      </c>
      <c r="E393">
        <v>3</v>
      </c>
      <c r="F393" s="14">
        <v>4662.2390374999995</v>
      </c>
      <c r="G393" s="9">
        <v>89.135480199085478</v>
      </c>
      <c r="H393" s="12">
        <v>133.46917681418947</v>
      </c>
      <c r="I393" s="19">
        <f t="shared" si="12"/>
        <v>89.135480199085478</v>
      </c>
      <c r="J393">
        <f t="shared" si="13"/>
        <v>44.567740099542739</v>
      </c>
    </row>
    <row r="394" spans="1:10" x14ac:dyDescent="0.35">
      <c r="A394" t="s">
        <v>66</v>
      </c>
      <c r="B394" t="s">
        <v>70</v>
      </c>
      <c r="C394" t="s">
        <v>27</v>
      </c>
      <c r="D394" t="s">
        <v>54</v>
      </c>
      <c r="E394">
        <v>3</v>
      </c>
      <c r="F394" s="14">
        <v>435.78198220000002</v>
      </c>
      <c r="G394" s="9">
        <v>42.841073157799684</v>
      </c>
      <c r="H394" s="12">
        <v>39.123402983134447</v>
      </c>
      <c r="I394" s="19">
        <f t="shared" si="12"/>
        <v>42.841073157799684</v>
      </c>
      <c r="J394">
        <f t="shared" si="13"/>
        <v>21.420536578899842</v>
      </c>
    </row>
    <row r="395" spans="1:10" x14ac:dyDescent="0.35">
      <c r="A395" t="s">
        <v>66</v>
      </c>
      <c r="B395" t="s">
        <v>70</v>
      </c>
      <c r="C395" t="s">
        <v>28</v>
      </c>
      <c r="D395" t="s">
        <v>54</v>
      </c>
      <c r="E395">
        <v>3</v>
      </c>
      <c r="F395" s="14">
        <v>27.809502299999998</v>
      </c>
      <c r="G395" s="9">
        <v>2.7539079481254234</v>
      </c>
      <c r="H395" s="12">
        <v>0.74819968708435047</v>
      </c>
      <c r="I395" s="19">
        <f t="shared" si="12"/>
        <v>2.7539079481254234</v>
      </c>
      <c r="J395">
        <f t="shared" si="13"/>
        <v>1.3769539740627117</v>
      </c>
    </row>
    <row r="396" spans="1:10" x14ac:dyDescent="0.35">
      <c r="A396" t="s">
        <v>66</v>
      </c>
      <c r="B396" t="s">
        <v>70</v>
      </c>
      <c r="C396" t="s">
        <v>29</v>
      </c>
      <c r="D396" t="s">
        <v>54</v>
      </c>
      <c r="E396">
        <v>3</v>
      </c>
      <c r="F396" s="14">
        <v>40.9244567</v>
      </c>
      <c r="G396" s="9">
        <v>9.4495500154021155</v>
      </c>
      <c r="H396" s="12">
        <v>11.373911940668149</v>
      </c>
      <c r="I396" s="19">
        <f t="shared" si="12"/>
        <v>9.4495500154021155</v>
      </c>
      <c r="J396">
        <f t="shared" si="13"/>
        <v>4.7247750077010577</v>
      </c>
    </row>
    <row r="397" spans="1:10" x14ac:dyDescent="0.35">
      <c r="A397" t="s">
        <v>66</v>
      </c>
      <c r="B397" t="s">
        <v>70</v>
      </c>
      <c r="C397" t="s">
        <v>30</v>
      </c>
      <c r="D397" t="s">
        <v>54</v>
      </c>
      <c r="E397">
        <v>3</v>
      </c>
      <c r="F397" s="14">
        <v>11.014297500000001</v>
      </c>
      <c r="G397" s="9">
        <v>1.0985017985218175</v>
      </c>
      <c r="H397" s="12">
        <v>3.240737870723736</v>
      </c>
      <c r="I397" s="19">
        <f t="shared" si="12"/>
        <v>1.0985017985218175</v>
      </c>
      <c r="J397">
        <f t="shared" si="13"/>
        <v>0.54925089926090875</v>
      </c>
    </row>
    <row r="398" spans="1:10" x14ac:dyDescent="0.35">
      <c r="A398" t="s">
        <v>66</v>
      </c>
      <c r="B398" t="s">
        <v>70</v>
      </c>
      <c r="C398" t="s">
        <v>31</v>
      </c>
      <c r="D398" t="s">
        <v>54</v>
      </c>
      <c r="E398">
        <v>3</v>
      </c>
      <c r="F398" s="14">
        <v>0.42648540000000001</v>
      </c>
      <c r="G398" s="9" t="e">
        <v>#N/A</v>
      </c>
      <c r="H398" s="12">
        <v>9.5081166691482408E-2</v>
      </c>
      <c r="I398" s="19" t="e">
        <f t="shared" si="12"/>
        <v>#N/A</v>
      </c>
      <c r="J398" t="e">
        <f t="shared" si="13"/>
        <v>#N/A</v>
      </c>
    </row>
    <row r="399" spans="1:10" x14ac:dyDescent="0.35">
      <c r="A399" t="s">
        <v>66</v>
      </c>
      <c r="B399" t="s">
        <v>70</v>
      </c>
      <c r="C399" t="s">
        <v>32</v>
      </c>
      <c r="D399" t="s">
        <v>54</v>
      </c>
      <c r="E399">
        <v>3</v>
      </c>
      <c r="F399" s="14">
        <v>70.756970100000004</v>
      </c>
      <c r="G399" s="9">
        <v>2.6123184484450359</v>
      </c>
      <c r="H399" s="12">
        <v>8.7560183146946606</v>
      </c>
      <c r="I399" s="19">
        <f t="shared" si="12"/>
        <v>2.6123184484450359</v>
      </c>
      <c r="J399">
        <f t="shared" si="13"/>
        <v>1.306159224222518</v>
      </c>
    </row>
    <row r="400" spans="1:10" x14ac:dyDescent="0.35">
      <c r="A400" t="s">
        <v>66</v>
      </c>
      <c r="B400" t="s">
        <v>70</v>
      </c>
      <c r="C400" t="s">
        <v>33</v>
      </c>
      <c r="D400" t="s">
        <v>54</v>
      </c>
      <c r="E400">
        <v>3</v>
      </c>
      <c r="F400" s="14">
        <v>3.9305621999999998</v>
      </c>
      <c r="G400" s="9" t="e">
        <v>#N/A</v>
      </c>
      <c r="H400" s="12">
        <v>0.21376583903349206</v>
      </c>
      <c r="I400" s="19" t="e">
        <f t="shared" si="12"/>
        <v>#N/A</v>
      </c>
      <c r="J400" t="e">
        <f t="shared" si="13"/>
        <v>#N/A</v>
      </c>
    </row>
    <row r="401" spans="1:10" x14ac:dyDescent="0.35">
      <c r="A401" t="s">
        <v>66</v>
      </c>
      <c r="B401" t="s">
        <v>70</v>
      </c>
      <c r="C401" t="s">
        <v>34</v>
      </c>
      <c r="D401" t="s">
        <v>54</v>
      </c>
      <c r="E401">
        <v>3</v>
      </c>
      <c r="F401" s="14">
        <v>0</v>
      </c>
      <c r="G401" s="9" t="e">
        <v>#N/A</v>
      </c>
      <c r="H401" s="12">
        <v>1.9914436803330347E-2</v>
      </c>
      <c r="I401" s="19" t="e">
        <f t="shared" si="12"/>
        <v>#N/A</v>
      </c>
      <c r="J401" t="e">
        <f t="shared" si="13"/>
        <v>#N/A</v>
      </c>
    </row>
    <row r="402" spans="1:10" x14ac:dyDescent="0.35">
      <c r="A402" t="s">
        <v>66</v>
      </c>
      <c r="B402" t="s">
        <v>70</v>
      </c>
      <c r="C402" t="s">
        <v>35</v>
      </c>
      <c r="D402" t="s">
        <v>54</v>
      </c>
      <c r="E402">
        <v>3</v>
      </c>
      <c r="F402" s="14">
        <v>245.7771328</v>
      </c>
      <c r="G402" s="9">
        <v>15.714607253086147</v>
      </c>
      <c r="H402" s="12">
        <v>20.753909359579254</v>
      </c>
      <c r="I402" s="19">
        <f t="shared" si="12"/>
        <v>15.714607253086147</v>
      </c>
      <c r="J402">
        <f t="shared" si="13"/>
        <v>7.8573036265430733</v>
      </c>
    </row>
    <row r="403" spans="1:10" x14ac:dyDescent="0.35">
      <c r="A403" t="s">
        <v>66</v>
      </c>
      <c r="B403" t="s">
        <v>70</v>
      </c>
      <c r="C403" t="s">
        <v>36</v>
      </c>
      <c r="D403" t="s">
        <v>54</v>
      </c>
      <c r="E403">
        <v>3</v>
      </c>
      <c r="F403" s="14">
        <v>8.0548824000000003</v>
      </c>
      <c r="G403" s="9">
        <v>1.8166883536132858</v>
      </c>
      <c r="H403" s="12">
        <v>0.63397509340303659</v>
      </c>
      <c r="I403" s="19">
        <f t="shared" si="12"/>
        <v>1.8166883536132858</v>
      </c>
      <c r="J403">
        <f t="shared" si="13"/>
        <v>0.90834417680664292</v>
      </c>
    </row>
    <row r="404" spans="1:10" x14ac:dyDescent="0.35">
      <c r="A404" t="s">
        <v>66</v>
      </c>
      <c r="B404" t="s">
        <v>70</v>
      </c>
      <c r="C404" t="s">
        <v>37</v>
      </c>
      <c r="D404" t="s">
        <v>54</v>
      </c>
      <c r="E404">
        <v>3</v>
      </c>
      <c r="F404" s="14">
        <v>156.79440289999999</v>
      </c>
      <c r="G404" s="9">
        <v>14.799347697385588</v>
      </c>
      <c r="H404" s="12">
        <v>49.055587199916758</v>
      </c>
      <c r="I404" s="19">
        <f t="shared" si="12"/>
        <v>14.799347697385588</v>
      </c>
      <c r="J404">
        <f t="shared" si="13"/>
        <v>7.3996738486927942</v>
      </c>
    </row>
    <row r="405" spans="1:10" x14ac:dyDescent="0.35">
      <c r="A405" t="s">
        <v>66</v>
      </c>
      <c r="B405" t="s">
        <v>70</v>
      </c>
      <c r="C405" t="s">
        <v>38</v>
      </c>
      <c r="D405" t="s">
        <v>54</v>
      </c>
      <c r="E405">
        <v>3</v>
      </c>
      <c r="F405" s="14">
        <v>1.9360178000000001</v>
      </c>
      <c r="G405" s="9" t="e">
        <v>#N/A</v>
      </c>
      <c r="H405" s="12">
        <v>0.17414514366893474</v>
      </c>
      <c r="I405" s="19" t="e">
        <f t="shared" si="12"/>
        <v>#N/A</v>
      </c>
      <c r="J405" t="e">
        <f t="shared" si="13"/>
        <v>#N/A</v>
      </c>
    </row>
    <row r="406" spans="1:10" x14ac:dyDescent="0.35">
      <c r="A406" t="s">
        <v>66</v>
      </c>
      <c r="B406" t="s">
        <v>70</v>
      </c>
      <c r="C406" t="s">
        <v>39</v>
      </c>
      <c r="D406" t="s">
        <v>54</v>
      </c>
      <c r="E406">
        <v>3</v>
      </c>
      <c r="F406" s="14">
        <v>0.1548988</v>
      </c>
      <c r="G406" s="9" t="e">
        <v>#N/A</v>
      </c>
      <c r="H406" s="12">
        <v>0.27151446997652534</v>
      </c>
      <c r="I406" s="19" t="e">
        <f t="shared" si="12"/>
        <v>#N/A</v>
      </c>
      <c r="J406" t="e">
        <f t="shared" si="13"/>
        <v>#N/A</v>
      </c>
    </row>
    <row r="407" spans="1:10" x14ac:dyDescent="0.35">
      <c r="A407" t="s">
        <v>66</v>
      </c>
      <c r="B407" t="s">
        <v>70</v>
      </c>
      <c r="C407" t="s">
        <v>40</v>
      </c>
      <c r="D407" t="s">
        <v>54</v>
      </c>
      <c r="E407">
        <v>3</v>
      </c>
      <c r="F407" s="14">
        <v>12.651214099999999</v>
      </c>
      <c r="G407" s="9">
        <v>1.2515341330336054</v>
      </c>
      <c r="H407" s="12">
        <v>1.5795194182437187</v>
      </c>
      <c r="I407" s="19">
        <f t="shared" si="12"/>
        <v>1.2515341330336054</v>
      </c>
      <c r="J407">
        <f t="shared" si="13"/>
        <v>0.62576706651680269</v>
      </c>
    </row>
    <row r="408" spans="1:10" x14ac:dyDescent="0.35">
      <c r="A408" t="s">
        <v>66</v>
      </c>
      <c r="B408" t="s">
        <v>70</v>
      </c>
      <c r="C408" t="s">
        <v>41</v>
      </c>
      <c r="D408" t="s">
        <v>54</v>
      </c>
      <c r="E408">
        <v>3</v>
      </c>
      <c r="F408" s="14">
        <v>151.0980055</v>
      </c>
      <c r="G408" s="9">
        <v>4.316261608982062</v>
      </c>
      <c r="H408" s="12">
        <v>6.177090341127478</v>
      </c>
      <c r="I408" s="19">
        <f t="shared" si="12"/>
        <v>4.316261608982062</v>
      </c>
      <c r="J408">
        <f t="shared" si="13"/>
        <v>2.158130804491031</v>
      </c>
    </row>
    <row r="409" spans="1:10" x14ac:dyDescent="0.35">
      <c r="A409" t="s">
        <v>66</v>
      </c>
      <c r="B409" t="s">
        <v>70</v>
      </c>
      <c r="C409" t="s">
        <v>42</v>
      </c>
      <c r="D409" t="s">
        <v>54</v>
      </c>
      <c r="E409">
        <v>3</v>
      </c>
      <c r="F409" s="14">
        <v>0</v>
      </c>
      <c r="G409" s="9" t="e">
        <v>#N/A</v>
      </c>
      <c r="H409" s="12">
        <v>2.6201361444021893</v>
      </c>
      <c r="I409" s="19" t="e">
        <f t="shared" si="12"/>
        <v>#N/A</v>
      </c>
      <c r="J409" t="e">
        <f t="shared" si="13"/>
        <v>#N/A</v>
      </c>
    </row>
  </sheetData>
  <autoFilter ref="A1:M409" xr:uid="{F87D2AA0-A749-43EE-AD4A-781A12B92C78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3656-FFF5-4E89-9A3E-10133D5ECE9F}">
  <dimension ref="A1:E409"/>
  <sheetViews>
    <sheetView topLeftCell="A391" workbookViewId="0">
      <selection sqref="A1:E409"/>
    </sheetView>
  </sheetViews>
  <sheetFormatPr baseColWidth="10" defaultRowHeight="14.5" x14ac:dyDescent="0.35"/>
  <sheetData>
    <row r="1" spans="1:5" x14ac:dyDescent="0.35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35">
      <c r="A2" t="s">
        <v>43</v>
      </c>
      <c r="B2" t="s">
        <v>7</v>
      </c>
      <c r="C2">
        <v>1</v>
      </c>
      <c r="D2" t="s">
        <v>8</v>
      </c>
      <c r="E2">
        <v>0</v>
      </c>
    </row>
    <row r="3" spans="1:5" x14ac:dyDescent="0.35">
      <c r="A3" t="s">
        <v>43</v>
      </c>
      <c r="B3" t="s">
        <v>9</v>
      </c>
      <c r="C3">
        <v>1</v>
      </c>
      <c r="D3" t="s">
        <v>8</v>
      </c>
      <c r="E3">
        <v>0</v>
      </c>
    </row>
    <row r="4" spans="1:5" x14ac:dyDescent="0.35">
      <c r="A4" t="s">
        <v>43</v>
      </c>
      <c r="B4" t="s">
        <v>10</v>
      </c>
      <c r="C4">
        <v>1</v>
      </c>
      <c r="D4" t="s">
        <v>8</v>
      </c>
      <c r="E4">
        <v>0</v>
      </c>
    </row>
    <row r="5" spans="1:5" x14ac:dyDescent="0.35">
      <c r="A5" t="s">
        <v>43</v>
      </c>
      <c r="B5" t="s">
        <v>11</v>
      </c>
      <c r="C5">
        <v>1</v>
      </c>
      <c r="D5" t="s">
        <v>8</v>
      </c>
      <c r="E5">
        <v>1.0696015969999999</v>
      </c>
    </row>
    <row r="6" spans="1:5" x14ac:dyDescent="0.35">
      <c r="A6" t="s">
        <v>43</v>
      </c>
      <c r="B6" t="s">
        <v>12</v>
      </c>
      <c r="C6">
        <v>1</v>
      </c>
      <c r="D6" t="s">
        <v>8</v>
      </c>
      <c r="E6">
        <v>4.3293489279999999</v>
      </c>
    </row>
    <row r="7" spans="1:5" x14ac:dyDescent="0.35">
      <c r="A7" t="s">
        <v>43</v>
      </c>
      <c r="B7" t="s">
        <v>13</v>
      </c>
      <c r="C7">
        <v>1</v>
      </c>
      <c r="D7" t="s">
        <v>8</v>
      </c>
      <c r="E7">
        <v>12.873219690000001</v>
      </c>
    </row>
    <row r="8" spans="1:5" x14ac:dyDescent="0.35">
      <c r="A8" t="s">
        <v>43</v>
      </c>
      <c r="B8" t="s">
        <v>14</v>
      </c>
      <c r="C8">
        <v>1</v>
      </c>
      <c r="D8" t="s">
        <v>8</v>
      </c>
      <c r="E8">
        <v>0</v>
      </c>
    </row>
    <row r="9" spans="1:5" x14ac:dyDescent="0.35">
      <c r="A9" t="s">
        <v>43</v>
      </c>
      <c r="B9" t="s">
        <v>15</v>
      </c>
      <c r="C9">
        <v>1</v>
      </c>
      <c r="D9" t="s">
        <v>8</v>
      </c>
      <c r="E9">
        <v>0.78049817200000005</v>
      </c>
    </row>
    <row r="10" spans="1:5" x14ac:dyDescent="0.35">
      <c r="A10" t="s">
        <v>43</v>
      </c>
      <c r="B10" t="s">
        <v>16</v>
      </c>
      <c r="C10">
        <v>1</v>
      </c>
      <c r="D10" t="s">
        <v>8</v>
      </c>
      <c r="E10">
        <v>0</v>
      </c>
    </row>
    <row r="11" spans="1:5" x14ac:dyDescent="0.35">
      <c r="A11" t="s">
        <v>43</v>
      </c>
      <c r="B11" t="s">
        <v>17</v>
      </c>
      <c r="C11">
        <v>1</v>
      </c>
      <c r="D11" t="s">
        <v>8</v>
      </c>
      <c r="E11">
        <v>39.775118310000003</v>
      </c>
    </row>
    <row r="12" spans="1:5" x14ac:dyDescent="0.35">
      <c r="A12" t="s">
        <v>43</v>
      </c>
      <c r="B12" t="s">
        <v>18</v>
      </c>
      <c r="C12">
        <v>1</v>
      </c>
      <c r="D12" t="s">
        <v>8</v>
      </c>
      <c r="E12">
        <v>17.37817416</v>
      </c>
    </row>
    <row r="13" spans="1:5" x14ac:dyDescent="0.35">
      <c r="A13" t="s">
        <v>43</v>
      </c>
      <c r="B13" t="s">
        <v>20</v>
      </c>
      <c r="C13">
        <v>1</v>
      </c>
      <c r="D13" t="s">
        <v>8</v>
      </c>
      <c r="E13">
        <v>0.45717977199999998</v>
      </c>
    </row>
    <row r="14" spans="1:5" x14ac:dyDescent="0.35">
      <c r="A14" t="s">
        <v>43</v>
      </c>
      <c r="B14" t="s">
        <v>21</v>
      </c>
      <c r="C14">
        <v>1</v>
      </c>
      <c r="D14" t="s">
        <v>8</v>
      </c>
      <c r="E14">
        <v>21.973830209999999</v>
      </c>
    </row>
    <row r="15" spans="1:5" x14ac:dyDescent="0.35">
      <c r="A15" t="s">
        <v>43</v>
      </c>
      <c r="B15" t="s">
        <v>22</v>
      </c>
      <c r="C15">
        <v>1</v>
      </c>
      <c r="D15" t="s">
        <v>8</v>
      </c>
      <c r="E15">
        <v>78.095124299999995</v>
      </c>
    </row>
    <row r="16" spans="1:5" x14ac:dyDescent="0.35">
      <c r="A16" t="s">
        <v>43</v>
      </c>
      <c r="B16" t="s">
        <v>23</v>
      </c>
      <c r="C16">
        <v>1</v>
      </c>
      <c r="D16" t="s">
        <v>8</v>
      </c>
      <c r="E16">
        <v>0</v>
      </c>
    </row>
    <row r="17" spans="1:5" x14ac:dyDescent="0.35">
      <c r="A17" t="s">
        <v>43</v>
      </c>
      <c r="B17" t="s">
        <v>24</v>
      </c>
      <c r="C17">
        <v>1</v>
      </c>
      <c r="D17" t="s">
        <v>8</v>
      </c>
      <c r="E17">
        <v>43.545674630000001</v>
      </c>
    </row>
    <row r="18" spans="1:5" x14ac:dyDescent="0.35">
      <c r="A18" t="s">
        <v>43</v>
      </c>
      <c r="B18" t="s">
        <v>25</v>
      </c>
      <c r="C18">
        <v>1</v>
      </c>
      <c r="D18" t="s">
        <v>8</v>
      </c>
      <c r="E18">
        <v>3.236480979</v>
      </c>
    </row>
    <row r="19" spans="1:5" x14ac:dyDescent="0.35">
      <c r="A19" t="s">
        <v>43</v>
      </c>
      <c r="B19" t="s">
        <v>26</v>
      </c>
      <c r="C19">
        <v>1</v>
      </c>
      <c r="D19" t="s">
        <v>8</v>
      </c>
      <c r="E19">
        <v>16.15621251</v>
      </c>
    </row>
    <row r="20" spans="1:5" x14ac:dyDescent="0.35">
      <c r="A20" t="s">
        <v>43</v>
      </c>
      <c r="B20" t="s">
        <v>27</v>
      </c>
      <c r="C20">
        <v>1</v>
      </c>
      <c r="D20" t="s">
        <v>8</v>
      </c>
      <c r="E20">
        <v>6.2354205189999998</v>
      </c>
    </row>
    <row r="21" spans="1:5" x14ac:dyDescent="0.35">
      <c r="A21" t="s">
        <v>43</v>
      </c>
      <c r="B21" t="s">
        <v>28</v>
      </c>
      <c r="C21">
        <v>1</v>
      </c>
      <c r="D21" t="s">
        <v>8</v>
      </c>
      <c r="E21">
        <v>1.887487366</v>
      </c>
    </row>
    <row r="22" spans="1:5" x14ac:dyDescent="0.35">
      <c r="A22" t="s">
        <v>43</v>
      </c>
      <c r="B22" t="s">
        <v>29</v>
      </c>
      <c r="C22">
        <v>1</v>
      </c>
      <c r="D22" t="s">
        <v>8</v>
      </c>
      <c r="E22">
        <v>2.8628566640000002</v>
      </c>
    </row>
    <row r="23" spans="1:5" x14ac:dyDescent="0.35">
      <c r="A23" t="s">
        <v>43</v>
      </c>
      <c r="B23" t="s">
        <v>30</v>
      </c>
      <c r="C23">
        <v>1</v>
      </c>
      <c r="D23" t="s">
        <v>8</v>
      </c>
      <c r="E23">
        <v>0.91621436199999995</v>
      </c>
    </row>
    <row r="24" spans="1:5" x14ac:dyDescent="0.35">
      <c r="A24" t="s">
        <v>43</v>
      </c>
      <c r="B24" t="s">
        <v>31</v>
      </c>
      <c r="C24">
        <v>1</v>
      </c>
      <c r="D24" t="s">
        <v>8</v>
      </c>
      <c r="E24">
        <v>0.32683059199999998</v>
      </c>
    </row>
    <row r="25" spans="1:5" x14ac:dyDescent="0.35">
      <c r="A25" t="s">
        <v>43</v>
      </c>
      <c r="B25" t="s">
        <v>32</v>
      </c>
      <c r="C25">
        <v>1</v>
      </c>
      <c r="D25" t="s">
        <v>8</v>
      </c>
      <c r="E25">
        <v>0.63787970100000002</v>
      </c>
    </row>
    <row r="26" spans="1:5" x14ac:dyDescent="0.35">
      <c r="A26" t="s">
        <v>43</v>
      </c>
      <c r="B26" t="s">
        <v>33</v>
      </c>
      <c r="C26">
        <v>1</v>
      </c>
      <c r="D26" t="s">
        <v>8</v>
      </c>
      <c r="E26">
        <v>0</v>
      </c>
    </row>
    <row r="27" spans="1:5" x14ac:dyDescent="0.35">
      <c r="A27" t="s">
        <v>43</v>
      </c>
      <c r="B27" t="s">
        <v>34</v>
      </c>
      <c r="C27">
        <v>1</v>
      </c>
      <c r="D27" t="s">
        <v>8</v>
      </c>
      <c r="E27">
        <v>0</v>
      </c>
    </row>
    <row r="28" spans="1:5" x14ac:dyDescent="0.35">
      <c r="A28" t="s">
        <v>43</v>
      </c>
      <c r="B28" t="s">
        <v>35</v>
      </c>
      <c r="C28">
        <v>1</v>
      </c>
      <c r="D28" t="s">
        <v>8</v>
      </c>
      <c r="E28">
        <v>1.794982077</v>
      </c>
    </row>
    <row r="29" spans="1:5" x14ac:dyDescent="0.35">
      <c r="A29" t="s">
        <v>43</v>
      </c>
      <c r="B29" t="s">
        <v>36</v>
      </c>
      <c r="C29">
        <v>1</v>
      </c>
      <c r="D29" t="s">
        <v>8</v>
      </c>
      <c r="E29">
        <v>0.788824199</v>
      </c>
    </row>
    <row r="30" spans="1:5" x14ac:dyDescent="0.35">
      <c r="A30" t="s">
        <v>43</v>
      </c>
      <c r="B30" t="s">
        <v>37</v>
      </c>
      <c r="C30">
        <v>1</v>
      </c>
      <c r="D30" t="s">
        <v>8</v>
      </c>
      <c r="E30">
        <v>3.5173230869999998</v>
      </c>
    </row>
    <row r="31" spans="1:5" x14ac:dyDescent="0.35">
      <c r="A31" t="s">
        <v>43</v>
      </c>
      <c r="B31" t="s">
        <v>38</v>
      </c>
      <c r="C31">
        <v>1</v>
      </c>
      <c r="D31" t="s">
        <v>8</v>
      </c>
      <c r="E31">
        <v>0</v>
      </c>
    </row>
    <row r="32" spans="1:5" x14ac:dyDescent="0.35">
      <c r="A32" t="s">
        <v>43</v>
      </c>
      <c r="B32" t="s">
        <v>39</v>
      </c>
      <c r="C32">
        <v>1</v>
      </c>
      <c r="D32" t="s">
        <v>8</v>
      </c>
      <c r="E32">
        <v>0</v>
      </c>
    </row>
    <row r="33" spans="1:5" x14ac:dyDescent="0.35">
      <c r="A33" t="s">
        <v>43</v>
      </c>
      <c r="B33" t="s">
        <v>40</v>
      </c>
      <c r="C33">
        <v>1</v>
      </c>
      <c r="D33" t="s">
        <v>8</v>
      </c>
      <c r="E33">
        <v>0.31976613799999998</v>
      </c>
    </row>
    <row r="34" spans="1:5" x14ac:dyDescent="0.35">
      <c r="A34" t="s">
        <v>43</v>
      </c>
      <c r="B34" t="s">
        <v>41</v>
      </c>
      <c r="C34">
        <v>1</v>
      </c>
      <c r="D34" t="s">
        <v>8</v>
      </c>
      <c r="E34">
        <v>0.86639476800000004</v>
      </c>
    </row>
    <row r="35" spans="1:5" x14ac:dyDescent="0.35">
      <c r="A35" t="s">
        <v>43</v>
      </c>
      <c r="B35" t="s">
        <v>42</v>
      </c>
      <c r="C35">
        <v>1</v>
      </c>
      <c r="D35" t="s">
        <v>8</v>
      </c>
      <c r="E35">
        <v>0</v>
      </c>
    </row>
    <row r="36" spans="1:5" x14ac:dyDescent="0.35">
      <c r="A36" t="s">
        <v>47</v>
      </c>
      <c r="B36" t="s">
        <v>7</v>
      </c>
      <c r="C36">
        <v>1</v>
      </c>
      <c r="D36" t="s">
        <v>51</v>
      </c>
      <c r="E36">
        <v>0</v>
      </c>
    </row>
    <row r="37" spans="1:5" x14ac:dyDescent="0.35">
      <c r="A37" t="s">
        <v>47</v>
      </c>
      <c r="B37" t="s">
        <v>9</v>
      </c>
      <c r="C37">
        <v>1</v>
      </c>
      <c r="D37" t="s">
        <v>51</v>
      </c>
      <c r="E37">
        <v>0</v>
      </c>
    </row>
    <row r="38" spans="1:5" x14ac:dyDescent="0.35">
      <c r="A38" t="s">
        <v>47</v>
      </c>
      <c r="B38" t="s">
        <v>10</v>
      </c>
      <c r="C38">
        <v>1</v>
      </c>
      <c r="D38" t="s">
        <v>51</v>
      </c>
      <c r="E38">
        <v>0</v>
      </c>
    </row>
    <row r="39" spans="1:5" x14ac:dyDescent="0.35">
      <c r="A39" t="s">
        <v>47</v>
      </c>
      <c r="B39" t="s">
        <v>11</v>
      </c>
      <c r="C39">
        <v>1</v>
      </c>
      <c r="D39" t="s">
        <v>51</v>
      </c>
      <c r="E39">
        <v>0.41213088199999998</v>
      </c>
    </row>
    <row r="40" spans="1:5" x14ac:dyDescent="0.35">
      <c r="A40" t="s">
        <v>47</v>
      </c>
      <c r="B40" t="s">
        <v>12</v>
      </c>
      <c r="C40">
        <v>1</v>
      </c>
      <c r="D40" t="s">
        <v>51</v>
      </c>
      <c r="E40">
        <v>3.8804688330000001</v>
      </c>
    </row>
    <row r="41" spans="1:5" x14ac:dyDescent="0.35">
      <c r="A41" t="s">
        <v>47</v>
      </c>
      <c r="B41" t="s">
        <v>13</v>
      </c>
      <c r="C41">
        <v>1</v>
      </c>
      <c r="D41" t="s">
        <v>51</v>
      </c>
      <c r="E41">
        <v>13.76359703</v>
      </c>
    </row>
    <row r="42" spans="1:5" x14ac:dyDescent="0.35">
      <c r="A42" t="s">
        <v>47</v>
      </c>
      <c r="B42" t="s">
        <v>14</v>
      </c>
      <c r="C42">
        <v>1</v>
      </c>
      <c r="D42" t="s">
        <v>51</v>
      </c>
      <c r="E42">
        <v>0</v>
      </c>
    </row>
    <row r="43" spans="1:5" x14ac:dyDescent="0.35">
      <c r="A43" t="s">
        <v>47</v>
      </c>
      <c r="B43" t="s">
        <v>15</v>
      </c>
      <c r="C43">
        <v>1</v>
      </c>
      <c r="D43" t="s">
        <v>51</v>
      </c>
      <c r="E43">
        <v>0.86250119700000005</v>
      </c>
    </row>
    <row r="44" spans="1:5" x14ac:dyDescent="0.35">
      <c r="A44" t="s">
        <v>47</v>
      </c>
      <c r="B44" t="s">
        <v>16</v>
      </c>
      <c r="C44">
        <v>1</v>
      </c>
      <c r="D44" t="s">
        <v>51</v>
      </c>
      <c r="E44">
        <v>0</v>
      </c>
    </row>
    <row r="45" spans="1:5" x14ac:dyDescent="0.35">
      <c r="A45" t="s">
        <v>47</v>
      </c>
      <c r="B45" t="s">
        <v>17</v>
      </c>
      <c r="C45">
        <v>1</v>
      </c>
      <c r="D45" t="s">
        <v>51</v>
      </c>
      <c r="E45">
        <v>35.570949239999997</v>
      </c>
    </row>
    <row r="46" spans="1:5" x14ac:dyDescent="0.35">
      <c r="A46" t="s">
        <v>47</v>
      </c>
      <c r="B46" t="s">
        <v>18</v>
      </c>
      <c r="C46">
        <v>1</v>
      </c>
      <c r="D46" t="s">
        <v>51</v>
      </c>
      <c r="E46">
        <v>22.016033069999999</v>
      </c>
    </row>
    <row r="47" spans="1:5" x14ac:dyDescent="0.35">
      <c r="A47" t="s">
        <v>47</v>
      </c>
      <c r="B47" t="s">
        <v>20</v>
      </c>
      <c r="C47">
        <v>1</v>
      </c>
      <c r="D47" t="s">
        <v>51</v>
      </c>
      <c r="E47">
        <v>0.45717977199999998</v>
      </c>
    </row>
    <row r="48" spans="1:5" x14ac:dyDescent="0.35">
      <c r="A48" t="s">
        <v>47</v>
      </c>
      <c r="B48" t="s">
        <v>21</v>
      </c>
      <c r="C48">
        <v>1</v>
      </c>
      <c r="D48" t="s">
        <v>51</v>
      </c>
      <c r="E48">
        <v>13.67347401</v>
      </c>
    </row>
    <row r="49" spans="1:5" x14ac:dyDescent="0.35">
      <c r="A49" t="s">
        <v>47</v>
      </c>
      <c r="B49" t="s">
        <v>22</v>
      </c>
      <c r="C49">
        <v>1</v>
      </c>
      <c r="D49" t="s">
        <v>51</v>
      </c>
      <c r="E49">
        <v>53.917555739999997</v>
      </c>
    </row>
    <row r="50" spans="1:5" x14ac:dyDescent="0.35">
      <c r="A50" t="s">
        <v>47</v>
      </c>
      <c r="B50" t="s">
        <v>23</v>
      </c>
      <c r="C50">
        <v>1</v>
      </c>
      <c r="D50" t="s">
        <v>51</v>
      </c>
      <c r="E50">
        <v>0</v>
      </c>
    </row>
    <row r="51" spans="1:5" x14ac:dyDescent="0.35">
      <c r="A51" t="s">
        <v>47</v>
      </c>
      <c r="B51" t="s">
        <v>24</v>
      </c>
      <c r="C51">
        <v>1</v>
      </c>
      <c r="D51" t="s">
        <v>51</v>
      </c>
      <c r="E51">
        <v>39.780195190000001</v>
      </c>
    </row>
    <row r="52" spans="1:5" x14ac:dyDescent="0.35">
      <c r="A52" t="s">
        <v>47</v>
      </c>
      <c r="B52" t="s">
        <v>25</v>
      </c>
      <c r="C52">
        <v>1</v>
      </c>
      <c r="D52" t="s">
        <v>51</v>
      </c>
      <c r="E52">
        <v>4.7068400920000002</v>
      </c>
    </row>
    <row r="53" spans="1:5" x14ac:dyDescent="0.35">
      <c r="A53" t="s">
        <v>47</v>
      </c>
      <c r="B53" t="s">
        <v>26</v>
      </c>
      <c r="C53">
        <v>1</v>
      </c>
      <c r="D53" t="s">
        <v>51</v>
      </c>
      <c r="E53">
        <v>13.586817010000001</v>
      </c>
    </row>
    <row r="54" spans="1:5" x14ac:dyDescent="0.35">
      <c r="A54" t="s">
        <v>47</v>
      </c>
      <c r="B54" t="s">
        <v>27</v>
      </c>
      <c r="C54">
        <v>1</v>
      </c>
      <c r="D54" t="s">
        <v>51</v>
      </c>
      <c r="E54">
        <v>7.2572875110000004</v>
      </c>
    </row>
    <row r="55" spans="1:5" x14ac:dyDescent="0.35">
      <c r="A55" t="s">
        <v>47</v>
      </c>
      <c r="B55" t="s">
        <v>28</v>
      </c>
      <c r="C55">
        <v>1</v>
      </c>
      <c r="D55" t="s">
        <v>51</v>
      </c>
      <c r="E55">
        <v>1.682681047</v>
      </c>
    </row>
    <row r="56" spans="1:5" x14ac:dyDescent="0.35">
      <c r="A56" t="s">
        <v>47</v>
      </c>
      <c r="B56" t="s">
        <v>29</v>
      </c>
      <c r="C56">
        <v>1</v>
      </c>
      <c r="D56" t="s">
        <v>51</v>
      </c>
      <c r="E56">
        <v>1.7161929069999999</v>
      </c>
    </row>
    <row r="57" spans="1:5" x14ac:dyDescent="0.35">
      <c r="A57" t="s">
        <v>47</v>
      </c>
      <c r="B57" t="s">
        <v>30</v>
      </c>
      <c r="C57">
        <v>1</v>
      </c>
      <c r="D57" t="s">
        <v>51</v>
      </c>
      <c r="E57">
        <v>2.8587372129999999</v>
      </c>
    </row>
    <row r="58" spans="1:5" x14ac:dyDescent="0.35">
      <c r="A58" t="s">
        <v>47</v>
      </c>
      <c r="B58" t="s">
        <v>31</v>
      </c>
      <c r="C58">
        <v>1</v>
      </c>
      <c r="D58" t="s">
        <v>51</v>
      </c>
      <c r="E58">
        <v>0.71463157799999999</v>
      </c>
    </row>
    <row r="59" spans="1:5" x14ac:dyDescent="0.35">
      <c r="A59" t="s">
        <v>47</v>
      </c>
      <c r="B59" t="s">
        <v>32</v>
      </c>
      <c r="C59">
        <v>1</v>
      </c>
      <c r="D59" t="s">
        <v>51</v>
      </c>
      <c r="E59">
        <v>1.112345674</v>
      </c>
    </row>
    <row r="60" spans="1:5" x14ac:dyDescent="0.35">
      <c r="A60" t="s">
        <v>47</v>
      </c>
      <c r="B60" t="s">
        <v>33</v>
      </c>
      <c r="C60">
        <v>1</v>
      </c>
      <c r="D60" t="s">
        <v>51</v>
      </c>
      <c r="E60">
        <v>0</v>
      </c>
    </row>
    <row r="61" spans="1:5" x14ac:dyDescent="0.35">
      <c r="A61" t="s">
        <v>47</v>
      </c>
      <c r="B61" t="s">
        <v>34</v>
      </c>
      <c r="C61">
        <v>1</v>
      </c>
      <c r="D61" t="s">
        <v>51</v>
      </c>
      <c r="E61">
        <v>0</v>
      </c>
    </row>
    <row r="62" spans="1:5" x14ac:dyDescent="0.35">
      <c r="A62" t="s">
        <v>47</v>
      </c>
      <c r="B62" t="s">
        <v>35</v>
      </c>
      <c r="C62">
        <v>1</v>
      </c>
      <c r="D62" t="s">
        <v>51</v>
      </c>
      <c r="E62">
        <v>3.2349435199999999</v>
      </c>
    </row>
    <row r="63" spans="1:5" x14ac:dyDescent="0.35">
      <c r="A63" t="s">
        <v>47</v>
      </c>
      <c r="B63" t="s">
        <v>36</v>
      </c>
      <c r="C63">
        <v>1</v>
      </c>
      <c r="D63" t="s">
        <v>51</v>
      </c>
      <c r="E63">
        <v>0.78912860900000004</v>
      </c>
    </row>
    <row r="64" spans="1:5" x14ac:dyDescent="0.35">
      <c r="A64" t="s">
        <v>47</v>
      </c>
      <c r="B64" t="s">
        <v>37</v>
      </c>
      <c r="C64">
        <v>1</v>
      </c>
      <c r="D64" t="s">
        <v>51</v>
      </c>
      <c r="E64">
        <v>3.1872802999999998</v>
      </c>
    </row>
    <row r="65" spans="1:5" x14ac:dyDescent="0.35">
      <c r="A65" t="s">
        <v>47</v>
      </c>
      <c r="B65" t="s">
        <v>38</v>
      </c>
      <c r="C65">
        <v>1</v>
      </c>
      <c r="D65" t="s">
        <v>51</v>
      </c>
      <c r="E65">
        <v>0</v>
      </c>
    </row>
    <row r="66" spans="1:5" x14ac:dyDescent="0.35">
      <c r="A66" t="s">
        <v>47</v>
      </c>
      <c r="B66" t="s">
        <v>39</v>
      </c>
      <c r="C66">
        <v>1</v>
      </c>
      <c r="D66" t="s">
        <v>51</v>
      </c>
      <c r="E66">
        <v>0</v>
      </c>
    </row>
    <row r="67" spans="1:5" x14ac:dyDescent="0.35">
      <c r="A67" t="s">
        <v>47</v>
      </c>
      <c r="B67" t="s">
        <v>40</v>
      </c>
      <c r="C67">
        <v>1</v>
      </c>
      <c r="D67" t="s">
        <v>51</v>
      </c>
      <c r="E67">
        <v>0.82391428200000005</v>
      </c>
    </row>
    <row r="68" spans="1:5" x14ac:dyDescent="0.35">
      <c r="A68" t="s">
        <v>47</v>
      </c>
      <c r="B68" t="s">
        <v>41</v>
      </c>
      <c r="C68">
        <v>1</v>
      </c>
      <c r="D68" t="s">
        <v>51</v>
      </c>
      <c r="E68">
        <v>1.4472083790000001</v>
      </c>
    </row>
    <row r="69" spans="1:5" x14ac:dyDescent="0.35">
      <c r="A69" t="s">
        <v>47</v>
      </c>
      <c r="B69" t="s">
        <v>42</v>
      </c>
      <c r="C69">
        <v>1</v>
      </c>
      <c r="D69" t="s">
        <v>51</v>
      </c>
      <c r="E69">
        <v>0</v>
      </c>
    </row>
    <row r="70" spans="1:5" x14ac:dyDescent="0.35">
      <c r="A70" t="s">
        <v>49</v>
      </c>
      <c r="B70" t="s">
        <v>7</v>
      </c>
      <c r="C70">
        <v>1</v>
      </c>
      <c r="D70" t="s">
        <v>50</v>
      </c>
      <c r="E70">
        <v>0</v>
      </c>
    </row>
    <row r="71" spans="1:5" x14ac:dyDescent="0.35">
      <c r="A71" t="s">
        <v>49</v>
      </c>
      <c r="B71" t="s">
        <v>9</v>
      </c>
      <c r="C71">
        <v>1</v>
      </c>
      <c r="D71" t="s">
        <v>50</v>
      </c>
      <c r="E71">
        <v>0</v>
      </c>
    </row>
    <row r="72" spans="1:5" x14ac:dyDescent="0.35">
      <c r="A72" t="s">
        <v>49</v>
      </c>
      <c r="B72" t="s">
        <v>10</v>
      </c>
      <c r="C72">
        <v>1</v>
      </c>
      <c r="D72" t="s">
        <v>50</v>
      </c>
      <c r="E72">
        <v>0</v>
      </c>
    </row>
    <row r="73" spans="1:5" x14ac:dyDescent="0.35">
      <c r="A73" t="s">
        <v>49</v>
      </c>
      <c r="B73" t="s">
        <v>11</v>
      </c>
      <c r="C73">
        <v>1</v>
      </c>
      <c r="D73" t="s">
        <v>50</v>
      </c>
      <c r="E73">
        <v>1.5625485429999999</v>
      </c>
    </row>
    <row r="74" spans="1:5" x14ac:dyDescent="0.35">
      <c r="A74" t="s">
        <v>49</v>
      </c>
      <c r="B74" t="s">
        <v>12</v>
      </c>
      <c r="C74">
        <v>1</v>
      </c>
      <c r="D74" t="s">
        <v>50</v>
      </c>
      <c r="E74">
        <v>4.6074779619999999</v>
      </c>
    </row>
    <row r="75" spans="1:5" x14ac:dyDescent="0.35">
      <c r="A75" t="s">
        <v>49</v>
      </c>
      <c r="B75" t="s">
        <v>13</v>
      </c>
      <c r="C75">
        <v>1</v>
      </c>
      <c r="D75" t="s">
        <v>50</v>
      </c>
      <c r="E75">
        <v>4.9638207630000002</v>
      </c>
    </row>
    <row r="76" spans="1:5" x14ac:dyDescent="0.35">
      <c r="A76" t="s">
        <v>49</v>
      </c>
      <c r="B76" t="s">
        <v>14</v>
      </c>
      <c r="C76">
        <v>1</v>
      </c>
      <c r="D76" t="s">
        <v>50</v>
      </c>
      <c r="E76">
        <v>0</v>
      </c>
    </row>
    <row r="77" spans="1:5" x14ac:dyDescent="0.35">
      <c r="A77" t="s">
        <v>49</v>
      </c>
      <c r="B77" t="s">
        <v>15</v>
      </c>
      <c r="C77">
        <v>1</v>
      </c>
      <c r="D77" t="s">
        <v>50</v>
      </c>
      <c r="E77">
        <v>1.2446171150000001</v>
      </c>
    </row>
    <row r="78" spans="1:5" x14ac:dyDescent="0.35">
      <c r="A78" t="s">
        <v>49</v>
      </c>
      <c r="B78" t="s">
        <v>16</v>
      </c>
      <c r="C78">
        <v>1</v>
      </c>
      <c r="D78" t="s">
        <v>50</v>
      </c>
      <c r="E78">
        <v>0</v>
      </c>
    </row>
    <row r="79" spans="1:5" x14ac:dyDescent="0.35">
      <c r="A79" t="s">
        <v>49</v>
      </c>
      <c r="B79" t="s">
        <v>17</v>
      </c>
      <c r="C79">
        <v>1</v>
      </c>
      <c r="D79" t="s">
        <v>50</v>
      </c>
      <c r="E79">
        <v>12.745934070000001</v>
      </c>
    </row>
    <row r="80" spans="1:5" x14ac:dyDescent="0.35">
      <c r="A80" t="s">
        <v>49</v>
      </c>
      <c r="B80" t="s">
        <v>18</v>
      </c>
      <c r="C80">
        <v>1</v>
      </c>
      <c r="D80" t="s">
        <v>50</v>
      </c>
      <c r="E80">
        <v>17.370081689999999</v>
      </c>
    </row>
    <row r="81" spans="1:5" x14ac:dyDescent="0.35">
      <c r="A81" t="s">
        <v>49</v>
      </c>
      <c r="B81" t="s">
        <v>20</v>
      </c>
      <c r="C81">
        <v>1</v>
      </c>
      <c r="D81" t="s">
        <v>50</v>
      </c>
      <c r="E81">
        <v>0.34593289799999999</v>
      </c>
    </row>
    <row r="82" spans="1:5" x14ac:dyDescent="0.35">
      <c r="A82" t="s">
        <v>49</v>
      </c>
      <c r="B82" t="s">
        <v>21</v>
      </c>
      <c r="C82">
        <v>1</v>
      </c>
      <c r="D82" t="s">
        <v>50</v>
      </c>
      <c r="E82">
        <v>6.6837463450000003</v>
      </c>
    </row>
    <row r="83" spans="1:5" x14ac:dyDescent="0.35">
      <c r="A83" t="s">
        <v>49</v>
      </c>
      <c r="B83" t="s">
        <v>22</v>
      </c>
      <c r="C83">
        <v>1</v>
      </c>
      <c r="D83" t="s">
        <v>50</v>
      </c>
      <c r="E83">
        <v>46.15198049</v>
      </c>
    </row>
    <row r="84" spans="1:5" x14ac:dyDescent="0.35">
      <c r="A84" t="s">
        <v>49</v>
      </c>
      <c r="B84" t="s">
        <v>23</v>
      </c>
      <c r="C84">
        <v>1</v>
      </c>
      <c r="D84" t="s">
        <v>50</v>
      </c>
      <c r="E84">
        <v>0</v>
      </c>
    </row>
    <row r="85" spans="1:5" x14ac:dyDescent="0.35">
      <c r="A85" t="s">
        <v>49</v>
      </c>
      <c r="B85" t="s">
        <v>24</v>
      </c>
      <c r="C85">
        <v>1</v>
      </c>
      <c r="D85" t="s">
        <v>50</v>
      </c>
      <c r="E85">
        <v>46.250903479999998</v>
      </c>
    </row>
    <row r="86" spans="1:5" x14ac:dyDescent="0.35">
      <c r="A86" t="s">
        <v>49</v>
      </c>
      <c r="B86" t="s">
        <v>25</v>
      </c>
      <c r="C86">
        <v>1</v>
      </c>
      <c r="D86" t="s">
        <v>50</v>
      </c>
      <c r="E86">
        <v>3.5091204380000001</v>
      </c>
    </row>
    <row r="87" spans="1:5" x14ac:dyDescent="0.35">
      <c r="A87" t="s">
        <v>49</v>
      </c>
      <c r="B87" t="s">
        <v>26</v>
      </c>
      <c r="C87">
        <v>1</v>
      </c>
      <c r="D87" t="s">
        <v>50</v>
      </c>
      <c r="E87">
        <v>20.25549298</v>
      </c>
    </row>
    <row r="88" spans="1:5" x14ac:dyDescent="0.35">
      <c r="A88" t="s">
        <v>49</v>
      </c>
      <c r="B88" t="s">
        <v>27</v>
      </c>
      <c r="C88">
        <v>1</v>
      </c>
      <c r="D88" t="s">
        <v>50</v>
      </c>
      <c r="E88">
        <v>8.4293267539999999</v>
      </c>
    </row>
    <row r="89" spans="1:5" x14ac:dyDescent="0.35">
      <c r="A89" t="s">
        <v>49</v>
      </c>
      <c r="B89" t="s">
        <v>28</v>
      </c>
      <c r="C89">
        <v>1</v>
      </c>
      <c r="D89" t="s">
        <v>50</v>
      </c>
      <c r="E89">
        <v>2.9601245710000001</v>
      </c>
    </row>
    <row r="90" spans="1:5" x14ac:dyDescent="0.35">
      <c r="A90" t="s">
        <v>49</v>
      </c>
      <c r="B90" t="s">
        <v>29</v>
      </c>
      <c r="C90">
        <v>1</v>
      </c>
      <c r="D90" t="s">
        <v>50</v>
      </c>
      <c r="E90">
        <v>0</v>
      </c>
    </row>
    <row r="91" spans="1:5" x14ac:dyDescent="0.35">
      <c r="A91" t="s">
        <v>49</v>
      </c>
      <c r="B91" t="s">
        <v>30</v>
      </c>
      <c r="C91">
        <v>1</v>
      </c>
      <c r="D91" t="s">
        <v>50</v>
      </c>
      <c r="E91">
        <v>1.153036213</v>
      </c>
    </row>
    <row r="92" spans="1:5" x14ac:dyDescent="0.35">
      <c r="A92" t="s">
        <v>49</v>
      </c>
      <c r="B92" t="s">
        <v>31</v>
      </c>
      <c r="C92">
        <v>1</v>
      </c>
      <c r="D92" t="s">
        <v>50</v>
      </c>
      <c r="E92">
        <v>0.32033999499999999</v>
      </c>
    </row>
    <row r="93" spans="1:5" x14ac:dyDescent="0.35">
      <c r="A93" t="s">
        <v>49</v>
      </c>
      <c r="B93" t="s">
        <v>32</v>
      </c>
      <c r="C93">
        <v>1</v>
      </c>
      <c r="D93" t="s">
        <v>50</v>
      </c>
      <c r="E93">
        <v>0.82067507699999998</v>
      </c>
    </row>
    <row r="94" spans="1:5" x14ac:dyDescent="0.35">
      <c r="A94" t="s">
        <v>49</v>
      </c>
      <c r="B94" t="s">
        <v>33</v>
      </c>
      <c r="C94">
        <v>1</v>
      </c>
      <c r="D94" t="s">
        <v>50</v>
      </c>
      <c r="E94">
        <v>0</v>
      </c>
    </row>
    <row r="95" spans="1:5" x14ac:dyDescent="0.35">
      <c r="A95" t="s">
        <v>49</v>
      </c>
      <c r="B95" t="s">
        <v>34</v>
      </c>
      <c r="C95">
        <v>1</v>
      </c>
      <c r="D95" t="s">
        <v>50</v>
      </c>
      <c r="E95">
        <v>0</v>
      </c>
    </row>
    <row r="96" spans="1:5" x14ac:dyDescent="0.35">
      <c r="A96" t="s">
        <v>49</v>
      </c>
      <c r="B96" t="s">
        <v>35</v>
      </c>
      <c r="C96">
        <v>1</v>
      </c>
      <c r="D96" t="s">
        <v>50</v>
      </c>
      <c r="E96">
        <v>3.512098548</v>
      </c>
    </row>
    <row r="97" spans="1:5" x14ac:dyDescent="0.35">
      <c r="A97" t="s">
        <v>49</v>
      </c>
      <c r="B97" t="s">
        <v>36</v>
      </c>
      <c r="C97">
        <v>1</v>
      </c>
      <c r="D97" t="s">
        <v>50</v>
      </c>
      <c r="E97">
        <v>0.56738531299999995</v>
      </c>
    </row>
    <row r="98" spans="1:5" x14ac:dyDescent="0.35">
      <c r="A98" t="s">
        <v>49</v>
      </c>
      <c r="B98" t="s">
        <v>37</v>
      </c>
      <c r="C98">
        <v>1</v>
      </c>
      <c r="D98" t="s">
        <v>50</v>
      </c>
      <c r="E98">
        <v>3.61388014</v>
      </c>
    </row>
    <row r="99" spans="1:5" x14ac:dyDescent="0.35">
      <c r="A99" t="s">
        <v>49</v>
      </c>
      <c r="B99" t="s">
        <v>38</v>
      </c>
      <c r="C99">
        <v>1</v>
      </c>
      <c r="D99" t="s">
        <v>50</v>
      </c>
      <c r="E99">
        <v>0</v>
      </c>
    </row>
    <row r="100" spans="1:5" x14ac:dyDescent="0.35">
      <c r="A100" t="s">
        <v>49</v>
      </c>
      <c r="B100" t="s">
        <v>39</v>
      </c>
      <c r="C100">
        <v>1</v>
      </c>
      <c r="D100" t="s">
        <v>50</v>
      </c>
      <c r="E100">
        <v>0</v>
      </c>
    </row>
    <row r="101" spans="1:5" x14ac:dyDescent="0.35">
      <c r="A101" t="s">
        <v>49</v>
      </c>
      <c r="B101" t="s">
        <v>40</v>
      </c>
      <c r="C101">
        <v>1</v>
      </c>
      <c r="D101" t="s">
        <v>50</v>
      </c>
      <c r="E101">
        <v>0.70886498399999998</v>
      </c>
    </row>
    <row r="102" spans="1:5" x14ac:dyDescent="0.35">
      <c r="A102" t="s">
        <v>49</v>
      </c>
      <c r="B102" t="s">
        <v>41</v>
      </c>
      <c r="C102">
        <v>1</v>
      </c>
      <c r="D102" t="s">
        <v>50</v>
      </c>
      <c r="E102">
        <v>1.198087702</v>
      </c>
    </row>
    <row r="103" spans="1:5" x14ac:dyDescent="0.35">
      <c r="A103" t="s">
        <v>49</v>
      </c>
      <c r="B103" t="s">
        <v>42</v>
      </c>
      <c r="C103">
        <v>1</v>
      </c>
      <c r="D103" t="s">
        <v>50</v>
      </c>
      <c r="E103">
        <v>0</v>
      </c>
    </row>
    <row r="104" spans="1:5" x14ac:dyDescent="0.35">
      <c r="A104" t="s">
        <v>53</v>
      </c>
      <c r="B104" t="s">
        <v>7</v>
      </c>
      <c r="C104">
        <v>1</v>
      </c>
      <c r="D104" t="s">
        <v>54</v>
      </c>
      <c r="E104">
        <v>0</v>
      </c>
    </row>
    <row r="105" spans="1:5" x14ac:dyDescent="0.35">
      <c r="A105" t="s">
        <v>53</v>
      </c>
      <c r="B105" t="s">
        <v>9</v>
      </c>
      <c r="C105">
        <v>1</v>
      </c>
      <c r="D105" t="s">
        <v>54</v>
      </c>
      <c r="E105">
        <v>0</v>
      </c>
    </row>
    <row r="106" spans="1:5" x14ac:dyDescent="0.35">
      <c r="A106" t="s">
        <v>53</v>
      </c>
      <c r="B106" t="s">
        <v>10</v>
      </c>
      <c r="C106">
        <v>1</v>
      </c>
      <c r="D106" t="s">
        <v>54</v>
      </c>
      <c r="E106">
        <v>0</v>
      </c>
    </row>
    <row r="107" spans="1:5" x14ac:dyDescent="0.35">
      <c r="A107" t="s">
        <v>53</v>
      </c>
      <c r="B107" t="s">
        <v>11</v>
      </c>
      <c r="C107">
        <v>1</v>
      </c>
      <c r="D107" t="s">
        <v>54</v>
      </c>
      <c r="E107">
        <v>0.73375649399999998</v>
      </c>
    </row>
    <row r="108" spans="1:5" x14ac:dyDescent="0.35">
      <c r="A108" t="s">
        <v>53</v>
      </c>
      <c r="B108" t="s">
        <v>12</v>
      </c>
      <c r="C108">
        <v>1</v>
      </c>
      <c r="D108" t="s">
        <v>54</v>
      </c>
      <c r="E108">
        <v>5.6070152240000004</v>
      </c>
    </row>
    <row r="109" spans="1:5" x14ac:dyDescent="0.35">
      <c r="A109" t="s">
        <v>53</v>
      </c>
      <c r="B109" t="s">
        <v>13</v>
      </c>
      <c r="C109">
        <v>1</v>
      </c>
      <c r="D109" t="s">
        <v>54</v>
      </c>
      <c r="E109">
        <v>17.372176660000001</v>
      </c>
    </row>
    <row r="110" spans="1:5" x14ac:dyDescent="0.35">
      <c r="A110" t="s">
        <v>53</v>
      </c>
      <c r="B110" t="s">
        <v>14</v>
      </c>
      <c r="C110">
        <v>1</v>
      </c>
      <c r="D110" t="s">
        <v>54</v>
      </c>
      <c r="E110">
        <v>0</v>
      </c>
    </row>
    <row r="111" spans="1:5" x14ac:dyDescent="0.35">
      <c r="A111" t="s">
        <v>53</v>
      </c>
      <c r="B111" t="s">
        <v>15</v>
      </c>
      <c r="C111">
        <v>1</v>
      </c>
      <c r="D111" t="s">
        <v>54</v>
      </c>
      <c r="E111">
        <v>0.90157091499999997</v>
      </c>
    </row>
    <row r="112" spans="1:5" x14ac:dyDescent="0.35">
      <c r="A112" t="s">
        <v>53</v>
      </c>
      <c r="B112" t="s">
        <v>16</v>
      </c>
      <c r="C112">
        <v>1</v>
      </c>
      <c r="D112" t="s">
        <v>54</v>
      </c>
      <c r="E112">
        <v>0</v>
      </c>
    </row>
    <row r="113" spans="1:5" x14ac:dyDescent="0.35">
      <c r="A113" t="s">
        <v>53</v>
      </c>
      <c r="B113" t="s">
        <v>17</v>
      </c>
      <c r="C113">
        <v>1</v>
      </c>
      <c r="D113" t="s">
        <v>54</v>
      </c>
      <c r="E113">
        <v>42.040664659999997</v>
      </c>
    </row>
    <row r="114" spans="1:5" x14ac:dyDescent="0.35">
      <c r="A114" t="s">
        <v>53</v>
      </c>
      <c r="B114" t="s">
        <v>18</v>
      </c>
      <c r="C114">
        <v>1</v>
      </c>
      <c r="D114" t="s">
        <v>54</v>
      </c>
      <c r="E114">
        <v>14.447545849999999</v>
      </c>
    </row>
    <row r="115" spans="1:5" x14ac:dyDescent="0.35">
      <c r="A115" t="s">
        <v>53</v>
      </c>
      <c r="B115" t="s">
        <v>20</v>
      </c>
      <c r="C115">
        <v>1</v>
      </c>
      <c r="D115" t="s">
        <v>54</v>
      </c>
      <c r="E115">
        <v>0.63511757599999996</v>
      </c>
    </row>
    <row r="116" spans="1:5" x14ac:dyDescent="0.35">
      <c r="A116" t="s">
        <v>53</v>
      </c>
      <c r="B116" t="s">
        <v>21</v>
      </c>
      <c r="C116">
        <v>1</v>
      </c>
      <c r="D116" t="s">
        <v>54</v>
      </c>
      <c r="E116">
        <v>18.141842560000001</v>
      </c>
    </row>
    <row r="117" spans="1:5" x14ac:dyDescent="0.35">
      <c r="A117" t="s">
        <v>53</v>
      </c>
      <c r="B117" t="s">
        <v>22</v>
      </c>
      <c r="C117">
        <v>1</v>
      </c>
      <c r="D117" t="s">
        <v>54</v>
      </c>
      <c r="E117">
        <v>27.827836789999999</v>
      </c>
    </row>
    <row r="118" spans="1:5" x14ac:dyDescent="0.35">
      <c r="A118" t="s">
        <v>53</v>
      </c>
      <c r="B118" t="s">
        <v>23</v>
      </c>
      <c r="C118">
        <v>1</v>
      </c>
      <c r="D118" t="s">
        <v>54</v>
      </c>
      <c r="E118">
        <v>0</v>
      </c>
    </row>
    <row r="119" spans="1:5" x14ac:dyDescent="0.35">
      <c r="A119" t="s">
        <v>53</v>
      </c>
      <c r="B119" t="s">
        <v>24</v>
      </c>
      <c r="C119">
        <v>1</v>
      </c>
      <c r="D119" t="s">
        <v>54</v>
      </c>
      <c r="E119">
        <v>31.840451250000001</v>
      </c>
    </row>
    <row r="120" spans="1:5" x14ac:dyDescent="0.35">
      <c r="A120" t="s">
        <v>53</v>
      </c>
      <c r="B120" t="s">
        <v>25</v>
      </c>
      <c r="C120">
        <v>1</v>
      </c>
      <c r="D120" t="s">
        <v>54</v>
      </c>
      <c r="E120">
        <v>5.7653162529999999</v>
      </c>
    </row>
    <row r="121" spans="1:5" x14ac:dyDescent="0.35">
      <c r="A121" t="s">
        <v>53</v>
      </c>
      <c r="B121" t="s">
        <v>26</v>
      </c>
      <c r="C121">
        <v>1</v>
      </c>
      <c r="D121" t="s">
        <v>54</v>
      </c>
      <c r="E121">
        <v>20.32119153</v>
      </c>
    </row>
    <row r="122" spans="1:5" x14ac:dyDescent="0.35">
      <c r="A122" t="s">
        <v>53</v>
      </c>
      <c r="B122" t="s">
        <v>27</v>
      </c>
      <c r="C122">
        <v>1</v>
      </c>
      <c r="D122" t="s">
        <v>54</v>
      </c>
      <c r="E122">
        <v>9.9173836929999997</v>
      </c>
    </row>
    <row r="123" spans="1:5" x14ac:dyDescent="0.35">
      <c r="A123" t="s">
        <v>53</v>
      </c>
      <c r="B123" t="s">
        <v>28</v>
      </c>
      <c r="C123">
        <v>1</v>
      </c>
      <c r="D123" t="s">
        <v>54</v>
      </c>
      <c r="E123">
        <v>2.766452739</v>
      </c>
    </row>
    <row r="124" spans="1:5" x14ac:dyDescent="0.35">
      <c r="A124" t="s">
        <v>53</v>
      </c>
      <c r="B124" t="s">
        <v>29</v>
      </c>
      <c r="C124">
        <v>1</v>
      </c>
      <c r="D124" t="s">
        <v>54</v>
      </c>
      <c r="E124">
        <v>2.2916067560000002</v>
      </c>
    </row>
    <row r="125" spans="1:5" x14ac:dyDescent="0.35">
      <c r="A125" t="s">
        <v>53</v>
      </c>
      <c r="B125" t="s">
        <v>30</v>
      </c>
      <c r="C125">
        <v>1</v>
      </c>
      <c r="D125" t="s">
        <v>54</v>
      </c>
      <c r="E125">
        <v>1.677864287</v>
      </c>
    </row>
    <row r="126" spans="1:5" x14ac:dyDescent="0.35">
      <c r="A126" t="s">
        <v>53</v>
      </c>
      <c r="B126" t="s">
        <v>31</v>
      </c>
      <c r="C126">
        <v>1</v>
      </c>
      <c r="D126" t="s">
        <v>54</v>
      </c>
      <c r="E126">
        <v>0.77904983500000002</v>
      </c>
    </row>
    <row r="127" spans="1:5" x14ac:dyDescent="0.35">
      <c r="A127" t="s">
        <v>53</v>
      </c>
      <c r="B127" t="s">
        <v>32</v>
      </c>
      <c r="C127">
        <v>1</v>
      </c>
      <c r="D127" t="s">
        <v>54</v>
      </c>
      <c r="E127">
        <v>0.54130409000000002</v>
      </c>
    </row>
    <row r="128" spans="1:5" x14ac:dyDescent="0.35">
      <c r="A128" t="s">
        <v>53</v>
      </c>
      <c r="B128" t="s">
        <v>33</v>
      </c>
      <c r="C128">
        <v>1</v>
      </c>
      <c r="D128" t="s">
        <v>54</v>
      </c>
      <c r="E128">
        <v>0</v>
      </c>
    </row>
    <row r="129" spans="1:5" x14ac:dyDescent="0.35">
      <c r="A129" t="s">
        <v>53</v>
      </c>
      <c r="B129" t="s">
        <v>34</v>
      </c>
      <c r="C129">
        <v>1</v>
      </c>
      <c r="D129" t="s">
        <v>54</v>
      </c>
      <c r="E129">
        <v>0</v>
      </c>
    </row>
    <row r="130" spans="1:5" x14ac:dyDescent="0.35">
      <c r="A130" t="s">
        <v>53</v>
      </c>
      <c r="B130" t="s">
        <v>35</v>
      </c>
      <c r="C130">
        <v>1</v>
      </c>
      <c r="D130" t="s">
        <v>54</v>
      </c>
      <c r="E130">
        <v>1.1818140450000001</v>
      </c>
    </row>
    <row r="131" spans="1:5" x14ac:dyDescent="0.35">
      <c r="A131" t="s">
        <v>53</v>
      </c>
      <c r="B131" t="s">
        <v>36</v>
      </c>
      <c r="C131">
        <v>1</v>
      </c>
      <c r="D131" t="s">
        <v>54</v>
      </c>
      <c r="E131">
        <v>1.2330907019999999</v>
      </c>
    </row>
    <row r="132" spans="1:5" x14ac:dyDescent="0.35">
      <c r="A132" t="s">
        <v>53</v>
      </c>
      <c r="B132" t="s">
        <v>37</v>
      </c>
      <c r="C132">
        <v>1</v>
      </c>
      <c r="D132" t="s">
        <v>54</v>
      </c>
      <c r="E132">
        <v>4.4316357750000002</v>
      </c>
    </row>
    <row r="133" spans="1:5" x14ac:dyDescent="0.35">
      <c r="A133" t="s">
        <v>53</v>
      </c>
      <c r="B133" t="s">
        <v>38</v>
      </c>
      <c r="C133">
        <v>1</v>
      </c>
      <c r="D133" t="s">
        <v>54</v>
      </c>
      <c r="E133">
        <v>0</v>
      </c>
    </row>
    <row r="134" spans="1:5" x14ac:dyDescent="0.35">
      <c r="A134" t="s">
        <v>53</v>
      </c>
      <c r="B134" t="s">
        <v>39</v>
      </c>
      <c r="C134">
        <v>1</v>
      </c>
      <c r="D134" t="s">
        <v>54</v>
      </c>
      <c r="E134">
        <v>0</v>
      </c>
    </row>
    <row r="135" spans="1:5" x14ac:dyDescent="0.35">
      <c r="A135" t="s">
        <v>53</v>
      </c>
      <c r="B135" t="s">
        <v>40</v>
      </c>
      <c r="C135">
        <v>1</v>
      </c>
      <c r="D135" t="s">
        <v>54</v>
      </c>
      <c r="E135">
        <v>0.81647696700000005</v>
      </c>
    </row>
    <row r="136" spans="1:5" x14ac:dyDescent="0.35">
      <c r="A136" t="s">
        <v>53</v>
      </c>
      <c r="B136" t="s">
        <v>41</v>
      </c>
      <c r="C136">
        <v>1</v>
      </c>
      <c r="D136" t="s">
        <v>54</v>
      </c>
      <c r="E136">
        <v>1.6297485780000001</v>
      </c>
    </row>
    <row r="137" spans="1:5" x14ac:dyDescent="0.35">
      <c r="A137" t="s">
        <v>53</v>
      </c>
      <c r="B137" t="s">
        <v>42</v>
      </c>
      <c r="C137">
        <v>1</v>
      </c>
      <c r="D137" t="s">
        <v>54</v>
      </c>
      <c r="E137">
        <v>0</v>
      </c>
    </row>
    <row r="138" spans="1:5" x14ac:dyDescent="0.35">
      <c r="A138" t="s">
        <v>55</v>
      </c>
      <c r="B138" t="s">
        <v>7</v>
      </c>
      <c r="C138">
        <v>2</v>
      </c>
      <c r="D138" t="s">
        <v>8</v>
      </c>
      <c r="E138">
        <v>0</v>
      </c>
    </row>
    <row r="139" spans="1:5" x14ac:dyDescent="0.35">
      <c r="A139" t="s">
        <v>55</v>
      </c>
      <c r="B139" t="s">
        <v>9</v>
      </c>
      <c r="C139">
        <v>2</v>
      </c>
      <c r="D139" t="s">
        <v>8</v>
      </c>
      <c r="E139">
        <v>0</v>
      </c>
    </row>
    <row r="140" spans="1:5" x14ac:dyDescent="0.35">
      <c r="A140" t="s">
        <v>55</v>
      </c>
      <c r="B140" t="s">
        <v>10</v>
      </c>
      <c r="C140">
        <v>2</v>
      </c>
      <c r="D140" t="s">
        <v>8</v>
      </c>
      <c r="E140">
        <v>0</v>
      </c>
    </row>
    <row r="141" spans="1:5" x14ac:dyDescent="0.35">
      <c r="A141" t="s">
        <v>55</v>
      </c>
      <c r="B141" t="s">
        <v>11</v>
      </c>
      <c r="C141">
        <v>2</v>
      </c>
      <c r="D141" t="s">
        <v>8</v>
      </c>
      <c r="E141">
        <v>1.6189667910000001</v>
      </c>
    </row>
    <row r="142" spans="1:5" x14ac:dyDescent="0.35">
      <c r="A142" t="s">
        <v>55</v>
      </c>
      <c r="B142" t="s">
        <v>12</v>
      </c>
      <c r="C142">
        <v>2</v>
      </c>
      <c r="D142" t="s">
        <v>8</v>
      </c>
      <c r="E142">
        <v>5.3378335220000004</v>
      </c>
    </row>
    <row r="143" spans="1:5" x14ac:dyDescent="0.35">
      <c r="A143" t="s">
        <v>55</v>
      </c>
      <c r="B143" t="s">
        <v>13</v>
      </c>
      <c r="C143">
        <v>2</v>
      </c>
      <c r="D143" t="s">
        <v>8</v>
      </c>
      <c r="E143">
        <v>11.487227750000001</v>
      </c>
    </row>
    <row r="144" spans="1:5" x14ac:dyDescent="0.35">
      <c r="A144" t="s">
        <v>55</v>
      </c>
      <c r="B144" t="s">
        <v>14</v>
      </c>
      <c r="C144">
        <v>2</v>
      </c>
      <c r="D144" t="s">
        <v>8</v>
      </c>
      <c r="E144">
        <v>0</v>
      </c>
    </row>
    <row r="145" spans="1:5" x14ac:dyDescent="0.35">
      <c r="A145" t="s">
        <v>55</v>
      </c>
      <c r="B145" t="s">
        <v>15</v>
      </c>
      <c r="C145">
        <v>2</v>
      </c>
      <c r="D145" t="s">
        <v>8</v>
      </c>
      <c r="E145">
        <v>0.94869885300000001</v>
      </c>
    </row>
    <row r="146" spans="1:5" x14ac:dyDescent="0.35">
      <c r="A146" t="s">
        <v>55</v>
      </c>
      <c r="B146" t="s">
        <v>16</v>
      </c>
      <c r="C146">
        <v>2</v>
      </c>
      <c r="D146" t="s">
        <v>8</v>
      </c>
      <c r="E146">
        <v>0</v>
      </c>
    </row>
    <row r="147" spans="1:5" x14ac:dyDescent="0.35">
      <c r="A147" t="s">
        <v>55</v>
      </c>
      <c r="B147" t="s">
        <v>17</v>
      </c>
      <c r="C147">
        <v>2</v>
      </c>
      <c r="D147" t="s">
        <v>8</v>
      </c>
      <c r="E147">
        <v>62.158030799999999</v>
      </c>
    </row>
    <row r="148" spans="1:5" x14ac:dyDescent="0.35">
      <c r="A148" t="s">
        <v>55</v>
      </c>
      <c r="B148" t="s">
        <v>18</v>
      </c>
      <c r="C148">
        <v>2</v>
      </c>
      <c r="D148" t="s">
        <v>8</v>
      </c>
      <c r="E148">
        <v>18.124367880000001</v>
      </c>
    </row>
    <row r="149" spans="1:5" x14ac:dyDescent="0.35">
      <c r="A149" t="s">
        <v>55</v>
      </c>
      <c r="B149" t="s">
        <v>20</v>
      </c>
      <c r="C149">
        <v>2</v>
      </c>
      <c r="D149" t="s">
        <v>8</v>
      </c>
      <c r="E149">
        <v>0.680279725</v>
      </c>
    </row>
    <row r="150" spans="1:5" x14ac:dyDescent="0.35">
      <c r="A150" t="s">
        <v>55</v>
      </c>
      <c r="B150" t="s">
        <v>21</v>
      </c>
      <c r="C150">
        <v>2</v>
      </c>
      <c r="D150" t="s">
        <v>8</v>
      </c>
      <c r="E150">
        <v>0</v>
      </c>
    </row>
    <row r="151" spans="1:5" x14ac:dyDescent="0.35">
      <c r="A151" t="s">
        <v>55</v>
      </c>
      <c r="B151" t="s">
        <v>22</v>
      </c>
      <c r="C151">
        <v>2</v>
      </c>
      <c r="D151" t="s">
        <v>8</v>
      </c>
      <c r="E151">
        <v>30.996058319999999</v>
      </c>
    </row>
    <row r="152" spans="1:5" x14ac:dyDescent="0.35">
      <c r="A152" t="s">
        <v>55</v>
      </c>
      <c r="B152" t="s">
        <v>23</v>
      </c>
      <c r="C152">
        <v>2</v>
      </c>
      <c r="D152" t="s">
        <v>8</v>
      </c>
      <c r="E152">
        <v>0</v>
      </c>
    </row>
    <row r="153" spans="1:5" x14ac:dyDescent="0.35">
      <c r="A153" t="s">
        <v>55</v>
      </c>
      <c r="B153" t="s">
        <v>24</v>
      </c>
      <c r="C153">
        <v>2</v>
      </c>
      <c r="D153" t="s">
        <v>8</v>
      </c>
      <c r="E153">
        <v>59.29393348</v>
      </c>
    </row>
    <row r="154" spans="1:5" x14ac:dyDescent="0.35">
      <c r="A154" t="s">
        <v>55</v>
      </c>
      <c r="B154" t="s">
        <v>25</v>
      </c>
      <c r="C154">
        <v>2</v>
      </c>
      <c r="D154" t="s">
        <v>8</v>
      </c>
      <c r="E154">
        <v>3.0710170130000001</v>
      </c>
    </row>
    <row r="155" spans="1:5" x14ac:dyDescent="0.35">
      <c r="A155" t="s">
        <v>55</v>
      </c>
      <c r="B155" t="s">
        <v>26</v>
      </c>
      <c r="C155">
        <v>2</v>
      </c>
      <c r="D155" t="s">
        <v>8</v>
      </c>
      <c r="E155">
        <v>30.532481000000001</v>
      </c>
    </row>
    <row r="156" spans="1:5" x14ac:dyDescent="0.35">
      <c r="A156" t="s">
        <v>55</v>
      </c>
      <c r="B156" t="s">
        <v>27</v>
      </c>
      <c r="C156">
        <v>2</v>
      </c>
      <c r="D156" t="s">
        <v>8</v>
      </c>
      <c r="E156">
        <v>10.34476731</v>
      </c>
    </row>
    <row r="157" spans="1:5" x14ac:dyDescent="0.35">
      <c r="A157" t="s">
        <v>55</v>
      </c>
      <c r="B157" t="s">
        <v>28</v>
      </c>
      <c r="C157">
        <v>2</v>
      </c>
      <c r="D157" t="s">
        <v>8</v>
      </c>
      <c r="E157">
        <v>1.05364444</v>
      </c>
    </row>
    <row r="158" spans="1:5" x14ac:dyDescent="0.35">
      <c r="A158" t="s">
        <v>55</v>
      </c>
      <c r="B158" t="s">
        <v>29</v>
      </c>
      <c r="C158">
        <v>2</v>
      </c>
      <c r="D158" t="s">
        <v>8</v>
      </c>
      <c r="E158">
        <v>4.8653012420000001</v>
      </c>
    </row>
    <row r="159" spans="1:5" x14ac:dyDescent="0.35">
      <c r="A159" t="s">
        <v>55</v>
      </c>
      <c r="B159" t="s">
        <v>30</v>
      </c>
      <c r="C159">
        <v>2</v>
      </c>
      <c r="D159" t="s">
        <v>8</v>
      </c>
      <c r="E159">
        <v>0.74074454899999997</v>
      </c>
    </row>
    <row r="160" spans="1:5" x14ac:dyDescent="0.35">
      <c r="A160" t="s">
        <v>55</v>
      </c>
      <c r="B160" t="s">
        <v>31</v>
      </c>
      <c r="C160">
        <v>2</v>
      </c>
      <c r="D160" t="s">
        <v>8</v>
      </c>
      <c r="E160">
        <v>0</v>
      </c>
    </row>
    <row r="161" spans="1:5" x14ac:dyDescent="0.35">
      <c r="A161" t="s">
        <v>55</v>
      </c>
      <c r="B161" t="s">
        <v>32</v>
      </c>
      <c r="C161">
        <v>2</v>
      </c>
      <c r="D161" t="s">
        <v>8</v>
      </c>
      <c r="E161">
        <v>2.422117971</v>
      </c>
    </row>
    <row r="162" spans="1:5" x14ac:dyDescent="0.35">
      <c r="A162" t="s">
        <v>55</v>
      </c>
      <c r="B162" t="s">
        <v>33</v>
      </c>
      <c r="C162">
        <v>2</v>
      </c>
      <c r="D162" t="s">
        <v>8</v>
      </c>
      <c r="E162">
        <v>0</v>
      </c>
    </row>
    <row r="163" spans="1:5" x14ac:dyDescent="0.35">
      <c r="A163" t="s">
        <v>55</v>
      </c>
      <c r="B163" t="s">
        <v>34</v>
      </c>
      <c r="C163">
        <v>2</v>
      </c>
      <c r="D163" t="s">
        <v>8</v>
      </c>
      <c r="E163">
        <v>0</v>
      </c>
    </row>
    <row r="164" spans="1:5" x14ac:dyDescent="0.35">
      <c r="A164" t="s">
        <v>55</v>
      </c>
      <c r="B164" t="s">
        <v>35</v>
      </c>
      <c r="C164">
        <v>2</v>
      </c>
      <c r="D164" t="s">
        <v>8</v>
      </c>
      <c r="E164">
        <v>9.8568609489999996</v>
      </c>
    </row>
    <row r="165" spans="1:5" x14ac:dyDescent="0.35">
      <c r="A165" t="s">
        <v>55</v>
      </c>
      <c r="B165" t="s">
        <v>36</v>
      </c>
      <c r="C165">
        <v>2</v>
      </c>
      <c r="D165" t="s">
        <v>8</v>
      </c>
      <c r="E165">
        <v>0.42951054300000002</v>
      </c>
    </row>
    <row r="166" spans="1:5" x14ac:dyDescent="0.35">
      <c r="A166" t="s">
        <v>55</v>
      </c>
      <c r="B166" t="s">
        <v>37</v>
      </c>
      <c r="C166">
        <v>2</v>
      </c>
      <c r="D166" t="s">
        <v>8</v>
      </c>
      <c r="E166">
        <v>4.3609409120000002</v>
      </c>
    </row>
    <row r="167" spans="1:5" x14ac:dyDescent="0.35">
      <c r="A167" t="s">
        <v>55</v>
      </c>
      <c r="B167" t="s">
        <v>38</v>
      </c>
      <c r="C167">
        <v>2</v>
      </c>
      <c r="D167" t="s">
        <v>8</v>
      </c>
      <c r="E167">
        <v>0</v>
      </c>
    </row>
    <row r="168" spans="1:5" x14ac:dyDescent="0.35">
      <c r="A168" t="s">
        <v>55</v>
      </c>
      <c r="B168" t="s">
        <v>39</v>
      </c>
      <c r="C168">
        <v>2</v>
      </c>
      <c r="D168" t="s">
        <v>8</v>
      </c>
      <c r="E168">
        <v>0</v>
      </c>
    </row>
    <row r="169" spans="1:5" x14ac:dyDescent="0.35">
      <c r="A169" t="s">
        <v>55</v>
      </c>
      <c r="B169" t="s">
        <v>40</v>
      </c>
      <c r="C169">
        <v>2</v>
      </c>
      <c r="D169" t="s">
        <v>8</v>
      </c>
      <c r="E169">
        <v>0.53112103300000002</v>
      </c>
    </row>
    <row r="170" spans="1:5" x14ac:dyDescent="0.35">
      <c r="A170" t="s">
        <v>55</v>
      </c>
      <c r="B170" t="s">
        <v>41</v>
      </c>
      <c r="C170">
        <v>2</v>
      </c>
      <c r="D170" t="s">
        <v>8</v>
      </c>
      <c r="E170">
        <v>0</v>
      </c>
    </row>
    <row r="171" spans="1:5" x14ac:dyDescent="0.35">
      <c r="A171" t="s">
        <v>55</v>
      </c>
      <c r="B171" t="s">
        <v>42</v>
      </c>
      <c r="C171">
        <v>2</v>
      </c>
      <c r="D171" t="s">
        <v>8</v>
      </c>
      <c r="E171">
        <v>0</v>
      </c>
    </row>
    <row r="172" spans="1:5" x14ac:dyDescent="0.35">
      <c r="A172" t="s">
        <v>56</v>
      </c>
      <c r="B172" t="s">
        <v>7</v>
      </c>
      <c r="C172">
        <v>2</v>
      </c>
      <c r="D172" t="s">
        <v>51</v>
      </c>
      <c r="E172">
        <v>0</v>
      </c>
    </row>
    <row r="173" spans="1:5" x14ac:dyDescent="0.35">
      <c r="A173" t="s">
        <v>56</v>
      </c>
      <c r="B173" t="s">
        <v>9</v>
      </c>
      <c r="C173">
        <v>2</v>
      </c>
      <c r="D173" t="s">
        <v>51</v>
      </c>
      <c r="E173">
        <v>0</v>
      </c>
    </row>
    <row r="174" spans="1:5" x14ac:dyDescent="0.35">
      <c r="A174" t="s">
        <v>56</v>
      </c>
      <c r="B174" t="s">
        <v>10</v>
      </c>
      <c r="C174">
        <v>2</v>
      </c>
      <c r="D174" t="s">
        <v>51</v>
      </c>
      <c r="E174">
        <v>0</v>
      </c>
    </row>
    <row r="175" spans="1:5" x14ac:dyDescent="0.35">
      <c r="A175" t="s">
        <v>56</v>
      </c>
      <c r="B175" t="s">
        <v>11</v>
      </c>
      <c r="C175">
        <v>2</v>
      </c>
      <c r="D175" t="s">
        <v>51</v>
      </c>
      <c r="E175">
        <v>0.47422827699999998</v>
      </c>
    </row>
    <row r="176" spans="1:5" x14ac:dyDescent="0.35">
      <c r="A176" t="s">
        <v>56</v>
      </c>
      <c r="B176" t="s">
        <v>12</v>
      </c>
      <c r="C176">
        <v>2</v>
      </c>
      <c r="D176" t="s">
        <v>51</v>
      </c>
      <c r="E176">
        <v>4.5769116319999998</v>
      </c>
    </row>
    <row r="177" spans="1:5" x14ac:dyDescent="0.35">
      <c r="A177" t="s">
        <v>56</v>
      </c>
      <c r="B177" t="s">
        <v>13</v>
      </c>
      <c r="C177">
        <v>2</v>
      </c>
      <c r="D177" t="s">
        <v>51</v>
      </c>
      <c r="E177">
        <v>7.2091517349999998</v>
      </c>
    </row>
    <row r="178" spans="1:5" x14ac:dyDescent="0.35">
      <c r="A178" t="s">
        <v>56</v>
      </c>
      <c r="B178" t="s">
        <v>14</v>
      </c>
      <c r="C178">
        <v>2</v>
      </c>
      <c r="D178" t="s">
        <v>51</v>
      </c>
      <c r="E178">
        <v>0</v>
      </c>
    </row>
    <row r="179" spans="1:5" x14ac:dyDescent="0.35">
      <c r="A179" t="s">
        <v>56</v>
      </c>
      <c r="B179" t="s">
        <v>15</v>
      </c>
      <c r="C179">
        <v>2</v>
      </c>
      <c r="D179" t="s">
        <v>51</v>
      </c>
      <c r="E179">
        <v>0.62613169099999999</v>
      </c>
    </row>
    <row r="180" spans="1:5" x14ac:dyDescent="0.35">
      <c r="A180" t="s">
        <v>56</v>
      </c>
      <c r="B180" t="s">
        <v>16</v>
      </c>
      <c r="C180">
        <v>2</v>
      </c>
      <c r="D180" t="s">
        <v>51</v>
      </c>
      <c r="E180">
        <v>0</v>
      </c>
    </row>
    <row r="181" spans="1:5" x14ac:dyDescent="0.35">
      <c r="A181" t="s">
        <v>56</v>
      </c>
      <c r="B181" t="s">
        <v>17</v>
      </c>
      <c r="C181">
        <v>2</v>
      </c>
      <c r="D181" t="s">
        <v>51</v>
      </c>
      <c r="E181">
        <v>44.154871559999997</v>
      </c>
    </row>
    <row r="182" spans="1:5" x14ac:dyDescent="0.35">
      <c r="A182" t="s">
        <v>56</v>
      </c>
      <c r="B182" t="s">
        <v>18</v>
      </c>
      <c r="C182">
        <v>2</v>
      </c>
      <c r="D182" t="s">
        <v>51</v>
      </c>
      <c r="E182">
        <v>20.22823623</v>
      </c>
    </row>
    <row r="183" spans="1:5" x14ac:dyDescent="0.35">
      <c r="A183" t="s">
        <v>56</v>
      </c>
      <c r="B183" t="s">
        <v>20</v>
      </c>
      <c r="C183">
        <v>2</v>
      </c>
      <c r="D183" t="s">
        <v>51</v>
      </c>
      <c r="E183">
        <v>0.53833979600000004</v>
      </c>
    </row>
    <row r="184" spans="1:5" x14ac:dyDescent="0.35">
      <c r="A184" t="s">
        <v>56</v>
      </c>
      <c r="B184" t="s">
        <v>21</v>
      </c>
      <c r="C184">
        <v>2</v>
      </c>
      <c r="D184" t="s">
        <v>51</v>
      </c>
      <c r="E184">
        <v>22.334166700000001</v>
      </c>
    </row>
    <row r="185" spans="1:5" x14ac:dyDescent="0.35">
      <c r="A185" t="s">
        <v>56</v>
      </c>
      <c r="B185" t="s">
        <v>22</v>
      </c>
      <c r="C185">
        <v>2</v>
      </c>
      <c r="D185" t="s">
        <v>51</v>
      </c>
      <c r="E185">
        <v>68.613326189999995</v>
      </c>
    </row>
    <row r="186" spans="1:5" x14ac:dyDescent="0.35">
      <c r="A186" t="s">
        <v>56</v>
      </c>
      <c r="B186" t="s">
        <v>23</v>
      </c>
      <c r="C186">
        <v>2</v>
      </c>
      <c r="D186" t="s">
        <v>51</v>
      </c>
      <c r="E186">
        <v>0</v>
      </c>
    </row>
    <row r="187" spans="1:5" x14ac:dyDescent="0.35">
      <c r="A187" t="s">
        <v>56</v>
      </c>
      <c r="B187" t="s">
        <v>24</v>
      </c>
      <c r="C187">
        <v>2</v>
      </c>
      <c r="D187" t="s">
        <v>51</v>
      </c>
      <c r="E187">
        <v>50.538161359999997</v>
      </c>
    </row>
    <row r="188" spans="1:5" x14ac:dyDescent="0.35">
      <c r="A188" t="s">
        <v>56</v>
      </c>
      <c r="B188" t="s">
        <v>25</v>
      </c>
      <c r="C188">
        <v>2</v>
      </c>
      <c r="D188" t="s">
        <v>51</v>
      </c>
      <c r="E188">
        <v>1.4209899699999999</v>
      </c>
    </row>
    <row r="189" spans="1:5" x14ac:dyDescent="0.35">
      <c r="A189" t="s">
        <v>56</v>
      </c>
      <c r="B189" t="s">
        <v>26</v>
      </c>
      <c r="C189">
        <v>2</v>
      </c>
      <c r="D189" t="s">
        <v>51</v>
      </c>
      <c r="E189">
        <v>22.641164310000001</v>
      </c>
    </row>
    <row r="190" spans="1:5" x14ac:dyDescent="0.35">
      <c r="A190" t="s">
        <v>56</v>
      </c>
      <c r="B190" t="s">
        <v>27</v>
      </c>
      <c r="C190">
        <v>2</v>
      </c>
      <c r="D190" t="s">
        <v>51</v>
      </c>
      <c r="E190">
        <v>7.1538795720000001</v>
      </c>
    </row>
    <row r="191" spans="1:5" x14ac:dyDescent="0.35">
      <c r="A191" t="s">
        <v>56</v>
      </c>
      <c r="B191" t="s">
        <v>28</v>
      </c>
      <c r="C191">
        <v>2</v>
      </c>
      <c r="D191" t="s">
        <v>51</v>
      </c>
      <c r="E191">
        <v>0.83672843699999999</v>
      </c>
    </row>
    <row r="192" spans="1:5" x14ac:dyDescent="0.35">
      <c r="A192" t="s">
        <v>56</v>
      </c>
      <c r="B192" t="s">
        <v>29</v>
      </c>
      <c r="C192">
        <v>2</v>
      </c>
      <c r="D192" t="s">
        <v>51</v>
      </c>
      <c r="E192">
        <v>2.9141449189999999</v>
      </c>
    </row>
    <row r="193" spans="1:5" x14ac:dyDescent="0.35">
      <c r="A193" t="s">
        <v>56</v>
      </c>
      <c r="B193" t="s">
        <v>30</v>
      </c>
      <c r="C193">
        <v>2</v>
      </c>
      <c r="D193" t="s">
        <v>51</v>
      </c>
      <c r="E193">
        <v>0</v>
      </c>
    </row>
    <row r="194" spans="1:5" x14ac:dyDescent="0.35">
      <c r="A194" t="s">
        <v>56</v>
      </c>
      <c r="B194" t="s">
        <v>31</v>
      </c>
      <c r="C194">
        <v>2</v>
      </c>
      <c r="D194" t="s">
        <v>51</v>
      </c>
      <c r="E194">
        <v>0</v>
      </c>
    </row>
    <row r="195" spans="1:5" x14ac:dyDescent="0.35">
      <c r="A195" t="s">
        <v>56</v>
      </c>
      <c r="B195" t="s">
        <v>32</v>
      </c>
      <c r="C195">
        <v>2</v>
      </c>
      <c r="D195" t="s">
        <v>51</v>
      </c>
      <c r="E195">
        <v>1.0248155940000001</v>
      </c>
    </row>
    <row r="196" spans="1:5" x14ac:dyDescent="0.35">
      <c r="A196" t="s">
        <v>56</v>
      </c>
      <c r="B196" t="s">
        <v>33</v>
      </c>
      <c r="C196">
        <v>2</v>
      </c>
      <c r="D196" t="s">
        <v>51</v>
      </c>
      <c r="E196">
        <v>0</v>
      </c>
    </row>
    <row r="197" spans="1:5" x14ac:dyDescent="0.35">
      <c r="A197" t="s">
        <v>56</v>
      </c>
      <c r="B197" t="s">
        <v>34</v>
      </c>
      <c r="C197">
        <v>2</v>
      </c>
      <c r="D197" t="s">
        <v>51</v>
      </c>
      <c r="E197">
        <v>0</v>
      </c>
    </row>
    <row r="198" spans="1:5" x14ac:dyDescent="0.35">
      <c r="A198" t="s">
        <v>56</v>
      </c>
      <c r="B198" t="s">
        <v>35</v>
      </c>
      <c r="C198">
        <v>2</v>
      </c>
      <c r="D198" t="s">
        <v>51</v>
      </c>
      <c r="E198">
        <v>3.368910976</v>
      </c>
    </row>
    <row r="199" spans="1:5" x14ac:dyDescent="0.35">
      <c r="A199" t="s">
        <v>56</v>
      </c>
      <c r="B199" t="s">
        <v>36</v>
      </c>
      <c r="C199">
        <v>2</v>
      </c>
      <c r="D199" t="s">
        <v>51</v>
      </c>
      <c r="E199">
        <v>0.96973247299999998</v>
      </c>
    </row>
    <row r="200" spans="1:5" x14ac:dyDescent="0.35">
      <c r="A200" t="s">
        <v>56</v>
      </c>
      <c r="B200" t="s">
        <v>37</v>
      </c>
      <c r="C200">
        <v>2</v>
      </c>
      <c r="D200" t="s">
        <v>51</v>
      </c>
      <c r="E200">
        <v>4.0121145900000004</v>
      </c>
    </row>
    <row r="201" spans="1:5" x14ac:dyDescent="0.35">
      <c r="A201" t="s">
        <v>56</v>
      </c>
      <c r="B201" t="s">
        <v>38</v>
      </c>
      <c r="C201">
        <v>2</v>
      </c>
      <c r="D201" t="s">
        <v>51</v>
      </c>
      <c r="E201">
        <v>0</v>
      </c>
    </row>
    <row r="202" spans="1:5" x14ac:dyDescent="0.35">
      <c r="A202" t="s">
        <v>56</v>
      </c>
      <c r="B202" t="s">
        <v>39</v>
      </c>
      <c r="C202">
        <v>2</v>
      </c>
      <c r="D202" t="s">
        <v>51</v>
      </c>
      <c r="E202">
        <v>0</v>
      </c>
    </row>
    <row r="203" spans="1:5" x14ac:dyDescent="0.35">
      <c r="A203" t="s">
        <v>56</v>
      </c>
      <c r="B203" t="s">
        <v>40</v>
      </c>
      <c r="C203">
        <v>2</v>
      </c>
      <c r="D203" t="s">
        <v>51</v>
      </c>
      <c r="E203">
        <v>0.35474055799999998</v>
      </c>
    </row>
    <row r="204" spans="1:5" x14ac:dyDescent="0.35">
      <c r="A204" t="s">
        <v>56</v>
      </c>
      <c r="B204" t="s">
        <v>41</v>
      </c>
      <c r="C204">
        <v>2</v>
      </c>
      <c r="D204" t="s">
        <v>51</v>
      </c>
      <c r="E204">
        <v>0</v>
      </c>
    </row>
    <row r="205" spans="1:5" x14ac:dyDescent="0.35">
      <c r="A205" t="s">
        <v>56</v>
      </c>
      <c r="B205" t="s">
        <v>42</v>
      </c>
      <c r="C205">
        <v>2</v>
      </c>
      <c r="D205" t="s">
        <v>51</v>
      </c>
      <c r="E205">
        <v>0</v>
      </c>
    </row>
    <row r="206" spans="1:5" x14ac:dyDescent="0.35">
      <c r="A206" t="s">
        <v>57</v>
      </c>
      <c r="B206" t="s">
        <v>7</v>
      </c>
      <c r="C206">
        <v>2</v>
      </c>
      <c r="D206" t="s">
        <v>50</v>
      </c>
      <c r="E206">
        <v>0</v>
      </c>
    </row>
    <row r="207" spans="1:5" x14ac:dyDescent="0.35">
      <c r="A207" t="s">
        <v>57</v>
      </c>
      <c r="B207" t="s">
        <v>9</v>
      </c>
      <c r="C207">
        <v>2</v>
      </c>
      <c r="D207" t="s">
        <v>50</v>
      </c>
      <c r="E207">
        <v>0</v>
      </c>
    </row>
    <row r="208" spans="1:5" x14ac:dyDescent="0.35">
      <c r="A208" t="s">
        <v>57</v>
      </c>
      <c r="B208" t="s">
        <v>10</v>
      </c>
      <c r="C208">
        <v>2</v>
      </c>
      <c r="D208" t="s">
        <v>50</v>
      </c>
      <c r="E208">
        <v>0</v>
      </c>
    </row>
    <row r="209" spans="1:5" x14ac:dyDescent="0.35">
      <c r="A209" t="s">
        <v>57</v>
      </c>
      <c r="B209" t="s">
        <v>11</v>
      </c>
      <c r="C209">
        <v>2</v>
      </c>
      <c r="D209" t="s">
        <v>50</v>
      </c>
      <c r="E209">
        <v>0.99079398699999999</v>
      </c>
    </row>
    <row r="210" spans="1:5" x14ac:dyDescent="0.35">
      <c r="A210" t="s">
        <v>57</v>
      </c>
      <c r="B210" t="s">
        <v>12</v>
      </c>
      <c r="C210">
        <v>2</v>
      </c>
      <c r="D210" t="s">
        <v>50</v>
      </c>
      <c r="E210">
        <v>4.2072378989999999</v>
      </c>
    </row>
    <row r="211" spans="1:5" x14ac:dyDescent="0.35">
      <c r="A211" t="s">
        <v>57</v>
      </c>
      <c r="B211" t="s">
        <v>13</v>
      </c>
      <c r="C211">
        <v>2</v>
      </c>
      <c r="D211" t="s">
        <v>50</v>
      </c>
      <c r="E211">
        <v>9.5754360629999997</v>
      </c>
    </row>
    <row r="212" spans="1:5" x14ac:dyDescent="0.35">
      <c r="A212" t="s">
        <v>57</v>
      </c>
      <c r="B212" t="s">
        <v>14</v>
      </c>
      <c r="C212">
        <v>2</v>
      </c>
      <c r="D212" t="s">
        <v>50</v>
      </c>
      <c r="E212">
        <v>0</v>
      </c>
    </row>
    <row r="213" spans="1:5" x14ac:dyDescent="0.35">
      <c r="A213" t="s">
        <v>57</v>
      </c>
      <c r="B213" t="s">
        <v>15</v>
      </c>
      <c r="C213">
        <v>2</v>
      </c>
      <c r="D213" t="s">
        <v>50</v>
      </c>
      <c r="E213">
        <v>0.687192735</v>
      </c>
    </row>
    <row r="214" spans="1:5" x14ac:dyDescent="0.35">
      <c r="A214" t="s">
        <v>57</v>
      </c>
      <c r="B214" t="s">
        <v>16</v>
      </c>
      <c r="C214">
        <v>2</v>
      </c>
      <c r="D214" t="s">
        <v>50</v>
      </c>
      <c r="E214">
        <v>0</v>
      </c>
    </row>
    <row r="215" spans="1:5" x14ac:dyDescent="0.35">
      <c r="A215" t="s">
        <v>57</v>
      </c>
      <c r="B215" t="s">
        <v>17</v>
      </c>
      <c r="C215">
        <v>2</v>
      </c>
      <c r="D215" t="s">
        <v>50</v>
      </c>
      <c r="E215">
        <v>42.294270300000001</v>
      </c>
    </row>
    <row r="216" spans="1:5" x14ac:dyDescent="0.35">
      <c r="A216" t="s">
        <v>57</v>
      </c>
      <c r="B216" t="s">
        <v>18</v>
      </c>
      <c r="C216">
        <v>2</v>
      </c>
      <c r="D216" t="s">
        <v>50</v>
      </c>
      <c r="E216">
        <v>26.861565259999999</v>
      </c>
    </row>
    <row r="217" spans="1:5" x14ac:dyDescent="0.35">
      <c r="A217" t="s">
        <v>57</v>
      </c>
      <c r="B217" t="s">
        <v>20</v>
      </c>
      <c r="C217">
        <v>2</v>
      </c>
      <c r="D217" t="s">
        <v>50</v>
      </c>
      <c r="E217">
        <v>0.37598595600000001</v>
      </c>
    </row>
    <row r="218" spans="1:5" x14ac:dyDescent="0.35">
      <c r="A218" t="s">
        <v>57</v>
      </c>
      <c r="B218" t="s">
        <v>21</v>
      </c>
      <c r="C218">
        <v>2</v>
      </c>
      <c r="D218" t="s">
        <v>50</v>
      </c>
      <c r="E218">
        <v>12.21878304</v>
      </c>
    </row>
    <row r="219" spans="1:5" x14ac:dyDescent="0.35">
      <c r="A219" t="s">
        <v>57</v>
      </c>
      <c r="B219" t="s">
        <v>22</v>
      </c>
      <c r="C219">
        <v>2</v>
      </c>
      <c r="D219" t="s">
        <v>50</v>
      </c>
      <c r="E219">
        <v>39.958174290000002</v>
      </c>
    </row>
    <row r="220" spans="1:5" x14ac:dyDescent="0.35">
      <c r="A220" t="s">
        <v>57</v>
      </c>
      <c r="B220" t="s">
        <v>23</v>
      </c>
      <c r="C220">
        <v>2</v>
      </c>
      <c r="D220" t="s">
        <v>50</v>
      </c>
      <c r="E220">
        <v>0</v>
      </c>
    </row>
    <row r="221" spans="1:5" x14ac:dyDescent="0.35">
      <c r="A221" t="s">
        <v>57</v>
      </c>
      <c r="B221" t="s">
        <v>24</v>
      </c>
      <c r="C221">
        <v>2</v>
      </c>
      <c r="D221" t="s">
        <v>50</v>
      </c>
      <c r="E221">
        <v>36.002807709999999</v>
      </c>
    </row>
    <row r="222" spans="1:5" x14ac:dyDescent="0.35">
      <c r="A222" t="s">
        <v>57</v>
      </c>
      <c r="B222" t="s">
        <v>25</v>
      </c>
      <c r="C222">
        <v>2</v>
      </c>
      <c r="D222" t="s">
        <v>50</v>
      </c>
      <c r="E222">
        <v>2.3347344639999998</v>
      </c>
    </row>
    <row r="223" spans="1:5" x14ac:dyDescent="0.35">
      <c r="A223" t="s">
        <v>57</v>
      </c>
      <c r="B223" t="s">
        <v>26</v>
      </c>
      <c r="C223">
        <v>2</v>
      </c>
      <c r="D223" t="s">
        <v>50</v>
      </c>
      <c r="E223">
        <v>15.390158100000001</v>
      </c>
    </row>
    <row r="224" spans="1:5" x14ac:dyDescent="0.35">
      <c r="A224" t="s">
        <v>57</v>
      </c>
      <c r="B224" t="s">
        <v>27</v>
      </c>
      <c r="C224">
        <v>2</v>
      </c>
      <c r="D224" t="s">
        <v>50</v>
      </c>
      <c r="E224">
        <v>5.7032671190000004</v>
      </c>
    </row>
    <row r="225" spans="1:5" x14ac:dyDescent="0.35">
      <c r="A225" t="s">
        <v>57</v>
      </c>
      <c r="B225" t="s">
        <v>28</v>
      </c>
      <c r="C225">
        <v>2</v>
      </c>
      <c r="D225" t="s">
        <v>50</v>
      </c>
      <c r="E225">
        <v>0.58274159999999997</v>
      </c>
    </row>
    <row r="226" spans="1:5" x14ac:dyDescent="0.35">
      <c r="A226" t="s">
        <v>57</v>
      </c>
      <c r="B226" t="s">
        <v>29</v>
      </c>
      <c r="C226">
        <v>2</v>
      </c>
      <c r="D226" t="s">
        <v>50</v>
      </c>
      <c r="E226">
        <v>2.3497763599999999</v>
      </c>
    </row>
    <row r="227" spans="1:5" x14ac:dyDescent="0.35">
      <c r="A227" t="s">
        <v>57</v>
      </c>
      <c r="B227" t="s">
        <v>30</v>
      </c>
      <c r="C227">
        <v>2</v>
      </c>
      <c r="D227" t="s">
        <v>50</v>
      </c>
      <c r="E227">
        <v>0</v>
      </c>
    </row>
    <row r="228" spans="1:5" x14ac:dyDescent="0.35">
      <c r="A228" t="s">
        <v>57</v>
      </c>
      <c r="B228" t="s">
        <v>31</v>
      </c>
      <c r="C228">
        <v>2</v>
      </c>
      <c r="D228" t="s">
        <v>50</v>
      </c>
      <c r="E228">
        <v>0</v>
      </c>
    </row>
    <row r="229" spans="1:5" x14ac:dyDescent="0.35">
      <c r="A229" t="s">
        <v>57</v>
      </c>
      <c r="B229" t="s">
        <v>32</v>
      </c>
      <c r="C229">
        <v>2</v>
      </c>
      <c r="D229" t="s">
        <v>50</v>
      </c>
      <c r="E229">
        <v>1.483524394</v>
      </c>
    </row>
    <row r="230" spans="1:5" x14ac:dyDescent="0.35">
      <c r="A230" t="s">
        <v>57</v>
      </c>
      <c r="B230" t="s">
        <v>33</v>
      </c>
      <c r="C230">
        <v>2</v>
      </c>
      <c r="D230" t="s">
        <v>50</v>
      </c>
      <c r="E230">
        <v>0</v>
      </c>
    </row>
    <row r="231" spans="1:5" x14ac:dyDescent="0.35">
      <c r="A231" t="s">
        <v>57</v>
      </c>
      <c r="B231" t="s">
        <v>34</v>
      </c>
      <c r="C231">
        <v>2</v>
      </c>
      <c r="D231" t="s">
        <v>50</v>
      </c>
      <c r="E231">
        <v>0</v>
      </c>
    </row>
    <row r="232" spans="1:5" x14ac:dyDescent="0.35">
      <c r="A232" t="s">
        <v>57</v>
      </c>
      <c r="B232" t="s">
        <v>35</v>
      </c>
      <c r="C232">
        <v>2</v>
      </c>
      <c r="D232" t="s">
        <v>50</v>
      </c>
      <c r="E232">
        <v>5.3909153400000003</v>
      </c>
    </row>
    <row r="233" spans="1:5" x14ac:dyDescent="0.35">
      <c r="A233" t="s">
        <v>57</v>
      </c>
      <c r="B233" t="s">
        <v>36</v>
      </c>
      <c r="C233">
        <v>2</v>
      </c>
      <c r="D233" t="s">
        <v>50</v>
      </c>
      <c r="E233">
        <v>0.71342492099999999</v>
      </c>
    </row>
    <row r="234" spans="1:5" x14ac:dyDescent="0.35">
      <c r="A234" t="s">
        <v>57</v>
      </c>
      <c r="B234" t="s">
        <v>37</v>
      </c>
      <c r="C234">
        <v>2</v>
      </c>
      <c r="D234" t="s">
        <v>50</v>
      </c>
      <c r="E234">
        <v>2.8241526989999999</v>
      </c>
    </row>
    <row r="235" spans="1:5" x14ac:dyDescent="0.35">
      <c r="A235" t="s">
        <v>57</v>
      </c>
      <c r="B235" t="s">
        <v>38</v>
      </c>
      <c r="C235">
        <v>2</v>
      </c>
      <c r="D235" t="s">
        <v>50</v>
      </c>
      <c r="E235">
        <v>0</v>
      </c>
    </row>
    <row r="236" spans="1:5" x14ac:dyDescent="0.35">
      <c r="A236" t="s">
        <v>57</v>
      </c>
      <c r="B236" t="s">
        <v>39</v>
      </c>
      <c r="C236">
        <v>2</v>
      </c>
      <c r="D236" t="s">
        <v>50</v>
      </c>
      <c r="E236">
        <v>0</v>
      </c>
    </row>
    <row r="237" spans="1:5" x14ac:dyDescent="0.35">
      <c r="A237" t="s">
        <v>57</v>
      </c>
      <c r="B237" t="s">
        <v>40</v>
      </c>
      <c r="C237">
        <v>2</v>
      </c>
      <c r="D237" t="s">
        <v>50</v>
      </c>
      <c r="E237">
        <v>0.26566516899999998</v>
      </c>
    </row>
    <row r="238" spans="1:5" x14ac:dyDescent="0.35">
      <c r="A238" t="s">
        <v>57</v>
      </c>
      <c r="B238" t="s">
        <v>41</v>
      </c>
      <c r="C238">
        <v>2</v>
      </c>
      <c r="D238" t="s">
        <v>50</v>
      </c>
      <c r="E238">
        <v>0</v>
      </c>
    </row>
    <row r="239" spans="1:5" x14ac:dyDescent="0.35">
      <c r="A239" t="s">
        <v>57</v>
      </c>
      <c r="B239" t="s">
        <v>42</v>
      </c>
      <c r="C239">
        <v>2</v>
      </c>
      <c r="D239" t="s">
        <v>50</v>
      </c>
      <c r="E239">
        <v>0</v>
      </c>
    </row>
    <row r="240" spans="1:5" x14ac:dyDescent="0.35">
      <c r="A240" t="s">
        <v>58</v>
      </c>
      <c r="B240" t="s">
        <v>7</v>
      </c>
      <c r="C240">
        <v>2</v>
      </c>
      <c r="D240" t="s">
        <v>54</v>
      </c>
      <c r="E240">
        <v>0</v>
      </c>
    </row>
    <row r="241" spans="1:5" x14ac:dyDescent="0.35">
      <c r="A241" t="s">
        <v>58</v>
      </c>
      <c r="B241" t="s">
        <v>9</v>
      </c>
      <c r="C241">
        <v>2</v>
      </c>
      <c r="D241" t="s">
        <v>54</v>
      </c>
      <c r="E241">
        <v>0</v>
      </c>
    </row>
    <row r="242" spans="1:5" x14ac:dyDescent="0.35">
      <c r="A242" t="s">
        <v>58</v>
      </c>
      <c r="B242" t="s">
        <v>10</v>
      </c>
      <c r="C242">
        <v>2</v>
      </c>
      <c r="D242" t="s">
        <v>54</v>
      </c>
      <c r="E242">
        <v>0</v>
      </c>
    </row>
    <row r="243" spans="1:5" x14ac:dyDescent="0.35">
      <c r="A243" t="s">
        <v>58</v>
      </c>
      <c r="B243" t="s">
        <v>11</v>
      </c>
      <c r="C243">
        <v>2</v>
      </c>
      <c r="D243" t="s">
        <v>54</v>
      </c>
      <c r="E243">
        <v>0.97657604099999995</v>
      </c>
    </row>
    <row r="244" spans="1:5" x14ac:dyDescent="0.35">
      <c r="A244" t="s">
        <v>58</v>
      </c>
      <c r="B244" t="s">
        <v>12</v>
      </c>
      <c r="C244">
        <v>2</v>
      </c>
      <c r="D244" t="s">
        <v>54</v>
      </c>
      <c r="E244">
        <v>4.2548418229999996</v>
      </c>
    </row>
    <row r="245" spans="1:5" x14ac:dyDescent="0.35">
      <c r="A245" t="s">
        <v>58</v>
      </c>
      <c r="B245" t="s">
        <v>13</v>
      </c>
      <c r="C245">
        <v>2</v>
      </c>
      <c r="D245" t="s">
        <v>54</v>
      </c>
      <c r="E245">
        <v>6.8888744050000001</v>
      </c>
    </row>
    <row r="246" spans="1:5" x14ac:dyDescent="0.35">
      <c r="A246" t="s">
        <v>58</v>
      </c>
      <c r="B246" t="s">
        <v>14</v>
      </c>
      <c r="C246">
        <v>2</v>
      </c>
      <c r="D246" t="s">
        <v>54</v>
      </c>
      <c r="E246">
        <v>0</v>
      </c>
    </row>
    <row r="247" spans="1:5" x14ac:dyDescent="0.35">
      <c r="A247" t="s">
        <v>58</v>
      </c>
      <c r="B247" t="s">
        <v>15</v>
      </c>
      <c r="C247">
        <v>2</v>
      </c>
      <c r="D247" t="s">
        <v>54</v>
      </c>
      <c r="E247">
        <v>0.52036845399999998</v>
      </c>
    </row>
    <row r="248" spans="1:5" x14ac:dyDescent="0.35">
      <c r="A248" t="s">
        <v>58</v>
      </c>
      <c r="B248" t="s">
        <v>16</v>
      </c>
      <c r="C248">
        <v>2</v>
      </c>
      <c r="D248" t="s">
        <v>54</v>
      </c>
      <c r="E248">
        <v>0</v>
      </c>
    </row>
    <row r="249" spans="1:5" x14ac:dyDescent="0.35">
      <c r="A249" t="s">
        <v>58</v>
      </c>
      <c r="B249" t="s">
        <v>17</v>
      </c>
      <c r="C249">
        <v>2</v>
      </c>
      <c r="D249" t="s">
        <v>54</v>
      </c>
      <c r="E249">
        <v>33.134571690000001</v>
      </c>
    </row>
    <row r="250" spans="1:5" x14ac:dyDescent="0.35">
      <c r="A250" t="s">
        <v>58</v>
      </c>
      <c r="B250" t="s">
        <v>18</v>
      </c>
      <c r="C250">
        <v>2</v>
      </c>
      <c r="D250" t="s">
        <v>54</v>
      </c>
      <c r="E250">
        <v>16.70962432</v>
      </c>
    </row>
    <row r="251" spans="1:5" x14ac:dyDescent="0.35">
      <c r="A251" t="s">
        <v>58</v>
      </c>
      <c r="B251" t="s">
        <v>20</v>
      </c>
      <c r="C251">
        <v>2</v>
      </c>
      <c r="D251" t="s">
        <v>54</v>
      </c>
      <c r="E251">
        <v>0.24373703999999999</v>
      </c>
    </row>
    <row r="252" spans="1:5" x14ac:dyDescent="0.35">
      <c r="A252" t="s">
        <v>58</v>
      </c>
      <c r="B252" t="s">
        <v>21</v>
      </c>
      <c r="C252">
        <v>2</v>
      </c>
      <c r="D252" t="s">
        <v>54</v>
      </c>
      <c r="E252">
        <v>14.87901237</v>
      </c>
    </row>
    <row r="253" spans="1:5" x14ac:dyDescent="0.35">
      <c r="A253" t="s">
        <v>58</v>
      </c>
      <c r="B253" t="s">
        <v>22</v>
      </c>
      <c r="C253">
        <v>2</v>
      </c>
      <c r="D253" t="s">
        <v>54</v>
      </c>
      <c r="E253">
        <v>36.60241053</v>
      </c>
    </row>
    <row r="254" spans="1:5" x14ac:dyDescent="0.35">
      <c r="A254" t="s">
        <v>58</v>
      </c>
      <c r="B254" t="s">
        <v>23</v>
      </c>
      <c r="C254">
        <v>2</v>
      </c>
      <c r="D254" t="s">
        <v>54</v>
      </c>
      <c r="E254">
        <v>0</v>
      </c>
    </row>
    <row r="255" spans="1:5" x14ac:dyDescent="0.35">
      <c r="A255" t="s">
        <v>58</v>
      </c>
      <c r="B255" t="s">
        <v>24</v>
      </c>
      <c r="C255">
        <v>2</v>
      </c>
      <c r="D255" t="s">
        <v>54</v>
      </c>
      <c r="E255">
        <v>25.412830159999999</v>
      </c>
    </row>
    <row r="256" spans="1:5" x14ac:dyDescent="0.35">
      <c r="A256" t="s">
        <v>58</v>
      </c>
      <c r="B256" t="s">
        <v>25</v>
      </c>
      <c r="C256">
        <v>2</v>
      </c>
      <c r="D256" t="s">
        <v>54</v>
      </c>
      <c r="E256">
        <v>0.56150036800000003</v>
      </c>
    </row>
    <row r="257" spans="1:5" x14ac:dyDescent="0.35">
      <c r="A257" t="s">
        <v>58</v>
      </c>
      <c r="B257" t="s">
        <v>26</v>
      </c>
      <c r="C257">
        <v>2</v>
      </c>
      <c r="D257" t="s">
        <v>54</v>
      </c>
      <c r="E257">
        <v>12.490031950000001</v>
      </c>
    </row>
    <row r="258" spans="1:5" x14ac:dyDescent="0.35">
      <c r="A258" t="s">
        <v>58</v>
      </c>
      <c r="B258" t="s">
        <v>27</v>
      </c>
      <c r="C258">
        <v>2</v>
      </c>
      <c r="D258" t="s">
        <v>54</v>
      </c>
      <c r="E258">
        <v>4.1916516020000003</v>
      </c>
    </row>
    <row r="259" spans="1:5" x14ac:dyDescent="0.35">
      <c r="A259" t="s">
        <v>58</v>
      </c>
      <c r="B259" t="s">
        <v>28</v>
      </c>
      <c r="C259">
        <v>2</v>
      </c>
      <c r="D259" t="s">
        <v>54</v>
      </c>
      <c r="E259">
        <v>0.42984673099999998</v>
      </c>
    </row>
    <row r="260" spans="1:5" x14ac:dyDescent="0.35">
      <c r="A260" t="s">
        <v>58</v>
      </c>
      <c r="B260" t="s">
        <v>29</v>
      </c>
      <c r="C260">
        <v>2</v>
      </c>
      <c r="D260" t="s">
        <v>54</v>
      </c>
      <c r="E260">
        <v>1.774089027</v>
      </c>
    </row>
    <row r="261" spans="1:5" x14ac:dyDescent="0.35">
      <c r="A261" t="s">
        <v>58</v>
      </c>
      <c r="B261" t="s">
        <v>30</v>
      </c>
      <c r="C261">
        <v>2</v>
      </c>
      <c r="D261" t="s">
        <v>54</v>
      </c>
      <c r="E261">
        <v>0</v>
      </c>
    </row>
    <row r="262" spans="1:5" x14ac:dyDescent="0.35">
      <c r="A262" t="s">
        <v>58</v>
      </c>
      <c r="B262" t="s">
        <v>31</v>
      </c>
      <c r="C262">
        <v>2</v>
      </c>
      <c r="D262" t="s">
        <v>54</v>
      </c>
      <c r="E262">
        <v>0</v>
      </c>
    </row>
    <row r="263" spans="1:5" x14ac:dyDescent="0.35">
      <c r="A263" t="s">
        <v>58</v>
      </c>
      <c r="B263" t="s">
        <v>32</v>
      </c>
      <c r="C263">
        <v>2</v>
      </c>
      <c r="D263" t="s">
        <v>54</v>
      </c>
      <c r="E263">
        <v>0.97830566299999999</v>
      </c>
    </row>
    <row r="264" spans="1:5" x14ac:dyDescent="0.35">
      <c r="A264" t="s">
        <v>58</v>
      </c>
      <c r="B264" t="s">
        <v>33</v>
      </c>
      <c r="C264">
        <v>2</v>
      </c>
      <c r="D264" t="s">
        <v>54</v>
      </c>
      <c r="E264">
        <v>0</v>
      </c>
    </row>
    <row r="265" spans="1:5" x14ac:dyDescent="0.35">
      <c r="A265" t="s">
        <v>58</v>
      </c>
      <c r="B265" t="s">
        <v>34</v>
      </c>
      <c r="C265">
        <v>2</v>
      </c>
      <c r="D265" t="s">
        <v>54</v>
      </c>
      <c r="E265">
        <v>0</v>
      </c>
    </row>
    <row r="266" spans="1:5" x14ac:dyDescent="0.35">
      <c r="A266" t="s">
        <v>58</v>
      </c>
      <c r="B266" t="s">
        <v>35</v>
      </c>
      <c r="C266">
        <v>2</v>
      </c>
      <c r="D266" t="s">
        <v>54</v>
      </c>
      <c r="E266">
        <v>2.2042637030000001</v>
      </c>
    </row>
    <row r="267" spans="1:5" x14ac:dyDescent="0.35">
      <c r="A267" t="s">
        <v>58</v>
      </c>
      <c r="B267" t="s">
        <v>36</v>
      </c>
      <c r="C267">
        <v>2</v>
      </c>
      <c r="D267" t="s">
        <v>54</v>
      </c>
      <c r="E267">
        <v>0</v>
      </c>
    </row>
    <row r="268" spans="1:5" x14ac:dyDescent="0.35">
      <c r="A268" t="s">
        <v>58</v>
      </c>
      <c r="B268" t="s">
        <v>37</v>
      </c>
      <c r="C268">
        <v>2</v>
      </c>
      <c r="D268" t="s">
        <v>54</v>
      </c>
      <c r="E268">
        <v>3.2509624719999999</v>
      </c>
    </row>
    <row r="269" spans="1:5" x14ac:dyDescent="0.35">
      <c r="A269" t="s">
        <v>58</v>
      </c>
      <c r="B269" t="s">
        <v>38</v>
      </c>
      <c r="C269">
        <v>2</v>
      </c>
      <c r="D269" t="s">
        <v>54</v>
      </c>
      <c r="E269">
        <v>0</v>
      </c>
    </row>
    <row r="270" spans="1:5" x14ac:dyDescent="0.35">
      <c r="A270" t="s">
        <v>58</v>
      </c>
      <c r="B270" t="s">
        <v>39</v>
      </c>
      <c r="C270">
        <v>2</v>
      </c>
      <c r="D270" t="s">
        <v>54</v>
      </c>
      <c r="E270">
        <v>0</v>
      </c>
    </row>
    <row r="271" spans="1:5" x14ac:dyDescent="0.35">
      <c r="A271" t="s">
        <v>58</v>
      </c>
      <c r="B271" t="s">
        <v>40</v>
      </c>
      <c r="C271">
        <v>2</v>
      </c>
      <c r="D271" t="s">
        <v>54</v>
      </c>
      <c r="E271">
        <v>0.31325151200000001</v>
      </c>
    </row>
    <row r="272" spans="1:5" x14ac:dyDescent="0.35">
      <c r="A272" t="s">
        <v>58</v>
      </c>
      <c r="B272" t="s">
        <v>41</v>
      </c>
      <c r="C272">
        <v>2</v>
      </c>
      <c r="D272" t="s">
        <v>54</v>
      </c>
      <c r="E272">
        <v>0</v>
      </c>
    </row>
    <row r="273" spans="1:5" x14ac:dyDescent="0.35">
      <c r="A273" t="s">
        <v>58</v>
      </c>
      <c r="B273" t="s">
        <v>42</v>
      </c>
      <c r="C273">
        <v>2</v>
      </c>
      <c r="D273" t="s">
        <v>54</v>
      </c>
      <c r="E273">
        <v>0</v>
      </c>
    </row>
    <row r="274" spans="1:5" x14ac:dyDescent="0.35">
      <c r="A274" t="s">
        <v>67</v>
      </c>
      <c r="B274" t="s">
        <v>7</v>
      </c>
      <c r="C274">
        <v>3</v>
      </c>
      <c r="D274" t="s">
        <v>8</v>
      </c>
      <c r="E274">
        <v>0</v>
      </c>
    </row>
    <row r="275" spans="1:5" x14ac:dyDescent="0.35">
      <c r="A275" t="s">
        <v>67</v>
      </c>
      <c r="B275" t="s">
        <v>9</v>
      </c>
      <c r="C275">
        <v>3</v>
      </c>
      <c r="D275" t="s">
        <v>8</v>
      </c>
      <c r="E275">
        <v>0</v>
      </c>
    </row>
    <row r="276" spans="1:5" x14ac:dyDescent="0.35">
      <c r="A276" t="s">
        <v>67</v>
      </c>
      <c r="B276" t="s">
        <v>10</v>
      </c>
      <c r="C276">
        <v>3</v>
      </c>
      <c r="D276" t="s">
        <v>8</v>
      </c>
      <c r="E276">
        <v>0</v>
      </c>
    </row>
    <row r="277" spans="1:5" x14ac:dyDescent="0.35">
      <c r="A277" t="s">
        <v>67</v>
      </c>
      <c r="B277" t="s">
        <v>11</v>
      </c>
      <c r="C277">
        <v>3</v>
      </c>
      <c r="D277" t="s">
        <v>8</v>
      </c>
      <c r="E277">
        <v>1.024460256</v>
      </c>
    </row>
    <row r="278" spans="1:5" x14ac:dyDescent="0.35">
      <c r="A278" t="s">
        <v>67</v>
      </c>
      <c r="B278" t="s">
        <v>12</v>
      </c>
      <c r="C278">
        <v>3</v>
      </c>
      <c r="D278" t="s">
        <v>8</v>
      </c>
      <c r="E278">
        <v>5.7450590369999999</v>
      </c>
    </row>
    <row r="279" spans="1:5" x14ac:dyDescent="0.35">
      <c r="A279" t="s">
        <v>67</v>
      </c>
      <c r="B279" t="s">
        <v>13</v>
      </c>
      <c r="C279">
        <v>3</v>
      </c>
      <c r="D279" t="s">
        <v>8</v>
      </c>
      <c r="E279">
        <v>13.68015845</v>
      </c>
    </row>
    <row r="280" spans="1:5" x14ac:dyDescent="0.35">
      <c r="A280" t="s">
        <v>67</v>
      </c>
      <c r="B280" t="s">
        <v>14</v>
      </c>
      <c r="C280">
        <v>3</v>
      </c>
      <c r="D280" t="s">
        <v>8</v>
      </c>
      <c r="E280">
        <v>0</v>
      </c>
    </row>
    <row r="281" spans="1:5" x14ac:dyDescent="0.35">
      <c r="A281" t="s">
        <v>67</v>
      </c>
      <c r="B281" t="s">
        <v>15</v>
      </c>
      <c r="C281">
        <v>3</v>
      </c>
      <c r="D281" t="s">
        <v>8</v>
      </c>
      <c r="E281">
        <v>1.1721135149999999</v>
      </c>
    </row>
    <row r="282" spans="1:5" x14ac:dyDescent="0.35">
      <c r="A282" t="s">
        <v>67</v>
      </c>
      <c r="B282" t="s">
        <v>16</v>
      </c>
      <c r="C282">
        <v>3</v>
      </c>
      <c r="D282" t="s">
        <v>8</v>
      </c>
      <c r="E282">
        <v>0</v>
      </c>
    </row>
    <row r="283" spans="1:5" x14ac:dyDescent="0.35">
      <c r="A283" t="s">
        <v>67</v>
      </c>
      <c r="B283" t="s">
        <v>17</v>
      </c>
      <c r="C283">
        <v>3</v>
      </c>
      <c r="D283" t="s">
        <v>8</v>
      </c>
      <c r="E283">
        <v>67.494456130000003</v>
      </c>
    </row>
    <row r="284" spans="1:5" x14ac:dyDescent="0.35">
      <c r="A284" t="s">
        <v>67</v>
      </c>
      <c r="B284" t="s">
        <v>18</v>
      </c>
      <c r="C284">
        <v>3</v>
      </c>
      <c r="D284" t="s">
        <v>8</v>
      </c>
      <c r="E284">
        <v>6.5571937020000002</v>
      </c>
    </row>
    <row r="285" spans="1:5" x14ac:dyDescent="0.35">
      <c r="A285" t="s">
        <v>67</v>
      </c>
      <c r="B285" t="s">
        <v>20</v>
      </c>
      <c r="C285">
        <v>3</v>
      </c>
      <c r="D285" t="s">
        <v>8</v>
      </c>
      <c r="E285">
        <v>0.50521938600000005</v>
      </c>
    </row>
    <row r="286" spans="1:5" x14ac:dyDescent="0.35">
      <c r="A286" t="s">
        <v>67</v>
      </c>
      <c r="B286" t="s">
        <v>21</v>
      </c>
      <c r="C286">
        <v>3</v>
      </c>
      <c r="D286" t="s">
        <v>8</v>
      </c>
      <c r="E286">
        <v>29.815399029999998</v>
      </c>
    </row>
    <row r="287" spans="1:5" x14ac:dyDescent="0.35">
      <c r="A287" t="s">
        <v>67</v>
      </c>
      <c r="B287" t="s">
        <v>22</v>
      </c>
      <c r="C287">
        <v>3</v>
      </c>
      <c r="D287" t="s">
        <v>8</v>
      </c>
      <c r="E287">
        <v>81.422562389999996</v>
      </c>
    </row>
    <row r="288" spans="1:5" x14ac:dyDescent="0.35">
      <c r="A288" t="s">
        <v>67</v>
      </c>
      <c r="B288" t="s">
        <v>23</v>
      </c>
      <c r="C288">
        <v>3</v>
      </c>
      <c r="D288" t="s">
        <v>8</v>
      </c>
      <c r="E288">
        <v>0</v>
      </c>
    </row>
    <row r="289" spans="1:5" x14ac:dyDescent="0.35">
      <c r="A289" t="s">
        <v>67</v>
      </c>
      <c r="B289" t="s">
        <v>24</v>
      </c>
      <c r="C289">
        <v>3</v>
      </c>
      <c r="D289" t="s">
        <v>8</v>
      </c>
      <c r="E289">
        <v>56.384995140000001</v>
      </c>
    </row>
    <row r="290" spans="1:5" x14ac:dyDescent="0.35">
      <c r="A290" t="s">
        <v>67</v>
      </c>
      <c r="B290" t="s">
        <v>25</v>
      </c>
      <c r="C290">
        <v>3</v>
      </c>
      <c r="D290" t="s">
        <v>8</v>
      </c>
      <c r="E290">
        <v>4.431093304</v>
      </c>
    </row>
    <row r="291" spans="1:5" x14ac:dyDescent="0.35">
      <c r="A291" t="s">
        <v>67</v>
      </c>
      <c r="B291" t="s">
        <v>26</v>
      </c>
      <c r="C291">
        <v>3</v>
      </c>
      <c r="D291" t="s">
        <v>8</v>
      </c>
      <c r="E291">
        <v>36.094092439999997</v>
      </c>
    </row>
    <row r="292" spans="1:5" x14ac:dyDescent="0.35">
      <c r="A292" t="s">
        <v>67</v>
      </c>
      <c r="B292" t="s">
        <v>27</v>
      </c>
      <c r="C292">
        <v>3</v>
      </c>
      <c r="D292" t="s">
        <v>8</v>
      </c>
      <c r="E292">
        <v>17.219779769999999</v>
      </c>
    </row>
    <row r="293" spans="1:5" x14ac:dyDescent="0.35">
      <c r="A293" t="s">
        <v>67</v>
      </c>
      <c r="B293" t="s">
        <v>28</v>
      </c>
      <c r="C293">
        <v>3</v>
      </c>
      <c r="D293" t="s">
        <v>8</v>
      </c>
      <c r="E293">
        <v>1.106070458</v>
      </c>
    </row>
    <row r="294" spans="1:5" x14ac:dyDescent="0.35">
      <c r="A294" t="s">
        <v>67</v>
      </c>
      <c r="B294" t="s">
        <v>29</v>
      </c>
      <c r="C294">
        <v>3</v>
      </c>
      <c r="D294" t="s">
        <v>8</v>
      </c>
      <c r="E294">
        <v>4.3501523400000002</v>
      </c>
    </row>
    <row r="295" spans="1:5" x14ac:dyDescent="0.35">
      <c r="A295" t="s">
        <v>67</v>
      </c>
      <c r="B295" t="s">
        <v>30</v>
      </c>
      <c r="C295">
        <v>3</v>
      </c>
      <c r="D295" t="s">
        <v>8</v>
      </c>
      <c r="E295">
        <v>0.87520829099999997</v>
      </c>
    </row>
    <row r="296" spans="1:5" x14ac:dyDescent="0.35">
      <c r="A296" t="s">
        <v>67</v>
      </c>
      <c r="B296" t="s">
        <v>31</v>
      </c>
      <c r="C296">
        <v>3</v>
      </c>
      <c r="D296" t="s">
        <v>8</v>
      </c>
      <c r="E296">
        <v>0</v>
      </c>
    </row>
    <row r="297" spans="1:5" x14ac:dyDescent="0.35">
      <c r="A297" t="s">
        <v>67</v>
      </c>
      <c r="B297" t="s">
        <v>32</v>
      </c>
      <c r="C297">
        <v>3</v>
      </c>
      <c r="D297" t="s">
        <v>8</v>
      </c>
      <c r="E297">
        <v>2.9875799330000001</v>
      </c>
    </row>
    <row r="298" spans="1:5" x14ac:dyDescent="0.35">
      <c r="A298" t="s">
        <v>67</v>
      </c>
      <c r="B298" t="s">
        <v>33</v>
      </c>
      <c r="C298">
        <v>3</v>
      </c>
      <c r="D298" t="s">
        <v>8</v>
      </c>
      <c r="E298">
        <v>0</v>
      </c>
    </row>
    <row r="299" spans="1:5" x14ac:dyDescent="0.35">
      <c r="A299" t="s">
        <v>67</v>
      </c>
      <c r="B299" t="s">
        <v>34</v>
      </c>
      <c r="C299">
        <v>3</v>
      </c>
      <c r="D299" t="s">
        <v>8</v>
      </c>
      <c r="E299">
        <v>0</v>
      </c>
    </row>
    <row r="300" spans="1:5" x14ac:dyDescent="0.35">
      <c r="A300" t="s">
        <v>67</v>
      </c>
      <c r="B300" t="s">
        <v>35</v>
      </c>
      <c r="C300">
        <v>3</v>
      </c>
      <c r="D300" t="s">
        <v>8</v>
      </c>
      <c r="E300">
        <v>12.7890292</v>
      </c>
    </row>
    <row r="301" spans="1:5" x14ac:dyDescent="0.35">
      <c r="A301" t="s">
        <v>67</v>
      </c>
      <c r="B301" t="s">
        <v>36</v>
      </c>
      <c r="C301">
        <v>3</v>
      </c>
      <c r="D301" t="s">
        <v>8</v>
      </c>
      <c r="E301">
        <v>1.1857799060000001</v>
      </c>
    </row>
    <row r="302" spans="1:5" x14ac:dyDescent="0.35">
      <c r="A302" t="s">
        <v>67</v>
      </c>
      <c r="B302" t="s">
        <v>37</v>
      </c>
      <c r="C302">
        <v>3</v>
      </c>
      <c r="D302" t="s">
        <v>8</v>
      </c>
      <c r="E302">
        <v>4.5036591809999997</v>
      </c>
    </row>
    <row r="303" spans="1:5" x14ac:dyDescent="0.35">
      <c r="A303" t="s">
        <v>67</v>
      </c>
      <c r="B303" t="s">
        <v>38</v>
      </c>
      <c r="C303">
        <v>3</v>
      </c>
      <c r="D303" t="s">
        <v>8</v>
      </c>
      <c r="E303">
        <v>0</v>
      </c>
    </row>
    <row r="304" spans="1:5" x14ac:dyDescent="0.35">
      <c r="A304" t="s">
        <v>67</v>
      </c>
      <c r="B304" t="s">
        <v>39</v>
      </c>
      <c r="C304">
        <v>3</v>
      </c>
      <c r="D304" t="s">
        <v>8</v>
      </c>
      <c r="E304">
        <v>0</v>
      </c>
    </row>
    <row r="305" spans="1:5" x14ac:dyDescent="0.35">
      <c r="A305" t="s">
        <v>67</v>
      </c>
      <c r="B305" t="s">
        <v>40</v>
      </c>
      <c r="C305">
        <v>3</v>
      </c>
      <c r="D305" t="s">
        <v>8</v>
      </c>
      <c r="E305">
        <v>1.2190288929999999</v>
      </c>
    </row>
    <row r="306" spans="1:5" x14ac:dyDescent="0.35">
      <c r="A306" t="s">
        <v>67</v>
      </c>
      <c r="B306" t="s">
        <v>41</v>
      </c>
      <c r="C306">
        <v>3</v>
      </c>
      <c r="D306" t="s">
        <v>8</v>
      </c>
      <c r="E306">
        <v>1.2671480390000001</v>
      </c>
    </row>
    <row r="307" spans="1:5" x14ac:dyDescent="0.35">
      <c r="A307" t="s">
        <v>67</v>
      </c>
      <c r="B307" t="s">
        <v>42</v>
      </c>
      <c r="C307">
        <v>3</v>
      </c>
      <c r="D307" t="s">
        <v>8</v>
      </c>
      <c r="E307">
        <v>0</v>
      </c>
    </row>
    <row r="308" spans="1:5" x14ac:dyDescent="0.35">
      <c r="A308" t="s">
        <v>68</v>
      </c>
      <c r="B308" t="s">
        <v>7</v>
      </c>
      <c r="C308">
        <v>3</v>
      </c>
      <c r="D308" t="s">
        <v>51</v>
      </c>
      <c r="E308">
        <v>0</v>
      </c>
    </row>
    <row r="309" spans="1:5" x14ac:dyDescent="0.35">
      <c r="A309" t="s">
        <v>68</v>
      </c>
      <c r="B309" t="s">
        <v>9</v>
      </c>
      <c r="C309">
        <v>3</v>
      </c>
      <c r="D309" t="s">
        <v>51</v>
      </c>
      <c r="E309">
        <v>0</v>
      </c>
    </row>
    <row r="310" spans="1:5" x14ac:dyDescent="0.35">
      <c r="A310" t="s">
        <v>68</v>
      </c>
      <c r="B310" t="s">
        <v>10</v>
      </c>
      <c r="C310">
        <v>3</v>
      </c>
      <c r="D310" t="s">
        <v>51</v>
      </c>
      <c r="E310">
        <v>0</v>
      </c>
    </row>
    <row r="311" spans="1:5" x14ac:dyDescent="0.35">
      <c r="A311" t="s">
        <v>68</v>
      </c>
      <c r="B311" t="s">
        <v>11</v>
      </c>
      <c r="C311">
        <v>3</v>
      </c>
      <c r="D311" t="s">
        <v>51</v>
      </c>
      <c r="E311">
        <v>1.0390070499999999</v>
      </c>
    </row>
    <row r="312" spans="1:5" x14ac:dyDescent="0.35">
      <c r="A312" t="s">
        <v>68</v>
      </c>
      <c r="B312" t="s">
        <v>12</v>
      </c>
      <c r="C312">
        <v>3</v>
      </c>
      <c r="D312" t="s">
        <v>51</v>
      </c>
      <c r="E312">
        <v>6.2064750059999998</v>
      </c>
    </row>
    <row r="313" spans="1:5" x14ac:dyDescent="0.35">
      <c r="A313" t="s">
        <v>68</v>
      </c>
      <c r="B313" t="s">
        <v>13</v>
      </c>
      <c r="C313">
        <v>3</v>
      </c>
      <c r="D313" t="s">
        <v>51</v>
      </c>
      <c r="E313">
        <v>16.954963620000001</v>
      </c>
    </row>
    <row r="314" spans="1:5" x14ac:dyDescent="0.35">
      <c r="A314" t="s">
        <v>68</v>
      </c>
      <c r="B314" t="s">
        <v>14</v>
      </c>
      <c r="C314">
        <v>3</v>
      </c>
      <c r="D314" t="s">
        <v>51</v>
      </c>
      <c r="E314">
        <v>2.1424559959999998</v>
      </c>
    </row>
    <row r="315" spans="1:5" x14ac:dyDescent="0.35">
      <c r="A315" t="s">
        <v>68</v>
      </c>
      <c r="B315" t="s">
        <v>15</v>
      </c>
      <c r="C315">
        <v>3</v>
      </c>
      <c r="D315" t="s">
        <v>51</v>
      </c>
      <c r="E315">
        <v>1.2448792019999999</v>
      </c>
    </row>
    <row r="316" spans="1:5" x14ac:dyDescent="0.35">
      <c r="A316" t="s">
        <v>68</v>
      </c>
      <c r="B316" t="s">
        <v>16</v>
      </c>
      <c r="C316">
        <v>3</v>
      </c>
      <c r="D316" t="s">
        <v>51</v>
      </c>
      <c r="E316">
        <v>0</v>
      </c>
    </row>
    <row r="317" spans="1:5" x14ac:dyDescent="0.35">
      <c r="A317" t="s">
        <v>68</v>
      </c>
      <c r="B317" t="s">
        <v>17</v>
      </c>
      <c r="C317">
        <v>3</v>
      </c>
      <c r="D317" t="s">
        <v>51</v>
      </c>
      <c r="E317">
        <v>35.633788209999999</v>
      </c>
    </row>
    <row r="318" spans="1:5" x14ac:dyDescent="0.35">
      <c r="A318" t="s">
        <v>68</v>
      </c>
      <c r="B318" t="s">
        <v>18</v>
      </c>
      <c r="C318">
        <v>3</v>
      </c>
      <c r="D318" t="s">
        <v>51</v>
      </c>
      <c r="E318">
        <v>17.356047490000002</v>
      </c>
    </row>
    <row r="319" spans="1:5" x14ac:dyDescent="0.35">
      <c r="A319" t="s">
        <v>68</v>
      </c>
      <c r="B319" t="s">
        <v>20</v>
      </c>
      <c r="C319">
        <v>3</v>
      </c>
      <c r="D319" t="s">
        <v>51</v>
      </c>
      <c r="E319">
        <v>0.75996635099999998</v>
      </c>
    </row>
    <row r="320" spans="1:5" x14ac:dyDescent="0.35">
      <c r="A320" t="s">
        <v>68</v>
      </c>
      <c r="B320" t="s">
        <v>21</v>
      </c>
      <c r="C320">
        <v>3</v>
      </c>
      <c r="D320" t="s">
        <v>51</v>
      </c>
      <c r="E320">
        <v>2.6271100089999999</v>
      </c>
    </row>
    <row r="321" spans="1:5" x14ac:dyDescent="0.35">
      <c r="A321" t="s">
        <v>68</v>
      </c>
      <c r="B321" t="s">
        <v>22</v>
      </c>
      <c r="C321">
        <v>3</v>
      </c>
      <c r="D321" t="s">
        <v>51</v>
      </c>
      <c r="E321">
        <v>39.246576060000002</v>
      </c>
    </row>
    <row r="322" spans="1:5" x14ac:dyDescent="0.35">
      <c r="A322" t="s">
        <v>68</v>
      </c>
      <c r="B322" t="s">
        <v>23</v>
      </c>
      <c r="C322">
        <v>3</v>
      </c>
      <c r="D322" t="s">
        <v>51</v>
      </c>
      <c r="E322">
        <v>0</v>
      </c>
    </row>
    <row r="323" spans="1:5" x14ac:dyDescent="0.35">
      <c r="A323" t="s">
        <v>68</v>
      </c>
      <c r="B323" t="s">
        <v>24</v>
      </c>
      <c r="C323">
        <v>3</v>
      </c>
      <c r="D323" t="s">
        <v>51</v>
      </c>
      <c r="E323">
        <v>44.389914330000003</v>
      </c>
    </row>
    <row r="324" spans="1:5" x14ac:dyDescent="0.35">
      <c r="A324" t="s">
        <v>68</v>
      </c>
      <c r="B324" t="s">
        <v>25</v>
      </c>
      <c r="C324">
        <v>3</v>
      </c>
      <c r="D324" t="s">
        <v>51</v>
      </c>
      <c r="E324">
        <v>5.5581194619999996</v>
      </c>
    </row>
    <row r="325" spans="1:5" x14ac:dyDescent="0.35">
      <c r="A325" t="s">
        <v>68</v>
      </c>
      <c r="B325" t="s">
        <v>26</v>
      </c>
      <c r="C325">
        <v>3</v>
      </c>
      <c r="D325" t="s">
        <v>51</v>
      </c>
      <c r="E325">
        <v>36.390082149999998</v>
      </c>
    </row>
    <row r="326" spans="1:5" x14ac:dyDescent="0.35">
      <c r="A326" t="s">
        <v>68</v>
      </c>
      <c r="B326" t="s">
        <v>27</v>
      </c>
      <c r="C326">
        <v>3</v>
      </c>
      <c r="D326" t="s">
        <v>51</v>
      </c>
      <c r="E326">
        <v>18.488312109999999</v>
      </c>
    </row>
    <row r="327" spans="1:5" x14ac:dyDescent="0.35">
      <c r="A327" t="s">
        <v>68</v>
      </c>
      <c r="B327" t="s">
        <v>28</v>
      </c>
      <c r="C327">
        <v>3</v>
      </c>
      <c r="D327" t="s">
        <v>51</v>
      </c>
      <c r="E327">
        <v>1.579290606</v>
      </c>
    </row>
    <row r="328" spans="1:5" x14ac:dyDescent="0.35">
      <c r="A328" t="s">
        <v>68</v>
      </c>
      <c r="B328" t="s">
        <v>29</v>
      </c>
      <c r="C328">
        <v>3</v>
      </c>
      <c r="D328" t="s">
        <v>51</v>
      </c>
      <c r="E328">
        <v>4.3942938749999998</v>
      </c>
    </row>
    <row r="329" spans="1:5" x14ac:dyDescent="0.35">
      <c r="A329" t="s">
        <v>68</v>
      </c>
      <c r="B329" t="s">
        <v>30</v>
      </c>
      <c r="C329">
        <v>3</v>
      </c>
      <c r="D329" t="s">
        <v>51</v>
      </c>
      <c r="E329">
        <v>1.135142681</v>
      </c>
    </row>
    <row r="330" spans="1:5" x14ac:dyDescent="0.35">
      <c r="A330" t="s">
        <v>68</v>
      </c>
      <c r="B330" t="s">
        <v>31</v>
      </c>
      <c r="C330">
        <v>3</v>
      </c>
      <c r="D330" t="s">
        <v>51</v>
      </c>
      <c r="E330">
        <v>0</v>
      </c>
    </row>
    <row r="331" spans="1:5" x14ac:dyDescent="0.35">
      <c r="A331" t="s">
        <v>68</v>
      </c>
      <c r="B331" t="s">
        <v>32</v>
      </c>
      <c r="C331">
        <v>3</v>
      </c>
      <c r="D331" t="s">
        <v>51</v>
      </c>
      <c r="E331">
        <v>2.4413737719999999</v>
      </c>
    </row>
    <row r="332" spans="1:5" x14ac:dyDescent="0.35">
      <c r="A332" t="s">
        <v>68</v>
      </c>
      <c r="B332" t="s">
        <v>33</v>
      </c>
      <c r="C332">
        <v>3</v>
      </c>
      <c r="D332" t="s">
        <v>51</v>
      </c>
      <c r="E332">
        <v>0</v>
      </c>
    </row>
    <row r="333" spans="1:5" x14ac:dyDescent="0.35">
      <c r="A333" t="s">
        <v>68</v>
      </c>
      <c r="B333" t="s">
        <v>34</v>
      </c>
      <c r="C333">
        <v>3</v>
      </c>
      <c r="D333" t="s">
        <v>51</v>
      </c>
      <c r="E333">
        <v>0</v>
      </c>
    </row>
    <row r="334" spans="1:5" x14ac:dyDescent="0.35">
      <c r="A334" t="s">
        <v>68</v>
      </c>
      <c r="B334" t="s">
        <v>35</v>
      </c>
      <c r="C334">
        <v>3</v>
      </c>
      <c r="D334" t="s">
        <v>51</v>
      </c>
      <c r="E334">
        <v>12.2936978</v>
      </c>
    </row>
    <row r="335" spans="1:5" x14ac:dyDescent="0.35">
      <c r="A335" t="s">
        <v>68</v>
      </c>
      <c r="B335" t="s">
        <v>36</v>
      </c>
      <c r="C335">
        <v>3</v>
      </c>
      <c r="D335" t="s">
        <v>51</v>
      </c>
      <c r="E335">
        <v>0.82531097799999997</v>
      </c>
    </row>
    <row r="336" spans="1:5" x14ac:dyDescent="0.35">
      <c r="A336" t="s">
        <v>68</v>
      </c>
      <c r="B336" t="s">
        <v>37</v>
      </c>
      <c r="C336">
        <v>3</v>
      </c>
      <c r="D336" t="s">
        <v>51</v>
      </c>
      <c r="E336">
        <v>4.7795637979999999</v>
      </c>
    </row>
    <row r="337" spans="1:5" x14ac:dyDescent="0.35">
      <c r="A337" t="s">
        <v>68</v>
      </c>
      <c r="B337" t="s">
        <v>38</v>
      </c>
      <c r="C337">
        <v>3</v>
      </c>
      <c r="D337" t="s">
        <v>51</v>
      </c>
      <c r="E337">
        <v>0</v>
      </c>
    </row>
    <row r="338" spans="1:5" x14ac:dyDescent="0.35">
      <c r="A338" t="s">
        <v>68</v>
      </c>
      <c r="B338" t="s">
        <v>39</v>
      </c>
      <c r="C338">
        <v>3</v>
      </c>
      <c r="D338" t="s">
        <v>51</v>
      </c>
      <c r="E338">
        <v>0</v>
      </c>
    </row>
    <row r="339" spans="1:5" x14ac:dyDescent="0.35">
      <c r="A339" t="s">
        <v>68</v>
      </c>
      <c r="B339" t="s">
        <v>40</v>
      </c>
      <c r="C339">
        <v>3</v>
      </c>
      <c r="D339" t="s">
        <v>51</v>
      </c>
      <c r="E339">
        <v>0.98446243099999997</v>
      </c>
    </row>
    <row r="340" spans="1:5" x14ac:dyDescent="0.35">
      <c r="A340" t="s">
        <v>68</v>
      </c>
      <c r="B340" t="s">
        <v>41</v>
      </c>
      <c r="C340">
        <v>3</v>
      </c>
      <c r="D340" t="s">
        <v>51</v>
      </c>
      <c r="E340">
        <v>1.712252176</v>
      </c>
    </row>
    <row r="341" spans="1:5" x14ac:dyDescent="0.35">
      <c r="A341" t="s">
        <v>68</v>
      </c>
      <c r="B341" t="s">
        <v>42</v>
      </c>
      <c r="C341">
        <v>3</v>
      </c>
      <c r="D341" t="s">
        <v>51</v>
      </c>
      <c r="E341">
        <v>0</v>
      </c>
    </row>
    <row r="342" spans="1:5" x14ac:dyDescent="0.35">
      <c r="A342" t="s">
        <v>69</v>
      </c>
      <c r="B342" t="s">
        <v>7</v>
      </c>
      <c r="C342">
        <v>3</v>
      </c>
      <c r="D342" t="s">
        <v>50</v>
      </c>
      <c r="E342">
        <v>0</v>
      </c>
    </row>
    <row r="343" spans="1:5" x14ac:dyDescent="0.35">
      <c r="A343" t="s">
        <v>69</v>
      </c>
      <c r="B343" t="s">
        <v>9</v>
      </c>
      <c r="C343">
        <v>3</v>
      </c>
      <c r="D343" t="s">
        <v>50</v>
      </c>
      <c r="E343">
        <v>0</v>
      </c>
    </row>
    <row r="344" spans="1:5" x14ac:dyDescent="0.35">
      <c r="A344" t="s">
        <v>69</v>
      </c>
      <c r="B344" t="s">
        <v>10</v>
      </c>
      <c r="C344">
        <v>3</v>
      </c>
      <c r="D344" t="s">
        <v>50</v>
      </c>
      <c r="E344">
        <v>0</v>
      </c>
    </row>
    <row r="345" spans="1:5" x14ac:dyDescent="0.35">
      <c r="A345" t="s">
        <v>69</v>
      </c>
      <c r="B345" t="s">
        <v>11</v>
      </c>
      <c r="C345">
        <v>3</v>
      </c>
      <c r="D345" t="s">
        <v>50</v>
      </c>
      <c r="E345">
        <v>0.88530030100000001</v>
      </c>
    </row>
    <row r="346" spans="1:5" x14ac:dyDescent="0.35">
      <c r="A346" t="s">
        <v>69</v>
      </c>
      <c r="B346" t="s">
        <v>12</v>
      </c>
      <c r="C346">
        <v>3</v>
      </c>
      <c r="D346" t="s">
        <v>50</v>
      </c>
      <c r="E346">
        <v>5.5597929380000002</v>
      </c>
    </row>
    <row r="347" spans="1:5" x14ac:dyDescent="0.35">
      <c r="A347" t="s">
        <v>69</v>
      </c>
      <c r="B347" t="s">
        <v>13</v>
      </c>
      <c r="C347">
        <v>3</v>
      </c>
      <c r="D347" t="s">
        <v>50</v>
      </c>
      <c r="E347">
        <v>15.0768632</v>
      </c>
    </row>
    <row r="348" spans="1:5" x14ac:dyDescent="0.35">
      <c r="A348" t="s">
        <v>69</v>
      </c>
      <c r="B348" t="s">
        <v>14</v>
      </c>
      <c r="C348">
        <v>3</v>
      </c>
      <c r="D348" t="s">
        <v>50</v>
      </c>
      <c r="E348">
        <v>0</v>
      </c>
    </row>
    <row r="349" spans="1:5" x14ac:dyDescent="0.35">
      <c r="A349" t="s">
        <v>69</v>
      </c>
      <c r="B349" t="s">
        <v>15</v>
      </c>
      <c r="C349">
        <v>3</v>
      </c>
      <c r="D349" t="s">
        <v>50</v>
      </c>
      <c r="E349">
        <v>1.089611211</v>
      </c>
    </row>
    <row r="350" spans="1:5" x14ac:dyDescent="0.35">
      <c r="A350" t="s">
        <v>69</v>
      </c>
      <c r="B350" t="s">
        <v>16</v>
      </c>
      <c r="C350">
        <v>3</v>
      </c>
      <c r="D350" t="s">
        <v>50</v>
      </c>
      <c r="E350">
        <v>0</v>
      </c>
    </row>
    <row r="351" spans="1:5" x14ac:dyDescent="0.35">
      <c r="A351" t="s">
        <v>69</v>
      </c>
      <c r="B351" t="s">
        <v>17</v>
      </c>
      <c r="C351">
        <v>3</v>
      </c>
      <c r="D351" t="s">
        <v>50</v>
      </c>
      <c r="E351">
        <v>16.28317813</v>
      </c>
    </row>
    <row r="352" spans="1:5" x14ac:dyDescent="0.35">
      <c r="A352" t="s">
        <v>69</v>
      </c>
      <c r="B352" t="s">
        <v>18</v>
      </c>
      <c r="C352">
        <v>3</v>
      </c>
      <c r="D352" t="s">
        <v>50</v>
      </c>
      <c r="E352">
        <v>44.791148579999998</v>
      </c>
    </row>
    <row r="353" spans="1:5" x14ac:dyDescent="0.35">
      <c r="A353" t="s">
        <v>69</v>
      </c>
      <c r="B353" t="s">
        <v>20</v>
      </c>
      <c r="C353">
        <v>3</v>
      </c>
      <c r="D353" t="s">
        <v>50</v>
      </c>
      <c r="E353">
        <v>0.85298538000000002</v>
      </c>
    </row>
    <row r="354" spans="1:5" x14ac:dyDescent="0.35">
      <c r="A354" t="s">
        <v>69</v>
      </c>
      <c r="B354" t="s">
        <v>21</v>
      </c>
      <c r="C354">
        <v>3</v>
      </c>
      <c r="D354" t="s">
        <v>50</v>
      </c>
      <c r="E354">
        <v>25.467489910000001</v>
      </c>
    </row>
    <row r="355" spans="1:5" x14ac:dyDescent="0.35">
      <c r="A355" t="s">
        <v>69</v>
      </c>
      <c r="B355" t="s">
        <v>22</v>
      </c>
      <c r="C355">
        <v>3</v>
      </c>
      <c r="D355" t="s">
        <v>50</v>
      </c>
      <c r="E355">
        <v>0.86414137199999996</v>
      </c>
    </row>
    <row r="356" spans="1:5" x14ac:dyDescent="0.35">
      <c r="A356" t="s">
        <v>69</v>
      </c>
      <c r="B356" t="s">
        <v>23</v>
      </c>
      <c r="C356">
        <v>3</v>
      </c>
      <c r="D356" t="s">
        <v>50</v>
      </c>
      <c r="E356">
        <v>0</v>
      </c>
    </row>
    <row r="357" spans="1:5" x14ac:dyDescent="0.35">
      <c r="A357" t="s">
        <v>69</v>
      </c>
      <c r="B357" t="s">
        <v>24</v>
      </c>
      <c r="C357">
        <v>3</v>
      </c>
      <c r="D357" t="s">
        <v>50</v>
      </c>
      <c r="E357">
        <v>0.85844581499999995</v>
      </c>
    </row>
    <row r="358" spans="1:5" x14ac:dyDescent="0.35">
      <c r="A358" t="s">
        <v>69</v>
      </c>
      <c r="B358" t="s">
        <v>25</v>
      </c>
      <c r="C358">
        <v>3</v>
      </c>
      <c r="D358" t="s">
        <v>50</v>
      </c>
      <c r="E358">
        <v>4.5778184910000004</v>
      </c>
    </row>
    <row r="359" spans="1:5" x14ac:dyDescent="0.35">
      <c r="A359" t="s">
        <v>69</v>
      </c>
      <c r="B359" t="s">
        <v>26</v>
      </c>
      <c r="C359">
        <v>3</v>
      </c>
      <c r="D359" t="s">
        <v>50</v>
      </c>
      <c r="E359">
        <v>32.771405889999997</v>
      </c>
    </row>
    <row r="360" spans="1:5" x14ac:dyDescent="0.35">
      <c r="A360" t="s">
        <v>69</v>
      </c>
      <c r="B360" t="s">
        <v>27</v>
      </c>
      <c r="C360">
        <v>3</v>
      </c>
      <c r="D360" t="s">
        <v>50</v>
      </c>
      <c r="E360">
        <v>15.890179</v>
      </c>
    </row>
    <row r="361" spans="1:5" x14ac:dyDescent="0.35">
      <c r="A361" t="s">
        <v>69</v>
      </c>
      <c r="B361" t="s">
        <v>28</v>
      </c>
      <c r="C361">
        <v>3</v>
      </c>
      <c r="D361" t="s">
        <v>50</v>
      </c>
      <c r="E361">
        <v>1.3829258289999999</v>
      </c>
    </row>
    <row r="362" spans="1:5" x14ac:dyDescent="0.35">
      <c r="A362" t="s">
        <v>69</v>
      </c>
      <c r="B362" t="s">
        <v>29</v>
      </c>
      <c r="C362">
        <v>3</v>
      </c>
      <c r="D362" t="s">
        <v>50</v>
      </c>
      <c r="E362">
        <v>4.4477302139999999</v>
      </c>
    </row>
    <row r="363" spans="1:5" x14ac:dyDescent="0.35">
      <c r="A363" t="s">
        <v>69</v>
      </c>
      <c r="B363" t="s">
        <v>30</v>
      </c>
      <c r="C363">
        <v>3</v>
      </c>
      <c r="D363" t="s">
        <v>50</v>
      </c>
      <c r="E363">
        <v>0.92807630100000005</v>
      </c>
    </row>
    <row r="364" spans="1:5" x14ac:dyDescent="0.35">
      <c r="A364" t="s">
        <v>69</v>
      </c>
      <c r="B364" t="s">
        <v>31</v>
      </c>
      <c r="C364">
        <v>3</v>
      </c>
      <c r="D364" t="s">
        <v>50</v>
      </c>
      <c r="E364">
        <v>0.449747903</v>
      </c>
    </row>
    <row r="365" spans="1:5" x14ac:dyDescent="0.35">
      <c r="A365" t="s">
        <v>69</v>
      </c>
      <c r="B365" t="s">
        <v>32</v>
      </c>
      <c r="C365">
        <v>3</v>
      </c>
      <c r="D365" t="s">
        <v>50</v>
      </c>
      <c r="E365">
        <v>1.8307862610000001</v>
      </c>
    </row>
    <row r="366" spans="1:5" x14ac:dyDescent="0.35">
      <c r="A366" t="s">
        <v>69</v>
      </c>
      <c r="B366" t="s">
        <v>33</v>
      </c>
      <c r="C366">
        <v>3</v>
      </c>
      <c r="D366" t="s">
        <v>50</v>
      </c>
      <c r="E366">
        <v>0</v>
      </c>
    </row>
    <row r="367" spans="1:5" x14ac:dyDescent="0.35">
      <c r="A367" t="s">
        <v>69</v>
      </c>
      <c r="B367" t="s">
        <v>34</v>
      </c>
      <c r="C367">
        <v>3</v>
      </c>
      <c r="D367" t="s">
        <v>50</v>
      </c>
      <c r="E367">
        <v>0</v>
      </c>
    </row>
    <row r="368" spans="1:5" x14ac:dyDescent="0.35">
      <c r="A368" t="s">
        <v>69</v>
      </c>
      <c r="B368" t="s">
        <v>35</v>
      </c>
      <c r="C368">
        <v>3</v>
      </c>
      <c r="D368" t="s">
        <v>50</v>
      </c>
      <c r="E368">
        <v>10.20130378</v>
      </c>
    </row>
    <row r="369" spans="1:5" x14ac:dyDescent="0.35">
      <c r="A369" t="s">
        <v>69</v>
      </c>
      <c r="B369" t="s">
        <v>36</v>
      </c>
      <c r="C369">
        <v>3</v>
      </c>
      <c r="D369" t="s">
        <v>50</v>
      </c>
      <c r="E369">
        <v>0.65195198600000004</v>
      </c>
    </row>
    <row r="370" spans="1:5" x14ac:dyDescent="0.35">
      <c r="A370" t="s">
        <v>69</v>
      </c>
      <c r="B370" t="s">
        <v>37</v>
      </c>
      <c r="C370">
        <v>3</v>
      </c>
      <c r="D370" t="s">
        <v>50</v>
      </c>
      <c r="E370">
        <v>4.7311703950000004</v>
      </c>
    </row>
    <row r="371" spans="1:5" x14ac:dyDescent="0.35">
      <c r="A371" t="s">
        <v>69</v>
      </c>
      <c r="B371" t="s">
        <v>38</v>
      </c>
      <c r="C371">
        <v>3</v>
      </c>
      <c r="D371" t="s">
        <v>50</v>
      </c>
      <c r="E371">
        <v>0</v>
      </c>
    </row>
    <row r="372" spans="1:5" x14ac:dyDescent="0.35">
      <c r="A372" t="s">
        <v>69</v>
      </c>
      <c r="B372" t="s">
        <v>39</v>
      </c>
      <c r="C372">
        <v>3</v>
      </c>
      <c r="D372" t="s">
        <v>50</v>
      </c>
      <c r="E372">
        <v>0</v>
      </c>
    </row>
    <row r="373" spans="1:5" x14ac:dyDescent="0.35">
      <c r="A373" t="s">
        <v>69</v>
      </c>
      <c r="B373" t="s">
        <v>40</v>
      </c>
      <c r="C373">
        <v>3</v>
      </c>
      <c r="D373" t="s">
        <v>50</v>
      </c>
      <c r="E373">
        <v>0.81439735000000002</v>
      </c>
    </row>
    <row r="374" spans="1:5" x14ac:dyDescent="0.35">
      <c r="A374" t="s">
        <v>69</v>
      </c>
      <c r="B374" t="s">
        <v>41</v>
      </c>
      <c r="C374">
        <v>3</v>
      </c>
      <c r="D374" t="s">
        <v>50</v>
      </c>
      <c r="E374">
        <v>1.620936624</v>
      </c>
    </row>
    <row r="375" spans="1:5" x14ac:dyDescent="0.35">
      <c r="A375" t="s">
        <v>69</v>
      </c>
      <c r="B375" t="s">
        <v>42</v>
      </c>
      <c r="C375">
        <v>3</v>
      </c>
      <c r="D375" t="s">
        <v>50</v>
      </c>
      <c r="E375">
        <v>0</v>
      </c>
    </row>
    <row r="376" spans="1:5" x14ac:dyDescent="0.35">
      <c r="A376" t="s">
        <v>70</v>
      </c>
      <c r="B376" t="s">
        <v>7</v>
      </c>
      <c r="C376">
        <v>3</v>
      </c>
      <c r="D376" t="s">
        <v>54</v>
      </c>
      <c r="E376">
        <v>0</v>
      </c>
    </row>
    <row r="377" spans="1:5" x14ac:dyDescent="0.35">
      <c r="A377" t="s">
        <v>70</v>
      </c>
      <c r="B377" t="s">
        <v>9</v>
      </c>
      <c r="C377">
        <v>3</v>
      </c>
      <c r="D377" t="s">
        <v>54</v>
      </c>
      <c r="E377">
        <v>0</v>
      </c>
    </row>
    <row r="378" spans="1:5" x14ac:dyDescent="0.35">
      <c r="A378" t="s">
        <v>70</v>
      </c>
      <c r="B378" t="s">
        <v>10</v>
      </c>
      <c r="C378">
        <v>3</v>
      </c>
      <c r="D378" t="s">
        <v>54</v>
      </c>
      <c r="E378">
        <v>0</v>
      </c>
    </row>
    <row r="379" spans="1:5" x14ac:dyDescent="0.35">
      <c r="A379" t="s">
        <v>70</v>
      </c>
      <c r="B379" t="s">
        <v>11</v>
      </c>
      <c r="C379">
        <v>3</v>
      </c>
      <c r="D379" t="s">
        <v>54</v>
      </c>
      <c r="E379">
        <v>0.86819721500000002</v>
      </c>
    </row>
    <row r="380" spans="1:5" x14ac:dyDescent="0.35">
      <c r="A380" t="s">
        <v>70</v>
      </c>
      <c r="B380" t="s">
        <v>12</v>
      </c>
      <c r="C380">
        <v>3</v>
      </c>
      <c r="D380" t="s">
        <v>54</v>
      </c>
      <c r="E380">
        <v>4.8890918140000004</v>
      </c>
    </row>
    <row r="381" spans="1:5" x14ac:dyDescent="0.35">
      <c r="A381" t="s">
        <v>70</v>
      </c>
      <c r="B381" t="s">
        <v>13</v>
      </c>
      <c r="C381">
        <v>3</v>
      </c>
      <c r="D381" t="s">
        <v>54</v>
      </c>
      <c r="E381">
        <v>11.39857424</v>
      </c>
    </row>
    <row r="382" spans="1:5" x14ac:dyDescent="0.35">
      <c r="A382" t="s">
        <v>70</v>
      </c>
      <c r="B382" t="s">
        <v>14</v>
      </c>
      <c r="C382">
        <v>3</v>
      </c>
      <c r="D382" t="s">
        <v>54</v>
      </c>
      <c r="E382">
        <v>0</v>
      </c>
    </row>
    <row r="383" spans="1:5" x14ac:dyDescent="0.35">
      <c r="A383" t="s">
        <v>70</v>
      </c>
      <c r="B383" t="s">
        <v>15</v>
      </c>
      <c r="C383">
        <v>3</v>
      </c>
      <c r="D383" t="s">
        <v>54</v>
      </c>
      <c r="E383">
        <v>1.3046953999999999</v>
      </c>
    </row>
    <row r="384" spans="1:5" x14ac:dyDescent="0.35">
      <c r="A384" t="s">
        <v>70</v>
      </c>
      <c r="B384" t="s">
        <v>16</v>
      </c>
      <c r="C384">
        <v>3</v>
      </c>
      <c r="D384" t="s">
        <v>54</v>
      </c>
      <c r="E384">
        <v>0.157103726</v>
      </c>
    </row>
    <row r="385" spans="1:5" x14ac:dyDescent="0.35">
      <c r="A385" t="s">
        <v>70</v>
      </c>
      <c r="B385" t="s">
        <v>17</v>
      </c>
      <c r="C385">
        <v>3</v>
      </c>
      <c r="D385" t="s">
        <v>54</v>
      </c>
      <c r="E385">
        <v>41.135789940000002</v>
      </c>
    </row>
    <row r="386" spans="1:5" x14ac:dyDescent="0.35">
      <c r="A386" t="s">
        <v>70</v>
      </c>
      <c r="B386" t="s">
        <v>18</v>
      </c>
      <c r="C386">
        <v>3</v>
      </c>
      <c r="D386" t="s">
        <v>54</v>
      </c>
      <c r="E386">
        <v>17.006258509999999</v>
      </c>
    </row>
    <row r="387" spans="1:5" x14ac:dyDescent="0.35">
      <c r="A387" t="s">
        <v>70</v>
      </c>
      <c r="B387" t="s">
        <v>20</v>
      </c>
      <c r="C387">
        <v>3</v>
      </c>
      <c r="D387" t="s">
        <v>54</v>
      </c>
      <c r="E387">
        <v>0</v>
      </c>
    </row>
    <row r="388" spans="1:5" x14ac:dyDescent="0.35">
      <c r="A388" t="s">
        <v>70</v>
      </c>
      <c r="B388" t="s">
        <v>21</v>
      </c>
      <c r="C388">
        <v>3</v>
      </c>
      <c r="D388" t="s">
        <v>54</v>
      </c>
      <c r="E388">
        <v>0.36633420500000002</v>
      </c>
    </row>
    <row r="389" spans="1:5" x14ac:dyDescent="0.35">
      <c r="A389" t="s">
        <v>70</v>
      </c>
      <c r="B389" t="s">
        <v>22</v>
      </c>
      <c r="C389">
        <v>3</v>
      </c>
      <c r="D389" t="s">
        <v>54</v>
      </c>
      <c r="E389">
        <v>4.457405724</v>
      </c>
    </row>
    <row r="390" spans="1:5" x14ac:dyDescent="0.35">
      <c r="A390" t="s">
        <v>70</v>
      </c>
      <c r="B390" t="s">
        <v>23</v>
      </c>
      <c r="C390">
        <v>3</v>
      </c>
      <c r="D390" t="s">
        <v>54</v>
      </c>
      <c r="E390">
        <v>0</v>
      </c>
    </row>
    <row r="391" spans="1:5" x14ac:dyDescent="0.35">
      <c r="A391" t="s">
        <v>70</v>
      </c>
      <c r="B391" t="s">
        <v>24</v>
      </c>
      <c r="C391">
        <v>3</v>
      </c>
      <c r="D391" t="s">
        <v>54</v>
      </c>
      <c r="E391">
        <v>41.024389130000003</v>
      </c>
    </row>
    <row r="392" spans="1:5" x14ac:dyDescent="0.35">
      <c r="A392" t="s">
        <v>70</v>
      </c>
      <c r="B392" t="s">
        <v>25</v>
      </c>
      <c r="C392">
        <v>3</v>
      </c>
      <c r="D392" t="s">
        <v>54</v>
      </c>
      <c r="E392">
        <v>0</v>
      </c>
    </row>
    <row r="393" spans="1:5" x14ac:dyDescent="0.35">
      <c r="A393" t="s">
        <v>70</v>
      </c>
      <c r="B393" t="s">
        <v>26</v>
      </c>
      <c r="C393">
        <v>3</v>
      </c>
      <c r="D393" t="s">
        <v>54</v>
      </c>
      <c r="E393">
        <v>44.567740100000002</v>
      </c>
    </row>
    <row r="394" spans="1:5" x14ac:dyDescent="0.35">
      <c r="A394" t="s">
        <v>70</v>
      </c>
      <c r="B394" t="s">
        <v>27</v>
      </c>
      <c r="C394">
        <v>3</v>
      </c>
      <c r="D394" t="s">
        <v>54</v>
      </c>
      <c r="E394">
        <v>21.42053658</v>
      </c>
    </row>
    <row r="395" spans="1:5" x14ac:dyDescent="0.35">
      <c r="A395" t="s">
        <v>70</v>
      </c>
      <c r="B395" t="s">
        <v>28</v>
      </c>
      <c r="C395">
        <v>3</v>
      </c>
      <c r="D395" t="s">
        <v>54</v>
      </c>
      <c r="E395">
        <v>1.3769539740000001</v>
      </c>
    </row>
    <row r="396" spans="1:5" x14ac:dyDescent="0.35">
      <c r="A396" t="s">
        <v>70</v>
      </c>
      <c r="B396" t="s">
        <v>29</v>
      </c>
      <c r="C396">
        <v>3</v>
      </c>
      <c r="D396" t="s">
        <v>54</v>
      </c>
      <c r="E396">
        <v>4.7247750079999999</v>
      </c>
    </row>
    <row r="397" spans="1:5" x14ac:dyDescent="0.35">
      <c r="A397" t="s">
        <v>70</v>
      </c>
      <c r="B397" t="s">
        <v>30</v>
      </c>
      <c r="C397">
        <v>3</v>
      </c>
      <c r="D397" t="s">
        <v>54</v>
      </c>
      <c r="E397">
        <v>0.54925089900000001</v>
      </c>
    </row>
    <row r="398" spans="1:5" x14ac:dyDescent="0.35">
      <c r="A398" t="s">
        <v>70</v>
      </c>
      <c r="B398" t="s">
        <v>31</v>
      </c>
      <c r="C398">
        <v>3</v>
      </c>
      <c r="D398" t="s">
        <v>54</v>
      </c>
      <c r="E398">
        <v>0</v>
      </c>
    </row>
    <row r="399" spans="1:5" x14ac:dyDescent="0.35">
      <c r="A399" t="s">
        <v>70</v>
      </c>
      <c r="B399" t="s">
        <v>32</v>
      </c>
      <c r="C399">
        <v>3</v>
      </c>
      <c r="D399" t="s">
        <v>54</v>
      </c>
      <c r="E399">
        <v>1.306159224</v>
      </c>
    </row>
    <row r="400" spans="1:5" x14ac:dyDescent="0.35">
      <c r="A400" t="s">
        <v>70</v>
      </c>
      <c r="B400" t="s">
        <v>33</v>
      </c>
      <c r="C400">
        <v>3</v>
      </c>
      <c r="D400" t="s">
        <v>54</v>
      </c>
      <c r="E400">
        <v>0</v>
      </c>
    </row>
    <row r="401" spans="1:5" x14ac:dyDescent="0.35">
      <c r="A401" t="s">
        <v>70</v>
      </c>
      <c r="B401" t="s">
        <v>34</v>
      </c>
      <c r="C401">
        <v>3</v>
      </c>
      <c r="D401" t="s">
        <v>54</v>
      </c>
      <c r="E401">
        <v>0</v>
      </c>
    </row>
    <row r="402" spans="1:5" x14ac:dyDescent="0.35">
      <c r="A402" t="s">
        <v>70</v>
      </c>
      <c r="B402" t="s">
        <v>35</v>
      </c>
      <c r="C402">
        <v>3</v>
      </c>
      <c r="D402" t="s">
        <v>54</v>
      </c>
      <c r="E402">
        <v>7.8573036270000003</v>
      </c>
    </row>
    <row r="403" spans="1:5" x14ac:dyDescent="0.35">
      <c r="A403" t="s">
        <v>70</v>
      </c>
      <c r="B403" t="s">
        <v>36</v>
      </c>
      <c r="C403">
        <v>3</v>
      </c>
      <c r="D403" t="s">
        <v>54</v>
      </c>
      <c r="E403">
        <v>0.90834417700000003</v>
      </c>
    </row>
    <row r="404" spans="1:5" x14ac:dyDescent="0.35">
      <c r="A404" t="s">
        <v>70</v>
      </c>
      <c r="B404" t="s">
        <v>37</v>
      </c>
      <c r="C404">
        <v>3</v>
      </c>
      <c r="D404" t="s">
        <v>54</v>
      </c>
      <c r="E404">
        <v>7.399673849</v>
      </c>
    </row>
    <row r="405" spans="1:5" x14ac:dyDescent="0.35">
      <c r="A405" t="s">
        <v>70</v>
      </c>
      <c r="B405" t="s">
        <v>38</v>
      </c>
      <c r="C405">
        <v>3</v>
      </c>
      <c r="D405" t="s">
        <v>54</v>
      </c>
      <c r="E405">
        <v>0</v>
      </c>
    </row>
    <row r="406" spans="1:5" x14ac:dyDescent="0.35">
      <c r="A406" t="s">
        <v>70</v>
      </c>
      <c r="B406" t="s">
        <v>39</v>
      </c>
      <c r="C406">
        <v>3</v>
      </c>
      <c r="D406" t="s">
        <v>54</v>
      </c>
      <c r="E406">
        <v>0</v>
      </c>
    </row>
    <row r="407" spans="1:5" x14ac:dyDescent="0.35">
      <c r="A407" t="s">
        <v>70</v>
      </c>
      <c r="B407" t="s">
        <v>40</v>
      </c>
      <c r="C407">
        <v>3</v>
      </c>
      <c r="D407" t="s">
        <v>54</v>
      </c>
      <c r="E407">
        <v>0.62576706699999995</v>
      </c>
    </row>
    <row r="408" spans="1:5" x14ac:dyDescent="0.35">
      <c r="A408" t="s">
        <v>70</v>
      </c>
      <c r="B408" t="s">
        <v>41</v>
      </c>
      <c r="C408">
        <v>3</v>
      </c>
      <c r="D408" t="s">
        <v>54</v>
      </c>
      <c r="E408">
        <v>2.1581308039999998</v>
      </c>
    </row>
    <row r="409" spans="1:5" x14ac:dyDescent="0.35">
      <c r="A409" t="s">
        <v>70</v>
      </c>
      <c r="B409" t="s">
        <v>42</v>
      </c>
      <c r="C409">
        <v>3</v>
      </c>
      <c r="D409" t="s">
        <v>54</v>
      </c>
      <c r="E40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all FA</vt:lpstr>
      <vt:lpstr>Alt Blanks</vt:lpstr>
      <vt:lpstr>22.10.2024 alles neu</vt:lpstr>
      <vt:lpstr>09.03.2025 alles neu</vt:lpstr>
      <vt:lpstr>Tabelle1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ms007247@mslic.uni-kl.de</dc:creator>
  <cp:lastModifiedBy>Sophie Oster</cp:lastModifiedBy>
  <dcterms:created xsi:type="dcterms:W3CDTF">2023-12-18T12:29:37Z</dcterms:created>
  <dcterms:modified xsi:type="dcterms:W3CDTF">2025-06-19T15:07:48Z</dcterms:modified>
</cp:coreProperties>
</file>