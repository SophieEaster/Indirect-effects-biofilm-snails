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0830fbf1ec50fa/Desktop/Promotion/Bioassays/Schneckenversuch 2023/FA_UFZ_Magdeburg/"/>
    </mc:Choice>
  </mc:AlternateContent>
  <xr:revisionPtr revIDLastSave="373" documentId="13_ncr:1_{C633DB26-591E-47CF-87E6-B08B40BD6B69}" xr6:coauthVersionLast="47" xr6:coauthVersionMax="47" xr10:uidLastSave="{30D1E1F4-40C6-49BC-9D7C-48B3304E6F05}"/>
  <bookViews>
    <workbookView xWindow="-110" yWindow="-110" windowWidth="19420" windowHeight="10300" firstSheet="1" activeTab="4" xr2:uid="{8DED9E36-EF59-41D5-B3D1-7E5B294E90B0}"/>
  </bookViews>
  <sheets>
    <sheet name="!alt_all FA" sheetId="1" r:id="rId1"/>
    <sheet name="from culture Day 0_baseline" sheetId="5" r:id="rId2"/>
    <sheet name="alt_Blanks" sheetId="6" r:id="rId3"/>
    <sheet name="Neu_all FA" sheetId="7" r:id="rId4"/>
    <sheet name="Tabelle2" sheetId="9" r:id="rId5"/>
  </sheets>
  <definedNames>
    <definedName name="_xlnm._FilterDatabase" localSheetId="0" hidden="1">'!alt_all FA'!$A$1:$I$1541</definedName>
    <definedName name="_xlnm._FilterDatabase" localSheetId="3" hidden="1">'Neu_all FA'!$A$1:$V$1361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7" i="7" l="1" a="1"/>
  <c r="L317" i="7" s="1"/>
  <c r="I1361" i="7"/>
  <c r="J1361" i="7" s="1"/>
  <c r="I1360" i="7"/>
  <c r="J1360" i="7" s="1"/>
  <c r="I1359" i="7"/>
  <c r="J1359" i="7" s="1"/>
  <c r="I1358" i="7"/>
  <c r="J1358" i="7" s="1"/>
  <c r="I1357" i="7"/>
  <c r="J1357" i="7" s="1"/>
  <c r="I1356" i="7"/>
  <c r="J1356" i="7" s="1"/>
  <c r="I1355" i="7"/>
  <c r="J1355" i="7" s="1"/>
  <c r="I1354" i="7"/>
  <c r="J1354" i="7" s="1"/>
  <c r="I1353" i="7"/>
  <c r="J1353" i="7" s="1"/>
  <c r="I1352" i="7"/>
  <c r="J1352" i="7" s="1"/>
  <c r="I1351" i="7"/>
  <c r="J1351" i="7" s="1"/>
  <c r="I1350" i="7"/>
  <c r="J1350" i="7" s="1"/>
  <c r="I1349" i="7"/>
  <c r="J1349" i="7" s="1"/>
  <c r="I1348" i="7"/>
  <c r="J1348" i="7" s="1"/>
  <c r="I1347" i="7"/>
  <c r="J1347" i="7" s="1"/>
  <c r="I1346" i="7"/>
  <c r="J1346" i="7" s="1"/>
  <c r="I1345" i="7"/>
  <c r="J1345" i="7" s="1"/>
  <c r="I1344" i="7"/>
  <c r="J1344" i="7" s="1"/>
  <c r="I1343" i="7"/>
  <c r="J1343" i="7" s="1"/>
  <c r="I1342" i="7"/>
  <c r="J1342" i="7" s="1"/>
  <c r="I1341" i="7"/>
  <c r="J1341" i="7" s="1"/>
  <c r="I1340" i="7"/>
  <c r="J1340" i="7" s="1"/>
  <c r="I1339" i="7"/>
  <c r="J1339" i="7" s="1"/>
  <c r="I1338" i="7"/>
  <c r="J1338" i="7" s="1"/>
  <c r="I1337" i="7"/>
  <c r="J1337" i="7" s="1"/>
  <c r="I1336" i="7"/>
  <c r="J1336" i="7" s="1"/>
  <c r="I1335" i="7"/>
  <c r="J1335" i="7" s="1"/>
  <c r="I1334" i="7"/>
  <c r="J1334" i="7" s="1"/>
  <c r="I1333" i="7"/>
  <c r="J1333" i="7" s="1"/>
  <c r="I1332" i="7"/>
  <c r="J1332" i="7" s="1"/>
  <c r="I1331" i="7"/>
  <c r="J1331" i="7" s="1"/>
  <c r="I1330" i="7"/>
  <c r="J1330" i="7" s="1"/>
  <c r="I1329" i="7"/>
  <c r="J1329" i="7" s="1"/>
  <c r="I1328" i="7"/>
  <c r="J1328" i="7" s="1"/>
  <c r="I1327" i="7"/>
  <c r="J1327" i="7" s="1"/>
  <c r="I1326" i="7"/>
  <c r="J1326" i="7" s="1"/>
  <c r="I1325" i="7"/>
  <c r="J1325" i="7" s="1"/>
  <c r="I1324" i="7"/>
  <c r="J1324" i="7" s="1"/>
  <c r="I1323" i="7"/>
  <c r="J1323" i="7" s="1"/>
  <c r="I1322" i="7"/>
  <c r="J1322" i="7" s="1"/>
  <c r="I1321" i="7"/>
  <c r="J1321" i="7" s="1"/>
  <c r="I1320" i="7"/>
  <c r="J1320" i="7" s="1"/>
  <c r="I1319" i="7"/>
  <c r="J1319" i="7" s="1"/>
  <c r="I1318" i="7"/>
  <c r="J1318" i="7" s="1"/>
  <c r="I1317" i="7"/>
  <c r="J1317" i="7" s="1"/>
  <c r="I1316" i="7"/>
  <c r="J1316" i="7" s="1"/>
  <c r="I1315" i="7"/>
  <c r="J1315" i="7" s="1"/>
  <c r="I1314" i="7"/>
  <c r="J1314" i="7" s="1"/>
  <c r="I1313" i="7"/>
  <c r="J1313" i="7" s="1"/>
  <c r="I1312" i="7"/>
  <c r="J1312" i="7" s="1"/>
  <c r="I1311" i="7"/>
  <c r="J1311" i="7" s="1"/>
  <c r="I1310" i="7"/>
  <c r="J1310" i="7" s="1"/>
  <c r="I1309" i="7"/>
  <c r="J1309" i="7" s="1"/>
  <c r="I1308" i="7"/>
  <c r="J1308" i="7" s="1"/>
  <c r="I1307" i="7"/>
  <c r="J1307" i="7" s="1"/>
  <c r="I1306" i="7"/>
  <c r="J1306" i="7" s="1"/>
  <c r="I1305" i="7"/>
  <c r="J1305" i="7" s="1"/>
  <c r="I1304" i="7"/>
  <c r="J1304" i="7" s="1"/>
  <c r="I1303" i="7"/>
  <c r="J1303" i="7" s="1"/>
  <c r="I1302" i="7"/>
  <c r="J1302" i="7" s="1"/>
  <c r="I1301" i="7"/>
  <c r="J1301" i="7" s="1"/>
  <c r="I1300" i="7"/>
  <c r="J1300" i="7" s="1"/>
  <c r="I1299" i="7"/>
  <c r="J1299" i="7" s="1"/>
  <c r="I1298" i="7"/>
  <c r="J1298" i="7" s="1"/>
  <c r="I1297" i="7"/>
  <c r="J1297" i="7" s="1"/>
  <c r="I1296" i="7"/>
  <c r="J1296" i="7" s="1"/>
  <c r="I1295" i="7"/>
  <c r="J1295" i="7" s="1"/>
  <c r="I1294" i="7"/>
  <c r="J1294" i="7" s="1"/>
  <c r="I1293" i="7"/>
  <c r="J1293" i="7" s="1"/>
  <c r="I1292" i="7"/>
  <c r="J1292" i="7" s="1"/>
  <c r="I1291" i="7"/>
  <c r="J1291" i="7" s="1"/>
  <c r="I1290" i="7"/>
  <c r="J1290" i="7" s="1"/>
  <c r="I1289" i="7"/>
  <c r="J1289" i="7" s="1"/>
  <c r="I1288" i="7"/>
  <c r="J1288" i="7" s="1"/>
  <c r="I1287" i="7"/>
  <c r="J1287" i="7" s="1"/>
  <c r="I1286" i="7"/>
  <c r="J1286" i="7" s="1"/>
  <c r="I1285" i="7"/>
  <c r="J1285" i="7" s="1"/>
  <c r="I1284" i="7"/>
  <c r="J1284" i="7" s="1"/>
  <c r="I1283" i="7"/>
  <c r="J1283" i="7" s="1"/>
  <c r="I1282" i="7"/>
  <c r="J1282" i="7" s="1"/>
  <c r="I1281" i="7"/>
  <c r="J1281" i="7" s="1"/>
  <c r="I1280" i="7"/>
  <c r="J1280" i="7" s="1"/>
  <c r="I1279" i="7"/>
  <c r="J1279" i="7" s="1"/>
  <c r="I1278" i="7"/>
  <c r="J1278" i="7" s="1"/>
  <c r="I1277" i="7"/>
  <c r="J1277" i="7" s="1"/>
  <c r="I1276" i="7"/>
  <c r="J1276" i="7" s="1"/>
  <c r="I1275" i="7"/>
  <c r="J1275" i="7" s="1"/>
  <c r="I1274" i="7"/>
  <c r="J1274" i="7" s="1"/>
  <c r="I1273" i="7"/>
  <c r="J1273" i="7" s="1"/>
  <c r="I1272" i="7"/>
  <c r="J1272" i="7" s="1"/>
  <c r="I1271" i="7"/>
  <c r="J1271" i="7" s="1"/>
  <c r="I1270" i="7"/>
  <c r="J1270" i="7" s="1"/>
  <c r="I1269" i="7"/>
  <c r="J1269" i="7" s="1"/>
  <c r="I1268" i="7"/>
  <c r="J1268" i="7" s="1"/>
  <c r="I1267" i="7"/>
  <c r="J1267" i="7" s="1"/>
  <c r="I1266" i="7"/>
  <c r="J1266" i="7" s="1"/>
  <c r="I1265" i="7"/>
  <c r="J1265" i="7" s="1"/>
  <c r="I1264" i="7"/>
  <c r="J1264" i="7" s="1"/>
  <c r="I1263" i="7"/>
  <c r="J1263" i="7" s="1"/>
  <c r="I1262" i="7"/>
  <c r="J1262" i="7" s="1"/>
  <c r="I1261" i="7"/>
  <c r="J1261" i="7" s="1"/>
  <c r="I1260" i="7"/>
  <c r="J1260" i="7" s="1"/>
  <c r="I1259" i="7"/>
  <c r="J1259" i="7" s="1"/>
  <c r="I1258" i="7"/>
  <c r="J1258" i="7" s="1"/>
  <c r="I1257" i="7"/>
  <c r="J1257" i="7" s="1"/>
  <c r="I1256" i="7"/>
  <c r="J1256" i="7" s="1"/>
  <c r="I1255" i="7"/>
  <c r="J1255" i="7" s="1"/>
  <c r="I1254" i="7"/>
  <c r="J1254" i="7" s="1"/>
  <c r="I1253" i="7"/>
  <c r="J1253" i="7" s="1"/>
  <c r="I1252" i="7"/>
  <c r="J1252" i="7" s="1"/>
  <c r="I1251" i="7"/>
  <c r="J1251" i="7" s="1"/>
  <c r="I1250" i="7"/>
  <c r="J1250" i="7" s="1"/>
  <c r="I1249" i="7"/>
  <c r="J1249" i="7" s="1"/>
  <c r="I1248" i="7"/>
  <c r="J1248" i="7" s="1"/>
  <c r="I1247" i="7"/>
  <c r="J1247" i="7" s="1"/>
  <c r="I1246" i="7"/>
  <c r="J1246" i="7" s="1"/>
  <c r="I1245" i="7"/>
  <c r="J1245" i="7" s="1"/>
  <c r="I1244" i="7"/>
  <c r="J1244" i="7" s="1"/>
  <c r="I1243" i="7"/>
  <c r="J1243" i="7" s="1"/>
  <c r="I1242" i="7"/>
  <c r="J1242" i="7" s="1"/>
  <c r="I1241" i="7"/>
  <c r="J1241" i="7" s="1"/>
  <c r="I1240" i="7"/>
  <c r="J1240" i="7" s="1"/>
  <c r="I1239" i="7"/>
  <c r="J1239" i="7" s="1"/>
  <c r="I1238" i="7"/>
  <c r="J1238" i="7" s="1"/>
  <c r="I1237" i="7"/>
  <c r="J1237" i="7" s="1"/>
  <c r="I1236" i="7"/>
  <c r="J1236" i="7" s="1"/>
  <c r="I1235" i="7"/>
  <c r="J1235" i="7" s="1"/>
  <c r="I1234" i="7"/>
  <c r="J1234" i="7" s="1"/>
  <c r="I1233" i="7"/>
  <c r="J1233" i="7" s="1"/>
  <c r="I1232" i="7"/>
  <c r="J1232" i="7" s="1"/>
  <c r="I1231" i="7"/>
  <c r="J1231" i="7" s="1"/>
  <c r="I1230" i="7"/>
  <c r="J1230" i="7" s="1"/>
  <c r="I1229" i="7"/>
  <c r="J1229" i="7" s="1"/>
  <c r="I1228" i="7"/>
  <c r="J1228" i="7" s="1"/>
  <c r="I1227" i="7"/>
  <c r="J1227" i="7" s="1"/>
  <c r="I1226" i="7"/>
  <c r="J1226" i="7" s="1"/>
  <c r="I1225" i="7"/>
  <c r="J1225" i="7" s="1"/>
  <c r="I1224" i="7"/>
  <c r="J1224" i="7" s="1"/>
  <c r="I1223" i="7"/>
  <c r="J1223" i="7" s="1"/>
  <c r="I1222" i="7"/>
  <c r="J1222" i="7" s="1"/>
  <c r="I1221" i="7"/>
  <c r="J1221" i="7" s="1"/>
  <c r="I1220" i="7"/>
  <c r="J1220" i="7" s="1"/>
  <c r="I1219" i="7"/>
  <c r="J1219" i="7" s="1"/>
  <c r="I1218" i="7"/>
  <c r="J1218" i="7" s="1"/>
  <c r="I1217" i="7"/>
  <c r="J1217" i="7" s="1"/>
  <c r="I1216" i="7"/>
  <c r="J1216" i="7" s="1"/>
  <c r="I1215" i="7"/>
  <c r="J1215" i="7" s="1"/>
  <c r="I1214" i="7"/>
  <c r="J1214" i="7" s="1"/>
  <c r="I1213" i="7"/>
  <c r="J1213" i="7" s="1"/>
  <c r="I1212" i="7"/>
  <c r="J1212" i="7" s="1"/>
  <c r="I1211" i="7"/>
  <c r="J1211" i="7" s="1"/>
  <c r="I1210" i="7"/>
  <c r="J1210" i="7" s="1"/>
  <c r="I1209" i="7"/>
  <c r="J1209" i="7" s="1"/>
  <c r="I1208" i="7"/>
  <c r="J1208" i="7" s="1"/>
  <c r="I1207" i="7"/>
  <c r="J1207" i="7" s="1"/>
  <c r="I1206" i="7"/>
  <c r="J1206" i="7" s="1"/>
  <c r="I1205" i="7"/>
  <c r="J1205" i="7" s="1"/>
  <c r="I1204" i="7"/>
  <c r="J1204" i="7" s="1"/>
  <c r="I1203" i="7"/>
  <c r="J1203" i="7" s="1"/>
  <c r="I1202" i="7"/>
  <c r="J1202" i="7" s="1"/>
  <c r="I1201" i="7"/>
  <c r="J1201" i="7" s="1"/>
  <c r="I1200" i="7"/>
  <c r="J1200" i="7" s="1"/>
  <c r="I1199" i="7"/>
  <c r="J1199" i="7" s="1"/>
  <c r="I1198" i="7"/>
  <c r="J1198" i="7" s="1"/>
  <c r="I1197" i="7"/>
  <c r="J1197" i="7" s="1"/>
  <c r="I1196" i="7"/>
  <c r="J1196" i="7" s="1"/>
  <c r="I1195" i="7"/>
  <c r="J1195" i="7" s="1"/>
  <c r="I1194" i="7"/>
  <c r="J1194" i="7" s="1"/>
  <c r="I1193" i="7"/>
  <c r="J1193" i="7" s="1"/>
  <c r="I1192" i="7"/>
  <c r="J1192" i="7" s="1"/>
  <c r="I1191" i="7"/>
  <c r="J1191" i="7" s="1"/>
  <c r="I1190" i="7"/>
  <c r="J1190" i="7" s="1"/>
  <c r="I1189" i="7"/>
  <c r="J1189" i="7" s="1"/>
  <c r="I1188" i="7"/>
  <c r="J1188" i="7" s="1"/>
  <c r="I1187" i="7"/>
  <c r="J1187" i="7" s="1"/>
  <c r="I1186" i="7"/>
  <c r="J1186" i="7" s="1"/>
  <c r="I1185" i="7"/>
  <c r="J1185" i="7" s="1"/>
  <c r="I1184" i="7"/>
  <c r="J1184" i="7" s="1"/>
  <c r="I1183" i="7"/>
  <c r="J1183" i="7" s="1"/>
  <c r="I1182" i="7"/>
  <c r="J1182" i="7" s="1"/>
  <c r="I1181" i="7"/>
  <c r="J1181" i="7" s="1"/>
  <c r="I1180" i="7"/>
  <c r="J1180" i="7" s="1"/>
  <c r="I1179" i="7"/>
  <c r="J1179" i="7" s="1"/>
  <c r="I1178" i="7"/>
  <c r="J1178" i="7" s="1"/>
  <c r="I1177" i="7"/>
  <c r="J1177" i="7" s="1"/>
  <c r="I1176" i="7"/>
  <c r="J1176" i="7" s="1"/>
  <c r="I1175" i="7"/>
  <c r="J1175" i="7" s="1"/>
  <c r="I1174" i="7"/>
  <c r="J1174" i="7" s="1"/>
  <c r="I1173" i="7"/>
  <c r="J1173" i="7" s="1"/>
  <c r="I1172" i="7"/>
  <c r="J1172" i="7" s="1"/>
  <c r="I1171" i="7"/>
  <c r="J1171" i="7" s="1"/>
  <c r="I1170" i="7"/>
  <c r="J1170" i="7" s="1"/>
  <c r="I1169" i="7"/>
  <c r="J1169" i="7" s="1"/>
  <c r="I1168" i="7"/>
  <c r="J1168" i="7" s="1"/>
  <c r="I1167" i="7"/>
  <c r="J1167" i="7" s="1"/>
  <c r="I1166" i="7"/>
  <c r="J1166" i="7" s="1"/>
  <c r="I1165" i="7"/>
  <c r="J1165" i="7" s="1"/>
  <c r="I1164" i="7"/>
  <c r="J1164" i="7" s="1"/>
  <c r="I1163" i="7"/>
  <c r="J1163" i="7" s="1"/>
  <c r="I1162" i="7"/>
  <c r="J1162" i="7" s="1"/>
  <c r="I1161" i="7"/>
  <c r="J1161" i="7" s="1"/>
  <c r="I1160" i="7"/>
  <c r="J1160" i="7" s="1"/>
  <c r="I1159" i="7"/>
  <c r="J1159" i="7" s="1"/>
  <c r="I1158" i="7"/>
  <c r="J1158" i="7" s="1"/>
  <c r="I1157" i="7"/>
  <c r="J1157" i="7" s="1"/>
  <c r="I1156" i="7"/>
  <c r="J1156" i="7" s="1"/>
  <c r="I1155" i="7"/>
  <c r="J1155" i="7" s="1"/>
  <c r="I1154" i="7"/>
  <c r="J1154" i="7" s="1"/>
  <c r="I1153" i="7"/>
  <c r="J1153" i="7" s="1"/>
  <c r="I1152" i="7"/>
  <c r="J1152" i="7" s="1"/>
  <c r="I1151" i="7"/>
  <c r="J1151" i="7" s="1"/>
  <c r="I1150" i="7"/>
  <c r="J1150" i="7" s="1"/>
  <c r="I1149" i="7"/>
  <c r="J1149" i="7" s="1"/>
  <c r="I1148" i="7"/>
  <c r="J1148" i="7" s="1"/>
  <c r="I1147" i="7"/>
  <c r="J1147" i="7" s="1"/>
  <c r="I1146" i="7"/>
  <c r="J1146" i="7" s="1"/>
  <c r="I1145" i="7"/>
  <c r="J1145" i="7" s="1"/>
  <c r="I1144" i="7"/>
  <c r="J1144" i="7" s="1"/>
  <c r="I1143" i="7"/>
  <c r="J1143" i="7" s="1"/>
  <c r="I1142" i="7"/>
  <c r="J1142" i="7" s="1"/>
  <c r="I1141" i="7"/>
  <c r="J1141" i="7" s="1"/>
  <c r="I1140" i="7"/>
  <c r="J1140" i="7" s="1"/>
  <c r="I1139" i="7"/>
  <c r="J1139" i="7" s="1"/>
  <c r="I1138" i="7"/>
  <c r="J1138" i="7" s="1"/>
  <c r="I1137" i="7"/>
  <c r="J1137" i="7" s="1"/>
  <c r="I1136" i="7"/>
  <c r="J1136" i="7" s="1"/>
  <c r="I1135" i="7"/>
  <c r="J1135" i="7" s="1"/>
  <c r="I1134" i="7"/>
  <c r="J1134" i="7" s="1"/>
  <c r="I1133" i="7"/>
  <c r="J1133" i="7" s="1"/>
  <c r="I1132" i="7"/>
  <c r="J1132" i="7" s="1"/>
  <c r="I1131" i="7"/>
  <c r="J1131" i="7" s="1"/>
  <c r="I1130" i="7"/>
  <c r="J1130" i="7" s="1"/>
  <c r="I1129" i="7"/>
  <c r="J1129" i="7" s="1"/>
  <c r="I1128" i="7"/>
  <c r="J1128" i="7" s="1"/>
  <c r="I1127" i="7"/>
  <c r="J1127" i="7" s="1"/>
  <c r="I1126" i="7"/>
  <c r="J1126" i="7" s="1"/>
  <c r="I1125" i="7"/>
  <c r="J1125" i="7" s="1"/>
  <c r="I1124" i="7"/>
  <c r="J1124" i="7" s="1"/>
  <c r="I1123" i="7"/>
  <c r="J1123" i="7" s="1"/>
  <c r="I1122" i="7"/>
  <c r="J1122" i="7" s="1"/>
  <c r="I1121" i="7"/>
  <c r="J1121" i="7" s="1"/>
  <c r="I1120" i="7"/>
  <c r="J1120" i="7" s="1"/>
  <c r="I1119" i="7"/>
  <c r="J1119" i="7" s="1"/>
  <c r="I1118" i="7"/>
  <c r="J1118" i="7" s="1"/>
  <c r="I1117" i="7"/>
  <c r="J1117" i="7" s="1"/>
  <c r="I1116" i="7"/>
  <c r="J1116" i="7" s="1"/>
  <c r="I1115" i="7"/>
  <c r="J1115" i="7" s="1"/>
  <c r="I1114" i="7"/>
  <c r="J1114" i="7" s="1"/>
  <c r="I1113" i="7"/>
  <c r="J1113" i="7" s="1"/>
  <c r="I1112" i="7"/>
  <c r="J1112" i="7" s="1"/>
  <c r="I1111" i="7"/>
  <c r="J1111" i="7" s="1"/>
  <c r="I1110" i="7"/>
  <c r="J1110" i="7" s="1"/>
  <c r="I1109" i="7"/>
  <c r="J1109" i="7" s="1"/>
  <c r="I1108" i="7"/>
  <c r="J1108" i="7" s="1"/>
  <c r="I1107" i="7"/>
  <c r="J1107" i="7" s="1"/>
  <c r="I1106" i="7"/>
  <c r="J1106" i="7" s="1"/>
  <c r="I1105" i="7"/>
  <c r="J1105" i="7" s="1"/>
  <c r="I1104" i="7"/>
  <c r="J1104" i="7" s="1"/>
  <c r="I1103" i="7"/>
  <c r="J1103" i="7" s="1"/>
  <c r="I1102" i="7"/>
  <c r="J1102" i="7" s="1"/>
  <c r="I1101" i="7"/>
  <c r="J1101" i="7" s="1"/>
  <c r="I1100" i="7"/>
  <c r="J1100" i="7" s="1"/>
  <c r="I1099" i="7"/>
  <c r="J1099" i="7" s="1"/>
  <c r="I1098" i="7"/>
  <c r="J1098" i="7" s="1"/>
  <c r="I1097" i="7"/>
  <c r="J1097" i="7" s="1"/>
  <c r="I1096" i="7"/>
  <c r="J1096" i="7" s="1"/>
  <c r="I1095" i="7"/>
  <c r="J1095" i="7" s="1"/>
  <c r="I1094" i="7"/>
  <c r="J1094" i="7" s="1"/>
  <c r="I1093" i="7"/>
  <c r="J1093" i="7" s="1"/>
  <c r="I1092" i="7"/>
  <c r="J1092" i="7" s="1"/>
  <c r="I1091" i="7"/>
  <c r="J1091" i="7" s="1"/>
  <c r="I1090" i="7"/>
  <c r="J1090" i="7" s="1"/>
  <c r="I1089" i="7"/>
  <c r="J1089" i="7" s="1"/>
  <c r="I1088" i="7"/>
  <c r="J1088" i="7" s="1"/>
  <c r="I1087" i="7"/>
  <c r="J1087" i="7" s="1"/>
  <c r="I1086" i="7"/>
  <c r="J1086" i="7" s="1"/>
  <c r="I1085" i="7"/>
  <c r="J1085" i="7" s="1"/>
  <c r="I1084" i="7"/>
  <c r="J1084" i="7" s="1"/>
  <c r="I1083" i="7"/>
  <c r="J1083" i="7" s="1"/>
  <c r="I1082" i="7"/>
  <c r="J1082" i="7" s="1"/>
  <c r="I1081" i="7"/>
  <c r="J1081" i="7" s="1"/>
  <c r="I1080" i="7"/>
  <c r="J1080" i="7" s="1"/>
  <c r="I1079" i="7"/>
  <c r="J1079" i="7" s="1"/>
  <c r="I1078" i="7"/>
  <c r="J1078" i="7" s="1"/>
  <c r="I1077" i="7"/>
  <c r="J1077" i="7" s="1"/>
  <c r="I1076" i="7"/>
  <c r="J1076" i="7" s="1"/>
  <c r="I1075" i="7"/>
  <c r="J1075" i="7" s="1"/>
  <c r="I1074" i="7"/>
  <c r="J1074" i="7" s="1"/>
  <c r="I1073" i="7"/>
  <c r="J1073" i="7" s="1"/>
  <c r="I1072" i="7"/>
  <c r="J1072" i="7" s="1"/>
  <c r="I1071" i="7"/>
  <c r="J1071" i="7" s="1"/>
  <c r="I1070" i="7"/>
  <c r="J1070" i="7" s="1"/>
  <c r="I1069" i="7"/>
  <c r="J1069" i="7" s="1"/>
  <c r="I1068" i="7"/>
  <c r="J1068" i="7" s="1"/>
  <c r="I1067" i="7"/>
  <c r="J1067" i="7" s="1"/>
  <c r="I1066" i="7"/>
  <c r="J1066" i="7" s="1"/>
  <c r="I1065" i="7"/>
  <c r="J1065" i="7" s="1"/>
  <c r="I1064" i="7"/>
  <c r="J1064" i="7" s="1"/>
  <c r="I1063" i="7"/>
  <c r="J1063" i="7" s="1"/>
  <c r="I1062" i="7"/>
  <c r="J1062" i="7" s="1"/>
  <c r="I1061" i="7"/>
  <c r="J1061" i="7" s="1"/>
  <c r="I1060" i="7"/>
  <c r="J1060" i="7" s="1"/>
  <c r="I1059" i="7"/>
  <c r="J1059" i="7" s="1"/>
  <c r="I1058" i="7"/>
  <c r="J1058" i="7" s="1"/>
  <c r="I1057" i="7"/>
  <c r="J1057" i="7" s="1"/>
  <c r="I1056" i="7"/>
  <c r="J1056" i="7" s="1"/>
  <c r="I1055" i="7"/>
  <c r="J1055" i="7" s="1"/>
  <c r="I1054" i="7"/>
  <c r="J1054" i="7" s="1"/>
  <c r="I1053" i="7"/>
  <c r="J1053" i="7" s="1"/>
  <c r="I1052" i="7"/>
  <c r="J1052" i="7" s="1"/>
  <c r="I1051" i="7"/>
  <c r="J1051" i="7" s="1"/>
  <c r="I1050" i="7"/>
  <c r="J1050" i="7" s="1"/>
  <c r="I1049" i="7"/>
  <c r="J1049" i="7" s="1"/>
  <c r="I1048" i="7"/>
  <c r="J1048" i="7" s="1"/>
  <c r="I1047" i="7"/>
  <c r="J1047" i="7" s="1"/>
  <c r="I1046" i="7"/>
  <c r="J1046" i="7" s="1"/>
  <c r="I1045" i="7"/>
  <c r="J1045" i="7" s="1"/>
  <c r="I1044" i="7"/>
  <c r="J1044" i="7" s="1"/>
  <c r="I1043" i="7"/>
  <c r="J1043" i="7" s="1"/>
  <c r="I1042" i="7"/>
  <c r="J1042" i="7" s="1"/>
  <c r="I1041" i="7"/>
  <c r="J1041" i="7" s="1"/>
  <c r="I1040" i="7"/>
  <c r="J1040" i="7" s="1"/>
  <c r="I1039" i="7"/>
  <c r="J1039" i="7" s="1"/>
  <c r="I1038" i="7"/>
  <c r="J1038" i="7" s="1"/>
  <c r="I1037" i="7"/>
  <c r="J1037" i="7" s="1"/>
  <c r="I1036" i="7"/>
  <c r="J1036" i="7" s="1"/>
  <c r="I1035" i="7"/>
  <c r="J1035" i="7" s="1"/>
  <c r="I1034" i="7"/>
  <c r="J1034" i="7" s="1"/>
  <c r="I1033" i="7"/>
  <c r="J1033" i="7" s="1"/>
  <c r="I1032" i="7"/>
  <c r="J1032" i="7" s="1"/>
  <c r="I1031" i="7"/>
  <c r="J1031" i="7" s="1"/>
  <c r="I1030" i="7"/>
  <c r="J1030" i="7" s="1"/>
  <c r="I1029" i="7"/>
  <c r="J1029" i="7" s="1"/>
  <c r="I1028" i="7"/>
  <c r="J1028" i="7" s="1"/>
  <c r="I1027" i="7"/>
  <c r="J1027" i="7" s="1"/>
  <c r="I1026" i="7"/>
  <c r="J1026" i="7" s="1"/>
  <c r="I1025" i="7"/>
  <c r="J1025" i="7" s="1"/>
  <c r="I1024" i="7"/>
  <c r="J1024" i="7" s="1"/>
  <c r="I1023" i="7"/>
  <c r="J1023" i="7" s="1"/>
  <c r="I1022" i="7"/>
  <c r="J1022" i="7" s="1"/>
  <c r="I1021" i="7"/>
  <c r="J1021" i="7" s="1"/>
  <c r="I1020" i="7"/>
  <c r="J1020" i="7" s="1"/>
  <c r="I1019" i="7"/>
  <c r="J1019" i="7" s="1"/>
  <c r="I1018" i="7"/>
  <c r="J1018" i="7" s="1"/>
  <c r="I1017" i="7"/>
  <c r="J1017" i="7" s="1"/>
  <c r="I1016" i="7"/>
  <c r="J1016" i="7" s="1"/>
  <c r="I1015" i="7"/>
  <c r="J1015" i="7" s="1"/>
  <c r="I1014" i="7"/>
  <c r="J1014" i="7" s="1"/>
  <c r="I1013" i="7"/>
  <c r="J1013" i="7" s="1"/>
  <c r="I1012" i="7"/>
  <c r="J1012" i="7" s="1"/>
  <c r="I1011" i="7"/>
  <c r="J1011" i="7" s="1"/>
  <c r="I1010" i="7"/>
  <c r="J1010" i="7" s="1"/>
  <c r="I1009" i="7"/>
  <c r="J1009" i="7" s="1"/>
  <c r="I1008" i="7"/>
  <c r="J1008" i="7" s="1"/>
  <c r="I1007" i="7"/>
  <c r="J1007" i="7" s="1"/>
  <c r="I1006" i="7"/>
  <c r="J1006" i="7" s="1"/>
  <c r="I1005" i="7"/>
  <c r="J1005" i="7" s="1"/>
  <c r="I1004" i="7"/>
  <c r="J1004" i="7" s="1"/>
  <c r="I1003" i="7"/>
  <c r="J1003" i="7" s="1"/>
  <c r="I1002" i="7"/>
  <c r="J1002" i="7" s="1"/>
  <c r="I1001" i="7"/>
  <c r="J1001" i="7" s="1"/>
  <c r="I1000" i="7"/>
  <c r="J1000" i="7" s="1"/>
  <c r="I999" i="7"/>
  <c r="J999" i="7" s="1"/>
  <c r="I998" i="7"/>
  <c r="J998" i="7" s="1"/>
  <c r="I997" i="7"/>
  <c r="J997" i="7" s="1"/>
  <c r="I996" i="7"/>
  <c r="J996" i="7" s="1"/>
  <c r="I995" i="7"/>
  <c r="J995" i="7" s="1"/>
  <c r="I994" i="7"/>
  <c r="J994" i="7" s="1"/>
  <c r="I993" i="7"/>
  <c r="J993" i="7" s="1"/>
  <c r="I992" i="7"/>
  <c r="J992" i="7" s="1"/>
  <c r="I991" i="7"/>
  <c r="J991" i="7" s="1"/>
  <c r="I990" i="7"/>
  <c r="J990" i="7" s="1"/>
  <c r="I989" i="7"/>
  <c r="J989" i="7" s="1"/>
  <c r="I988" i="7"/>
  <c r="J988" i="7" s="1"/>
  <c r="I987" i="7"/>
  <c r="J987" i="7" s="1"/>
  <c r="I986" i="7"/>
  <c r="J986" i="7" s="1"/>
  <c r="I985" i="7"/>
  <c r="J985" i="7" s="1"/>
  <c r="I984" i="7"/>
  <c r="J984" i="7" s="1"/>
  <c r="I983" i="7"/>
  <c r="J983" i="7" s="1"/>
  <c r="I982" i="7"/>
  <c r="J982" i="7" s="1"/>
  <c r="I981" i="7"/>
  <c r="J981" i="7" s="1"/>
  <c r="I980" i="7"/>
  <c r="J980" i="7" s="1"/>
  <c r="I979" i="7"/>
  <c r="J979" i="7" s="1"/>
  <c r="I978" i="7"/>
  <c r="J978" i="7" s="1"/>
  <c r="I977" i="7"/>
  <c r="J977" i="7" s="1"/>
  <c r="I976" i="7"/>
  <c r="J976" i="7" s="1"/>
  <c r="I975" i="7"/>
  <c r="J975" i="7" s="1"/>
  <c r="I974" i="7"/>
  <c r="J974" i="7" s="1"/>
  <c r="I973" i="7"/>
  <c r="J973" i="7" s="1"/>
  <c r="I972" i="7"/>
  <c r="J972" i="7" s="1"/>
  <c r="I971" i="7"/>
  <c r="J971" i="7" s="1"/>
  <c r="I970" i="7"/>
  <c r="J970" i="7" s="1"/>
  <c r="I969" i="7"/>
  <c r="J969" i="7" s="1"/>
  <c r="I968" i="7"/>
  <c r="J968" i="7" s="1"/>
  <c r="I967" i="7"/>
  <c r="J967" i="7" s="1"/>
  <c r="I966" i="7"/>
  <c r="J966" i="7" s="1"/>
  <c r="I965" i="7"/>
  <c r="J965" i="7" s="1"/>
  <c r="I964" i="7"/>
  <c r="J964" i="7" s="1"/>
  <c r="I963" i="7"/>
  <c r="J963" i="7" s="1"/>
  <c r="I962" i="7"/>
  <c r="J962" i="7" s="1"/>
  <c r="I961" i="7"/>
  <c r="J961" i="7" s="1"/>
  <c r="I960" i="7"/>
  <c r="J960" i="7" s="1"/>
  <c r="I959" i="7"/>
  <c r="J959" i="7" s="1"/>
  <c r="I958" i="7"/>
  <c r="J958" i="7" s="1"/>
  <c r="I957" i="7"/>
  <c r="J957" i="7" s="1"/>
  <c r="I956" i="7"/>
  <c r="J956" i="7" s="1"/>
  <c r="I955" i="7"/>
  <c r="J955" i="7" s="1"/>
  <c r="I954" i="7"/>
  <c r="J954" i="7" s="1"/>
  <c r="I953" i="7"/>
  <c r="J953" i="7" s="1"/>
  <c r="I952" i="7"/>
  <c r="J952" i="7" s="1"/>
  <c r="I951" i="7"/>
  <c r="J951" i="7" s="1"/>
  <c r="I950" i="7"/>
  <c r="J950" i="7" s="1"/>
  <c r="I949" i="7"/>
  <c r="J949" i="7" s="1"/>
  <c r="I948" i="7"/>
  <c r="J948" i="7" s="1"/>
  <c r="I947" i="7"/>
  <c r="J947" i="7" s="1"/>
  <c r="I946" i="7"/>
  <c r="J946" i="7" s="1"/>
  <c r="I945" i="7"/>
  <c r="J945" i="7" s="1"/>
  <c r="I944" i="7"/>
  <c r="J944" i="7" s="1"/>
  <c r="I943" i="7"/>
  <c r="J943" i="7" s="1"/>
  <c r="I942" i="7"/>
  <c r="J942" i="7" s="1"/>
  <c r="I941" i="7"/>
  <c r="J941" i="7" s="1"/>
  <c r="I940" i="7"/>
  <c r="J940" i="7" s="1"/>
  <c r="I939" i="7"/>
  <c r="J939" i="7" s="1"/>
  <c r="I938" i="7"/>
  <c r="J938" i="7" s="1"/>
  <c r="I937" i="7"/>
  <c r="J937" i="7" s="1"/>
  <c r="I936" i="7"/>
  <c r="J936" i="7" s="1"/>
  <c r="I935" i="7"/>
  <c r="J935" i="7" s="1"/>
  <c r="I934" i="7"/>
  <c r="J934" i="7" s="1"/>
  <c r="I933" i="7"/>
  <c r="J933" i="7" s="1"/>
  <c r="I932" i="7"/>
  <c r="J932" i="7" s="1"/>
  <c r="I931" i="7"/>
  <c r="J931" i="7" s="1"/>
  <c r="I930" i="7"/>
  <c r="J930" i="7" s="1"/>
  <c r="I929" i="7"/>
  <c r="J929" i="7" s="1"/>
  <c r="I928" i="7"/>
  <c r="J928" i="7" s="1"/>
  <c r="I927" i="7"/>
  <c r="J927" i="7" s="1"/>
  <c r="I926" i="7"/>
  <c r="J926" i="7" s="1"/>
  <c r="I925" i="7"/>
  <c r="J925" i="7" s="1"/>
  <c r="I924" i="7"/>
  <c r="J924" i="7" s="1"/>
  <c r="I923" i="7"/>
  <c r="J923" i="7" s="1"/>
  <c r="I922" i="7"/>
  <c r="J922" i="7" s="1"/>
  <c r="I921" i="7"/>
  <c r="J921" i="7" s="1"/>
  <c r="I920" i="7"/>
  <c r="J920" i="7" s="1"/>
  <c r="I919" i="7"/>
  <c r="J919" i="7" s="1"/>
  <c r="I918" i="7"/>
  <c r="J918" i="7" s="1"/>
  <c r="I917" i="7"/>
  <c r="J917" i="7" s="1"/>
  <c r="I916" i="7"/>
  <c r="J916" i="7" s="1"/>
  <c r="I915" i="7"/>
  <c r="J915" i="7" s="1"/>
  <c r="I914" i="7"/>
  <c r="J914" i="7" s="1"/>
  <c r="I913" i="7"/>
  <c r="J913" i="7" s="1"/>
  <c r="I912" i="7"/>
  <c r="J912" i="7" s="1"/>
  <c r="I911" i="7"/>
  <c r="J911" i="7" s="1"/>
  <c r="I910" i="7"/>
  <c r="J910" i="7" s="1"/>
  <c r="I909" i="7"/>
  <c r="J909" i="7" s="1"/>
  <c r="I908" i="7"/>
  <c r="J908" i="7" s="1"/>
  <c r="I907" i="7"/>
  <c r="J907" i="7" s="1"/>
  <c r="I906" i="7"/>
  <c r="J906" i="7" s="1"/>
  <c r="I905" i="7"/>
  <c r="J905" i="7" s="1"/>
  <c r="I904" i="7"/>
  <c r="J904" i="7" s="1"/>
  <c r="I903" i="7"/>
  <c r="J903" i="7" s="1"/>
  <c r="I902" i="7"/>
  <c r="J902" i="7" s="1"/>
  <c r="I901" i="7"/>
  <c r="J901" i="7" s="1"/>
  <c r="I900" i="7"/>
  <c r="J900" i="7" s="1"/>
  <c r="I899" i="7"/>
  <c r="J899" i="7" s="1"/>
  <c r="I898" i="7"/>
  <c r="J898" i="7" s="1"/>
  <c r="I897" i="7"/>
  <c r="J897" i="7" s="1"/>
  <c r="I896" i="7"/>
  <c r="J896" i="7" s="1"/>
  <c r="I895" i="7"/>
  <c r="J895" i="7" s="1"/>
  <c r="I894" i="7"/>
  <c r="J894" i="7" s="1"/>
  <c r="I893" i="7"/>
  <c r="J893" i="7" s="1"/>
  <c r="I892" i="7"/>
  <c r="J892" i="7" s="1"/>
  <c r="I891" i="7"/>
  <c r="J891" i="7" s="1"/>
  <c r="I890" i="7"/>
  <c r="J890" i="7" s="1"/>
  <c r="I889" i="7"/>
  <c r="J889" i="7" s="1"/>
  <c r="I888" i="7"/>
  <c r="J888" i="7" s="1"/>
  <c r="I887" i="7"/>
  <c r="J887" i="7" s="1"/>
  <c r="I886" i="7"/>
  <c r="J886" i="7" s="1"/>
  <c r="I885" i="7"/>
  <c r="J885" i="7" s="1"/>
  <c r="I884" i="7"/>
  <c r="J884" i="7" s="1"/>
  <c r="I883" i="7"/>
  <c r="J883" i="7" s="1"/>
  <c r="I882" i="7"/>
  <c r="J882" i="7" s="1"/>
  <c r="I881" i="7"/>
  <c r="J881" i="7" s="1"/>
  <c r="I880" i="7"/>
  <c r="J880" i="7" s="1"/>
  <c r="I879" i="7"/>
  <c r="J879" i="7" s="1"/>
  <c r="I878" i="7"/>
  <c r="J878" i="7" s="1"/>
  <c r="I877" i="7"/>
  <c r="J877" i="7" s="1"/>
  <c r="I876" i="7"/>
  <c r="J876" i="7" s="1"/>
  <c r="I875" i="7"/>
  <c r="J875" i="7" s="1"/>
  <c r="I874" i="7"/>
  <c r="J874" i="7" s="1"/>
  <c r="I873" i="7"/>
  <c r="J873" i="7" s="1"/>
  <c r="I872" i="7"/>
  <c r="J872" i="7" s="1"/>
  <c r="I871" i="7"/>
  <c r="J871" i="7" s="1"/>
  <c r="I870" i="7"/>
  <c r="J870" i="7" s="1"/>
  <c r="I869" i="7"/>
  <c r="J869" i="7" s="1"/>
  <c r="I868" i="7"/>
  <c r="J868" i="7" s="1"/>
  <c r="I867" i="7"/>
  <c r="J867" i="7" s="1"/>
  <c r="I866" i="7"/>
  <c r="J866" i="7" s="1"/>
  <c r="I865" i="7"/>
  <c r="J865" i="7" s="1"/>
  <c r="I864" i="7"/>
  <c r="J864" i="7" s="1"/>
  <c r="I863" i="7"/>
  <c r="J863" i="7" s="1"/>
  <c r="I862" i="7"/>
  <c r="J862" i="7" s="1"/>
  <c r="I861" i="7"/>
  <c r="J861" i="7" s="1"/>
  <c r="I860" i="7"/>
  <c r="J860" i="7" s="1"/>
  <c r="I859" i="7"/>
  <c r="J859" i="7" s="1"/>
  <c r="I858" i="7"/>
  <c r="J858" i="7" s="1"/>
  <c r="I857" i="7"/>
  <c r="J857" i="7" s="1"/>
  <c r="I856" i="7"/>
  <c r="J856" i="7" s="1"/>
  <c r="I855" i="7"/>
  <c r="J855" i="7" s="1"/>
  <c r="I854" i="7"/>
  <c r="J854" i="7" s="1"/>
  <c r="I853" i="7"/>
  <c r="J853" i="7" s="1"/>
  <c r="I852" i="7"/>
  <c r="J852" i="7" s="1"/>
  <c r="I851" i="7"/>
  <c r="J851" i="7" s="1"/>
  <c r="I850" i="7"/>
  <c r="J850" i="7" s="1"/>
  <c r="I849" i="7"/>
  <c r="J849" i="7" s="1"/>
  <c r="I848" i="7"/>
  <c r="J848" i="7" s="1"/>
  <c r="I847" i="7"/>
  <c r="J847" i="7" s="1"/>
  <c r="I846" i="7"/>
  <c r="J846" i="7" s="1"/>
  <c r="I845" i="7"/>
  <c r="J845" i="7" s="1"/>
  <c r="I844" i="7"/>
  <c r="J844" i="7" s="1"/>
  <c r="I843" i="7"/>
  <c r="J843" i="7" s="1"/>
  <c r="I842" i="7"/>
  <c r="J842" i="7" s="1"/>
  <c r="I841" i="7"/>
  <c r="J841" i="7" s="1"/>
  <c r="I840" i="7"/>
  <c r="J840" i="7" s="1"/>
  <c r="I839" i="7"/>
  <c r="J839" i="7" s="1"/>
  <c r="I838" i="7"/>
  <c r="J838" i="7" s="1"/>
  <c r="I837" i="7"/>
  <c r="J837" i="7" s="1"/>
  <c r="I836" i="7"/>
  <c r="J836" i="7" s="1"/>
  <c r="I835" i="7"/>
  <c r="J835" i="7" s="1"/>
  <c r="I834" i="7"/>
  <c r="J834" i="7" s="1"/>
  <c r="I833" i="7"/>
  <c r="J833" i="7" s="1"/>
  <c r="I832" i="7"/>
  <c r="J832" i="7" s="1"/>
  <c r="I831" i="7"/>
  <c r="J831" i="7" s="1"/>
  <c r="I830" i="7"/>
  <c r="J830" i="7" s="1"/>
  <c r="I829" i="7"/>
  <c r="J829" i="7" s="1"/>
  <c r="I828" i="7"/>
  <c r="J828" i="7" s="1"/>
  <c r="I827" i="7"/>
  <c r="J827" i="7" s="1"/>
  <c r="I826" i="7"/>
  <c r="J826" i="7" s="1"/>
  <c r="I825" i="7"/>
  <c r="J825" i="7" s="1"/>
  <c r="I824" i="7"/>
  <c r="J824" i="7" s="1"/>
  <c r="I823" i="7"/>
  <c r="J823" i="7" s="1"/>
  <c r="I822" i="7"/>
  <c r="J822" i="7" s="1"/>
  <c r="I821" i="7"/>
  <c r="J821" i="7" s="1"/>
  <c r="I820" i="7"/>
  <c r="J820" i="7" s="1"/>
  <c r="I819" i="7"/>
  <c r="J819" i="7" s="1"/>
  <c r="I818" i="7"/>
  <c r="J818" i="7" s="1"/>
  <c r="I817" i="7"/>
  <c r="J817" i="7" s="1"/>
  <c r="I816" i="7"/>
  <c r="J816" i="7" s="1"/>
  <c r="I815" i="7"/>
  <c r="J815" i="7" s="1"/>
  <c r="I814" i="7"/>
  <c r="J814" i="7" s="1"/>
  <c r="I813" i="7"/>
  <c r="J813" i="7" s="1"/>
  <c r="I812" i="7"/>
  <c r="J812" i="7" s="1"/>
  <c r="I811" i="7"/>
  <c r="J811" i="7" s="1"/>
  <c r="I810" i="7"/>
  <c r="J810" i="7" s="1"/>
  <c r="I809" i="7"/>
  <c r="J809" i="7" s="1"/>
  <c r="I808" i="7"/>
  <c r="J808" i="7" s="1"/>
  <c r="I807" i="7"/>
  <c r="J807" i="7" s="1"/>
  <c r="I806" i="7"/>
  <c r="J806" i="7" s="1"/>
  <c r="I805" i="7"/>
  <c r="J805" i="7" s="1"/>
  <c r="I804" i="7"/>
  <c r="J804" i="7" s="1"/>
  <c r="I803" i="7"/>
  <c r="J803" i="7" s="1"/>
  <c r="I802" i="7"/>
  <c r="J802" i="7" s="1"/>
  <c r="I801" i="7"/>
  <c r="J801" i="7" s="1"/>
  <c r="I800" i="7"/>
  <c r="J800" i="7" s="1"/>
  <c r="I799" i="7"/>
  <c r="J799" i="7" s="1"/>
  <c r="I798" i="7"/>
  <c r="J798" i="7" s="1"/>
  <c r="I797" i="7"/>
  <c r="J797" i="7" s="1"/>
  <c r="I796" i="7"/>
  <c r="J796" i="7" s="1"/>
  <c r="I795" i="7"/>
  <c r="J795" i="7" s="1"/>
  <c r="I794" i="7"/>
  <c r="J794" i="7" s="1"/>
  <c r="I793" i="7"/>
  <c r="J793" i="7" s="1"/>
  <c r="I792" i="7"/>
  <c r="J792" i="7" s="1"/>
  <c r="I791" i="7"/>
  <c r="J791" i="7" s="1"/>
  <c r="I790" i="7"/>
  <c r="J790" i="7" s="1"/>
  <c r="I789" i="7"/>
  <c r="J789" i="7" s="1"/>
  <c r="I788" i="7"/>
  <c r="J788" i="7" s="1"/>
  <c r="I787" i="7"/>
  <c r="J787" i="7" s="1"/>
  <c r="I786" i="7"/>
  <c r="J786" i="7" s="1"/>
  <c r="I785" i="7"/>
  <c r="J785" i="7" s="1"/>
  <c r="I784" i="7"/>
  <c r="J784" i="7" s="1"/>
  <c r="I783" i="7"/>
  <c r="J783" i="7" s="1"/>
  <c r="I782" i="7"/>
  <c r="J782" i="7" s="1"/>
  <c r="I781" i="7"/>
  <c r="J781" i="7" s="1"/>
  <c r="I780" i="7"/>
  <c r="J780" i="7" s="1"/>
  <c r="I779" i="7"/>
  <c r="J779" i="7" s="1"/>
  <c r="I778" i="7"/>
  <c r="J778" i="7" s="1"/>
  <c r="I777" i="7"/>
  <c r="J777" i="7" s="1"/>
  <c r="I776" i="7"/>
  <c r="J776" i="7" s="1"/>
  <c r="I775" i="7"/>
  <c r="J775" i="7" s="1"/>
  <c r="I774" i="7"/>
  <c r="J774" i="7" s="1"/>
  <c r="I773" i="7"/>
  <c r="J773" i="7" s="1"/>
  <c r="I772" i="7"/>
  <c r="J772" i="7" s="1"/>
  <c r="I771" i="7"/>
  <c r="J771" i="7" s="1"/>
  <c r="I770" i="7"/>
  <c r="J770" i="7" s="1"/>
  <c r="I769" i="7"/>
  <c r="J769" i="7" s="1"/>
  <c r="I768" i="7"/>
  <c r="J768" i="7" s="1"/>
  <c r="I767" i="7"/>
  <c r="J767" i="7" s="1"/>
  <c r="I766" i="7"/>
  <c r="J766" i="7" s="1"/>
  <c r="I765" i="7"/>
  <c r="J765" i="7" s="1"/>
  <c r="I764" i="7"/>
  <c r="J764" i="7" s="1"/>
  <c r="I763" i="7"/>
  <c r="J763" i="7" s="1"/>
  <c r="I762" i="7"/>
  <c r="J762" i="7" s="1"/>
  <c r="I761" i="7"/>
  <c r="J761" i="7" s="1"/>
  <c r="I760" i="7"/>
  <c r="J760" i="7" s="1"/>
  <c r="I759" i="7"/>
  <c r="J759" i="7" s="1"/>
  <c r="I758" i="7"/>
  <c r="J758" i="7" s="1"/>
  <c r="I757" i="7"/>
  <c r="J757" i="7" s="1"/>
  <c r="I756" i="7"/>
  <c r="J756" i="7" s="1"/>
  <c r="I755" i="7"/>
  <c r="J755" i="7" s="1"/>
  <c r="I754" i="7"/>
  <c r="J754" i="7" s="1"/>
  <c r="I753" i="7"/>
  <c r="J753" i="7" s="1"/>
  <c r="I752" i="7"/>
  <c r="J752" i="7" s="1"/>
  <c r="I751" i="7"/>
  <c r="J751" i="7" s="1"/>
  <c r="I750" i="7"/>
  <c r="J750" i="7" s="1"/>
  <c r="I749" i="7"/>
  <c r="J749" i="7" s="1"/>
  <c r="I748" i="7"/>
  <c r="J748" i="7" s="1"/>
  <c r="I747" i="7"/>
  <c r="J747" i="7" s="1"/>
  <c r="I746" i="7"/>
  <c r="J746" i="7" s="1"/>
  <c r="I745" i="7"/>
  <c r="J745" i="7" s="1"/>
  <c r="I744" i="7"/>
  <c r="J744" i="7" s="1"/>
  <c r="I743" i="7"/>
  <c r="J743" i="7" s="1"/>
  <c r="I742" i="7"/>
  <c r="J742" i="7" s="1"/>
  <c r="I741" i="7"/>
  <c r="J741" i="7" s="1"/>
  <c r="I740" i="7"/>
  <c r="J740" i="7" s="1"/>
  <c r="I739" i="7"/>
  <c r="J739" i="7" s="1"/>
  <c r="I738" i="7"/>
  <c r="J738" i="7" s="1"/>
  <c r="I737" i="7"/>
  <c r="J737" i="7" s="1"/>
  <c r="I736" i="7"/>
  <c r="J736" i="7" s="1"/>
  <c r="I735" i="7"/>
  <c r="J735" i="7" s="1"/>
  <c r="I734" i="7"/>
  <c r="J734" i="7" s="1"/>
  <c r="I733" i="7"/>
  <c r="J733" i="7" s="1"/>
  <c r="I732" i="7"/>
  <c r="J732" i="7" s="1"/>
  <c r="I731" i="7"/>
  <c r="J731" i="7" s="1"/>
  <c r="I730" i="7"/>
  <c r="J730" i="7" s="1"/>
  <c r="I729" i="7"/>
  <c r="J729" i="7" s="1"/>
  <c r="I728" i="7"/>
  <c r="J728" i="7" s="1"/>
  <c r="I727" i="7"/>
  <c r="J727" i="7" s="1"/>
  <c r="I726" i="7"/>
  <c r="J726" i="7" s="1"/>
  <c r="I725" i="7"/>
  <c r="J725" i="7" s="1"/>
  <c r="I724" i="7"/>
  <c r="J724" i="7" s="1"/>
  <c r="I723" i="7"/>
  <c r="J723" i="7" s="1"/>
  <c r="I722" i="7"/>
  <c r="J722" i="7" s="1"/>
  <c r="I721" i="7"/>
  <c r="J721" i="7" s="1"/>
  <c r="I720" i="7"/>
  <c r="J720" i="7" s="1"/>
  <c r="I719" i="7"/>
  <c r="J719" i="7" s="1"/>
  <c r="I718" i="7"/>
  <c r="J718" i="7" s="1"/>
  <c r="I717" i="7"/>
  <c r="J717" i="7" s="1"/>
  <c r="I716" i="7"/>
  <c r="J716" i="7" s="1"/>
  <c r="I715" i="7"/>
  <c r="J715" i="7" s="1"/>
  <c r="I714" i="7"/>
  <c r="J714" i="7" s="1"/>
  <c r="I713" i="7"/>
  <c r="J713" i="7" s="1"/>
  <c r="I712" i="7"/>
  <c r="J712" i="7" s="1"/>
  <c r="I711" i="7"/>
  <c r="J711" i="7" s="1"/>
  <c r="I710" i="7"/>
  <c r="J710" i="7" s="1"/>
  <c r="I709" i="7"/>
  <c r="J709" i="7" s="1"/>
  <c r="I708" i="7"/>
  <c r="J708" i="7" s="1"/>
  <c r="I707" i="7"/>
  <c r="J707" i="7" s="1"/>
  <c r="I706" i="7"/>
  <c r="J706" i="7" s="1"/>
  <c r="I705" i="7"/>
  <c r="J705" i="7" s="1"/>
  <c r="I704" i="7"/>
  <c r="J704" i="7" s="1"/>
  <c r="I703" i="7"/>
  <c r="J703" i="7" s="1"/>
  <c r="I702" i="7"/>
  <c r="J702" i="7" s="1"/>
  <c r="I701" i="7"/>
  <c r="J701" i="7" s="1"/>
  <c r="I700" i="7"/>
  <c r="J700" i="7" s="1"/>
  <c r="I699" i="7"/>
  <c r="J699" i="7" s="1"/>
  <c r="I698" i="7"/>
  <c r="J698" i="7" s="1"/>
  <c r="I697" i="7"/>
  <c r="J697" i="7" s="1"/>
  <c r="I696" i="7"/>
  <c r="J696" i="7" s="1"/>
  <c r="I695" i="7"/>
  <c r="J695" i="7" s="1"/>
  <c r="I694" i="7"/>
  <c r="J694" i="7" s="1"/>
  <c r="I693" i="7"/>
  <c r="J693" i="7" s="1"/>
  <c r="I692" i="7"/>
  <c r="J692" i="7" s="1"/>
  <c r="I691" i="7"/>
  <c r="J691" i="7" s="1"/>
  <c r="I690" i="7"/>
  <c r="J690" i="7" s="1"/>
  <c r="I689" i="7"/>
  <c r="J689" i="7" s="1"/>
  <c r="I688" i="7"/>
  <c r="J688" i="7" s="1"/>
  <c r="I687" i="7"/>
  <c r="J687" i="7" s="1"/>
  <c r="I686" i="7"/>
  <c r="J686" i="7" s="1"/>
  <c r="I685" i="7"/>
  <c r="J685" i="7" s="1"/>
  <c r="I684" i="7"/>
  <c r="J684" i="7" s="1"/>
  <c r="I683" i="7"/>
  <c r="J683" i="7" s="1"/>
  <c r="I682" i="7"/>
  <c r="J682" i="7" s="1"/>
  <c r="I681" i="7"/>
  <c r="J681" i="7" s="1"/>
  <c r="I680" i="7"/>
  <c r="J680" i="7" s="1"/>
  <c r="I679" i="7"/>
  <c r="J679" i="7" s="1"/>
  <c r="I678" i="7"/>
  <c r="J678" i="7" s="1"/>
  <c r="I677" i="7"/>
  <c r="J677" i="7" s="1"/>
  <c r="I676" i="7"/>
  <c r="J676" i="7" s="1"/>
  <c r="I675" i="7"/>
  <c r="J675" i="7" s="1"/>
  <c r="I674" i="7"/>
  <c r="J674" i="7" s="1"/>
  <c r="I673" i="7"/>
  <c r="J673" i="7" s="1"/>
  <c r="I672" i="7"/>
  <c r="J672" i="7" s="1"/>
  <c r="I671" i="7"/>
  <c r="J671" i="7" s="1"/>
  <c r="I670" i="7"/>
  <c r="J670" i="7" s="1"/>
  <c r="I669" i="7"/>
  <c r="J669" i="7" s="1"/>
  <c r="I668" i="7"/>
  <c r="J668" i="7" s="1"/>
  <c r="I667" i="7"/>
  <c r="J667" i="7" s="1"/>
  <c r="I666" i="7"/>
  <c r="J666" i="7" s="1"/>
  <c r="I665" i="7"/>
  <c r="J665" i="7" s="1"/>
  <c r="I664" i="7"/>
  <c r="J664" i="7" s="1"/>
  <c r="I663" i="7"/>
  <c r="J663" i="7" s="1"/>
  <c r="I662" i="7"/>
  <c r="J662" i="7" s="1"/>
  <c r="I661" i="7"/>
  <c r="J661" i="7" s="1"/>
  <c r="I660" i="7"/>
  <c r="J660" i="7" s="1"/>
  <c r="I659" i="7"/>
  <c r="J659" i="7" s="1"/>
  <c r="I658" i="7"/>
  <c r="J658" i="7" s="1"/>
  <c r="I657" i="7"/>
  <c r="J657" i="7" s="1"/>
  <c r="I656" i="7"/>
  <c r="J656" i="7" s="1"/>
  <c r="I655" i="7"/>
  <c r="J655" i="7" s="1"/>
  <c r="I654" i="7"/>
  <c r="J654" i="7" s="1"/>
  <c r="I653" i="7"/>
  <c r="J653" i="7" s="1"/>
  <c r="I652" i="7"/>
  <c r="J652" i="7" s="1"/>
  <c r="I651" i="7"/>
  <c r="J651" i="7" s="1"/>
  <c r="I650" i="7"/>
  <c r="J650" i="7" s="1"/>
  <c r="I649" i="7"/>
  <c r="J649" i="7" s="1"/>
  <c r="I648" i="7"/>
  <c r="J648" i="7" s="1"/>
  <c r="I647" i="7"/>
  <c r="J647" i="7" s="1"/>
  <c r="I646" i="7"/>
  <c r="J646" i="7" s="1"/>
  <c r="I645" i="7"/>
  <c r="J645" i="7" s="1"/>
  <c r="I644" i="7"/>
  <c r="J644" i="7" s="1"/>
  <c r="I643" i="7"/>
  <c r="J643" i="7" s="1"/>
  <c r="I642" i="7"/>
  <c r="J642" i="7" s="1"/>
  <c r="I641" i="7"/>
  <c r="J641" i="7" s="1"/>
  <c r="I640" i="7"/>
  <c r="J640" i="7" s="1"/>
  <c r="I639" i="7"/>
  <c r="J639" i="7" s="1"/>
  <c r="I638" i="7"/>
  <c r="J638" i="7" s="1"/>
  <c r="I637" i="7"/>
  <c r="J637" i="7" s="1"/>
  <c r="I636" i="7"/>
  <c r="J636" i="7" s="1"/>
  <c r="I635" i="7"/>
  <c r="J635" i="7" s="1"/>
  <c r="I634" i="7"/>
  <c r="J634" i="7" s="1"/>
  <c r="I633" i="7"/>
  <c r="J633" i="7" s="1"/>
  <c r="I632" i="7"/>
  <c r="J632" i="7" s="1"/>
  <c r="I631" i="7"/>
  <c r="J631" i="7" s="1"/>
  <c r="I630" i="7"/>
  <c r="J630" i="7" s="1"/>
  <c r="I629" i="7"/>
  <c r="J629" i="7" s="1"/>
  <c r="I628" i="7"/>
  <c r="J628" i="7" s="1"/>
  <c r="I627" i="7"/>
  <c r="J627" i="7" s="1"/>
  <c r="I626" i="7"/>
  <c r="J626" i="7" s="1"/>
  <c r="I625" i="7"/>
  <c r="J625" i="7" s="1"/>
  <c r="I624" i="7"/>
  <c r="J624" i="7" s="1"/>
  <c r="I623" i="7"/>
  <c r="J623" i="7" s="1"/>
  <c r="I622" i="7"/>
  <c r="J622" i="7" s="1"/>
  <c r="I621" i="7"/>
  <c r="J621" i="7" s="1"/>
  <c r="I620" i="7"/>
  <c r="J620" i="7" s="1"/>
  <c r="I619" i="7"/>
  <c r="J619" i="7" s="1"/>
  <c r="I618" i="7"/>
  <c r="J618" i="7" s="1"/>
  <c r="I617" i="7"/>
  <c r="J617" i="7" s="1"/>
  <c r="I616" i="7"/>
  <c r="J616" i="7" s="1"/>
  <c r="I615" i="7"/>
  <c r="J615" i="7" s="1"/>
  <c r="I614" i="7"/>
  <c r="J614" i="7" s="1"/>
  <c r="I613" i="7"/>
  <c r="J613" i="7" s="1"/>
  <c r="I612" i="7"/>
  <c r="J612" i="7" s="1"/>
  <c r="I611" i="7"/>
  <c r="J611" i="7" s="1"/>
  <c r="I610" i="7"/>
  <c r="J610" i="7" s="1"/>
  <c r="I609" i="7"/>
  <c r="J609" i="7" s="1"/>
  <c r="I608" i="7"/>
  <c r="J608" i="7" s="1"/>
  <c r="I607" i="7"/>
  <c r="J607" i="7" s="1"/>
  <c r="I606" i="7"/>
  <c r="J606" i="7" s="1"/>
  <c r="I605" i="7"/>
  <c r="J605" i="7" s="1"/>
  <c r="I604" i="7"/>
  <c r="J604" i="7" s="1"/>
  <c r="I603" i="7"/>
  <c r="J603" i="7" s="1"/>
  <c r="I602" i="7"/>
  <c r="J602" i="7" s="1"/>
  <c r="I601" i="7"/>
  <c r="J601" i="7" s="1"/>
  <c r="I600" i="7"/>
  <c r="J600" i="7" s="1"/>
  <c r="I599" i="7"/>
  <c r="J599" i="7" s="1"/>
  <c r="I598" i="7"/>
  <c r="J598" i="7" s="1"/>
  <c r="I597" i="7"/>
  <c r="J597" i="7" s="1"/>
  <c r="I596" i="7"/>
  <c r="J596" i="7" s="1"/>
  <c r="I595" i="7"/>
  <c r="J595" i="7" s="1"/>
  <c r="I594" i="7"/>
  <c r="J594" i="7" s="1"/>
  <c r="I593" i="7"/>
  <c r="J593" i="7" s="1"/>
  <c r="I592" i="7"/>
  <c r="J592" i="7" s="1"/>
  <c r="I591" i="7"/>
  <c r="J591" i="7" s="1"/>
  <c r="I590" i="7"/>
  <c r="J590" i="7" s="1"/>
  <c r="I589" i="7"/>
  <c r="J589" i="7" s="1"/>
  <c r="I588" i="7"/>
  <c r="J588" i="7" s="1"/>
  <c r="I587" i="7"/>
  <c r="J587" i="7" s="1"/>
  <c r="I586" i="7"/>
  <c r="J586" i="7" s="1"/>
  <c r="I585" i="7"/>
  <c r="J585" i="7" s="1"/>
  <c r="I584" i="7"/>
  <c r="J584" i="7" s="1"/>
  <c r="I583" i="7"/>
  <c r="J583" i="7" s="1"/>
  <c r="I582" i="7"/>
  <c r="J582" i="7" s="1"/>
  <c r="I581" i="7"/>
  <c r="J581" i="7" s="1"/>
  <c r="I580" i="7"/>
  <c r="J580" i="7" s="1"/>
  <c r="I579" i="7"/>
  <c r="J579" i="7" s="1"/>
  <c r="I578" i="7"/>
  <c r="J578" i="7" s="1"/>
  <c r="I577" i="7"/>
  <c r="J577" i="7" s="1"/>
  <c r="I576" i="7"/>
  <c r="J576" i="7" s="1"/>
  <c r="I575" i="7"/>
  <c r="J575" i="7" s="1"/>
  <c r="I574" i="7"/>
  <c r="J574" i="7" s="1"/>
  <c r="I573" i="7"/>
  <c r="J573" i="7" s="1"/>
  <c r="I572" i="7"/>
  <c r="J572" i="7" s="1"/>
  <c r="I571" i="7"/>
  <c r="J571" i="7" s="1"/>
  <c r="I570" i="7"/>
  <c r="J570" i="7" s="1"/>
  <c r="I569" i="7"/>
  <c r="J569" i="7" s="1"/>
  <c r="I568" i="7"/>
  <c r="J568" i="7" s="1"/>
  <c r="I567" i="7"/>
  <c r="J567" i="7" s="1"/>
  <c r="I566" i="7"/>
  <c r="J566" i="7" s="1"/>
  <c r="I565" i="7"/>
  <c r="J565" i="7" s="1"/>
  <c r="I564" i="7"/>
  <c r="J564" i="7" s="1"/>
  <c r="I563" i="7"/>
  <c r="J563" i="7" s="1"/>
  <c r="I562" i="7"/>
  <c r="J562" i="7" s="1"/>
  <c r="I561" i="7"/>
  <c r="J561" i="7" s="1"/>
  <c r="I560" i="7"/>
  <c r="J560" i="7" s="1"/>
  <c r="I559" i="7"/>
  <c r="J559" i="7" s="1"/>
  <c r="I558" i="7"/>
  <c r="J558" i="7" s="1"/>
  <c r="I557" i="7"/>
  <c r="J557" i="7" s="1"/>
  <c r="I556" i="7"/>
  <c r="J556" i="7" s="1"/>
  <c r="I555" i="7"/>
  <c r="J555" i="7" s="1"/>
  <c r="I554" i="7"/>
  <c r="J554" i="7" s="1"/>
  <c r="I553" i="7"/>
  <c r="J553" i="7" s="1"/>
  <c r="I552" i="7"/>
  <c r="J552" i="7" s="1"/>
  <c r="I551" i="7"/>
  <c r="J551" i="7" s="1"/>
  <c r="I550" i="7"/>
  <c r="J550" i="7" s="1"/>
  <c r="I549" i="7"/>
  <c r="J549" i="7" s="1"/>
  <c r="I548" i="7"/>
  <c r="J548" i="7" s="1"/>
  <c r="I547" i="7"/>
  <c r="J547" i="7" s="1"/>
  <c r="I546" i="7"/>
  <c r="J546" i="7" s="1"/>
  <c r="I545" i="7"/>
  <c r="J545" i="7" s="1"/>
  <c r="I544" i="7"/>
  <c r="J544" i="7" s="1"/>
  <c r="I543" i="7"/>
  <c r="J543" i="7" s="1"/>
  <c r="I542" i="7"/>
  <c r="J542" i="7" s="1"/>
  <c r="I541" i="7"/>
  <c r="J541" i="7" s="1"/>
  <c r="I540" i="7"/>
  <c r="J540" i="7" s="1"/>
  <c r="I539" i="7"/>
  <c r="J539" i="7" s="1"/>
  <c r="I538" i="7"/>
  <c r="J538" i="7" s="1"/>
  <c r="I537" i="7"/>
  <c r="J537" i="7" s="1"/>
  <c r="I536" i="7"/>
  <c r="J536" i="7" s="1"/>
  <c r="I535" i="7"/>
  <c r="J535" i="7" s="1"/>
  <c r="I534" i="7"/>
  <c r="J534" i="7" s="1"/>
  <c r="I533" i="7"/>
  <c r="J533" i="7" s="1"/>
  <c r="I532" i="7"/>
  <c r="J532" i="7" s="1"/>
  <c r="I531" i="7"/>
  <c r="J531" i="7" s="1"/>
  <c r="I530" i="7"/>
  <c r="J530" i="7" s="1"/>
  <c r="I529" i="7"/>
  <c r="J529" i="7" s="1"/>
  <c r="I528" i="7"/>
  <c r="J528" i="7" s="1"/>
  <c r="I527" i="7"/>
  <c r="J527" i="7" s="1"/>
  <c r="I526" i="7"/>
  <c r="J526" i="7" s="1"/>
  <c r="I525" i="7"/>
  <c r="J525" i="7" s="1"/>
  <c r="I524" i="7"/>
  <c r="J524" i="7" s="1"/>
  <c r="I523" i="7"/>
  <c r="J523" i="7" s="1"/>
  <c r="I522" i="7"/>
  <c r="J522" i="7" s="1"/>
  <c r="I521" i="7"/>
  <c r="J521" i="7" s="1"/>
  <c r="I520" i="7"/>
  <c r="J520" i="7" s="1"/>
  <c r="I519" i="7"/>
  <c r="J519" i="7" s="1"/>
  <c r="I518" i="7"/>
  <c r="J518" i="7" s="1"/>
  <c r="I517" i="7"/>
  <c r="J517" i="7" s="1"/>
  <c r="I516" i="7"/>
  <c r="J516" i="7" s="1"/>
  <c r="I515" i="7"/>
  <c r="J515" i="7" s="1"/>
  <c r="I514" i="7"/>
  <c r="J514" i="7" s="1"/>
  <c r="I513" i="7"/>
  <c r="J513" i="7" s="1"/>
  <c r="I512" i="7"/>
  <c r="J512" i="7" s="1"/>
  <c r="I511" i="7"/>
  <c r="J511" i="7" s="1"/>
  <c r="I510" i="7"/>
  <c r="J510" i="7" s="1"/>
  <c r="I509" i="7"/>
  <c r="J509" i="7" s="1"/>
  <c r="I508" i="7"/>
  <c r="J508" i="7" s="1"/>
  <c r="I507" i="7"/>
  <c r="J507" i="7" s="1"/>
  <c r="I506" i="7"/>
  <c r="J506" i="7" s="1"/>
  <c r="I505" i="7"/>
  <c r="J505" i="7" s="1"/>
  <c r="I504" i="7"/>
  <c r="J504" i="7" s="1"/>
  <c r="I503" i="7"/>
  <c r="J503" i="7" s="1"/>
  <c r="I502" i="7"/>
  <c r="J502" i="7" s="1"/>
  <c r="I501" i="7"/>
  <c r="J501" i="7" s="1"/>
  <c r="I500" i="7"/>
  <c r="J500" i="7" s="1"/>
  <c r="I499" i="7"/>
  <c r="J499" i="7" s="1"/>
  <c r="I498" i="7"/>
  <c r="J498" i="7" s="1"/>
  <c r="I497" i="7"/>
  <c r="J497" i="7" s="1"/>
  <c r="I496" i="7"/>
  <c r="J496" i="7" s="1"/>
  <c r="I495" i="7"/>
  <c r="J495" i="7" s="1"/>
  <c r="I494" i="7"/>
  <c r="J494" i="7" s="1"/>
  <c r="I493" i="7"/>
  <c r="J493" i="7" s="1"/>
  <c r="I492" i="7"/>
  <c r="J492" i="7" s="1"/>
  <c r="I491" i="7"/>
  <c r="J491" i="7" s="1"/>
  <c r="I490" i="7"/>
  <c r="J490" i="7" s="1"/>
  <c r="I489" i="7"/>
  <c r="J489" i="7" s="1"/>
  <c r="I488" i="7"/>
  <c r="J488" i="7" s="1"/>
  <c r="I487" i="7"/>
  <c r="J487" i="7" s="1"/>
  <c r="I486" i="7"/>
  <c r="J486" i="7" s="1"/>
  <c r="I485" i="7"/>
  <c r="J485" i="7" s="1"/>
  <c r="I484" i="7"/>
  <c r="J484" i="7" s="1"/>
  <c r="I483" i="7"/>
  <c r="J483" i="7" s="1"/>
  <c r="I482" i="7"/>
  <c r="J482" i="7" s="1"/>
  <c r="I481" i="7"/>
  <c r="J481" i="7" s="1"/>
  <c r="I480" i="7"/>
  <c r="J480" i="7" s="1"/>
  <c r="I479" i="7"/>
  <c r="J479" i="7" s="1"/>
  <c r="I478" i="7"/>
  <c r="J478" i="7" s="1"/>
  <c r="I477" i="7"/>
  <c r="J477" i="7" s="1"/>
  <c r="I476" i="7"/>
  <c r="J476" i="7" s="1"/>
  <c r="I475" i="7"/>
  <c r="J475" i="7" s="1"/>
  <c r="I474" i="7"/>
  <c r="J474" i="7" s="1"/>
  <c r="I473" i="7"/>
  <c r="J473" i="7" s="1"/>
  <c r="I472" i="7"/>
  <c r="J472" i="7" s="1"/>
  <c r="I471" i="7"/>
  <c r="J471" i="7" s="1"/>
  <c r="I470" i="7"/>
  <c r="J470" i="7" s="1"/>
  <c r="I469" i="7"/>
  <c r="J469" i="7" s="1"/>
  <c r="I468" i="7"/>
  <c r="J468" i="7" s="1"/>
  <c r="I467" i="7"/>
  <c r="J467" i="7" s="1"/>
  <c r="I466" i="7"/>
  <c r="J466" i="7" s="1"/>
  <c r="I465" i="7"/>
  <c r="J465" i="7" s="1"/>
  <c r="I464" i="7"/>
  <c r="J464" i="7" s="1"/>
  <c r="I463" i="7"/>
  <c r="J463" i="7" s="1"/>
  <c r="I462" i="7"/>
  <c r="J462" i="7" s="1"/>
  <c r="I461" i="7"/>
  <c r="J461" i="7" s="1"/>
  <c r="I460" i="7"/>
  <c r="J460" i="7" s="1"/>
  <c r="I459" i="7"/>
  <c r="J459" i="7" s="1"/>
  <c r="I458" i="7"/>
  <c r="J458" i="7" s="1"/>
  <c r="I457" i="7"/>
  <c r="J457" i="7" s="1"/>
  <c r="I456" i="7"/>
  <c r="J456" i="7" s="1"/>
  <c r="I455" i="7"/>
  <c r="J455" i="7" s="1"/>
  <c r="I454" i="7"/>
  <c r="J454" i="7" s="1"/>
  <c r="I453" i="7"/>
  <c r="J453" i="7" s="1"/>
  <c r="I452" i="7"/>
  <c r="J452" i="7" s="1"/>
  <c r="I451" i="7"/>
  <c r="J451" i="7" s="1"/>
  <c r="I450" i="7"/>
  <c r="J450" i="7" s="1"/>
  <c r="I449" i="7"/>
  <c r="J449" i="7" s="1"/>
  <c r="I448" i="7"/>
  <c r="J448" i="7" s="1"/>
  <c r="I447" i="7"/>
  <c r="J447" i="7" s="1"/>
  <c r="I446" i="7"/>
  <c r="J446" i="7" s="1"/>
  <c r="I445" i="7"/>
  <c r="J445" i="7" s="1"/>
  <c r="I444" i="7"/>
  <c r="J444" i="7" s="1"/>
  <c r="I443" i="7"/>
  <c r="J443" i="7" s="1"/>
  <c r="I442" i="7"/>
  <c r="J442" i="7" s="1"/>
  <c r="I441" i="7"/>
  <c r="J441" i="7" s="1"/>
  <c r="I440" i="7"/>
  <c r="J440" i="7" s="1"/>
  <c r="I439" i="7"/>
  <c r="J439" i="7" s="1"/>
  <c r="I438" i="7"/>
  <c r="J438" i="7" s="1"/>
  <c r="I437" i="7"/>
  <c r="J437" i="7" s="1"/>
  <c r="I436" i="7"/>
  <c r="J436" i="7" s="1"/>
  <c r="I435" i="7"/>
  <c r="J435" i="7" s="1"/>
  <c r="I434" i="7"/>
  <c r="J434" i="7" s="1"/>
  <c r="I433" i="7"/>
  <c r="J433" i="7" s="1"/>
  <c r="I432" i="7"/>
  <c r="J432" i="7" s="1"/>
  <c r="I431" i="7"/>
  <c r="J431" i="7" s="1"/>
  <c r="I430" i="7"/>
  <c r="J430" i="7" s="1"/>
  <c r="I429" i="7"/>
  <c r="J429" i="7" s="1"/>
  <c r="I428" i="7"/>
  <c r="J428" i="7" s="1"/>
  <c r="I427" i="7"/>
  <c r="J427" i="7" s="1"/>
  <c r="I426" i="7"/>
  <c r="J426" i="7" s="1"/>
  <c r="I425" i="7"/>
  <c r="J425" i="7" s="1"/>
  <c r="I424" i="7"/>
  <c r="J424" i="7" s="1"/>
  <c r="I423" i="7"/>
  <c r="J423" i="7" s="1"/>
  <c r="I422" i="7"/>
  <c r="J422" i="7" s="1"/>
  <c r="I421" i="7"/>
  <c r="J421" i="7" s="1"/>
  <c r="I420" i="7"/>
  <c r="J420" i="7" s="1"/>
  <c r="I419" i="7"/>
  <c r="J419" i="7" s="1"/>
  <c r="I418" i="7"/>
  <c r="J418" i="7" s="1"/>
  <c r="I417" i="7"/>
  <c r="J417" i="7" s="1"/>
  <c r="I416" i="7"/>
  <c r="J416" i="7" s="1"/>
  <c r="I415" i="7"/>
  <c r="J415" i="7" s="1"/>
  <c r="I414" i="7"/>
  <c r="J414" i="7" s="1"/>
  <c r="I413" i="7"/>
  <c r="J413" i="7" s="1"/>
  <c r="I412" i="7"/>
  <c r="J412" i="7" s="1"/>
  <c r="I411" i="7"/>
  <c r="J411" i="7" s="1"/>
  <c r="I410" i="7"/>
  <c r="J410" i="7" s="1"/>
  <c r="I409" i="7"/>
  <c r="J409" i="7" s="1"/>
  <c r="I408" i="7"/>
  <c r="J408" i="7" s="1"/>
  <c r="I407" i="7"/>
  <c r="J407" i="7" s="1"/>
  <c r="I406" i="7"/>
  <c r="J406" i="7" s="1"/>
  <c r="I405" i="7"/>
  <c r="J405" i="7" s="1"/>
  <c r="I404" i="7"/>
  <c r="J404" i="7" s="1"/>
  <c r="I403" i="7"/>
  <c r="J403" i="7" s="1"/>
  <c r="I402" i="7"/>
  <c r="J402" i="7" s="1"/>
  <c r="I401" i="7"/>
  <c r="J401" i="7" s="1"/>
  <c r="I400" i="7"/>
  <c r="J400" i="7" s="1"/>
  <c r="I399" i="7"/>
  <c r="J399" i="7" s="1"/>
  <c r="I398" i="7"/>
  <c r="J398" i="7" s="1"/>
  <c r="I397" i="7"/>
  <c r="J397" i="7" s="1"/>
  <c r="I396" i="7"/>
  <c r="J396" i="7" s="1"/>
  <c r="I395" i="7"/>
  <c r="J395" i="7" s="1"/>
  <c r="I394" i="7"/>
  <c r="J394" i="7" s="1"/>
  <c r="I393" i="7"/>
  <c r="J393" i="7" s="1"/>
  <c r="I392" i="7"/>
  <c r="J392" i="7" s="1"/>
  <c r="I391" i="7"/>
  <c r="J391" i="7" s="1"/>
  <c r="I390" i="7"/>
  <c r="J390" i="7" s="1"/>
  <c r="I389" i="7"/>
  <c r="J389" i="7" s="1"/>
  <c r="I388" i="7"/>
  <c r="J388" i="7" s="1"/>
  <c r="I387" i="7"/>
  <c r="J387" i="7" s="1"/>
  <c r="I386" i="7"/>
  <c r="J386" i="7" s="1"/>
  <c r="I385" i="7"/>
  <c r="J385" i="7" s="1"/>
  <c r="I384" i="7"/>
  <c r="J384" i="7" s="1"/>
  <c r="I383" i="7"/>
  <c r="J383" i="7" s="1"/>
  <c r="I382" i="7"/>
  <c r="J382" i="7" s="1"/>
  <c r="I381" i="7"/>
  <c r="J381" i="7" s="1"/>
  <c r="I380" i="7"/>
  <c r="J380" i="7" s="1"/>
  <c r="I379" i="7"/>
  <c r="J379" i="7" s="1"/>
  <c r="I378" i="7"/>
  <c r="J378" i="7" s="1"/>
  <c r="I377" i="7"/>
  <c r="J377" i="7" s="1"/>
  <c r="I376" i="7"/>
  <c r="J376" i="7" s="1"/>
  <c r="I375" i="7"/>
  <c r="J375" i="7" s="1"/>
  <c r="I374" i="7"/>
  <c r="J374" i="7" s="1"/>
  <c r="I373" i="7"/>
  <c r="J373" i="7" s="1"/>
  <c r="I372" i="7"/>
  <c r="J372" i="7" s="1"/>
  <c r="I371" i="7"/>
  <c r="J371" i="7" s="1"/>
  <c r="I370" i="7"/>
  <c r="J370" i="7" s="1"/>
  <c r="I369" i="7"/>
  <c r="J369" i="7" s="1"/>
  <c r="I368" i="7"/>
  <c r="J368" i="7" s="1"/>
  <c r="I367" i="7"/>
  <c r="J367" i="7" s="1"/>
  <c r="I366" i="7"/>
  <c r="J366" i="7" s="1"/>
  <c r="I365" i="7"/>
  <c r="J365" i="7" s="1"/>
  <c r="I364" i="7"/>
  <c r="J364" i="7" s="1"/>
  <c r="I363" i="7"/>
  <c r="J363" i="7" s="1"/>
  <c r="I362" i="7"/>
  <c r="J362" i="7" s="1"/>
  <c r="I361" i="7"/>
  <c r="J361" i="7" s="1"/>
  <c r="I360" i="7"/>
  <c r="J360" i="7" s="1"/>
  <c r="I359" i="7"/>
  <c r="J359" i="7" s="1"/>
  <c r="I358" i="7"/>
  <c r="J358" i="7" s="1"/>
  <c r="I357" i="7"/>
  <c r="J357" i="7" s="1"/>
  <c r="I356" i="7"/>
  <c r="J356" i="7" s="1"/>
  <c r="I355" i="7"/>
  <c r="J355" i="7" s="1"/>
  <c r="I354" i="7"/>
  <c r="J354" i="7" s="1"/>
  <c r="I353" i="7"/>
  <c r="J353" i="7" s="1"/>
  <c r="I352" i="7"/>
  <c r="J352" i="7" s="1"/>
  <c r="I351" i="7"/>
  <c r="J351" i="7" s="1"/>
  <c r="I350" i="7"/>
  <c r="J350" i="7" s="1"/>
  <c r="I349" i="7"/>
  <c r="J349" i="7" s="1"/>
  <c r="I348" i="7"/>
  <c r="J348" i="7" s="1"/>
  <c r="I347" i="7"/>
  <c r="J347" i="7" s="1"/>
  <c r="I346" i="7"/>
  <c r="J346" i="7" s="1"/>
  <c r="I345" i="7"/>
  <c r="J345" i="7" s="1"/>
  <c r="I344" i="7"/>
  <c r="J344" i="7" s="1"/>
  <c r="I343" i="7"/>
  <c r="J343" i="7" s="1"/>
  <c r="I342" i="7"/>
  <c r="J342" i="7" s="1"/>
  <c r="I341" i="7"/>
  <c r="J341" i="7" s="1"/>
  <c r="I340" i="7"/>
  <c r="J340" i="7" s="1"/>
  <c r="I339" i="7"/>
  <c r="J339" i="7" s="1"/>
  <c r="I338" i="7"/>
  <c r="J338" i="7" s="1"/>
  <c r="I337" i="7"/>
  <c r="J337" i="7" s="1"/>
  <c r="I336" i="7"/>
  <c r="J336" i="7" s="1"/>
  <c r="I335" i="7"/>
  <c r="J335" i="7" s="1"/>
  <c r="I334" i="7"/>
  <c r="J334" i="7" s="1"/>
  <c r="I333" i="7"/>
  <c r="J333" i="7" s="1"/>
  <c r="I332" i="7"/>
  <c r="J332" i="7" s="1"/>
  <c r="I331" i="7"/>
  <c r="J331" i="7" s="1"/>
  <c r="I330" i="7"/>
  <c r="J330" i="7" s="1"/>
  <c r="I329" i="7"/>
  <c r="J329" i="7" s="1"/>
  <c r="I328" i="7"/>
  <c r="J328" i="7" s="1"/>
  <c r="I327" i="7"/>
  <c r="J327" i="7" s="1"/>
  <c r="I326" i="7"/>
  <c r="J326" i="7" s="1"/>
  <c r="I325" i="7"/>
  <c r="J325" i="7" s="1"/>
  <c r="I324" i="7"/>
  <c r="J324" i="7" s="1"/>
  <c r="I323" i="7"/>
  <c r="J323" i="7" s="1"/>
  <c r="I322" i="7"/>
  <c r="J322" i="7" s="1"/>
  <c r="I321" i="7"/>
  <c r="J321" i="7" s="1"/>
  <c r="I320" i="7"/>
  <c r="J320" i="7" s="1"/>
  <c r="I319" i="7"/>
  <c r="J319" i="7" s="1"/>
  <c r="I318" i="7"/>
  <c r="J318" i="7" s="1"/>
  <c r="I317" i="7"/>
  <c r="J317" i="7" s="1"/>
  <c r="I316" i="7"/>
  <c r="J316" i="7" s="1"/>
  <c r="I315" i="7"/>
  <c r="J315" i="7" s="1"/>
  <c r="I314" i="7"/>
  <c r="J314" i="7" s="1"/>
  <c r="I313" i="7"/>
  <c r="J313" i="7" s="1"/>
  <c r="I312" i="7"/>
  <c r="J312" i="7" s="1"/>
  <c r="I311" i="7"/>
  <c r="J311" i="7" s="1"/>
  <c r="I310" i="7"/>
  <c r="J310" i="7" s="1"/>
  <c r="I309" i="7"/>
  <c r="J309" i="7" s="1"/>
  <c r="I308" i="7"/>
  <c r="J308" i="7" s="1"/>
  <c r="I307" i="7"/>
  <c r="J307" i="7" s="1"/>
  <c r="I306" i="7"/>
  <c r="J306" i="7" s="1"/>
  <c r="I305" i="7"/>
  <c r="J305" i="7" s="1"/>
  <c r="I304" i="7"/>
  <c r="J304" i="7" s="1"/>
  <c r="I303" i="7"/>
  <c r="J303" i="7" s="1"/>
  <c r="I302" i="7"/>
  <c r="J302" i="7" s="1"/>
  <c r="I301" i="7"/>
  <c r="J301" i="7" s="1"/>
  <c r="I300" i="7"/>
  <c r="J300" i="7" s="1"/>
  <c r="I299" i="7"/>
  <c r="J299" i="7" s="1"/>
  <c r="I298" i="7"/>
  <c r="J298" i="7" s="1"/>
  <c r="I297" i="7"/>
  <c r="J297" i="7" s="1"/>
  <c r="I296" i="7"/>
  <c r="J296" i="7" s="1"/>
  <c r="I295" i="7"/>
  <c r="J295" i="7" s="1"/>
  <c r="I294" i="7"/>
  <c r="J294" i="7" s="1"/>
  <c r="I293" i="7"/>
  <c r="J293" i="7" s="1"/>
  <c r="I292" i="7"/>
  <c r="J292" i="7" s="1"/>
  <c r="I291" i="7"/>
  <c r="J291" i="7" s="1"/>
  <c r="I290" i="7"/>
  <c r="J290" i="7" s="1"/>
  <c r="I289" i="7"/>
  <c r="J289" i="7" s="1"/>
  <c r="I288" i="7"/>
  <c r="J288" i="7" s="1"/>
  <c r="I287" i="7"/>
  <c r="J287" i="7" s="1"/>
  <c r="I286" i="7"/>
  <c r="J286" i="7" s="1"/>
  <c r="I285" i="7"/>
  <c r="J285" i="7" s="1"/>
  <c r="I284" i="7"/>
  <c r="J284" i="7" s="1"/>
  <c r="I283" i="7"/>
  <c r="J283" i="7" s="1"/>
  <c r="I282" i="7"/>
  <c r="J282" i="7" s="1"/>
  <c r="I281" i="7"/>
  <c r="J281" i="7" s="1"/>
  <c r="I280" i="7"/>
  <c r="J280" i="7" s="1"/>
  <c r="I279" i="7"/>
  <c r="J279" i="7" s="1"/>
  <c r="I278" i="7"/>
  <c r="J278" i="7" s="1"/>
  <c r="I277" i="7"/>
  <c r="J277" i="7" s="1"/>
  <c r="I276" i="7"/>
  <c r="J276" i="7" s="1"/>
  <c r="I275" i="7"/>
  <c r="J275" i="7" s="1"/>
  <c r="I274" i="7"/>
  <c r="J274" i="7" s="1"/>
  <c r="I273" i="7"/>
  <c r="J273" i="7" s="1"/>
  <c r="I272" i="7"/>
  <c r="J272" i="7" s="1"/>
  <c r="I271" i="7"/>
  <c r="J271" i="7" s="1"/>
  <c r="I270" i="7"/>
  <c r="J270" i="7" s="1"/>
  <c r="I269" i="7"/>
  <c r="J269" i="7" s="1"/>
  <c r="I268" i="7"/>
  <c r="J268" i="7" s="1"/>
  <c r="I267" i="7"/>
  <c r="J267" i="7" s="1"/>
  <c r="I266" i="7"/>
  <c r="J266" i="7" s="1"/>
  <c r="I265" i="7"/>
  <c r="J265" i="7" s="1"/>
  <c r="I264" i="7"/>
  <c r="J264" i="7" s="1"/>
  <c r="I263" i="7"/>
  <c r="J263" i="7" s="1"/>
  <c r="I262" i="7"/>
  <c r="J262" i="7" s="1"/>
  <c r="I261" i="7"/>
  <c r="J261" i="7" s="1"/>
  <c r="I260" i="7"/>
  <c r="J260" i="7" s="1"/>
  <c r="I259" i="7"/>
  <c r="J259" i="7" s="1"/>
  <c r="I258" i="7"/>
  <c r="J258" i="7" s="1"/>
  <c r="I257" i="7"/>
  <c r="J257" i="7" s="1"/>
  <c r="I256" i="7"/>
  <c r="J256" i="7" s="1"/>
  <c r="I255" i="7"/>
  <c r="J255" i="7" s="1"/>
  <c r="I254" i="7"/>
  <c r="J254" i="7" s="1"/>
  <c r="I253" i="7"/>
  <c r="J253" i="7" s="1"/>
  <c r="I252" i="7"/>
  <c r="J252" i="7" s="1"/>
  <c r="I251" i="7"/>
  <c r="J251" i="7" s="1"/>
  <c r="I250" i="7"/>
  <c r="J250" i="7" s="1"/>
  <c r="I249" i="7"/>
  <c r="J249" i="7" s="1"/>
  <c r="I248" i="7"/>
  <c r="J248" i="7" s="1"/>
  <c r="I247" i="7"/>
  <c r="J247" i="7" s="1"/>
  <c r="I246" i="7"/>
  <c r="J246" i="7" s="1"/>
  <c r="I245" i="7"/>
  <c r="J245" i="7" s="1"/>
  <c r="I244" i="7"/>
  <c r="J244" i="7" s="1"/>
  <c r="I243" i="7"/>
  <c r="J243" i="7" s="1"/>
  <c r="I242" i="7"/>
  <c r="J242" i="7" s="1"/>
  <c r="I241" i="7"/>
  <c r="J241" i="7" s="1"/>
  <c r="I240" i="7"/>
  <c r="J240" i="7" s="1"/>
  <c r="I239" i="7"/>
  <c r="J239" i="7" s="1"/>
  <c r="I238" i="7"/>
  <c r="J238" i="7" s="1"/>
  <c r="I237" i="7"/>
  <c r="J237" i="7" s="1"/>
  <c r="I236" i="7"/>
  <c r="J236" i="7" s="1"/>
  <c r="I235" i="7"/>
  <c r="J235" i="7" s="1"/>
  <c r="I234" i="7"/>
  <c r="J234" i="7" s="1"/>
  <c r="I233" i="7"/>
  <c r="J233" i="7" s="1"/>
  <c r="I232" i="7"/>
  <c r="J232" i="7" s="1"/>
  <c r="I231" i="7"/>
  <c r="J231" i="7" s="1"/>
  <c r="I230" i="7"/>
  <c r="J230" i="7" s="1"/>
  <c r="I229" i="7"/>
  <c r="J229" i="7" s="1"/>
  <c r="I228" i="7"/>
  <c r="J228" i="7" s="1"/>
  <c r="I227" i="7"/>
  <c r="J227" i="7" s="1"/>
  <c r="I226" i="7"/>
  <c r="J226" i="7" s="1"/>
  <c r="I225" i="7"/>
  <c r="J225" i="7" s="1"/>
  <c r="I224" i="7"/>
  <c r="J224" i="7" s="1"/>
  <c r="I223" i="7"/>
  <c r="J223" i="7" s="1"/>
  <c r="I222" i="7"/>
  <c r="J222" i="7" s="1"/>
  <c r="I221" i="7"/>
  <c r="J221" i="7" s="1"/>
  <c r="I220" i="7"/>
  <c r="J220" i="7" s="1"/>
  <c r="I219" i="7"/>
  <c r="J219" i="7" s="1"/>
  <c r="I218" i="7"/>
  <c r="J218" i="7" s="1"/>
  <c r="I217" i="7"/>
  <c r="J217" i="7" s="1"/>
  <c r="I216" i="7"/>
  <c r="J216" i="7" s="1"/>
  <c r="I215" i="7"/>
  <c r="J215" i="7" s="1"/>
  <c r="I214" i="7"/>
  <c r="J214" i="7" s="1"/>
  <c r="I213" i="7"/>
  <c r="J213" i="7" s="1"/>
  <c r="I212" i="7"/>
  <c r="J212" i="7" s="1"/>
  <c r="I211" i="7"/>
  <c r="J211" i="7" s="1"/>
  <c r="I210" i="7"/>
  <c r="J210" i="7" s="1"/>
  <c r="I209" i="7"/>
  <c r="J209" i="7" s="1"/>
  <c r="I208" i="7"/>
  <c r="J208" i="7" s="1"/>
  <c r="I207" i="7"/>
  <c r="J207" i="7" s="1"/>
  <c r="I206" i="7"/>
  <c r="J206" i="7" s="1"/>
  <c r="I205" i="7"/>
  <c r="J205" i="7" s="1"/>
  <c r="I204" i="7"/>
  <c r="J204" i="7" s="1"/>
  <c r="I203" i="7"/>
  <c r="J203" i="7" s="1"/>
  <c r="I202" i="7"/>
  <c r="J202" i="7" s="1"/>
  <c r="I201" i="7"/>
  <c r="J201" i="7" s="1"/>
  <c r="I200" i="7"/>
  <c r="J200" i="7" s="1"/>
  <c r="I199" i="7"/>
  <c r="J199" i="7" s="1"/>
  <c r="I198" i="7"/>
  <c r="J198" i="7" s="1"/>
  <c r="I197" i="7"/>
  <c r="J197" i="7" s="1"/>
  <c r="I196" i="7"/>
  <c r="J196" i="7" s="1"/>
  <c r="I195" i="7"/>
  <c r="J195" i="7" s="1"/>
  <c r="I194" i="7"/>
  <c r="J194" i="7" s="1"/>
  <c r="I193" i="7"/>
  <c r="J193" i="7" s="1"/>
  <c r="I192" i="7"/>
  <c r="J192" i="7" s="1"/>
  <c r="I191" i="7"/>
  <c r="J191" i="7" s="1"/>
  <c r="I190" i="7"/>
  <c r="J190" i="7" s="1"/>
  <c r="I189" i="7"/>
  <c r="J189" i="7" s="1"/>
  <c r="I188" i="7"/>
  <c r="J188" i="7" s="1"/>
  <c r="I187" i="7"/>
  <c r="J187" i="7" s="1"/>
  <c r="I186" i="7"/>
  <c r="J186" i="7" s="1"/>
  <c r="I185" i="7"/>
  <c r="J185" i="7" s="1"/>
  <c r="I184" i="7"/>
  <c r="J184" i="7" s="1"/>
  <c r="I183" i="7"/>
  <c r="J183" i="7" s="1"/>
  <c r="I182" i="7"/>
  <c r="J182" i="7" s="1"/>
  <c r="I181" i="7"/>
  <c r="J181" i="7" s="1"/>
  <c r="I180" i="7"/>
  <c r="J180" i="7" s="1"/>
  <c r="I179" i="7"/>
  <c r="J179" i="7" s="1"/>
  <c r="I178" i="7"/>
  <c r="J178" i="7" s="1"/>
  <c r="I177" i="7"/>
  <c r="J177" i="7" s="1"/>
  <c r="I176" i="7"/>
  <c r="J176" i="7" s="1"/>
  <c r="I175" i="7"/>
  <c r="J175" i="7" s="1"/>
  <c r="I174" i="7"/>
  <c r="J174" i="7" s="1"/>
  <c r="I173" i="7"/>
  <c r="J173" i="7" s="1"/>
  <c r="I172" i="7"/>
  <c r="J172" i="7" s="1"/>
  <c r="I171" i="7"/>
  <c r="J171" i="7" s="1"/>
  <c r="I170" i="7"/>
  <c r="J170" i="7" s="1"/>
  <c r="I169" i="7"/>
  <c r="J169" i="7" s="1"/>
  <c r="I168" i="7"/>
  <c r="J168" i="7" s="1"/>
  <c r="I167" i="7"/>
  <c r="J167" i="7" s="1"/>
  <c r="I166" i="7"/>
  <c r="J166" i="7" s="1"/>
  <c r="I165" i="7"/>
  <c r="J165" i="7" s="1"/>
  <c r="I164" i="7"/>
  <c r="J164" i="7" s="1"/>
  <c r="I163" i="7"/>
  <c r="J163" i="7" s="1"/>
  <c r="I162" i="7"/>
  <c r="J162" i="7" s="1"/>
  <c r="I161" i="7"/>
  <c r="J161" i="7" s="1"/>
  <c r="I160" i="7"/>
  <c r="J160" i="7" s="1"/>
  <c r="I159" i="7"/>
  <c r="J159" i="7" s="1"/>
  <c r="I158" i="7"/>
  <c r="J158" i="7" s="1"/>
  <c r="I157" i="7"/>
  <c r="J157" i="7" s="1"/>
  <c r="I156" i="7"/>
  <c r="J156" i="7" s="1"/>
  <c r="I155" i="7"/>
  <c r="J155" i="7" s="1"/>
  <c r="I154" i="7"/>
  <c r="J154" i="7" s="1"/>
  <c r="I153" i="7"/>
  <c r="J153" i="7" s="1"/>
  <c r="I152" i="7"/>
  <c r="J152" i="7" s="1"/>
  <c r="I151" i="7"/>
  <c r="J151" i="7" s="1"/>
  <c r="I150" i="7"/>
  <c r="J150" i="7" s="1"/>
  <c r="I149" i="7"/>
  <c r="J149" i="7" s="1"/>
  <c r="I148" i="7"/>
  <c r="J148" i="7" s="1"/>
  <c r="I147" i="7"/>
  <c r="J147" i="7" s="1"/>
  <c r="I146" i="7"/>
  <c r="J146" i="7" s="1"/>
  <c r="I145" i="7"/>
  <c r="J145" i="7" s="1"/>
  <c r="I144" i="7"/>
  <c r="J144" i="7" s="1"/>
  <c r="I143" i="7"/>
  <c r="J143" i="7" s="1"/>
  <c r="I142" i="7"/>
  <c r="J142" i="7" s="1"/>
  <c r="I141" i="7"/>
  <c r="J141" i="7" s="1"/>
  <c r="I140" i="7"/>
  <c r="J140" i="7" s="1"/>
  <c r="I139" i="7"/>
  <c r="J139" i="7" s="1"/>
  <c r="I138" i="7"/>
  <c r="J138" i="7" s="1"/>
  <c r="I137" i="7"/>
  <c r="J137" i="7" s="1"/>
  <c r="I136" i="7"/>
  <c r="J136" i="7" s="1"/>
  <c r="I135" i="7"/>
  <c r="J135" i="7" s="1"/>
  <c r="I134" i="7"/>
  <c r="J134" i="7" s="1"/>
  <c r="I133" i="7"/>
  <c r="J133" i="7" s="1"/>
  <c r="I132" i="7"/>
  <c r="J132" i="7" s="1"/>
  <c r="I131" i="7"/>
  <c r="J131" i="7" s="1"/>
  <c r="I130" i="7"/>
  <c r="J130" i="7" s="1"/>
  <c r="I129" i="7"/>
  <c r="J129" i="7" s="1"/>
  <c r="I128" i="7"/>
  <c r="J128" i="7" s="1"/>
  <c r="I127" i="7"/>
  <c r="J127" i="7" s="1"/>
  <c r="I126" i="7"/>
  <c r="J126" i="7" s="1"/>
  <c r="I125" i="7"/>
  <c r="J125" i="7" s="1"/>
  <c r="I124" i="7"/>
  <c r="J124" i="7" s="1"/>
  <c r="I123" i="7"/>
  <c r="J123" i="7" s="1"/>
  <c r="I122" i="7"/>
  <c r="J122" i="7" s="1"/>
  <c r="I121" i="7"/>
  <c r="J121" i="7" s="1"/>
  <c r="I120" i="7"/>
  <c r="J120" i="7" s="1"/>
  <c r="I119" i="7"/>
  <c r="J119" i="7" s="1"/>
  <c r="I118" i="7"/>
  <c r="J118" i="7" s="1"/>
  <c r="I117" i="7"/>
  <c r="J117" i="7" s="1"/>
  <c r="I116" i="7"/>
  <c r="J116" i="7" s="1"/>
  <c r="I115" i="7"/>
  <c r="J115" i="7" s="1"/>
  <c r="I114" i="7"/>
  <c r="J114" i="7" s="1"/>
  <c r="I113" i="7"/>
  <c r="J113" i="7" s="1"/>
  <c r="I112" i="7"/>
  <c r="J112" i="7" s="1"/>
  <c r="I111" i="7"/>
  <c r="J111" i="7" s="1"/>
  <c r="I110" i="7"/>
  <c r="J110" i="7" s="1"/>
  <c r="I109" i="7"/>
  <c r="J109" i="7" s="1"/>
  <c r="I108" i="7"/>
  <c r="J108" i="7" s="1"/>
  <c r="I107" i="7"/>
  <c r="J107" i="7" s="1"/>
  <c r="I106" i="7"/>
  <c r="J106" i="7" s="1"/>
  <c r="I105" i="7"/>
  <c r="J105" i="7" s="1"/>
  <c r="I104" i="7"/>
  <c r="J104" i="7" s="1"/>
  <c r="I103" i="7"/>
  <c r="J103" i="7" s="1"/>
  <c r="I102" i="7"/>
  <c r="J102" i="7" s="1"/>
  <c r="I101" i="7"/>
  <c r="J101" i="7" s="1"/>
  <c r="I100" i="7"/>
  <c r="J100" i="7" s="1"/>
  <c r="I99" i="7"/>
  <c r="J99" i="7" s="1"/>
  <c r="I98" i="7"/>
  <c r="J98" i="7" s="1"/>
  <c r="I97" i="7"/>
  <c r="J97" i="7" s="1"/>
  <c r="I96" i="7"/>
  <c r="J96" i="7" s="1"/>
  <c r="I95" i="7"/>
  <c r="J95" i="7" s="1"/>
  <c r="I94" i="7"/>
  <c r="J94" i="7" s="1"/>
  <c r="I93" i="7"/>
  <c r="J93" i="7" s="1"/>
  <c r="I92" i="7"/>
  <c r="J92" i="7" s="1"/>
  <c r="I91" i="7"/>
  <c r="J91" i="7" s="1"/>
  <c r="I90" i="7"/>
  <c r="J90" i="7" s="1"/>
  <c r="I89" i="7"/>
  <c r="J89" i="7" s="1"/>
  <c r="I88" i="7"/>
  <c r="J88" i="7" s="1"/>
  <c r="I87" i="7"/>
  <c r="J87" i="7" s="1"/>
  <c r="I86" i="7"/>
  <c r="J86" i="7" s="1"/>
  <c r="I85" i="7"/>
  <c r="J85" i="7" s="1"/>
  <c r="I84" i="7"/>
  <c r="J84" i="7" s="1"/>
  <c r="I83" i="7"/>
  <c r="J83" i="7" s="1"/>
  <c r="I82" i="7"/>
  <c r="J82" i="7" s="1"/>
  <c r="I81" i="7"/>
  <c r="J81" i="7" s="1"/>
  <c r="I80" i="7"/>
  <c r="J80" i="7" s="1"/>
  <c r="I79" i="7"/>
  <c r="J79" i="7" s="1"/>
  <c r="I78" i="7"/>
  <c r="J78" i="7" s="1"/>
  <c r="I77" i="7"/>
  <c r="J77" i="7" s="1"/>
  <c r="I76" i="7"/>
  <c r="J76" i="7" s="1"/>
  <c r="I75" i="7"/>
  <c r="J75" i="7" s="1"/>
  <c r="I74" i="7"/>
  <c r="J74" i="7" s="1"/>
  <c r="I73" i="7"/>
  <c r="J73" i="7" s="1"/>
  <c r="I72" i="7"/>
  <c r="J72" i="7" s="1"/>
  <c r="I71" i="7"/>
  <c r="J71" i="7" s="1"/>
  <c r="I70" i="7"/>
  <c r="J70" i="7" s="1"/>
  <c r="I69" i="7"/>
  <c r="J69" i="7" s="1"/>
  <c r="I68" i="7"/>
  <c r="J68" i="7" s="1"/>
  <c r="I67" i="7"/>
  <c r="J67" i="7" s="1"/>
  <c r="I66" i="7"/>
  <c r="J66" i="7" s="1"/>
  <c r="I65" i="7"/>
  <c r="J65" i="7" s="1"/>
  <c r="I64" i="7"/>
  <c r="J64" i="7" s="1"/>
  <c r="I63" i="7"/>
  <c r="J63" i="7" s="1"/>
  <c r="I62" i="7"/>
  <c r="J62" i="7" s="1"/>
  <c r="I61" i="7"/>
  <c r="J61" i="7" s="1"/>
  <c r="I60" i="7"/>
  <c r="J60" i="7" s="1"/>
  <c r="I59" i="7"/>
  <c r="J59" i="7" s="1"/>
  <c r="I58" i="7"/>
  <c r="J58" i="7" s="1"/>
  <c r="I57" i="7"/>
  <c r="J57" i="7" s="1"/>
  <c r="I56" i="7"/>
  <c r="J56" i="7" s="1"/>
  <c r="I55" i="7"/>
  <c r="J55" i="7" s="1"/>
  <c r="I54" i="7"/>
  <c r="J54" i="7" s="1"/>
  <c r="I53" i="7"/>
  <c r="J53" i="7" s="1"/>
  <c r="I52" i="7"/>
  <c r="J52" i="7" s="1"/>
  <c r="I51" i="7"/>
  <c r="J51" i="7" s="1"/>
  <c r="I50" i="7"/>
  <c r="J50" i="7" s="1"/>
  <c r="I49" i="7"/>
  <c r="J49" i="7" s="1"/>
  <c r="I48" i="7"/>
  <c r="J48" i="7" s="1"/>
  <c r="I47" i="7"/>
  <c r="J47" i="7" s="1"/>
  <c r="I46" i="7"/>
  <c r="J46" i="7" s="1"/>
  <c r="I45" i="7"/>
  <c r="J45" i="7" s="1"/>
  <c r="I44" i="7"/>
  <c r="J44" i="7" s="1"/>
  <c r="I43" i="7"/>
  <c r="J43" i="7" s="1"/>
  <c r="I42" i="7"/>
  <c r="J42" i="7" s="1"/>
  <c r="I41" i="7"/>
  <c r="J41" i="7" s="1"/>
  <c r="I40" i="7"/>
  <c r="J40" i="7" s="1"/>
  <c r="I39" i="7"/>
  <c r="J39" i="7" s="1"/>
  <c r="I38" i="7"/>
  <c r="J38" i="7" s="1"/>
  <c r="I37" i="7"/>
  <c r="J37" i="7" s="1"/>
  <c r="I36" i="7"/>
  <c r="J36" i="7" s="1"/>
  <c r="I35" i="7"/>
  <c r="J35" i="7" s="1"/>
  <c r="I34" i="7"/>
  <c r="J34" i="7" s="1"/>
  <c r="I33" i="7"/>
  <c r="J33" i="7" s="1"/>
  <c r="I32" i="7"/>
  <c r="J32" i="7" s="1"/>
  <c r="I31" i="7"/>
  <c r="J31" i="7" s="1"/>
  <c r="I30" i="7"/>
  <c r="J30" i="7" s="1"/>
  <c r="I29" i="7"/>
  <c r="J29" i="7" s="1"/>
  <c r="I28" i="7"/>
  <c r="J28" i="7" s="1"/>
  <c r="I27" i="7"/>
  <c r="J27" i="7" s="1"/>
  <c r="I26" i="7"/>
  <c r="J26" i="7" s="1"/>
  <c r="I25" i="7"/>
  <c r="J25" i="7" s="1"/>
  <c r="I24" i="7"/>
  <c r="J24" i="7" s="1"/>
  <c r="I23" i="7"/>
  <c r="J23" i="7" s="1"/>
  <c r="I22" i="7"/>
  <c r="J22" i="7" s="1"/>
  <c r="I21" i="7"/>
  <c r="J21" i="7" s="1"/>
  <c r="I20" i="7"/>
  <c r="J20" i="7" s="1"/>
  <c r="I19" i="7"/>
  <c r="J19" i="7" s="1"/>
  <c r="I18" i="7"/>
  <c r="J18" i="7" s="1"/>
  <c r="I17" i="7"/>
  <c r="J17" i="7" s="1"/>
  <c r="I16" i="7"/>
  <c r="J16" i="7" s="1"/>
  <c r="I15" i="7"/>
  <c r="J15" i="7" s="1"/>
  <c r="I14" i="7"/>
  <c r="J14" i="7" s="1"/>
  <c r="I13" i="7"/>
  <c r="J13" i="7" s="1"/>
  <c r="I12" i="7"/>
  <c r="J12" i="7" s="1"/>
  <c r="I11" i="7"/>
  <c r="J11" i="7" s="1"/>
  <c r="I10" i="7"/>
  <c r="J10" i="7" s="1"/>
  <c r="I9" i="7"/>
  <c r="J9" i="7" s="1"/>
  <c r="I8" i="7"/>
  <c r="J8" i="7" s="1"/>
  <c r="I7" i="7"/>
  <c r="J7" i="7" s="1"/>
  <c r="I6" i="7"/>
  <c r="J6" i="7" s="1"/>
  <c r="I5" i="7"/>
  <c r="J5" i="7" s="1"/>
  <c r="I4" i="7"/>
  <c r="J4" i="7" s="1"/>
  <c r="I3" i="7"/>
  <c r="J3" i="7" s="1"/>
  <c r="I2" i="7"/>
  <c r="J2" i="7" s="1"/>
  <c r="G88" i="1"/>
  <c r="G167" i="1"/>
  <c r="H167" i="1" s="1"/>
  <c r="I167" i="1" s="1"/>
  <c r="G202" i="1"/>
  <c r="H202" i="1" s="1"/>
  <c r="I202" i="1" s="1"/>
  <c r="G237" i="1"/>
  <c r="H237" i="1" s="1"/>
  <c r="I237" i="1" s="1"/>
  <c r="G272" i="1"/>
  <c r="H272" i="1" s="1"/>
  <c r="I272" i="1" s="1"/>
  <c r="G307" i="1"/>
  <c r="H307" i="1" s="1"/>
  <c r="I307" i="1" s="1"/>
  <c r="G342" i="1"/>
  <c r="H342" i="1" s="1"/>
  <c r="I342" i="1" s="1"/>
  <c r="G377" i="1"/>
  <c r="H377" i="1" s="1"/>
  <c r="I377" i="1" s="1"/>
  <c r="G412" i="1"/>
  <c r="H412" i="1" s="1"/>
  <c r="I412" i="1" s="1"/>
  <c r="G447" i="1"/>
  <c r="H447" i="1" s="1"/>
  <c r="I447" i="1" s="1"/>
  <c r="G482" i="1"/>
  <c r="H482" i="1" s="1"/>
  <c r="I482" i="1" s="1"/>
  <c r="G517" i="1"/>
  <c r="H517" i="1" s="1"/>
  <c r="I517" i="1" s="1"/>
  <c r="G552" i="1"/>
  <c r="H552" i="1" s="1"/>
  <c r="I552" i="1" s="1"/>
  <c r="G587" i="1"/>
  <c r="H587" i="1" s="1"/>
  <c r="I587" i="1" s="1"/>
  <c r="G622" i="1"/>
  <c r="H622" i="1" s="1"/>
  <c r="I622" i="1" s="1"/>
  <c r="G657" i="1"/>
  <c r="H657" i="1" s="1"/>
  <c r="I657" i="1" s="1"/>
  <c r="G692" i="1"/>
  <c r="H692" i="1" s="1"/>
  <c r="I692" i="1" s="1"/>
  <c r="G727" i="1"/>
  <c r="H727" i="1" s="1"/>
  <c r="I727" i="1" s="1"/>
  <c r="G762" i="1"/>
  <c r="H762" i="1" s="1"/>
  <c r="I762" i="1" s="1"/>
  <c r="G797" i="1"/>
  <c r="H797" i="1" s="1"/>
  <c r="I797" i="1" s="1"/>
  <c r="G832" i="1"/>
  <c r="H832" i="1" s="1"/>
  <c r="I832" i="1" s="1"/>
  <c r="G867" i="1"/>
  <c r="H867" i="1" s="1"/>
  <c r="I867" i="1" s="1"/>
  <c r="G902" i="1"/>
  <c r="H902" i="1" s="1"/>
  <c r="I902" i="1" s="1"/>
  <c r="G937" i="1"/>
  <c r="H937" i="1" s="1"/>
  <c r="I937" i="1" s="1"/>
  <c r="G972" i="1"/>
  <c r="H972" i="1" s="1"/>
  <c r="I972" i="1" s="1"/>
  <c r="G1007" i="1"/>
  <c r="H1007" i="1" s="1"/>
  <c r="I1007" i="1" s="1"/>
  <c r="G1042" i="1"/>
  <c r="H1042" i="1" s="1"/>
  <c r="I1042" i="1" s="1"/>
  <c r="G1077" i="1"/>
  <c r="H1077" i="1" s="1"/>
  <c r="I1077" i="1" s="1"/>
  <c r="G1112" i="1"/>
  <c r="H1112" i="1" s="1"/>
  <c r="I1112" i="1" s="1"/>
  <c r="G1147" i="1"/>
  <c r="H1147" i="1" s="1"/>
  <c r="I1147" i="1" s="1"/>
  <c r="G1182" i="1"/>
  <c r="H1182" i="1" s="1"/>
  <c r="I1182" i="1" s="1"/>
  <c r="G1217" i="1"/>
  <c r="H1217" i="1" s="1"/>
  <c r="I1217" i="1" s="1"/>
  <c r="G1252" i="1"/>
  <c r="H1252" i="1" s="1"/>
  <c r="I1252" i="1" s="1"/>
  <c r="G1287" i="1"/>
  <c r="H1287" i="1" s="1"/>
  <c r="I1287" i="1" s="1"/>
  <c r="G1322" i="1"/>
  <c r="H1322" i="1" s="1"/>
  <c r="I1322" i="1" s="1"/>
  <c r="G1357" i="1"/>
  <c r="H1357" i="1" s="1"/>
  <c r="I1357" i="1" s="1"/>
  <c r="G1392" i="1"/>
  <c r="H1392" i="1" s="1"/>
  <c r="I1392" i="1" s="1"/>
  <c r="G1427" i="1"/>
  <c r="H1427" i="1" s="1"/>
  <c r="I1427" i="1" s="1"/>
  <c r="G1462" i="1"/>
  <c r="H1462" i="1" s="1"/>
  <c r="I1462" i="1" s="1"/>
  <c r="G1497" i="1"/>
  <c r="H1497" i="1" s="1"/>
  <c r="I1497" i="1" s="1"/>
  <c r="G1532" i="1"/>
  <c r="H1532" i="1" s="1"/>
  <c r="I1532" i="1" s="1"/>
  <c r="G62" i="1"/>
  <c r="H62" i="1" s="1"/>
  <c r="I62" i="1" s="1"/>
  <c r="G97" i="1"/>
  <c r="H97" i="1" s="1"/>
  <c r="I97" i="1" s="1"/>
  <c r="G132" i="1"/>
  <c r="H132" i="1" s="1"/>
  <c r="I132" i="1" s="1"/>
  <c r="G27" i="1"/>
  <c r="H27" i="1" s="1"/>
  <c r="I27" i="1" s="1"/>
  <c r="I11" i="6" l="1"/>
  <c r="I25" i="6"/>
  <c r="I14" i="6"/>
  <c r="I6" i="6"/>
  <c r="I7" i="6"/>
  <c r="I8" i="6"/>
  <c r="I9" i="6"/>
  <c r="I10" i="6"/>
  <c r="I12" i="6"/>
  <c r="I13" i="6"/>
  <c r="I15" i="6"/>
  <c r="I16" i="6"/>
  <c r="I17" i="6"/>
  <c r="I18" i="6"/>
  <c r="I19" i="6"/>
  <c r="I20" i="6"/>
  <c r="I21" i="6"/>
  <c r="I22" i="6"/>
  <c r="I23" i="6"/>
  <c r="I24" i="6"/>
  <c r="I26" i="6"/>
  <c r="I28" i="6"/>
  <c r="I29" i="6"/>
  <c r="I30" i="6"/>
  <c r="I31" i="6"/>
  <c r="I32" i="6"/>
  <c r="I33" i="6"/>
  <c r="I34" i="6"/>
  <c r="I35" i="6"/>
  <c r="I36" i="6"/>
  <c r="I5" i="6"/>
  <c r="I4" i="6"/>
  <c r="I2" i="6"/>
  <c r="I3" i="6"/>
  <c r="G148" i="1" l="1"/>
  <c r="H148" i="1" s="1"/>
  <c r="I148" i="1" s="1"/>
  <c r="G358" i="1"/>
  <c r="H358" i="1" s="1"/>
  <c r="I358" i="1" s="1"/>
  <c r="G568" i="1"/>
  <c r="H568" i="1" s="1"/>
  <c r="I568" i="1" s="1"/>
  <c r="G253" i="1"/>
  <c r="H253" i="1" s="1"/>
  <c r="I253" i="1" s="1"/>
  <c r="G463" i="1"/>
  <c r="H463" i="1" s="1"/>
  <c r="I463" i="1" s="1"/>
  <c r="G218" i="1"/>
  <c r="H218" i="1" s="1"/>
  <c r="I218" i="1" s="1"/>
  <c r="G183" i="1"/>
  <c r="H183" i="1" s="1"/>
  <c r="I183" i="1" s="1"/>
  <c r="G393" i="1"/>
  <c r="H393" i="1" s="1"/>
  <c r="I393" i="1" s="1"/>
  <c r="G603" i="1"/>
  <c r="H603" i="1" s="1"/>
  <c r="I603" i="1" s="1"/>
  <c r="G638" i="1"/>
  <c r="H638" i="1" s="1"/>
  <c r="I638" i="1" s="1"/>
  <c r="G778" i="1"/>
  <c r="H778" i="1" s="1"/>
  <c r="I778" i="1" s="1"/>
  <c r="G743" i="1"/>
  <c r="H743" i="1" s="1"/>
  <c r="I743" i="1" s="1"/>
  <c r="G1093" i="1"/>
  <c r="H1093" i="1" s="1"/>
  <c r="I1093" i="1" s="1"/>
  <c r="G918" i="1"/>
  <c r="H918" i="1" s="1"/>
  <c r="I918" i="1" s="1"/>
  <c r="G988" i="1"/>
  <c r="H988" i="1" s="1"/>
  <c r="I988" i="1" s="1"/>
  <c r="G1198" i="1"/>
  <c r="H1198" i="1" s="1"/>
  <c r="I1198" i="1" s="1"/>
  <c r="G1408" i="1"/>
  <c r="H1408" i="1" s="1"/>
  <c r="I1408" i="1" s="1"/>
  <c r="G953" i="1"/>
  <c r="H953" i="1" s="1"/>
  <c r="I953" i="1" s="1"/>
  <c r="G1513" i="1"/>
  <c r="H1513" i="1" s="1"/>
  <c r="I1513" i="1" s="1"/>
  <c r="G78" i="1"/>
  <c r="H78" i="1" s="1"/>
  <c r="I78" i="1" s="1"/>
  <c r="G428" i="1"/>
  <c r="H428" i="1" s="1"/>
  <c r="I428" i="1" s="1"/>
  <c r="G533" i="1"/>
  <c r="H533" i="1" s="1"/>
  <c r="I533" i="1" s="1"/>
  <c r="G883" i="1"/>
  <c r="H883" i="1" s="1"/>
  <c r="I883" i="1" s="1"/>
  <c r="G1023" i="1"/>
  <c r="H1023" i="1" s="1"/>
  <c r="I1023" i="1" s="1"/>
  <c r="G1058" i="1"/>
  <c r="H1058" i="1" s="1"/>
  <c r="I1058" i="1" s="1"/>
  <c r="G1338" i="1"/>
  <c r="H1338" i="1" s="1"/>
  <c r="I1338" i="1" s="1"/>
  <c r="G8" i="1"/>
  <c r="H8" i="1" s="1"/>
  <c r="I8" i="1" s="1"/>
  <c r="G708" i="1"/>
  <c r="H708" i="1" s="1"/>
  <c r="I708" i="1" s="1"/>
  <c r="G813" i="1"/>
  <c r="H813" i="1" s="1"/>
  <c r="I813" i="1" s="1"/>
  <c r="G1303" i="1"/>
  <c r="H1303" i="1" s="1"/>
  <c r="I1303" i="1" s="1"/>
  <c r="G288" i="1"/>
  <c r="H288" i="1" s="1"/>
  <c r="I288" i="1" s="1"/>
  <c r="G498" i="1"/>
  <c r="H498" i="1" s="1"/>
  <c r="I498" i="1" s="1"/>
  <c r="G1163" i="1"/>
  <c r="H1163" i="1" s="1"/>
  <c r="I1163" i="1" s="1"/>
  <c r="G1233" i="1"/>
  <c r="H1233" i="1" s="1"/>
  <c r="I1233" i="1" s="1"/>
  <c r="G1373" i="1"/>
  <c r="H1373" i="1" s="1"/>
  <c r="I1373" i="1" s="1"/>
  <c r="G1443" i="1"/>
  <c r="H1443" i="1" s="1"/>
  <c r="I1443" i="1" s="1"/>
  <c r="G113" i="1"/>
  <c r="H113" i="1" s="1"/>
  <c r="I113" i="1" s="1"/>
  <c r="G848" i="1"/>
  <c r="H848" i="1" s="1"/>
  <c r="I848" i="1" s="1"/>
  <c r="G323" i="1"/>
  <c r="H323" i="1" s="1"/>
  <c r="I323" i="1" s="1"/>
  <c r="G1268" i="1"/>
  <c r="H1268" i="1" s="1"/>
  <c r="I1268" i="1" s="1"/>
  <c r="G1478" i="1"/>
  <c r="H1478" i="1" s="1"/>
  <c r="I1478" i="1" s="1"/>
  <c r="G43" i="1"/>
  <c r="H43" i="1" s="1"/>
  <c r="I43" i="1" s="1"/>
  <c r="G673" i="1"/>
  <c r="H673" i="1" s="1"/>
  <c r="I673" i="1" s="1"/>
  <c r="G1128" i="1"/>
  <c r="H1128" i="1" s="1"/>
  <c r="I1128" i="1" s="1"/>
  <c r="G322" i="1"/>
  <c r="H322" i="1" s="1"/>
  <c r="I322" i="1" s="1"/>
  <c r="G532" i="1"/>
  <c r="H532" i="1" s="1"/>
  <c r="I532" i="1" s="1"/>
  <c r="G217" i="1"/>
  <c r="H217" i="1" s="1"/>
  <c r="I217" i="1" s="1"/>
  <c r="G427" i="1"/>
  <c r="H427" i="1" s="1"/>
  <c r="I427" i="1" s="1"/>
  <c r="G637" i="1"/>
  <c r="H637" i="1" s="1"/>
  <c r="I637" i="1" s="1"/>
  <c r="G182" i="1"/>
  <c r="H182" i="1" s="1"/>
  <c r="I182" i="1" s="1"/>
  <c r="G392" i="1"/>
  <c r="H392" i="1" s="1"/>
  <c r="I392" i="1" s="1"/>
  <c r="G147" i="1"/>
  <c r="H147" i="1" s="1"/>
  <c r="I147" i="1" s="1"/>
  <c r="G357" i="1"/>
  <c r="H357" i="1" s="1"/>
  <c r="I357" i="1" s="1"/>
  <c r="G567" i="1"/>
  <c r="H567" i="1" s="1"/>
  <c r="I567" i="1" s="1"/>
  <c r="G742" i="1"/>
  <c r="H742" i="1" s="1"/>
  <c r="I742" i="1" s="1"/>
  <c r="G952" i="1"/>
  <c r="H952" i="1" s="1"/>
  <c r="I952" i="1" s="1"/>
  <c r="G707" i="1"/>
  <c r="H707" i="1" s="1"/>
  <c r="I707" i="1" s="1"/>
  <c r="G1057" i="1"/>
  <c r="H1057" i="1" s="1"/>
  <c r="I1057" i="1" s="1"/>
  <c r="G497" i="1"/>
  <c r="H497" i="1" s="1"/>
  <c r="I497" i="1" s="1"/>
  <c r="G882" i="1"/>
  <c r="H882" i="1" s="1"/>
  <c r="I882" i="1" s="1"/>
  <c r="G1162" i="1"/>
  <c r="H1162" i="1" s="1"/>
  <c r="I1162" i="1" s="1"/>
  <c r="G1372" i="1"/>
  <c r="H1372" i="1" s="1"/>
  <c r="I1372" i="1" s="1"/>
  <c r="G847" i="1"/>
  <c r="H847" i="1" s="1"/>
  <c r="I847" i="1" s="1"/>
  <c r="G1232" i="1"/>
  <c r="H1232" i="1" s="1"/>
  <c r="I1232" i="1" s="1"/>
  <c r="G1442" i="1"/>
  <c r="H1442" i="1" s="1"/>
  <c r="I1442" i="1" s="1"/>
  <c r="G1477" i="1"/>
  <c r="H1477" i="1" s="1"/>
  <c r="I1477" i="1" s="1"/>
  <c r="G42" i="1"/>
  <c r="H42" i="1" s="1"/>
  <c r="I42" i="1" s="1"/>
  <c r="G672" i="1"/>
  <c r="H672" i="1" s="1"/>
  <c r="I672" i="1" s="1"/>
  <c r="G777" i="1"/>
  <c r="H777" i="1" s="1"/>
  <c r="I777" i="1" s="1"/>
  <c r="G602" i="1"/>
  <c r="H602" i="1" s="1"/>
  <c r="I602" i="1" s="1"/>
  <c r="G812" i="1"/>
  <c r="H812" i="1" s="1"/>
  <c r="I812" i="1" s="1"/>
  <c r="G987" i="1"/>
  <c r="H987" i="1" s="1"/>
  <c r="I987" i="1" s="1"/>
  <c r="G1302" i="1"/>
  <c r="H1302" i="1" s="1"/>
  <c r="I1302" i="1" s="1"/>
  <c r="G287" i="1"/>
  <c r="H287" i="1" s="1"/>
  <c r="I287" i="1" s="1"/>
  <c r="G462" i="1"/>
  <c r="H462" i="1" s="1"/>
  <c r="I462" i="1" s="1"/>
  <c r="G917" i="1"/>
  <c r="H917" i="1" s="1"/>
  <c r="I917" i="1" s="1"/>
  <c r="G1267" i="1"/>
  <c r="H1267" i="1" s="1"/>
  <c r="I1267" i="1" s="1"/>
  <c r="G1197" i="1"/>
  <c r="H1197" i="1" s="1"/>
  <c r="I1197" i="1" s="1"/>
  <c r="G1022" i="1"/>
  <c r="H1022" i="1" s="1"/>
  <c r="I1022" i="1" s="1"/>
  <c r="G77" i="1"/>
  <c r="H77" i="1" s="1"/>
  <c r="I77" i="1" s="1"/>
  <c r="G7" i="1"/>
  <c r="H7" i="1" s="1"/>
  <c r="I7" i="1" s="1"/>
  <c r="G252" i="1"/>
  <c r="H252" i="1" s="1"/>
  <c r="I252" i="1" s="1"/>
  <c r="G1337" i="1"/>
  <c r="H1337" i="1" s="1"/>
  <c r="I1337" i="1" s="1"/>
  <c r="G112" i="1"/>
  <c r="H112" i="1" s="1"/>
  <c r="I112" i="1" s="1"/>
  <c r="G1407" i="1"/>
  <c r="H1407" i="1" s="1"/>
  <c r="I1407" i="1" s="1"/>
  <c r="G1512" i="1"/>
  <c r="H1512" i="1" s="1"/>
  <c r="I1512" i="1" s="1"/>
  <c r="G1092" i="1"/>
  <c r="H1092" i="1" s="1"/>
  <c r="I1092" i="1" s="1"/>
  <c r="G1127" i="1"/>
  <c r="H1127" i="1" s="1"/>
  <c r="I1127" i="1" s="1"/>
  <c r="G286" i="1"/>
  <c r="H286" i="1" s="1"/>
  <c r="I286" i="1" s="1"/>
  <c r="G496" i="1"/>
  <c r="H496" i="1" s="1"/>
  <c r="I496" i="1" s="1"/>
  <c r="G181" i="1"/>
  <c r="H181" i="1" s="1"/>
  <c r="I181" i="1" s="1"/>
  <c r="G391" i="1"/>
  <c r="H391" i="1" s="1"/>
  <c r="I391" i="1" s="1"/>
  <c r="G601" i="1"/>
  <c r="H601" i="1" s="1"/>
  <c r="I601" i="1" s="1"/>
  <c r="G146" i="1"/>
  <c r="H146" i="1" s="1"/>
  <c r="I146" i="1" s="1"/>
  <c r="G356" i="1"/>
  <c r="H356" i="1" s="1"/>
  <c r="I356" i="1" s="1"/>
  <c r="G321" i="1"/>
  <c r="H321" i="1" s="1"/>
  <c r="I321" i="1" s="1"/>
  <c r="G531" i="1"/>
  <c r="H531" i="1" s="1"/>
  <c r="I531" i="1" s="1"/>
  <c r="G216" i="1"/>
  <c r="H216" i="1" s="1"/>
  <c r="I216" i="1" s="1"/>
  <c r="G251" i="1"/>
  <c r="H251" i="1" s="1"/>
  <c r="I251" i="1" s="1"/>
  <c r="G706" i="1"/>
  <c r="H706" i="1" s="1"/>
  <c r="I706" i="1" s="1"/>
  <c r="G916" i="1"/>
  <c r="H916" i="1" s="1"/>
  <c r="I916" i="1" s="1"/>
  <c r="G426" i="1"/>
  <c r="H426" i="1" s="1"/>
  <c r="I426" i="1" s="1"/>
  <c r="G671" i="1"/>
  <c r="H671" i="1" s="1"/>
  <c r="I671" i="1" s="1"/>
  <c r="G1021" i="1"/>
  <c r="H1021" i="1" s="1"/>
  <c r="I1021" i="1" s="1"/>
  <c r="G1231" i="1"/>
  <c r="H1231" i="1" s="1"/>
  <c r="I1231" i="1" s="1"/>
  <c r="G636" i="1"/>
  <c r="H636" i="1" s="1"/>
  <c r="I636" i="1" s="1"/>
  <c r="G811" i="1"/>
  <c r="H811" i="1" s="1"/>
  <c r="I811" i="1" s="1"/>
  <c r="G846" i="1"/>
  <c r="H846" i="1" s="1"/>
  <c r="I846" i="1" s="1"/>
  <c r="G1126" i="1"/>
  <c r="H1126" i="1" s="1"/>
  <c r="I1126" i="1" s="1"/>
  <c r="G1336" i="1"/>
  <c r="H1336" i="1" s="1"/>
  <c r="I1336" i="1" s="1"/>
  <c r="G776" i="1"/>
  <c r="H776" i="1" s="1"/>
  <c r="I776" i="1" s="1"/>
  <c r="G1196" i="1"/>
  <c r="H1196" i="1" s="1"/>
  <c r="I1196" i="1" s="1"/>
  <c r="G1406" i="1"/>
  <c r="H1406" i="1" s="1"/>
  <c r="I1406" i="1" s="1"/>
  <c r="G111" i="1"/>
  <c r="H111" i="1" s="1"/>
  <c r="I111" i="1" s="1"/>
  <c r="G461" i="1"/>
  <c r="H461" i="1" s="1"/>
  <c r="I461" i="1" s="1"/>
  <c r="G1266" i="1"/>
  <c r="H1266" i="1" s="1"/>
  <c r="I1266" i="1" s="1"/>
  <c r="G1511" i="1"/>
  <c r="H1511" i="1" s="1"/>
  <c r="I1511" i="1" s="1"/>
  <c r="G881" i="1"/>
  <c r="H881" i="1" s="1"/>
  <c r="I881" i="1" s="1"/>
  <c r="G1301" i="1"/>
  <c r="H1301" i="1" s="1"/>
  <c r="I1301" i="1" s="1"/>
  <c r="G566" i="1"/>
  <c r="H566" i="1" s="1"/>
  <c r="I566" i="1" s="1"/>
  <c r="G741" i="1"/>
  <c r="H741" i="1" s="1"/>
  <c r="I741" i="1" s="1"/>
  <c r="G951" i="1"/>
  <c r="H951" i="1" s="1"/>
  <c r="I951" i="1" s="1"/>
  <c r="G1476" i="1"/>
  <c r="H1476" i="1" s="1"/>
  <c r="I1476" i="1" s="1"/>
  <c r="G1056" i="1"/>
  <c r="H1056" i="1" s="1"/>
  <c r="I1056" i="1" s="1"/>
  <c r="G1091" i="1"/>
  <c r="H1091" i="1" s="1"/>
  <c r="I1091" i="1" s="1"/>
  <c r="G1441" i="1"/>
  <c r="H1441" i="1" s="1"/>
  <c r="I1441" i="1" s="1"/>
  <c r="G41" i="1"/>
  <c r="H41" i="1" s="1"/>
  <c r="I41" i="1" s="1"/>
  <c r="G76" i="1"/>
  <c r="H76" i="1" s="1"/>
  <c r="I76" i="1" s="1"/>
  <c r="G1161" i="1"/>
  <c r="H1161" i="1" s="1"/>
  <c r="I1161" i="1" s="1"/>
  <c r="G1371" i="1"/>
  <c r="H1371" i="1" s="1"/>
  <c r="I1371" i="1" s="1"/>
  <c r="G986" i="1"/>
  <c r="H986" i="1" s="1"/>
  <c r="I986" i="1" s="1"/>
  <c r="G6" i="1"/>
  <c r="H6" i="1" s="1"/>
  <c r="I6" i="1" s="1"/>
  <c r="G250" i="1"/>
  <c r="H250" i="1" s="1"/>
  <c r="I250" i="1" s="1"/>
  <c r="G460" i="1"/>
  <c r="H460" i="1" s="1"/>
  <c r="I460" i="1" s="1"/>
  <c r="G145" i="1"/>
  <c r="H145" i="1" s="1"/>
  <c r="I145" i="1" s="1"/>
  <c r="G355" i="1"/>
  <c r="H355" i="1" s="1"/>
  <c r="I355" i="1" s="1"/>
  <c r="G565" i="1"/>
  <c r="H565" i="1" s="1"/>
  <c r="I565" i="1" s="1"/>
  <c r="G320" i="1"/>
  <c r="H320" i="1" s="1"/>
  <c r="I320" i="1" s="1"/>
  <c r="G285" i="1"/>
  <c r="H285" i="1" s="1"/>
  <c r="I285" i="1" s="1"/>
  <c r="G495" i="1"/>
  <c r="H495" i="1" s="1"/>
  <c r="I495" i="1" s="1"/>
  <c r="G425" i="1"/>
  <c r="H425" i="1" s="1"/>
  <c r="I425" i="1" s="1"/>
  <c r="G600" i="1"/>
  <c r="H600" i="1" s="1"/>
  <c r="I600" i="1" s="1"/>
  <c r="G670" i="1"/>
  <c r="H670" i="1" s="1"/>
  <c r="I670" i="1" s="1"/>
  <c r="G880" i="1"/>
  <c r="H880" i="1" s="1"/>
  <c r="I880" i="1" s="1"/>
  <c r="G390" i="1"/>
  <c r="H390" i="1" s="1"/>
  <c r="I390" i="1" s="1"/>
  <c r="G950" i="1"/>
  <c r="H950" i="1" s="1"/>
  <c r="I950" i="1" s="1"/>
  <c r="G985" i="1"/>
  <c r="H985" i="1" s="1"/>
  <c r="I985" i="1" s="1"/>
  <c r="G1195" i="1"/>
  <c r="H1195" i="1" s="1"/>
  <c r="I1195" i="1" s="1"/>
  <c r="G775" i="1"/>
  <c r="H775" i="1" s="1"/>
  <c r="I775" i="1" s="1"/>
  <c r="G1090" i="1"/>
  <c r="H1090" i="1" s="1"/>
  <c r="I1090" i="1" s="1"/>
  <c r="G1300" i="1"/>
  <c r="H1300" i="1" s="1"/>
  <c r="I1300" i="1" s="1"/>
  <c r="G1510" i="1"/>
  <c r="H1510" i="1" s="1"/>
  <c r="I1510" i="1" s="1"/>
  <c r="G75" i="1"/>
  <c r="H75" i="1" s="1"/>
  <c r="I75" i="1" s="1"/>
  <c r="G530" i="1"/>
  <c r="H530" i="1" s="1"/>
  <c r="I530" i="1" s="1"/>
  <c r="G1125" i="1"/>
  <c r="H1125" i="1" s="1"/>
  <c r="I1125" i="1" s="1"/>
  <c r="G1160" i="1"/>
  <c r="H1160" i="1" s="1"/>
  <c r="I1160" i="1" s="1"/>
  <c r="G1370" i="1"/>
  <c r="H1370" i="1" s="1"/>
  <c r="I1370" i="1" s="1"/>
  <c r="G5" i="1"/>
  <c r="H5" i="1" s="1"/>
  <c r="I5" i="1" s="1"/>
  <c r="G705" i="1"/>
  <c r="H705" i="1" s="1"/>
  <c r="I705" i="1" s="1"/>
  <c r="G915" i="1"/>
  <c r="H915" i="1" s="1"/>
  <c r="I915" i="1" s="1"/>
  <c r="G635" i="1"/>
  <c r="H635" i="1" s="1"/>
  <c r="I635" i="1" s="1"/>
  <c r="G740" i="1"/>
  <c r="H740" i="1" s="1"/>
  <c r="I740" i="1" s="1"/>
  <c r="G1440" i="1"/>
  <c r="H1440" i="1" s="1"/>
  <c r="I1440" i="1" s="1"/>
  <c r="G1475" i="1"/>
  <c r="H1475" i="1" s="1"/>
  <c r="I1475" i="1" s="1"/>
  <c r="G40" i="1"/>
  <c r="H40" i="1" s="1"/>
  <c r="I40" i="1" s="1"/>
  <c r="G180" i="1"/>
  <c r="H180" i="1" s="1"/>
  <c r="I180" i="1" s="1"/>
  <c r="G845" i="1"/>
  <c r="H845" i="1" s="1"/>
  <c r="I845" i="1" s="1"/>
  <c r="G810" i="1"/>
  <c r="H810" i="1" s="1"/>
  <c r="I810" i="1" s="1"/>
  <c r="G215" i="1"/>
  <c r="H215" i="1" s="1"/>
  <c r="I215" i="1" s="1"/>
  <c r="G1055" i="1"/>
  <c r="H1055" i="1" s="1"/>
  <c r="I1055" i="1" s="1"/>
  <c r="G1265" i="1"/>
  <c r="H1265" i="1" s="1"/>
  <c r="I1265" i="1" s="1"/>
  <c r="G1335" i="1"/>
  <c r="H1335" i="1" s="1"/>
  <c r="I1335" i="1" s="1"/>
  <c r="G1405" i="1"/>
  <c r="H1405" i="1" s="1"/>
  <c r="I1405" i="1" s="1"/>
  <c r="G1020" i="1"/>
  <c r="H1020" i="1" s="1"/>
  <c r="I1020" i="1" s="1"/>
  <c r="G1230" i="1"/>
  <c r="H1230" i="1" s="1"/>
  <c r="I1230" i="1" s="1"/>
  <c r="G110" i="1"/>
  <c r="H110" i="1" s="1"/>
  <c r="I110" i="1" s="1"/>
  <c r="G268" i="1"/>
  <c r="H268" i="1" s="1"/>
  <c r="I268" i="1" s="1"/>
  <c r="G478" i="1"/>
  <c r="H478" i="1" s="1"/>
  <c r="I478" i="1" s="1"/>
  <c r="G163" i="1"/>
  <c r="H163" i="1" s="1"/>
  <c r="I163" i="1" s="1"/>
  <c r="G373" i="1"/>
  <c r="H373" i="1" s="1"/>
  <c r="I373" i="1" s="1"/>
  <c r="G583" i="1"/>
  <c r="H583" i="1" s="1"/>
  <c r="I583" i="1" s="1"/>
  <c r="G338" i="1"/>
  <c r="H338" i="1" s="1"/>
  <c r="I338" i="1" s="1"/>
  <c r="G303" i="1"/>
  <c r="H303" i="1" s="1"/>
  <c r="I303" i="1" s="1"/>
  <c r="G513" i="1"/>
  <c r="H513" i="1" s="1"/>
  <c r="I513" i="1" s="1"/>
  <c r="G688" i="1"/>
  <c r="H688" i="1" s="1"/>
  <c r="I688" i="1" s="1"/>
  <c r="G898" i="1"/>
  <c r="H898" i="1" s="1"/>
  <c r="I898" i="1" s="1"/>
  <c r="G408" i="1"/>
  <c r="H408" i="1" s="1"/>
  <c r="I408" i="1" s="1"/>
  <c r="G443" i="1"/>
  <c r="H443" i="1" s="1"/>
  <c r="I443" i="1" s="1"/>
  <c r="G198" i="1"/>
  <c r="H198" i="1" s="1"/>
  <c r="I198" i="1" s="1"/>
  <c r="G653" i="1"/>
  <c r="H653" i="1" s="1"/>
  <c r="I653" i="1" s="1"/>
  <c r="G793" i="1"/>
  <c r="H793" i="1" s="1"/>
  <c r="I793" i="1" s="1"/>
  <c r="G1003" i="1"/>
  <c r="H1003" i="1" s="1"/>
  <c r="I1003" i="1" s="1"/>
  <c r="G1213" i="1"/>
  <c r="H1213" i="1" s="1"/>
  <c r="I1213" i="1" s="1"/>
  <c r="G233" i="1"/>
  <c r="H233" i="1" s="1"/>
  <c r="I233" i="1" s="1"/>
  <c r="G548" i="1"/>
  <c r="H548" i="1" s="1"/>
  <c r="I548" i="1" s="1"/>
  <c r="G968" i="1"/>
  <c r="H968" i="1" s="1"/>
  <c r="I968" i="1" s="1"/>
  <c r="G1108" i="1"/>
  <c r="H1108" i="1" s="1"/>
  <c r="I1108" i="1" s="1"/>
  <c r="G1318" i="1"/>
  <c r="H1318" i="1" s="1"/>
  <c r="I1318" i="1" s="1"/>
  <c r="G1528" i="1"/>
  <c r="H1528" i="1" s="1"/>
  <c r="I1528" i="1" s="1"/>
  <c r="G93" i="1"/>
  <c r="H93" i="1" s="1"/>
  <c r="I93" i="1" s="1"/>
  <c r="G828" i="1"/>
  <c r="H828" i="1" s="1"/>
  <c r="I828" i="1" s="1"/>
  <c r="G1143" i="1"/>
  <c r="H1143" i="1" s="1"/>
  <c r="I1143" i="1" s="1"/>
  <c r="G1178" i="1"/>
  <c r="H1178" i="1" s="1"/>
  <c r="I1178" i="1" s="1"/>
  <c r="G23" i="1"/>
  <c r="H23" i="1" s="1"/>
  <c r="I23" i="1" s="1"/>
  <c r="G723" i="1"/>
  <c r="H723" i="1" s="1"/>
  <c r="I723" i="1" s="1"/>
  <c r="G618" i="1"/>
  <c r="H618" i="1" s="1"/>
  <c r="I618" i="1" s="1"/>
  <c r="G863" i="1"/>
  <c r="H863" i="1" s="1"/>
  <c r="I863" i="1" s="1"/>
  <c r="G1388" i="1"/>
  <c r="H1388" i="1" s="1"/>
  <c r="I1388" i="1" s="1"/>
  <c r="G1353" i="1"/>
  <c r="H1353" i="1" s="1"/>
  <c r="I1353" i="1" s="1"/>
  <c r="G1458" i="1"/>
  <c r="H1458" i="1" s="1"/>
  <c r="I1458" i="1" s="1"/>
  <c r="G933" i="1"/>
  <c r="H933" i="1" s="1"/>
  <c r="I933" i="1" s="1"/>
  <c r="G1073" i="1"/>
  <c r="H1073" i="1" s="1"/>
  <c r="I1073" i="1" s="1"/>
  <c r="G1283" i="1"/>
  <c r="H1283" i="1" s="1"/>
  <c r="I1283" i="1" s="1"/>
  <c r="G758" i="1"/>
  <c r="H758" i="1" s="1"/>
  <c r="I758" i="1" s="1"/>
  <c r="G1248" i="1"/>
  <c r="H1248" i="1" s="1"/>
  <c r="I1248" i="1" s="1"/>
  <c r="G128" i="1"/>
  <c r="H128" i="1" s="1"/>
  <c r="I128" i="1" s="1"/>
  <c r="G1493" i="1"/>
  <c r="H1493" i="1" s="1"/>
  <c r="I1493" i="1" s="1"/>
  <c r="G1423" i="1"/>
  <c r="H1423" i="1" s="1"/>
  <c r="I1423" i="1" s="1"/>
  <c r="G58" i="1"/>
  <c r="H58" i="1" s="1"/>
  <c r="I58" i="1" s="1"/>
  <c r="G1038" i="1"/>
  <c r="H1038" i="1" s="1"/>
  <c r="I1038" i="1" s="1"/>
  <c r="G184" i="1"/>
  <c r="H184" i="1" s="1"/>
  <c r="I184" i="1" s="1"/>
  <c r="G394" i="1"/>
  <c r="H394" i="1" s="1"/>
  <c r="I394" i="1" s="1"/>
  <c r="G604" i="1"/>
  <c r="H604" i="1" s="1"/>
  <c r="I604" i="1" s="1"/>
  <c r="G289" i="1"/>
  <c r="H289" i="1" s="1"/>
  <c r="I289" i="1" s="1"/>
  <c r="G499" i="1"/>
  <c r="H499" i="1" s="1"/>
  <c r="I499" i="1" s="1"/>
  <c r="G254" i="1"/>
  <c r="H254" i="1" s="1"/>
  <c r="I254" i="1" s="1"/>
  <c r="G219" i="1"/>
  <c r="H219" i="1" s="1"/>
  <c r="I219" i="1" s="1"/>
  <c r="G429" i="1"/>
  <c r="H429" i="1" s="1"/>
  <c r="I429" i="1" s="1"/>
  <c r="G639" i="1"/>
  <c r="H639" i="1" s="1"/>
  <c r="I639" i="1" s="1"/>
  <c r="G149" i="1"/>
  <c r="H149" i="1" s="1"/>
  <c r="I149" i="1" s="1"/>
  <c r="G814" i="1"/>
  <c r="H814" i="1" s="1"/>
  <c r="I814" i="1" s="1"/>
  <c r="G324" i="1"/>
  <c r="H324" i="1" s="1"/>
  <c r="I324" i="1" s="1"/>
  <c r="G464" i="1"/>
  <c r="H464" i="1" s="1"/>
  <c r="I464" i="1" s="1"/>
  <c r="G569" i="1"/>
  <c r="H569" i="1" s="1"/>
  <c r="I569" i="1" s="1"/>
  <c r="G779" i="1"/>
  <c r="H779" i="1" s="1"/>
  <c r="I779" i="1" s="1"/>
  <c r="G849" i="1"/>
  <c r="H849" i="1" s="1"/>
  <c r="I849" i="1" s="1"/>
  <c r="G1129" i="1"/>
  <c r="H1129" i="1" s="1"/>
  <c r="I1129" i="1" s="1"/>
  <c r="G534" i="1"/>
  <c r="H534" i="1" s="1"/>
  <c r="I534" i="1" s="1"/>
  <c r="G674" i="1"/>
  <c r="H674" i="1" s="1"/>
  <c r="I674" i="1" s="1"/>
  <c r="G954" i="1"/>
  <c r="H954" i="1" s="1"/>
  <c r="I954" i="1" s="1"/>
  <c r="G1024" i="1"/>
  <c r="H1024" i="1" s="1"/>
  <c r="I1024" i="1" s="1"/>
  <c r="G1234" i="1"/>
  <c r="H1234" i="1" s="1"/>
  <c r="I1234" i="1" s="1"/>
  <c r="G1444" i="1"/>
  <c r="H1444" i="1" s="1"/>
  <c r="I1444" i="1" s="1"/>
  <c r="G744" i="1"/>
  <c r="H744" i="1" s="1"/>
  <c r="I744" i="1" s="1"/>
  <c r="G1269" i="1"/>
  <c r="H1269" i="1" s="1"/>
  <c r="I1269" i="1" s="1"/>
  <c r="G1094" i="1"/>
  <c r="H1094" i="1" s="1"/>
  <c r="I1094" i="1" s="1"/>
  <c r="G1164" i="1"/>
  <c r="H1164" i="1" s="1"/>
  <c r="I1164" i="1" s="1"/>
  <c r="G1374" i="1"/>
  <c r="H1374" i="1" s="1"/>
  <c r="I1374" i="1" s="1"/>
  <c r="G114" i="1"/>
  <c r="H114" i="1" s="1"/>
  <c r="I114" i="1" s="1"/>
  <c r="G884" i="1"/>
  <c r="H884" i="1" s="1"/>
  <c r="I884" i="1" s="1"/>
  <c r="G989" i="1"/>
  <c r="H989" i="1" s="1"/>
  <c r="I989" i="1" s="1"/>
  <c r="G1059" i="1"/>
  <c r="H1059" i="1" s="1"/>
  <c r="I1059" i="1" s="1"/>
  <c r="G1339" i="1"/>
  <c r="H1339" i="1" s="1"/>
  <c r="I1339" i="1" s="1"/>
  <c r="G1514" i="1"/>
  <c r="H1514" i="1" s="1"/>
  <c r="I1514" i="1" s="1"/>
  <c r="G709" i="1"/>
  <c r="H709" i="1" s="1"/>
  <c r="I709" i="1" s="1"/>
  <c r="G1479" i="1"/>
  <c r="H1479" i="1" s="1"/>
  <c r="I1479" i="1" s="1"/>
  <c r="G9" i="1"/>
  <c r="H9" i="1" s="1"/>
  <c r="I9" i="1" s="1"/>
  <c r="G359" i="1"/>
  <c r="H359" i="1" s="1"/>
  <c r="I359" i="1" s="1"/>
  <c r="G1304" i="1"/>
  <c r="H1304" i="1" s="1"/>
  <c r="I1304" i="1" s="1"/>
  <c r="G1409" i="1"/>
  <c r="H1409" i="1" s="1"/>
  <c r="I1409" i="1" s="1"/>
  <c r="G79" i="1"/>
  <c r="H79" i="1" s="1"/>
  <c r="I79" i="1" s="1"/>
  <c r="G44" i="1"/>
  <c r="H44" i="1" s="1"/>
  <c r="I44" i="1" s="1"/>
  <c r="G919" i="1"/>
  <c r="H919" i="1" s="1"/>
  <c r="I919" i="1" s="1"/>
  <c r="G1199" i="1"/>
  <c r="H1199" i="1" s="1"/>
  <c r="I1199" i="1" s="1"/>
  <c r="G310" i="1"/>
  <c r="H310" i="1" s="1"/>
  <c r="I310" i="1" s="1"/>
  <c r="G520" i="1"/>
  <c r="H520" i="1" s="1"/>
  <c r="I520" i="1" s="1"/>
  <c r="G205" i="1"/>
  <c r="H205" i="1" s="1"/>
  <c r="I205" i="1" s="1"/>
  <c r="G415" i="1"/>
  <c r="H415" i="1" s="1"/>
  <c r="I415" i="1" s="1"/>
  <c r="G625" i="1"/>
  <c r="H625" i="1" s="1"/>
  <c r="I625" i="1" s="1"/>
  <c r="G170" i="1"/>
  <c r="H170" i="1" s="1"/>
  <c r="I170" i="1" s="1"/>
  <c r="G380" i="1"/>
  <c r="H380" i="1" s="1"/>
  <c r="I380" i="1" s="1"/>
  <c r="G345" i="1"/>
  <c r="H345" i="1" s="1"/>
  <c r="I345" i="1" s="1"/>
  <c r="G555" i="1"/>
  <c r="H555" i="1" s="1"/>
  <c r="I555" i="1" s="1"/>
  <c r="G730" i="1"/>
  <c r="H730" i="1" s="1"/>
  <c r="I730" i="1" s="1"/>
  <c r="G940" i="1"/>
  <c r="H940" i="1" s="1"/>
  <c r="I940" i="1" s="1"/>
  <c r="G240" i="1"/>
  <c r="H240" i="1" s="1"/>
  <c r="I240" i="1" s="1"/>
  <c r="G275" i="1"/>
  <c r="H275" i="1" s="1"/>
  <c r="I275" i="1" s="1"/>
  <c r="G800" i="1"/>
  <c r="H800" i="1" s="1"/>
  <c r="I800" i="1" s="1"/>
  <c r="G835" i="1"/>
  <c r="H835" i="1" s="1"/>
  <c r="I835" i="1" s="1"/>
  <c r="G1045" i="1"/>
  <c r="H1045" i="1" s="1"/>
  <c r="I1045" i="1" s="1"/>
  <c r="G590" i="1"/>
  <c r="H590" i="1" s="1"/>
  <c r="I590" i="1" s="1"/>
  <c r="G975" i="1"/>
  <c r="H975" i="1" s="1"/>
  <c r="I975" i="1" s="1"/>
  <c r="G1150" i="1"/>
  <c r="H1150" i="1" s="1"/>
  <c r="I1150" i="1" s="1"/>
  <c r="G1360" i="1"/>
  <c r="H1360" i="1" s="1"/>
  <c r="I1360" i="1" s="1"/>
  <c r="G765" i="1"/>
  <c r="H765" i="1" s="1"/>
  <c r="I765" i="1" s="1"/>
  <c r="G1010" i="1"/>
  <c r="H1010" i="1" s="1"/>
  <c r="I1010" i="1" s="1"/>
  <c r="G1080" i="1"/>
  <c r="H1080" i="1" s="1"/>
  <c r="I1080" i="1" s="1"/>
  <c r="G1255" i="1"/>
  <c r="H1255" i="1" s="1"/>
  <c r="I1255" i="1" s="1"/>
  <c r="G1535" i="1"/>
  <c r="H1535" i="1" s="1"/>
  <c r="I1535" i="1" s="1"/>
  <c r="G135" i="1"/>
  <c r="H135" i="1" s="1"/>
  <c r="I135" i="1" s="1"/>
  <c r="G450" i="1"/>
  <c r="H450" i="1" s="1"/>
  <c r="I450" i="1" s="1"/>
  <c r="G695" i="1"/>
  <c r="H695" i="1" s="1"/>
  <c r="I695" i="1" s="1"/>
  <c r="G905" i="1"/>
  <c r="H905" i="1" s="1"/>
  <c r="I905" i="1" s="1"/>
  <c r="G1395" i="1"/>
  <c r="H1395" i="1" s="1"/>
  <c r="I1395" i="1" s="1"/>
  <c r="G485" i="1"/>
  <c r="H485" i="1" s="1"/>
  <c r="I485" i="1" s="1"/>
  <c r="G1220" i="1"/>
  <c r="H1220" i="1" s="1"/>
  <c r="I1220" i="1" s="1"/>
  <c r="G1325" i="1"/>
  <c r="H1325" i="1" s="1"/>
  <c r="I1325" i="1" s="1"/>
  <c r="G1115" i="1"/>
  <c r="H1115" i="1" s="1"/>
  <c r="I1115" i="1" s="1"/>
  <c r="G1500" i="1"/>
  <c r="H1500" i="1" s="1"/>
  <c r="I1500" i="1" s="1"/>
  <c r="G1185" i="1"/>
  <c r="H1185" i="1" s="1"/>
  <c r="I1185" i="1" s="1"/>
  <c r="G660" i="1"/>
  <c r="H660" i="1" s="1"/>
  <c r="I660" i="1" s="1"/>
  <c r="G870" i="1"/>
  <c r="H870" i="1" s="1"/>
  <c r="I870" i="1" s="1"/>
  <c r="G100" i="1"/>
  <c r="H100" i="1" s="1"/>
  <c r="I100" i="1" s="1"/>
  <c r="G1290" i="1"/>
  <c r="H1290" i="1" s="1"/>
  <c r="I1290" i="1" s="1"/>
  <c r="G1465" i="1"/>
  <c r="H1465" i="1" s="1"/>
  <c r="I1465" i="1" s="1"/>
  <c r="G1430" i="1"/>
  <c r="H1430" i="1" s="1"/>
  <c r="I1430" i="1" s="1"/>
  <c r="G30" i="1"/>
  <c r="H30" i="1" s="1"/>
  <c r="I30" i="1" s="1"/>
  <c r="G65" i="1"/>
  <c r="H65" i="1" s="1"/>
  <c r="I65" i="1" s="1"/>
  <c r="G226" i="1"/>
  <c r="H226" i="1" s="1"/>
  <c r="I226" i="1" s="1"/>
  <c r="G436" i="1"/>
  <c r="H436" i="1" s="1"/>
  <c r="I436" i="1" s="1"/>
  <c r="G331" i="1"/>
  <c r="H331" i="1" s="1"/>
  <c r="I331" i="1" s="1"/>
  <c r="G541" i="1"/>
  <c r="H541" i="1" s="1"/>
  <c r="I541" i="1" s="1"/>
  <c r="G296" i="1"/>
  <c r="H296" i="1" s="1"/>
  <c r="I296" i="1" s="1"/>
  <c r="G261" i="1"/>
  <c r="H261" i="1" s="1"/>
  <c r="I261" i="1" s="1"/>
  <c r="G471" i="1"/>
  <c r="H471" i="1" s="1"/>
  <c r="I471" i="1" s="1"/>
  <c r="G506" i="1"/>
  <c r="H506" i="1" s="1"/>
  <c r="I506" i="1" s="1"/>
  <c r="G576" i="1"/>
  <c r="H576" i="1" s="1"/>
  <c r="I576" i="1" s="1"/>
  <c r="G611" i="1"/>
  <c r="H611" i="1" s="1"/>
  <c r="I611" i="1" s="1"/>
  <c r="G856" i="1"/>
  <c r="H856" i="1" s="1"/>
  <c r="I856" i="1" s="1"/>
  <c r="G156" i="1"/>
  <c r="H156" i="1" s="1"/>
  <c r="I156" i="1" s="1"/>
  <c r="G786" i="1"/>
  <c r="H786" i="1" s="1"/>
  <c r="I786" i="1" s="1"/>
  <c r="G1171" i="1"/>
  <c r="H1171" i="1" s="1"/>
  <c r="I1171" i="1" s="1"/>
  <c r="G401" i="1"/>
  <c r="H401" i="1" s="1"/>
  <c r="I401" i="1" s="1"/>
  <c r="G681" i="1"/>
  <c r="H681" i="1" s="1"/>
  <c r="I681" i="1" s="1"/>
  <c r="G961" i="1"/>
  <c r="H961" i="1" s="1"/>
  <c r="I961" i="1" s="1"/>
  <c r="G1066" i="1"/>
  <c r="H1066" i="1" s="1"/>
  <c r="I1066" i="1" s="1"/>
  <c r="G1276" i="1"/>
  <c r="H1276" i="1" s="1"/>
  <c r="I1276" i="1" s="1"/>
  <c r="G1486" i="1"/>
  <c r="H1486" i="1" s="1"/>
  <c r="I1486" i="1" s="1"/>
  <c r="G51" i="1"/>
  <c r="H51" i="1" s="1"/>
  <c r="I51" i="1" s="1"/>
  <c r="G191" i="1"/>
  <c r="H191" i="1" s="1"/>
  <c r="I191" i="1" s="1"/>
  <c r="G366" i="1"/>
  <c r="H366" i="1" s="1"/>
  <c r="I366" i="1" s="1"/>
  <c r="G1241" i="1"/>
  <c r="H1241" i="1" s="1"/>
  <c r="I1241" i="1" s="1"/>
  <c r="G716" i="1"/>
  <c r="H716" i="1" s="1"/>
  <c r="I716" i="1" s="1"/>
  <c r="G926" i="1"/>
  <c r="H926" i="1" s="1"/>
  <c r="I926" i="1" s="1"/>
  <c r="G996" i="1"/>
  <c r="H996" i="1" s="1"/>
  <c r="I996" i="1" s="1"/>
  <c r="G1381" i="1"/>
  <c r="H1381" i="1" s="1"/>
  <c r="I1381" i="1" s="1"/>
  <c r="G751" i="1"/>
  <c r="H751" i="1" s="1"/>
  <c r="I751" i="1" s="1"/>
  <c r="G1346" i="1"/>
  <c r="H1346" i="1" s="1"/>
  <c r="I1346" i="1" s="1"/>
  <c r="G646" i="1"/>
  <c r="H646" i="1" s="1"/>
  <c r="I646" i="1" s="1"/>
  <c r="G16" i="1"/>
  <c r="H16" i="1" s="1"/>
  <c r="I16" i="1" s="1"/>
  <c r="G891" i="1"/>
  <c r="H891" i="1" s="1"/>
  <c r="I891" i="1" s="1"/>
  <c r="G1206" i="1"/>
  <c r="H1206" i="1" s="1"/>
  <c r="I1206" i="1" s="1"/>
  <c r="G1416" i="1"/>
  <c r="H1416" i="1" s="1"/>
  <c r="I1416" i="1" s="1"/>
  <c r="G1521" i="1"/>
  <c r="H1521" i="1" s="1"/>
  <c r="I1521" i="1" s="1"/>
  <c r="G821" i="1"/>
  <c r="H821" i="1" s="1"/>
  <c r="I821" i="1" s="1"/>
  <c r="G86" i="1"/>
  <c r="H86" i="1" s="1"/>
  <c r="I86" i="1" s="1"/>
  <c r="G1451" i="1"/>
  <c r="H1451" i="1" s="1"/>
  <c r="I1451" i="1" s="1"/>
  <c r="G1101" i="1"/>
  <c r="H1101" i="1" s="1"/>
  <c r="I1101" i="1" s="1"/>
  <c r="G1136" i="1"/>
  <c r="H1136" i="1" s="1"/>
  <c r="I1136" i="1" s="1"/>
  <c r="G121" i="1"/>
  <c r="H121" i="1" s="1"/>
  <c r="I121" i="1" s="1"/>
  <c r="G1031" i="1"/>
  <c r="H1031" i="1" s="1"/>
  <c r="I1031" i="1" s="1"/>
  <c r="G1311" i="1"/>
  <c r="H1311" i="1" s="1"/>
  <c r="I1311" i="1" s="1"/>
  <c r="G274" i="1"/>
  <c r="H274" i="1" s="1"/>
  <c r="I274" i="1" s="1"/>
  <c r="G484" i="1"/>
  <c r="H484" i="1" s="1"/>
  <c r="I484" i="1" s="1"/>
  <c r="G169" i="1"/>
  <c r="H169" i="1" s="1"/>
  <c r="I169" i="1" s="1"/>
  <c r="G379" i="1"/>
  <c r="H379" i="1" s="1"/>
  <c r="I379" i="1" s="1"/>
  <c r="G589" i="1"/>
  <c r="H589" i="1" s="1"/>
  <c r="I589" i="1" s="1"/>
  <c r="G344" i="1"/>
  <c r="H344" i="1" s="1"/>
  <c r="I344" i="1" s="1"/>
  <c r="G309" i="1"/>
  <c r="H309" i="1" s="1"/>
  <c r="I309" i="1" s="1"/>
  <c r="G519" i="1"/>
  <c r="H519" i="1" s="1"/>
  <c r="I519" i="1" s="1"/>
  <c r="G694" i="1"/>
  <c r="H694" i="1" s="1"/>
  <c r="I694" i="1" s="1"/>
  <c r="G904" i="1"/>
  <c r="H904" i="1" s="1"/>
  <c r="I904" i="1" s="1"/>
  <c r="G554" i="1"/>
  <c r="H554" i="1" s="1"/>
  <c r="I554" i="1" s="1"/>
  <c r="G764" i="1"/>
  <c r="H764" i="1" s="1"/>
  <c r="I764" i="1" s="1"/>
  <c r="G1009" i="1"/>
  <c r="H1009" i="1" s="1"/>
  <c r="I1009" i="1" s="1"/>
  <c r="G1219" i="1"/>
  <c r="H1219" i="1" s="1"/>
  <c r="I1219" i="1" s="1"/>
  <c r="G204" i="1"/>
  <c r="H204" i="1" s="1"/>
  <c r="I204" i="1" s="1"/>
  <c r="G449" i="1"/>
  <c r="H449" i="1" s="1"/>
  <c r="I449" i="1" s="1"/>
  <c r="G939" i="1"/>
  <c r="H939" i="1" s="1"/>
  <c r="I939" i="1" s="1"/>
  <c r="G1114" i="1"/>
  <c r="H1114" i="1" s="1"/>
  <c r="I1114" i="1" s="1"/>
  <c r="G1324" i="1"/>
  <c r="H1324" i="1" s="1"/>
  <c r="I1324" i="1" s="1"/>
  <c r="G1534" i="1"/>
  <c r="H1534" i="1" s="1"/>
  <c r="I1534" i="1" s="1"/>
  <c r="G624" i="1"/>
  <c r="H624" i="1" s="1"/>
  <c r="I624" i="1" s="1"/>
  <c r="G1044" i="1"/>
  <c r="H1044" i="1" s="1"/>
  <c r="I1044" i="1" s="1"/>
  <c r="G1499" i="1"/>
  <c r="H1499" i="1" s="1"/>
  <c r="I1499" i="1" s="1"/>
  <c r="G64" i="1"/>
  <c r="H64" i="1" s="1"/>
  <c r="I64" i="1" s="1"/>
  <c r="G99" i="1"/>
  <c r="H99" i="1" s="1"/>
  <c r="I99" i="1" s="1"/>
  <c r="G29" i="1"/>
  <c r="H29" i="1" s="1"/>
  <c r="I29" i="1" s="1"/>
  <c r="G659" i="1"/>
  <c r="H659" i="1" s="1"/>
  <c r="I659" i="1" s="1"/>
  <c r="G239" i="1"/>
  <c r="H239" i="1" s="1"/>
  <c r="I239" i="1" s="1"/>
  <c r="G1359" i="1"/>
  <c r="H1359" i="1" s="1"/>
  <c r="I1359" i="1" s="1"/>
  <c r="G414" i="1"/>
  <c r="H414" i="1" s="1"/>
  <c r="I414" i="1" s="1"/>
  <c r="G729" i="1"/>
  <c r="H729" i="1" s="1"/>
  <c r="I729" i="1" s="1"/>
  <c r="G1184" i="1"/>
  <c r="H1184" i="1" s="1"/>
  <c r="I1184" i="1" s="1"/>
  <c r="G1289" i="1"/>
  <c r="H1289" i="1" s="1"/>
  <c r="I1289" i="1" s="1"/>
  <c r="G1429" i="1"/>
  <c r="H1429" i="1" s="1"/>
  <c r="I1429" i="1" s="1"/>
  <c r="G869" i="1"/>
  <c r="H869" i="1" s="1"/>
  <c r="I869" i="1" s="1"/>
  <c r="G834" i="1"/>
  <c r="H834" i="1" s="1"/>
  <c r="I834" i="1" s="1"/>
  <c r="G974" i="1"/>
  <c r="H974" i="1" s="1"/>
  <c r="I974" i="1" s="1"/>
  <c r="G1254" i="1"/>
  <c r="H1254" i="1" s="1"/>
  <c r="I1254" i="1" s="1"/>
  <c r="G1079" i="1"/>
  <c r="H1079" i="1" s="1"/>
  <c r="I1079" i="1" s="1"/>
  <c r="G1394" i="1"/>
  <c r="H1394" i="1" s="1"/>
  <c r="I1394" i="1" s="1"/>
  <c r="G134" i="1"/>
  <c r="H134" i="1" s="1"/>
  <c r="I134" i="1" s="1"/>
  <c r="G799" i="1"/>
  <c r="H799" i="1" s="1"/>
  <c r="I799" i="1" s="1"/>
  <c r="G1149" i="1"/>
  <c r="H1149" i="1" s="1"/>
  <c r="I1149" i="1" s="1"/>
  <c r="G1464" i="1"/>
  <c r="H1464" i="1" s="1"/>
  <c r="I1464" i="1" s="1"/>
  <c r="G196" i="1"/>
  <c r="H196" i="1" s="1"/>
  <c r="I196" i="1" s="1"/>
  <c r="G406" i="1"/>
  <c r="H406" i="1" s="1"/>
  <c r="I406" i="1" s="1"/>
  <c r="G301" i="1"/>
  <c r="H301" i="1" s="1"/>
  <c r="I301" i="1" s="1"/>
  <c r="G511" i="1"/>
  <c r="H511" i="1" s="1"/>
  <c r="I511" i="1" s="1"/>
  <c r="G266" i="1"/>
  <c r="H266" i="1" s="1"/>
  <c r="I266" i="1" s="1"/>
  <c r="G231" i="1"/>
  <c r="H231" i="1" s="1"/>
  <c r="I231" i="1" s="1"/>
  <c r="G441" i="1"/>
  <c r="H441" i="1" s="1"/>
  <c r="I441" i="1" s="1"/>
  <c r="G651" i="1"/>
  <c r="H651" i="1" s="1"/>
  <c r="I651" i="1" s="1"/>
  <c r="G371" i="1"/>
  <c r="H371" i="1" s="1"/>
  <c r="I371" i="1" s="1"/>
  <c r="G826" i="1"/>
  <c r="H826" i="1" s="1"/>
  <c r="I826" i="1" s="1"/>
  <c r="G476" i="1"/>
  <c r="H476" i="1" s="1"/>
  <c r="I476" i="1" s="1"/>
  <c r="G721" i="1"/>
  <c r="H721" i="1" s="1"/>
  <c r="I721" i="1" s="1"/>
  <c r="G1141" i="1"/>
  <c r="H1141" i="1" s="1"/>
  <c r="I1141" i="1" s="1"/>
  <c r="G616" i="1"/>
  <c r="H616" i="1" s="1"/>
  <c r="I616" i="1" s="1"/>
  <c r="G896" i="1"/>
  <c r="H896" i="1" s="1"/>
  <c r="I896" i="1" s="1"/>
  <c r="G1036" i="1"/>
  <c r="H1036" i="1" s="1"/>
  <c r="I1036" i="1" s="1"/>
  <c r="G1246" i="1"/>
  <c r="H1246" i="1" s="1"/>
  <c r="I1246" i="1" s="1"/>
  <c r="G1456" i="1"/>
  <c r="H1456" i="1" s="1"/>
  <c r="I1456" i="1" s="1"/>
  <c r="G931" i="1"/>
  <c r="H931" i="1" s="1"/>
  <c r="I931" i="1" s="1"/>
  <c r="G1001" i="1"/>
  <c r="H1001" i="1" s="1"/>
  <c r="I1001" i="1" s="1"/>
  <c r="G1071" i="1"/>
  <c r="H1071" i="1" s="1"/>
  <c r="I1071" i="1" s="1"/>
  <c r="G1421" i="1"/>
  <c r="H1421" i="1" s="1"/>
  <c r="I1421" i="1" s="1"/>
  <c r="G1491" i="1"/>
  <c r="H1491" i="1" s="1"/>
  <c r="I1491" i="1" s="1"/>
  <c r="G56" i="1"/>
  <c r="H56" i="1" s="1"/>
  <c r="I56" i="1" s="1"/>
  <c r="G161" i="1"/>
  <c r="H161" i="1" s="1"/>
  <c r="I161" i="1" s="1"/>
  <c r="G336" i="1"/>
  <c r="H336" i="1" s="1"/>
  <c r="I336" i="1" s="1"/>
  <c r="G756" i="1"/>
  <c r="H756" i="1" s="1"/>
  <c r="I756" i="1" s="1"/>
  <c r="G581" i="1"/>
  <c r="H581" i="1" s="1"/>
  <c r="I581" i="1" s="1"/>
  <c r="G686" i="1"/>
  <c r="H686" i="1" s="1"/>
  <c r="I686" i="1" s="1"/>
  <c r="G1316" i="1"/>
  <c r="H1316" i="1" s="1"/>
  <c r="I1316" i="1" s="1"/>
  <c r="G126" i="1"/>
  <c r="H126" i="1" s="1"/>
  <c r="I126" i="1" s="1"/>
  <c r="G1211" i="1"/>
  <c r="H1211" i="1" s="1"/>
  <c r="I1211" i="1" s="1"/>
  <c r="G1281" i="1"/>
  <c r="H1281" i="1" s="1"/>
  <c r="I1281" i="1" s="1"/>
  <c r="G791" i="1"/>
  <c r="H791" i="1" s="1"/>
  <c r="I791" i="1" s="1"/>
  <c r="G966" i="1"/>
  <c r="H966" i="1" s="1"/>
  <c r="I966" i="1" s="1"/>
  <c r="G1106" i="1"/>
  <c r="H1106" i="1" s="1"/>
  <c r="I1106" i="1" s="1"/>
  <c r="G1176" i="1"/>
  <c r="H1176" i="1" s="1"/>
  <c r="I1176" i="1" s="1"/>
  <c r="G861" i="1"/>
  <c r="H861" i="1" s="1"/>
  <c r="I861" i="1" s="1"/>
  <c r="G91" i="1"/>
  <c r="H91" i="1" s="1"/>
  <c r="I91" i="1" s="1"/>
  <c r="G1351" i="1"/>
  <c r="H1351" i="1" s="1"/>
  <c r="I1351" i="1" s="1"/>
  <c r="G546" i="1"/>
  <c r="H546" i="1" s="1"/>
  <c r="I546" i="1" s="1"/>
  <c r="G1386" i="1"/>
  <c r="H1386" i="1" s="1"/>
  <c r="I1386" i="1" s="1"/>
  <c r="G1526" i="1"/>
  <c r="H1526" i="1" s="1"/>
  <c r="I1526" i="1" s="1"/>
  <c r="G21" i="1"/>
  <c r="H21" i="1" s="1"/>
  <c r="I21" i="1" s="1"/>
  <c r="G244" i="1"/>
  <c r="H244" i="1" s="1"/>
  <c r="I244" i="1" s="1"/>
  <c r="G454" i="1"/>
  <c r="H454" i="1" s="1"/>
  <c r="I454" i="1" s="1"/>
  <c r="G349" i="1"/>
  <c r="H349" i="1" s="1"/>
  <c r="I349" i="1" s="1"/>
  <c r="G559" i="1"/>
  <c r="H559" i="1" s="1"/>
  <c r="I559" i="1" s="1"/>
  <c r="G314" i="1"/>
  <c r="H314" i="1" s="1"/>
  <c r="I314" i="1" s="1"/>
  <c r="G279" i="1"/>
  <c r="H279" i="1" s="1"/>
  <c r="I279" i="1" s="1"/>
  <c r="G489" i="1"/>
  <c r="H489" i="1" s="1"/>
  <c r="I489" i="1" s="1"/>
  <c r="G629" i="1"/>
  <c r="H629" i="1" s="1"/>
  <c r="I629" i="1" s="1"/>
  <c r="G664" i="1"/>
  <c r="H664" i="1" s="1"/>
  <c r="I664" i="1" s="1"/>
  <c r="G874" i="1"/>
  <c r="H874" i="1" s="1"/>
  <c r="I874" i="1" s="1"/>
  <c r="G174" i="1"/>
  <c r="H174" i="1" s="1"/>
  <c r="I174" i="1" s="1"/>
  <c r="G209" i="1"/>
  <c r="H209" i="1" s="1"/>
  <c r="I209" i="1" s="1"/>
  <c r="G419" i="1"/>
  <c r="H419" i="1" s="1"/>
  <c r="I419" i="1" s="1"/>
  <c r="G699" i="1"/>
  <c r="H699" i="1" s="1"/>
  <c r="I699" i="1" s="1"/>
  <c r="G979" i="1"/>
  <c r="H979" i="1" s="1"/>
  <c r="I979" i="1" s="1"/>
  <c r="G1189" i="1"/>
  <c r="H1189" i="1" s="1"/>
  <c r="I1189" i="1" s="1"/>
  <c r="G804" i="1"/>
  <c r="H804" i="1" s="1"/>
  <c r="I804" i="1" s="1"/>
  <c r="G839" i="1"/>
  <c r="H839" i="1" s="1"/>
  <c r="I839" i="1" s="1"/>
  <c r="G1084" i="1"/>
  <c r="H1084" i="1" s="1"/>
  <c r="I1084" i="1" s="1"/>
  <c r="G1294" i="1"/>
  <c r="H1294" i="1" s="1"/>
  <c r="I1294" i="1" s="1"/>
  <c r="G1504" i="1"/>
  <c r="H1504" i="1" s="1"/>
  <c r="I1504" i="1" s="1"/>
  <c r="G69" i="1"/>
  <c r="H69" i="1" s="1"/>
  <c r="I69" i="1" s="1"/>
  <c r="G909" i="1"/>
  <c r="H909" i="1" s="1"/>
  <c r="I909" i="1" s="1"/>
  <c r="G1399" i="1"/>
  <c r="H1399" i="1" s="1"/>
  <c r="I1399" i="1" s="1"/>
  <c r="G594" i="1"/>
  <c r="H594" i="1" s="1"/>
  <c r="I594" i="1" s="1"/>
  <c r="G734" i="1"/>
  <c r="H734" i="1" s="1"/>
  <c r="I734" i="1" s="1"/>
  <c r="G1014" i="1"/>
  <c r="H1014" i="1" s="1"/>
  <c r="I1014" i="1" s="1"/>
  <c r="G1049" i="1"/>
  <c r="H1049" i="1" s="1"/>
  <c r="I1049" i="1" s="1"/>
  <c r="G1259" i="1"/>
  <c r="H1259" i="1" s="1"/>
  <c r="I1259" i="1" s="1"/>
  <c r="G384" i="1"/>
  <c r="H384" i="1" s="1"/>
  <c r="I384" i="1" s="1"/>
  <c r="G1539" i="1"/>
  <c r="H1539" i="1" s="1"/>
  <c r="I1539" i="1" s="1"/>
  <c r="G944" i="1"/>
  <c r="H944" i="1" s="1"/>
  <c r="I944" i="1" s="1"/>
  <c r="G1329" i="1"/>
  <c r="H1329" i="1" s="1"/>
  <c r="I1329" i="1" s="1"/>
  <c r="G104" i="1"/>
  <c r="H104" i="1" s="1"/>
  <c r="I104" i="1" s="1"/>
  <c r="G139" i="1"/>
  <c r="H139" i="1" s="1"/>
  <c r="I139" i="1" s="1"/>
  <c r="G769" i="1"/>
  <c r="H769" i="1" s="1"/>
  <c r="I769" i="1" s="1"/>
  <c r="G1119" i="1"/>
  <c r="H1119" i="1" s="1"/>
  <c r="I1119" i="1" s="1"/>
  <c r="G1364" i="1"/>
  <c r="H1364" i="1" s="1"/>
  <c r="I1364" i="1" s="1"/>
  <c r="G1434" i="1"/>
  <c r="H1434" i="1" s="1"/>
  <c r="I1434" i="1" s="1"/>
  <c r="G34" i="1"/>
  <c r="H34" i="1" s="1"/>
  <c r="I34" i="1" s="1"/>
  <c r="G524" i="1"/>
  <c r="H524" i="1" s="1"/>
  <c r="I524" i="1" s="1"/>
  <c r="G1154" i="1"/>
  <c r="H1154" i="1" s="1"/>
  <c r="I1154" i="1" s="1"/>
  <c r="G1224" i="1"/>
  <c r="H1224" i="1" s="1"/>
  <c r="I1224" i="1" s="1"/>
  <c r="G1469" i="1"/>
  <c r="H1469" i="1" s="1"/>
  <c r="I1469" i="1" s="1"/>
  <c r="G160" i="1"/>
  <c r="H160" i="1" s="1"/>
  <c r="I160" i="1" s="1"/>
  <c r="G370" i="1"/>
  <c r="H370" i="1" s="1"/>
  <c r="I370" i="1" s="1"/>
  <c r="G580" i="1"/>
  <c r="H580" i="1" s="1"/>
  <c r="I580" i="1" s="1"/>
  <c r="G265" i="1"/>
  <c r="H265" i="1" s="1"/>
  <c r="I265" i="1" s="1"/>
  <c r="G475" i="1"/>
  <c r="H475" i="1" s="1"/>
  <c r="I475" i="1" s="1"/>
  <c r="G230" i="1"/>
  <c r="H230" i="1" s="1"/>
  <c r="I230" i="1" s="1"/>
  <c r="G195" i="1"/>
  <c r="H195" i="1" s="1"/>
  <c r="I195" i="1" s="1"/>
  <c r="G405" i="1"/>
  <c r="H405" i="1" s="1"/>
  <c r="I405" i="1" s="1"/>
  <c r="G615" i="1"/>
  <c r="H615" i="1" s="1"/>
  <c r="I615" i="1" s="1"/>
  <c r="G300" i="1"/>
  <c r="H300" i="1" s="1"/>
  <c r="I300" i="1" s="1"/>
  <c r="G335" i="1"/>
  <c r="H335" i="1" s="1"/>
  <c r="I335" i="1" s="1"/>
  <c r="G790" i="1"/>
  <c r="H790" i="1" s="1"/>
  <c r="I790" i="1" s="1"/>
  <c r="G685" i="1"/>
  <c r="H685" i="1" s="1"/>
  <c r="I685" i="1" s="1"/>
  <c r="G965" i="1"/>
  <c r="H965" i="1" s="1"/>
  <c r="I965" i="1" s="1"/>
  <c r="G1105" i="1"/>
  <c r="H1105" i="1" s="1"/>
  <c r="I1105" i="1" s="1"/>
  <c r="G510" i="1"/>
  <c r="H510" i="1" s="1"/>
  <c r="I510" i="1" s="1"/>
  <c r="G825" i="1"/>
  <c r="H825" i="1" s="1"/>
  <c r="I825" i="1" s="1"/>
  <c r="G860" i="1"/>
  <c r="H860" i="1" s="1"/>
  <c r="I860" i="1" s="1"/>
  <c r="G1000" i="1"/>
  <c r="H1000" i="1" s="1"/>
  <c r="I1000" i="1" s="1"/>
  <c r="G1210" i="1"/>
  <c r="H1210" i="1" s="1"/>
  <c r="I1210" i="1" s="1"/>
  <c r="G1420" i="1"/>
  <c r="H1420" i="1" s="1"/>
  <c r="I1420" i="1" s="1"/>
  <c r="G755" i="1"/>
  <c r="H755" i="1" s="1"/>
  <c r="I755" i="1" s="1"/>
  <c r="G1385" i="1"/>
  <c r="H1385" i="1" s="1"/>
  <c r="I1385" i="1" s="1"/>
  <c r="G650" i="1"/>
  <c r="H650" i="1" s="1"/>
  <c r="I650" i="1" s="1"/>
  <c r="G1245" i="1"/>
  <c r="H1245" i="1" s="1"/>
  <c r="I1245" i="1" s="1"/>
  <c r="G1280" i="1"/>
  <c r="H1280" i="1" s="1"/>
  <c r="I1280" i="1" s="1"/>
  <c r="G20" i="1"/>
  <c r="H20" i="1" s="1"/>
  <c r="I20" i="1" s="1"/>
  <c r="G440" i="1"/>
  <c r="H440" i="1" s="1"/>
  <c r="I440" i="1" s="1"/>
  <c r="G545" i="1"/>
  <c r="H545" i="1" s="1"/>
  <c r="I545" i="1" s="1"/>
  <c r="G895" i="1"/>
  <c r="H895" i="1" s="1"/>
  <c r="I895" i="1" s="1"/>
  <c r="G1140" i="1"/>
  <c r="H1140" i="1" s="1"/>
  <c r="I1140" i="1" s="1"/>
  <c r="G1175" i="1"/>
  <c r="H1175" i="1" s="1"/>
  <c r="I1175" i="1" s="1"/>
  <c r="G1525" i="1"/>
  <c r="H1525" i="1" s="1"/>
  <c r="I1525" i="1" s="1"/>
  <c r="G1035" i="1"/>
  <c r="H1035" i="1" s="1"/>
  <c r="I1035" i="1" s="1"/>
  <c r="G1315" i="1"/>
  <c r="H1315" i="1" s="1"/>
  <c r="I1315" i="1" s="1"/>
  <c r="G930" i="1"/>
  <c r="H930" i="1" s="1"/>
  <c r="I930" i="1" s="1"/>
  <c r="G1350" i="1"/>
  <c r="H1350" i="1" s="1"/>
  <c r="I1350" i="1" s="1"/>
  <c r="G1490" i="1"/>
  <c r="H1490" i="1" s="1"/>
  <c r="I1490" i="1" s="1"/>
  <c r="G125" i="1"/>
  <c r="H125" i="1" s="1"/>
  <c r="I125" i="1" s="1"/>
  <c r="G720" i="1"/>
  <c r="H720" i="1" s="1"/>
  <c r="I720" i="1" s="1"/>
  <c r="G55" i="1"/>
  <c r="H55" i="1" s="1"/>
  <c r="I55" i="1" s="1"/>
  <c r="G1070" i="1"/>
  <c r="H1070" i="1" s="1"/>
  <c r="I1070" i="1" s="1"/>
  <c r="G90" i="1"/>
  <c r="H90" i="1" s="1"/>
  <c r="I90" i="1" s="1"/>
  <c r="G1455" i="1"/>
  <c r="H1455" i="1" s="1"/>
  <c r="I1455" i="1" s="1"/>
  <c r="G328" i="1"/>
  <c r="H328" i="1" s="1"/>
  <c r="I328" i="1" s="1"/>
  <c r="G538" i="1"/>
  <c r="H538" i="1" s="1"/>
  <c r="I538" i="1" s="1"/>
  <c r="G223" i="1"/>
  <c r="H223" i="1" s="1"/>
  <c r="I223" i="1" s="1"/>
  <c r="G433" i="1"/>
  <c r="H433" i="1" s="1"/>
  <c r="I433" i="1" s="1"/>
  <c r="G643" i="1"/>
  <c r="H643" i="1" s="1"/>
  <c r="I643" i="1" s="1"/>
  <c r="G188" i="1"/>
  <c r="H188" i="1" s="1"/>
  <c r="I188" i="1" s="1"/>
  <c r="G153" i="1"/>
  <c r="H153" i="1" s="1"/>
  <c r="I153" i="1" s="1"/>
  <c r="G363" i="1"/>
  <c r="H363" i="1" s="1"/>
  <c r="I363" i="1" s="1"/>
  <c r="G573" i="1"/>
  <c r="H573" i="1" s="1"/>
  <c r="I573" i="1" s="1"/>
  <c r="G748" i="1"/>
  <c r="H748" i="1" s="1"/>
  <c r="I748" i="1" s="1"/>
  <c r="G958" i="1"/>
  <c r="H958" i="1" s="1"/>
  <c r="I958" i="1" s="1"/>
  <c r="G258" i="1"/>
  <c r="H258" i="1" s="1"/>
  <c r="I258" i="1" s="1"/>
  <c r="G293" i="1"/>
  <c r="H293" i="1" s="1"/>
  <c r="I293" i="1" s="1"/>
  <c r="G503" i="1"/>
  <c r="H503" i="1" s="1"/>
  <c r="I503" i="1" s="1"/>
  <c r="G678" i="1"/>
  <c r="H678" i="1" s="1"/>
  <c r="I678" i="1" s="1"/>
  <c r="G1063" i="1"/>
  <c r="H1063" i="1" s="1"/>
  <c r="I1063" i="1" s="1"/>
  <c r="G818" i="1"/>
  <c r="H818" i="1" s="1"/>
  <c r="I818" i="1" s="1"/>
  <c r="G853" i="1"/>
  <c r="H853" i="1" s="1"/>
  <c r="I853" i="1" s="1"/>
  <c r="G1168" i="1"/>
  <c r="H1168" i="1" s="1"/>
  <c r="I1168" i="1" s="1"/>
  <c r="G1378" i="1"/>
  <c r="H1378" i="1" s="1"/>
  <c r="I1378" i="1" s="1"/>
  <c r="G398" i="1"/>
  <c r="H398" i="1" s="1"/>
  <c r="I398" i="1" s="1"/>
  <c r="G888" i="1"/>
  <c r="H888" i="1" s="1"/>
  <c r="I888" i="1" s="1"/>
  <c r="G1028" i="1"/>
  <c r="H1028" i="1" s="1"/>
  <c r="I1028" i="1" s="1"/>
  <c r="G1098" i="1"/>
  <c r="H1098" i="1" s="1"/>
  <c r="I1098" i="1" s="1"/>
  <c r="G1413" i="1"/>
  <c r="H1413" i="1" s="1"/>
  <c r="I1413" i="1" s="1"/>
  <c r="G713" i="1"/>
  <c r="H713" i="1" s="1"/>
  <c r="I713" i="1" s="1"/>
  <c r="G1273" i="1"/>
  <c r="H1273" i="1" s="1"/>
  <c r="I1273" i="1" s="1"/>
  <c r="G783" i="1"/>
  <c r="H783" i="1" s="1"/>
  <c r="I783" i="1" s="1"/>
  <c r="G1238" i="1"/>
  <c r="H1238" i="1" s="1"/>
  <c r="I1238" i="1" s="1"/>
  <c r="G1518" i="1"/>
  <c r="H1518" i="1" s="1"/>
  <c r="I1518" i="1" s="1"/>
  <c r="G608" i="1"/>
  <c r="H608" i="1" s="1"/>
  <c r="I608" i="1" s="1"/>
  <c r="G1133" i="1"/>
  <c r="H1133" i="1" s="1"/>
  <c r="I1133" i="1" s="1"/>
  <c r="G48" i="1"/>
  <c r="H48" i="1" s="1"/>
  <c r="I48" i="1" s="1"/>
  <c r="G468" i="1"/>
  <c r="H468" i="1" s="1"/>
  <c r="I468" i="1" s="1"/>
  <c r="G1203" i="1"/>
  <c r="H1203" i="1" s="1"/>
  <c r="I1203" i="1" s="1"/>
  <c r="G1448" i="1"/>
  <c r="H1448" i="1" s="1"/>
  <c r="I1448" i="1" s="1"/>
  <c r="G993" i="1"/>
  <c r="H993" i="1" s="1"/>
  <c r="I993" i="1" s="1"/>
  <c r="G1308" i="1"/>
  <c r="H1308" i="1" s="1"/>
  <c r="I1308" i="1" s="1"/>
  <c r="G83" i="1"/>
  <c r="H83" i="1" s="1"/>
  <c r="I83" i="1" s="1"/>
  <c r="G1343" i="1"/>
  <c r="H1343" i="1" s="1"/>
  <c r="I1343" i="1" s="1"/>
  <c r="G1483" i="1"/>
  <c r="H1483" i="1" s="1"/>
  <c r="I1483" i="1" s="1"/>
  <c r="G118" i="1"/>
  <c r="H118" i="1" s="1"/>
  <c r="I118" i="1" s="1"/>
  <c r="G923" i="1"/>
  <c r="H923" i="1" s="1"/>
  <c r="I923" i="1" s="1"/>
  <c r="G13" i="1"/>
  <c r="H13" i="1" s="1"/>
  <c r="I13" i="1" s="1"/>
  <c r="G142" i="1"/>
  <c r="H142" i="1" s="1"/>
  <c r="I142" i="1" s="1"/>
  <c r="G352" i="1"/>
  <c r="H352" i="1" s="1"/>
  <c r="I352" i="1" s="1"/>
  <c r="G562" i="1"/>
  <c r="H562" i="1" s="1"/>
  <c r="I562" i="1" s="1"/>
  <c r="G247" i="1"/>
  <c r="H247" i="1" s="1"/>
  <c r="I247" i="1" s="1"/>
  <c r="G457" i="1"/>
  <c r="H457" i="1" s="1"/>
  <c r="I457" i="1" s="1"/>
  <c r="G212" i="1"/>
  <c r="H212" i="1" s="1"/>
  <c r="I212" i="1" s="1"/>
  <c r="G177" i="1"/>
  <c r="H177" i="1" s="1"/>
  <c r="I177" i="1" s="1"/>
  <c r="G387" i="1"/>
  <c r="H387" i="1" s="1"/>
  <c r="I387" i="1" s="1"/>
  <c r="G597" i="1"/>
  <c r="H597" i="1" s="1"/>
  <c r="I597" i="1" s="1"/>
  <c r="G282" i="1"/>
  <c r="H282" i="1" s="1"/>
  <c r="I282" i="1" s="1"/>
  <c r="G317" i="1"/>
  <c r="H317" i="1" s="1"/>
  <c r="I317" i="1" s="1"/>
  <c r="G772" i="1"/>
  <c r="H772" i="1" s="1"/>
  <c r="I772" i="1" s="1"/>
  <c r="G527" i="1"/>
  <c r="H527" i="1" s="1"/>
  <c r="I527" i="1" s="1"/>
  <c r="G632" i="1"/>
  <c r="H632" i="1" s="1"/>
  <c r="I632" i="1" s="1"/>
  <c r="G807" i="1"/>
  <c r="H807" i="1" s="1"/>
  <c r="I807" i="1" s="1"/>
  <c r="G842" i="1"/>
  <c r="H842" i="1" s="1"/>
  <c r="I842" i="1" s="1"/>
  <c r="G1087" i="1"/>
  <c r="H1087" i="1" s="1"/>
  <c r="I1087" i="1" s="1"/>
  <c r="G667" i="1"/>
  <c r="H667" i="1" s="1"/>
  <c r="I667" i="1" s="1"/>
  <c r="G947" i="1"/>
  <c r="H947" i="1" s="1"/>
  <c r="I947" i="1" s="1"/>
  <c r="G982" i="1"/>
  <c r="H982" i="1" s="1"/>
  <c r="I982" i="1" s="1"/>
  <c r="G1192" i="1"/>
  <c r="H1192" i="1" s="1"/>
  <c r="I1192" i="1" s="1"/>
  <c r="G1402" i="1"/>
  <c r="H1402" i="1" s="1"/>
  <c r="I1402" i="1" s="1"/>
  <c r="G422" i="1"/>
  <c r="H422" i="1" s="1"/>
  <c r="I422" i="1" s="1"/>
  <c r="G877" i="1"/>
  <c r="H877" i="1" s="1"/>
  <c r="I877" i="1" s="1"/>
  <c r="G1262" i="1"/>
  <c r="H1262" i="1" s="1"/>
  <c r="I1262" i="1" s="1"/>
  <c r="G492" i="1"/>
  <c r="H492" i="1" s="1"/>
  <c r="I492" i="1" s="1"/>
  <c r="G702" i="1"/>
  <c r="H702" i="1" s="1"/>
  <c r="I702" i="1" s="1"/>
  <c r="G1227" i="1"/>
  <c r="H1227" i="1" s="1"/>
  <c r="I1227" i="1" s="1"/>
  <c r="G1367" i="1"/>
  <c r="H1367" i="1" s="1"/>
  <c r="I1367" i="1" s="1"/>
  <c r="G2" i="1"/>
  <c r="H2" i="1" s="1"/>
  <c r="I2" i="1" s="1"/>
  <c r="G1122" i="1"/>
  <c r="H1122" i="1" s="1"/>
  <c r="I1122" i="1" s="1"/>
  <c r="G1157" i="1"/>
  <c r="H1157" i="1" s="1"/>
  <c r="I1157" i="1" s="1"/>
  <c r="G1332" i="1"/>
  <c r="H1332" i="1" s="1"/>
  <c r="I1332" i="1" s="1"/>
  <c r="G1017" i="1"/>
  <c r="H1017" i="1" s="1"/>
  <c r="I1017" i="1" s="1"/>
  <c r="G737" i="1"/>
  <c r="H737" i="1" s="1"/>
  <c r="I737" i="1" s="1"/>
  <c r="G912" i="1"/>
  <c r="H912" i="1" s="1"/>
  <c r="I912" i="1" s="1"/>
  <c r="G37" i="1"/>
  <c r="H37" i="1" s="1"/>
  <c r="I37" i="1" s="1"/>
  <c r="G107" i="1"/>
  <c r="H107" i="1" s="1"/>
  <c r="I107" i="1" s="1"/>
  <c r="G1437" i="1"/>
  <c r="H1437" i="1" s="1"/>
  <c r="I1437" i="1" s="1"/>
  <c r="G1052" i="1"/>
  <c r="H1052" i="1" s="1"/>
  <c r="I1052" i="1" s="1"/>
  <c r="G1472" i="1"/>
  <c r="H1472" i="1" s="1"/>
  <c r="I1472" i="1" s="1"/>
  <c r="G1297" i="1"/>
  <c r="H1297" i="1" s="1"/>
  <c r="I1297" i="1" s="1"/>
  <c r="G1507" i="1"/>
  <c r="H1507" i="1" s="1"/>
  <c r="I1507" i="1" s="1"/>
  <c r="G72" i="1"/>
  <c r="H72" i="1" s="1"/>
  <c r="I72" i="1" s="1"/>
  <c r="G208" i="1"/>
  <c r="H208" i="1" s="1"/>
  <c r="I208" i="1" s="1"/>
  <c r="G418" i="1"/>
  <c r="H418" i="1" s="1"/>
  <c r="I418" i="1" s="1"/>
  <c r="G313" i="1"/>
  <c r="H313" i="1" s="1"/>
  <c r="I313" i="1" s="1"/>
  <c r="G523" i="1"/>
  <c r="H523" i="1" s="1"/>
  <c r="I523" i="1" s="1"/>
  <c r="G278" i="1"/>
  <c r="H278" i="1" s="1"/>
  <c r="I278" i="1" s="1"/>
  <c r="G243" i="1"/>
  <c r="H243" i="1" s="1"/>
  <c r="I243" i="1" s="1"/>
  <c r="G453" i="1"/>
  <c r="H453" i="1" s="1"/>
  <c r="I453" i="1" s="1"/>
  <c r="G663" i="1"/>
  <c r="H663" i="1" s="1"/>
  <c r="I663" i="1" s="1"/>
  <c r="G838" i="1"/>
  <c r="H838" i="1" s="1"/>
  <c r="I838" i="1" s="1"/>
  <c r="G173" i="1"/>
  <c r="H173" i="1" s="1"/>
  <c r="I173" i="1" s="1"/>
  <c r="G488" i="1"/>
  <c r="H488" i="1" s="1"/>
  <c r="I488" i="1" s="1"/>
  <c r="G943" i="1"/>
  <c r="H943" i="1" s="1"/>
  <c r="I943" i="1" s="1"/>
  <c r="G1153" i="1"/>
  <c r="H1153" i="1" s="1"/>
  <c r="I1153" i="1" s="1"/>
  <c r="G348" i="1"/>
  <c r="H348" i="1" s="1"/>
  <c r="I348" i="1" s="1"/>
  <c r="G768" i="1"/>
  <c r="H768" i="1" s="1"/>
  <c r="I768" i="1" s="1"/>
  <c r="G1048" i="1"/>
  <c r="H1048" i="1" s="1"/>
  <c r="I1048" i="1" s="1"/>
  <c r="G1258" i="1"/>
  <c r="H1258" i="1" s="1"/>
  <c r="I1258" i="1" s="1"/>
  <c r="G1468" i="1"/>
  <c r="H1468" i="1" s="1"/>
  <c r="I1468" i="1" s="1"/>
  <c r="G593" i="1"/>
  <c r="H593" i="1" s="1"/>
  <c r="I593" i="1" s="1"/>
  <c r="G733" i="1"/>
  <c r="H733" i="1" s="1"/>
  <c r="I733" i="1" s="1"/>
  <c r="G1223" i="1"/>
  <c r="H1223" i="1" s="1"/>
  <c r="I1223" i="1" s="1"/>
  <c r="G1363" i="1"/>
  <c r="H1363" i="1" s="1"/>
  <c r="I1363" i="1" s="1"/>
  <c r="G628" i="1"/>
  <c r="H628" i="1" s="1"/>
  <c r="I628" i="1" s="1"/>
  <c r="G383" i="1"/>
  <c r="H383" i="1" s="1"/>
  <c r="I383" i="1" s="1"/>
  <c r="G558" i="1"/>
  <c r="H558" i="1" s="1"/>
  <c r="I558" i="1" s="1"/>
  <c r="G978" i="1"/>
  <c r="H978" i="1" s="1"/>
  <c r="I978" i="1" s="1"/>
  <c r="G1538" i="1"/>
  <c r="H1538" i="1" s="1"/>
  <c r="I1538" i="1" s="1"/>
  <c r="G138" i="1"/>
  <c r="H138" i="1" s="1"/>
  <c r="I138" i="1" s="1"/>
  <c r="G803" i="1"/>
  <c r="H803" i="1" s="1"/>
  <c r="I803" i="1" s="1"/>
  <c r="G873" i="1"/>
  <c r="H873" i="1" s="1"/>
  <c r="I873" i="1" s="1"/>
  <c r="G1433" i="1"/>
  <c r="H1433" i="1" s="1"/>
  <c r="I1433" i="1" s="1"/>
  <c r="G1503" i="1"/>
  <c r="H1503" i="1" s="1"/>
  <c r="I1503" i="1" s="1"/>
  <c r="G908" i="1"/>
  <c r="H908" i="1" s="1"/>
  <c r="I908" i="1" s="1"/>
  <c r="G1188" i="1"/>
  <c r="H1188" i="1" s="1"/>
  <c r="I1188" i="1" s="1"/>
  <c r="G1293" i="1"/>
  <c r="H1293" i="1" s="1"/>
  <c r="I1293" i="1" s="1"/>
  <c r="G68" i="1"/>
  <c r="H68" i="1" s="1"/>
  <c r="I68" i="1" s="1"/>
  <c r="G1083" i="1"/>
  <c r="H1083" i="1" s="1"/>
  <c r="I1083" i="1" s="1"/>
  <c r="G1118" i="1"/>
  <c r="H1118" i="1" s="1"/>
  <c r="I1118" i="1" s="1"/>
  <c r="G1398" i="1"/>
  <c r="H1398" i="1" s="1"/>
  <c r="I1398" i="1" s="1"/>
  <c r="G1328" i="1"/>
  <c r="H1328" i="1" s="1"/>
  <c r="I1328" i="1" s="1"/>
  <c r="G1013" i="1"/>
  <c r="H1013" i="1" s="1"/>
  <c r="I1013" i="1" s="1"/>
  <c r="G698" i="1"/>
  <c r="H698" i="1" s="1"/>
  <c r="I698" i="1" s="1"/>
  <c r="G103" i="1"/>
  <c r="H103" i="1" s="1"/>
  <c r="I103" i="1" s="1"/>
  <c r="G33" i="1"/>
  <c r="H33" i="1" s="1"/>
  <c r="I33" i="1" s="1"/>
  <c r="G166" i="1"/>
  <c r="H166" i="1" s="1"/>
  <c r="I166" i="1" s="1"/>
  <c r="G376" i="1"/>
  <c r="H376" i="1" s="1"/>
  <c r="I376" i="1" s="1"/>
  <c r="G586" i="1"/>
  <c r="H586" i="1" s="1"/>
  <c r="I586" i="1" s="1"/>
  <c r="G271" i="1"/>
  <c r="H271" i="1" s="1"/>
  <c r="I271" i="1" s="1"/>
  <c r="G481" i="1"/>
  <c r="H481" i="1" s="1"/>
  <c r="I481" i="1" s="1"/>
  <c r="G236" i="1"/>
  <c r="H236" i="1" s="1"/>
  <c r="I236" i="1" s="1"/>
  <c r="G201" i="1"/>
  <c r="H201" i="1" s="1"/>
  <c r="I201" i="1" s="1"/>
  <c r="G411" i="1"/>
  <c r="H411" i="1" s="1"/>
  <c r="I411" i="1" s="1"/>
  <c r="G621" i="1"/>
  <c r="H621" i="1" s="1"/>
  <c r="I621" i="1" s="1"/>
  <c r="G656" i="1"/>
  <c r="H656" i="1" s="1"/>
  <c r="I656" i="1" s="1"/>
  <c r="G796" i="1"/>
  <c r="H796" i="1" s="1"/>
  <c r="I796" i="1" s="1"/>
  <c r="G341" i="1"/>
  <c r="H341" i="1" s="1"/>
  <c r="I341" i="1" s="1"/>
  <c r="G516" i="1"/>
  <c r="H516" i="1" s="1"/>
  <c r="I516" i="1" s="1"/>
  <c r="G936" i="1"/>
  <c r="H936" i="1" s="1"/>
  <c r="I936" i="1" s="1"/>
  <c r="G1111" i="1"/>
  <c r="H1111" i="1" s="1"/>
  <c r="I1111" i="1" s="1"/>
  <c r="G306" i="1"/>
  <c r="H306" i="1" s="1"/>
  <c r="I306" i="1" s="1"/>
  <c r="G761" i="1"/>
  <c r="H761" i="1" s="1"/>
  <c r="I761" i="1" s="1"/>
  <c r="G1006" i="1"/>
  <c r="H1006" i="1" s="1"/>
  <c r="I1006" i="1" s="1"/>
  <c r="G1216" i="1"/>
  <c r="H1216" i="1" s="1"/>
  <c r="I1216" i="1" s="1"/>
  <c r="G1426" i="1"/>
  <c r="H1426" i="1" s="1"/>
  <c r="I1426" i="1" s="1"/>
  <c r="G551" i="1"/>
  <c r="H551" i="1" s="1"/>
  <c r="I551" i="1" s="1"/>
  <c r="G691" i="1"/>
  <c r="H691" i="1" s="1"/>
  <c r="I691" i="1" s="1"/>
  <c r="G1356" i="1"/>
  <c r="H1356" i="1" s="1"/>
  <c r="I1356" i="1" s="1"/>
  <c r="G1041" i="1"/>
  <c r="H1041" i="1" s="1"/>
  <c r="I1041" i="1" s="1"/>
  <c r="G1076" i="1"/>
  <c r="H1076" i="1" s="1"/>
  <c r="I1076" i="1" s="1"/>
  <c r="G1531" i="1"/>
  <c r="H1531" i="1" s="1"/>
  <c r="I1531" i="1" s="1"/>
  <c r="G96" i="1"/>
  <c r="H96" i="1" s="1"/>
  <c r="I96" i="1" s="1"/>
  <c r="G26" i="1"/>
  <c r="H26" i="1" s="1"/>
  <c r="I26" i="1" s="1"/>
  <c r="G971" i="1"/>
  <c r="H971" i="1" s="1"/>
  <c r="I971" i="1" s="1"/>
  <c r="G1461" i="1"/>
  <c r="H1461" i="1" s="1"/>
  <c r="I1461" i="1" s="1"/>
  <c r="G1496" i="1"/>
  <c r="H1496" i="1" s="1"/>
  <c r="I1496" i="1" s="1"/>
  <c r="G61" i="1"/>
  <c r="H61" i="1" s="1"/>
  <c r="I61" i="1" s="1"/>
  <c r="G866" i="1"/>
  <c r="H866" i="1" s="1"/>
  <c r="I866" i="1" s="1"/>
  <c r="G1181" i="1"/>
  <c r="H1181" i="1" s="1"/>
  <c r="I1181" i="1" s="1"/>
  <c r="G131" i="1"/>
  <c r="H131" i="1" s="1"/>
  <c r="I131" i="1" s="1"/>
  <c r="G831" i="1"/>
  <c r="H831" i="1" s="1"/>
  <c r="I831" i="1" s="1"/>
  <c r="G1321" i="1"/>
  <c r="H1321" i="1" s="1"/>
  <c r="I1321" i="1" s="1"/>
  <c r="G901" i="1"/>
  <c r="H901" i="1" s="1"/>
  <c r="I901" i="1" s="1"/>
  <c r="G1146" i="1"/>
  <c r="H1146" i="1" s="1"/>
  <c r="I1146" i="1" s="1"/>
  <c r="G1391" i="1"/>
  <c r="H1391" i="1" s="1"/>
  <c r="I1391" i="1" s="1"/>
  <c r="G1286" i="1"/>
  <c r="H1286" i="1" s="1"/>
  <c r="I1286" i="1" s="1"/>
  <c r="G446" i="1"/>
  <c r="H446" i="1" s="1"/>
  <c r="I446" i="1" s="1"/>
  <c r="G1251" i="1"/>
  <c r="H1251" i="1" s="1"/>
  <c r="I1251" i="1" s="1"/>
  <c r="G726" i="1"/>
  <c r="H726" i="1" s="1"/>
  <c r="I726" i="1" s="1"/>
  <c r="G334" i="1"/>
  <c r="H334" i="1" s="1"/>
  <c r="I334" i="1" s="1"/>
  <c r="G544" i="1"/>
  <c r="H544" i="1" s="1"/>
  <c r="I544" i="1" s="1"/>
  <c r="G229" i="1"/>
  <c r="H229" i="1" s="1"/>
  <c r="I229" i="1" s="1"/>
  <c r="G439" i="1"/>
  <c r="H439" i="1" s="1"/>
  <c r="I439" i="1" s="1"/>
  <c r="G649" i="1"/>
  <c r="H649" i="1" s="1"/>
  <c r="I649" i="1" s="1"/>
  <c r="G194" i="1"/>
  <c r="H194" i="1" s="1"/>
  <c r="I194" i="1" s="1"/>
  <c r="G159" i="1"/>
  <c r="H159" i="1" s="1"/>
  <c r="I159" i="1" s="1"/>
  <c r="G369" i="1"/>
  <c r="H369" i="1" s="1"/>
  <c r="I369" i="1" s="1"/>
  <c r="G579" i="1"/>
  <c r="H579" i="1" s="1"/>
  <c r="I579" i="1" s="1"/>
  <c r="G754" i="1"/>
  <c r="H754" i="1" s="1"/>
  <c r="I754" i="1" s="1"/>
  <c r="G964" i="1"/>
  <c r="H964" i="1" s="1"/>
  <c r="I964" i="1" s="1"/>
  <c r="G474" i="1"/>
  <c r="H474" i="1" s="1"/>
  <c r="I474" i="1" s="1"/>
  <c r="G929" i="1"/>
  <c r="H929" i="1" s="1"/>
  <c r="I929" i="1" s="1"/>
  <c r="G1069" i="1"/>
  <c r="H1069" i="1" s="1"/>
  <c r="I1069" i="1" s="1"/>
  <c r="G789" i="1"/>
  <c r="H789" i="1" s="1"/>
  <c r="I789" i="1" s="1"/>
  <c r="G1174" i="1"/>
  <c r="H1174" i="1" s="1"/>
  <c r="I1174" i="1" s="1"/>
  <c r="G1384" i="1"/>
  <c r="H1384" i="1" s="1"/>
  <c r="I1384" i="1" s="1"/>
  <c r="G299" i="1"/>
  <c r="H299" i="1" s="1"/>
  <c r="I299" i="1" s="1"/>
  <c r="G1349" i="1"/>
  <c r="H1349" i="1" s="1"/>
  <c r="I1349" i="1" s="1"/>
  <c r="G264" i="1"/>
  <c r="H264" i="1" s="1"/>
  <c r="I264" i="1" s="1"/>
  <c r="G404" i="1"/>
  <c r="H404" i="1" s="1"/>
  <c r="I404" i="1" s="1"/>
  <c r="G614" i="1"/>
  <c r="H614" i="1" s="1"/>
  <c r="I614" i="1" s="1"/>
  <c r="G894" i="1"/>
  <c r="H894" i="1" s="1"/>
  <c r="I894" i="1" s="1"/>
  <c r="G1139" i="1"/>
  <c r="H1139" i="1" s="1"/>
  <c r="I1139" i="1" s="1"/>
  <c r="G1209" i="1"/>
  <c r="H1209" i="1" s="1"/>
  <c r="I1209" i="1" s="1"/>
  <c r="G1524" i="1"/>
  <c r="H1524" i="1" s="1"/>
  <c r="I1524" i="1" s="1"/>
  <c r="G89" i="1"/>
  <c r="H89" i="1" s="1"/>
  <c r="I89" i="1" s="1"/>
  <c r="G719" i="1"/>
  <c r="H719" i="1" s="1"/>
  <c r="I719" i="1" s="1"/>
  <c r="G824" i="1"/>
  <c r="H824" i="1" s="1"/>
  <c r="I824" i="1" s="1"/>
  <c r="G1034" i="1"/>
  <c r="H1034" i="1" s="1"/>
  <c r="I1034" i="1" s="1"/>
  <c r="G1104" i="1"/>
  <c r="H1104" i="1" s="1"/>
  <c r="I1104" i="1" s="1"/>
  <c r="G1454" i="1"/>
  <c r="H1454" i="1" s="1"/>
  <c r="I1454" i="1" s="1"/>
  <c r="G1489" i="1"/>
  <c r="H1489" i="1" s="1"/>
  <c r="I1489" i="1" s="1"/>
  <c r="G54" i="1"/>
  <c r="H54" i="1" s="1"/>
  <c r="I54" i="1" s="1"/>
  <c r="G19" i="1"/>
  <c r="H19" i="1" s="1"/>
  <c r="I19" i="1" s="1"/>
  <c r="G509" i="1"/>
  <c r="H509" i="1" s="1"/>
  <c r="I509" i="1" s="1"/>
  <c r="G684" i="1"/>
  <c r="H684" i="1" s="1"/>
  <c r="I684" i="1" s="1"/>
  <c r="G1279" i="1"/>
  <c r="H1279" i="1" s="1"/>
  <c r="I1279" i="1" s="1"/>
  <c r="G1419" i="1"/>
  <c r="H1419" i="1" s="1"/>
  <c r="I1419" i="1" s="1"/>
  <c r="G859" i="1"/>
  <c r="H859" i="1" s="1"/>
  <c r="I859" i="1" s="1"/>
  <c r="G1244" i="1"/>
  <c r="H1244" i="1" s="1"/>
  <c r="I1244" i="1" s="1"/>
  <c r="G1314" i="1"/>
  <c r="H1314" i="1" s="1"/>
  <c r="I1314" i="1" s="1"/>
  <c r="G999" i="1"/>
  <c r="H999" i="1" s="1"/>
  <c r="I999" i="1" s="1"/>
  <c r="G124" i="1"/>
  <c r="H124" i="1" s="1"/>
  <c r="I124" i="1" s="1"/>
  <c r="G292" i="1"/>
  <c r="H292" i="1" s="1"/>
  <c r="I292" i="1" s="1"/>
  <c r="G502" i="1"/>
  <c r="H502" i="1" s="1"/>
  <c r="I502" i="1" s="1"/>
  <c r="G187" i="1"/>
  <c r="H187" i="1" s="1"/>
  <c r="I187" i="1" s="1"/>
  <c r="G397" i="1"/>
  <c r="H397" i="1" s="1"/>
  <c r="I397" i="1" s="1"/>
  <c r="G607" i="1"/>
  <c r="H607" i="1" s="1"/>
  <c r="I607" i="1" s="1"/>
  <c r="G152" i="1"/>
  <c r="H152" i="1" s="1"/>
  <c r="I152" i="1" s="1"/>
  <c r="G362" i="1"/>
  <c r="H362" i="1" s="1"/>
  <c r="I362" i="1" s="1"/>
  <c r="G327" i="1"/>
  <c r="H327" i="1" s="1"/>
  <c r="I327" i="1" s="1"/>
  <c r="G537" i="1"/>
  <c r="H537" i="1" s="1"/>
  <c r="I537" i="1" s="1"/>
  <c r="G712" i="1"/>
  <c r="H712" i="1" s="1"/>
  <c r="I712" i="1" s="1"/>
  <c r="G922" i="1"/>
  <c r="H922" i="1" s="1"/>
  <c r="I922" i="1" s="1"/>
  <c r="G642" i="1"/>
  <c r="H642" i="1" s="1"/>
  <c r="I642" i="1" s="1"/>
  <c r="G957" i="1"/>
  <c r="H957" i="1" s="1"/>
  <c r="I957" i="1" s="1"/>
  <c r="G1027" i="1"/>
  <c r="H1027" i="1" s="1"/>
  <c r="I1027" i="1" s="1"/>
  <c r="G1237" i="1"/>
  <c r="H1237" i="1" s="1"/>
  <c r="I1237" i="1" s="1"/>
  <c r="G257" i="1"/>
  <c r="H257" i="1" s="1"/>
  <c r="I257" i="1" s="1"/>
  <c r="G467" i="1"/>
  <c r="H467" i="1" s="1"/>
  <c r="I467" i="1" s="1"/>
  <c r="G782" i="1"/>
  <c r="H782" i="1" s="1"/>
  <c r="I782" i="1" s="1"/>
  <c r="G1132" i="1"/>
  <c r="H1132" i="1" s="1"/>
  <c r="I1132" i="1" s="1"/>
  <c r="G1342" i="1"/>
  <c r="H1342" i="1" s="1"/>
  <c r="I1342" i="1" s="1"/>
  <c r="G222" i="1"/>
  <c r="H222" i="1" s="1"/>
  <c r="I222" i="1" s="1"/>
  <c r="G817" i="1"/>
  <c r="H817" i="1" s="1"/>
  <c r="I817" i="1" s="1"/>
  <c r="G992" i="1"/>
  <c r="H992" i="1" s="1"/>
  <c r="I992" i="1" s="1"/>
  <c r="G1062" i="1"/>
  <c r="H1062" i="1" s="1"/>
  <c r="I1062" i="1" s="1"/>
  <c r="G1377" i="1"/>
  <c r="H1377" i="1" s="1"/>
  <c r="I1377" i="1" s="1"/>
  <c r="G117" i="1"/>
  <c r="H117" i="1" s="1"/>
  <c r="I117" i="1" s="1"/>
  <c r="G572" i="1"/>
  <c r="H572" i="1" s="1"/>
  <c r="I572" i="1" s="1"/>
  <c r="G852" i="1"/>
  <c r="H852" i="1" s="1"/>
  <c r="I852" i="1" s="1"/>
  <c r="G1517" i="1"/>
  <c r="H1517" i="1" s="1"/>
  <c r="I1517" i="1" s="1"/>
  <c r="G82" i="1"/>
  <c r="H82" i="1" s="1"/>
  <c r="I82" i="1" s="1"/>
  <c r="G677" i="1"/>
  <c r="H677" i="1" s="1"/>
  <c r="I677" i="1" s="1"/>
  <c r="G1202" i="1"/>
  <c r="H1202" i="1" s="1"/>
  <c r="I1202" i="1" s="1"/>
  <c r="G1447" i="1"/>
  <c r="H1447" i="1" s="1"/>
  <c r="I1447" i="1" s="1"/>
  <c r="G1482" i="1"/>
  <c r="H1482" i="1" s="1"/>
  <c r="I1482" i="1" s="1"/>
  <c r="G47" i="1"/>
  <c r="H47" i="1" s="1"/>
  <c r="I47" i="1" s="1"/>
  <c r="G887" i="1"/>
  <c r="H887" i="1" s="1"/>
  <c r="I887" i="1" s="1"/>
  <c r="G1307" i="1"/>
  <c r="H1307" i="1" s="1"/>
  <c r="I1307" i="1" s="1"/>
  <c r="G747" i="1"/>
  <c r="H747" i="1" s="1"/>
  <c r="I747" i="1" s="1"/>
  <c r="G12" i="1"/>
  <c r="H12" i="1" s="1"/>
  <c r="I12" i="1" s="1"/>
  <c r="G432" i="1"/>
  <c r="H432" i="1" s="1"/>
  <c r="I432" i="1" s="1"/>
  <c r="G1167" i="1"/>
  <c r="H1167" i="1" s="1"/>
  <c r="I1167" i="1" s="1"/>
  <c r="G1412" i="1"/>
  <c r="H1412" i="1" s="1"/>
  <c r="I1412" i="1" s="1"/>
  <c r="G1272" i="1"/>
  <c r="H1272" i="1" s="1"/>
  <c r="I1272" i="1" s="1"/>
  <c r="G1097" i="1"/>
  <c r="H1097" i="1" s="1"/>
  <c r="I1097" i="1" s="1"/>
  <c r="G154" i="1"/>
  <c r="H154" i="1" s="1"/>
  <c r="I154" i="1" s="1"/>
  <c r="G364" i="1"/>
  <c r="H364" i="1" s="1"/>
  <c r="I364" i="1" s="1"/>
  <c r="G574" i="1"/>
  <c r="H574" i="1" s="1"/>
  <c r="I574" i="1" s="1"/>
  <c r="G259" i="1"/>
  <c r="H259" i="1" s="1"/>
  <c r="I259" i="1" s="1"/>
  <c r="G469" i="1"/>
  <c r="H469" i="1" s="1"/>
  <c r="I469" i="1" s="1"/>
  <c r="G224" i="1"/>
  <c r="H224" i="1" s="1"/>
  <c r="I224" i="1" s="1"/>
  <c r="G189" i="1"/>
  <c r="H189" i="1" s="1"/>
  <c r="I189" i="1" s="1"/>
  <c r="G399" i="1"/>
  <c r="H399" i="1" s="1"/>
  <c r="I399" i="1" s="1"/>
  <c r="G609" i="1"/>
  <c r="H609" i="1" s="1"/>
  <c r="I609" i="1" s="1"/>
  <c r="G784" i="1"/>
  <c r="H784" i="1" s="1"/>
  <c r="I784" i="1" s="1"/>
  <c r="G294" i="1"/>
  <c r="H294" i="1" s="1"/>
  <c r="I294" i="1" s="1"/>
  <c r="G714" i="1"/>
  <c r="H714" i="1" s="1"/>
  <c r="I714" i="1" s="1"/>
  <c r="G1099" i="1"/>
  <c r="H1099" i="1" s="1"/>
  <c r="I1099" i="1" s="1"/>
  <c r="G329" i="1"/>
  <c r="H329" i="1" s="1"/>
  <c r="I329" i="1" s="1"/>
  <c r="G434" i="1"/>
  <c r="H434" i="1" s="1"/>
  <c r="I434" i="1" s="1"/>
  <c r="G889" i="1"/>
  <c r="H889" i="1" s="1"/>
  <c r="I889" i="1" s="1"/>
  <c r="G994" i="1"/>
  <c r="H994" i="1" s="1"/>
  <c r="I994" i="1" s="1"/>
  <c r="G1204" i="1"/>
  <c r="H1204" i="1" s="1"/>
  <c r="I1204" i="1" s="1"/>
  <c r="G1414" i="1"/>
  <c r="H1414" i="1" s="1"/>
  <c r="I1414" i="1" s="1"/>
  <c r="G1134" i="1"/>
  <c r="H1134" i="1" s="1"/>
  <c r="I1134" i="1" s="1"/>
  <c r="G1169" i="1"/>
  <c r="H1169" i="1" s="1"/>
  <c r="I1169" i="1" s="1"/>
  <c r="G1449" i="1"/>
  <c r="H1449" i="1" s="1"/>
  <c r="I1449" i="1" s="1"/>
  <c r="G1484" i="1"/>
  <c r="H1484" i="1" s="1"/>
  <c r="I1484" i="1" s="1"/>
  <c r="G49" i="1"/>
  <c r="H49" i="1" s="1"/>
  <c r="I49" i="1" s="1"/>
  <c r="G644" i="1"/>
  <c r="H644" i="1" s="1"/>
  <c r="I644" i="1" s="1"/>
  <c r="G539" i="1"/>
  <c r="H539" i="1" s="1"/>
  <c r="I539" i="1" s="1"/>
  <c r="G749" i="1"/>
  <c r="H749" i="1" s="1"/>
  <c r="I749" i="1" s="1"/>
  <c r="G959" i="1"/>
  <c r="H959" i="1" s="1"/>
  <c r="I959" i="1" s="1"/>
  <c r="G1309" i="1"/>
  <c r="H1309" i="1" s="1"/>
  <c r="I1309" i="1" s="1"/>
  <c r="G14" i="1"/>
  <c r="H14" i="1" s="1"/>
  <c r="I14" i="1" s="1"/>
  <c r="G504" i="1"/>
  <c r="H504" i="1" s="1"/>
  <c r="I504" i="1" s="1"/>
  <c r="G854" i="1"/>
  <c r="H854" i="1" s="1"/>
  <c r="I854" i="1" s="1"/>
  <c r="G1274" i="1"/>
  <c r="H1274" i="1" s="1"/>
  <c r="I1274" i="1" s="1"/>
  <c r="G679" i="1"/>
  <c r="H679" i="1" s="1"/>
  <c r="I679" i="1" s="1"/>
  <c r="G924" i="1"/>
  <c r="H924" i="1" s="1"/>
  <c r="I924" i="1" s="1"/>
  <c r="G1344" i="1"/>
  <c r="H1344" i="1" s="1"/>
  <c r="I1344" i="1" s="1"/>
  <c r="G84" i="1"/>
  <c r="H84" i="1" s="1"/>
  <c r="I84" i="1" s="1"/>
  <c r="G1239" i="1"/>
  <c r="H1239" i="1" s="1"/>
  <c r="I1239" i="1" s="1"/>
  <c r="G1379" i="1"/>
  <c r="H1379" i="1" s="1"/>
  <c r="I1379" i="1" s="1"/>
  <c r="G1519" i="1"/>
  <c r="H1519" i="1" s="1"/>
  <c r="I1519" i="1" s="1"/>
  <c r="G819" i="1"/>
  <c r="H819" i="1" s="1"/>
  <c r="I819" i="1" s="1"/>
  <c r="G1029" i="1"/>
  <c r="H1029" i="1" s="1"/>
  <c r="I1029" i="1" s="1"/>
  <c r="G119" i="1"/>
  <c r="H119" i="1" s="1"/>
  <c r="I119" i="1" s="1"/>
  <c r="G1064" i="1"/>
  <c r="H1064" i="1" s="1"/>
  <c r="I1064" i="1" s="1"/>
  <c r="G346" i="1"/>
  <c r="H346" i="1" s="1"/>
  <c r="I346" i="1" s="1"/>
  <c r="G556" i="1"/>
  <c r="H556" i="1" s="1"/>
  <c r="I556" i="1" s="1"/>
  <c r="G241" i="1"/>
  <c r="H241" i="1" s="1"/>
  <c r="I241" i="1" s="1"/>
  <c r="G451" i="1"/>
  <c r="H451" i="1" s="1"/>
  <c r="I451" i="1" s="1"/>
  <c r="G661" i="1"/>
  <c r="H661" i="1" s="1"/>
  <c r="I661" i="1" s="1"/>
  <c r="G206" i="1"/>
  <c r="H206" i="1" s="1"/>
  <c r="I206" i="1" s="1"/>
  <c r="G171" i="1"/>
  <c r="H171" i="1" s="1"/>
  <c r="I171" i="1" s="1"/>
  <c r="G381" i="1"/>
  <c r="H381" i="1" s="1"/>
  <c r="I381" i="1" s="1"/>
  <c r="G591" i="1"/>
  <c r="H591" i="1" s="1"/>
  <c r="I591" i="1" s="1"/>
  <c r="G766" i="1"/>
  <c r="H766" i="1" s="1"/>
  <c r="I766" i="1" s="1"/>
  <c r="G976" i="1"/>
  <c r="H976" i="1" s="1"/>
  <c r="I976" i="1" s="1"/>
  <c r="G871" i="1"/>
  <c r="H871" i="1" s="1"/>
  <c r="I871" i="1" s="1"/>
  <c r="G1081" i="1"/>
  <c r="H1081" i="1" s="1"/>
  <c r="I1081" i="1" s="1"/>
  <c r="G416" i="1"/>
  <c r="H416" i="1" s="1"/>
  <c r="I416" i="1" s="1"/>
  <c r="G521" i="1"/>
  <c r="H521" i="1" s="1"/>
  <c r="I521" i="1" s="1"/>
  <c r="G626" i="1"/>
  <c r="H626" i="1" s="1"/>
  <c r="I626" i="1" s="1"/>
  <c r="G696" i="1"/>
  <c r="H696" i="1" s="1"/>
  <c r="I696" i="1" s="1"/>
  <c r="G1186" i="1"/>
  <c r="H1186" i="1" s="1"/>
  <c r="I1186" i="1" s="1"/>
  <c r="G1396" i="1"/>
  <c r="H1396" i="1" s="1"/>
  <c r="I1396" i="1" s="1"/>
  <c r="G836" i="1"/>
  <c r="H836" i="1" s="1"/>
  <c r="I836" i="1" s="1"/>
  <c r="G1116" i="1"/>
  <c r="H1116" i="1" s="1"/>
  <c r="I1116" i="1" s="1"/>
  <c r="G1151" i="1"/>
  <c r="H1151" i="1" s="1"/>
  <c r="I1151" i="1" s="1"/>
  <c r="G1291" i="1"/>
  <c r="H1291" i="1" s="1"/>
  <c r="I1291" i="1" s="1"/>
  <c r="G276" i="1"/>
  <c r="H276" i="1" s="1"/>
  <c r="I276" i="1" s="1"/>
  <c r="G311" i="1"/>
  <c r="H311" i="1" s="1"/>
  <c r="I311" i="1" s="1"/>
  <c r="G801" i="1"/>
  <c r="H801" i="1" s="1"/>
  <c r="I801" i="1" s="1"/>
  <c r="G1431" i="1"/>
  <c r="H1431" i="1" s="1"/>
  <c r="I1431" i="1" s="1"/>
  <c r="G1466" i="1"/>
  <c r="H1466" i="1" s="1"/>
  <c r="I1466" i="1" s="1"/>
  <c r="G906" i="1"/>
  <c r="H906" i="1" s="1"/>
  <c r="I906" i="1" s="1"/>
  <c r="G1361" i="1"/>
  <c r="H1361" i="1" s="1"/>
  <c r="I1361" i="1" s="1"/>
  <c r="G731" i="1"/>
  <c r="H731" i="1" s="1"/>
  <c r="I731" i="1" s="1"/>
  <c r="G1221" i="1"/>
  <c r="H1221" i="1" s="1"/>
  <c r="I1221" i="1" s="1"/>
  <c r="G66" i="1"/>
  <c r="H66" i="1" s="1"/>
  <c r="I66" i="1" s="1"/>
  <c r="G1046" i="1"/>
  <c r="H1046" i="1" s="1"/>
  <c r="I1046" i="1" s="1"/>
  <c r="G1536" i="1"/>
  <c r="H1536" i="1" s="1"/>
  <c r="I1536" i="1" s="1"/>
  <c r="G1501" i="1"/>
  <c r="H1501" i="1" s="1"/>
  <c r="I1501" i="1" s="1"/>
  <c r="G101" i="1"/>
  <c r="H101" i="1" s="1"/>
  <c r="I101" i="1" s="1"/>
  <c r="G1326" i="1"/>
  <c r="H1326" i="1" s="1"/>
  <c r="I1326" i="1" s="1"/>
  <c r="G31" i="1"/>
  <c r="H31" i="1" s="1"/>
  <c r="I31" i="1" s="1"/>
  <c r="G1011" i="1"/>
  <c r="H1011" i="1" s="1"/>
  <c r="I1011" i="1" s="1"/>
  <c r="G1256" i="1"/>
  <c r="H1256" i="1" s="1"/>
  <c r="I1256" i="1" s="1"/>
  <c r="G486" i="1"/>
  <c r="H486" i="1" s="1"/>
  <c r="I486" i="1" s="1"/>
  <c r="G941" i="1"/>
  <c r="H941" i="1" s="1"/>
  <c r="I941" i="1" s="1"/>
  <c r="G136" i="1"/>
  <c r="H136" i="1" s="1"/>
  <c r="I136" i="1" s="1"/>
  <c r="G262" i="1"/>
  <c r="H262" i="1" s="1"/>
  <c r="I262" i="1" s="1"/>
  <c r="G472" i="1"/>
  <c r="H472" i="1" s="1"/>
  <c r="I472" i="1" s="1"/>
  <c r="G157" i="1"/>
  <c r="H157" i="1" s="1"/>
  <c r="I157" i="1" s="1"/>
  <c r="G367" i="1"/>
  <c r="H367" i="1" s="1"/>
  <c r="I367" i="1" s="1"/>
  <c r="G577" i="1"/>
  <c r="H577" i="1" s="1"/>
  <c r="I577" i="1" s="1"/>
  <c r="G332" i="1"/>
  <c r="H332" i="1" s="1"/>
  <c r="I332" i="1" s="1"/>
  <c r="G297" i="1"/>
  <c r="H297" i="1" s="1"/>
  <c r="I297" i="1" s="1"/>
  <c r="G507" i="1"/>
  <c r="H507" i="1" s="1"/>
  <c r="I507" i="1" s="1"/>
  <c r="G402" i="1"/>
  <c r="H402" i="1" s="1"/>
  <c r="I402" i="1" s="1"/>
  <c r="G437" i="1"/>
  <c r="H437" i="1" s="1"/>
  <c r="I437" i="1" s="1"/>
  <c r="G647" i="1"/>
  <c r="H647" i="1" s="1"/>
  <c r="I647" i="1" s="1"/>
  <c r="G682" i="1"/>
  <c r="H682" i="1" s="1"/>
  <c r="I682" i="1" s="1"/>
  <c r="G892" i="1"/>
  <c r="H892" i="1" s="1"/>
  <c r="I892" i="1" s="1"/>
  <c r="G192" i="1"/>
  <c r="H192" i="1" s="1"/>
  <c r="I192" i="1" s="1"/>
  <c r="G227" i="1"/>
  <c r="H227" i="1" s="1"/>
  <c r="I227" i="1" s="1"/>
  <c r="G542" i="1"/>
  <c r="H542" i="1" s="1"/>
  <c r="I542" i="1" s="1"/>
  <c r="G822" i="1"/>
  <c r="H822" i="1" s="1"/>
  <c r="I822" i="1" s="1"/>
  <c r="G857" i="1"/>
  <c r="H857" i="1" s="1"/>
  <c r="I857" i="1" s="1"/>
  <c r="G997" i="1"/>
  <c r="H997" i="1" s="1"/>
  <c r="I997" i="1" s="1"/>
  <c r="G1207" i="1"/>
  <c r="H1207" i="1" s="1"/>
  <c r="I1207" i="1" s="1"/>
  <c r="G717" i="1"/>
  <c r="H717" i="1" s="1"/>
  <c r="I717" i="1" s="1"/>
  <c r="G1102" i="1"/>
  <c r="H1102" i="1" s="1"/>
  <c r="I1102" i="1" s="1"/>
  <c r="G1312" i="1"/>
  <c r="H1312" i="1" s="1"/>
  <c r="I1312" i="1" s="1"/>
  <c r="G1522" i="1"/>
  <c r="H1522" i="1" s="1"/>
  <c r="I1522" i="1" s="1"/>
  <c r="G87" i="1"/>
  <c r="H87" i="1" s="1"/>
  <c r="I87" i="1" s="1"/>
  <c r="G612" i="1"/>
  <c r="H612" i="1" s="1"/>
  <c r="I612" i="1" s="1"/>
  <c r="G787" i="1"/>
  <c r="H787" i="1" s="1"/>
  <c r="I787" i="1" s="1"/>
  <c r="G1277" i="1"/>
  <c r="H1277" i="1" s="1"/>
  <c r="I1277" i="1" s="1"/>
  <c r="G17" i="1"/>
  <c r="H17" i="1" s="1"/>
  <c r="I17" i="1" s="1"/>
  <c r="G1032" i="1"/>
  <c r="H1032" i="1" s="1"/>
  <c r="I1032" i="1" s="1"/>
  <c r="G1067" i="1"/>
  <c r="H1067" i="1" s="1"/>
  <c r="I1067" i="1" s="1"/>
  <c r="G1417" i="1"/>
  <c r="H1417" i="1" s="1"/>
  <c r="I1417" i="1" s="1"/>
  <c r="G927" i="1"/>
  <c r="H927" i="1" s="1"/>
  <c r="I927" i="1" s="1"/>
  <c r="G1382" i="1"/>
  <c r="H1382" i="1" s="1"/>
  <c r="I1382" i="1" s="1"/>
  <c r="G122" i="1"/>
  <c r="H122" i="1" s="1"/>
  <c r="I122" i="1" s="1"/>
  <c r="G1137" i="1"/>
  <c r="H1137" i="1" s="1"/>
  <c r="I1137" i="1" s="1"/>
  <c r="G52" i="1"/>
  <c r="H52" i="1" s="1"/>
  <c r="I52" i="1" s="1"/>
  <c r="G1172" i="1"/>
  <c r="H1172" i="1" s="1"/>
  <c r="I1172" i="1" s="1"/>
  <c r="G1242" i="1"/>
  <c r="H1242" i="1" s="1"/>
  <c r="I1242" i="1" s="1"/>
  <c r="G962" i="1"/>
  <c r="H962" i="1" s="1"/>
  <c r="I962" i="1" s="1"/>
  <c r="G1347" i="1"/>
  <c r="H1347" i="1" s="1"/>
  <c r="I1347" i="1" s="1"/>
  <c r="G1487" i="1"/>
  <c r="H1487" i="1" s="1"/>
  <c r="I1487" i="1" s="1"/>
  <c r="G1452" i="1"/>
  <c r="H1452" i="1" s="1"/>
  <c r="I1452" i="1" s="1"/>
  <c r="G752" i="1"/>
  <c r="H752" i="1" s="1"/>
  <c r="I752" i="1" s="1"/>
  <c r="G316" i="1"/>
  <c r="H316" i="1" s="1"/>
  <c r="I316" i="1" s="1"/>
  <c r="G526" i="1"/>
  <c r="H526" i="1" s="1"/>
  <c r="I526" i="1" s="1"/>
  <c r="G211" i="1"/>
  <c r="H211" i="1" s="1"/>
  <c r="I211" i="1" s="1"/>
  <c r="G421" i="1"/>
  <c r="H421" i="1" s="1"/>
  <c r="I421" i="1" s="1"/>
  <c r="G631" i="1"/>
  <c r="H631" i="1" s="1"/>
  <c r="I631" i="1" s="1"/>
  <c r="G176" i="1"/>
  <c r="H176" i="1" s="1"/>
  <c r="I176" i="1" s="1"/>
  <c r="G386" i="1"/>
  <c r="H386" i="1" s="1"/>
  <c r="I386" i="1" s="1"/>
  <c r="G351" i="1"/>
  <c r="H351" i="1" s="1"/>
  <c r="I351" i="1" s="1"/>
  <c r="G561" i="1"/>
  <c r="H561" i="1" s="1"/>
  <c r="I561" i="1" s="1"/>
  <c r="G736" i="1"/>
  <c r="H736" i="1" s="1"/>
  <c r="I736" i="1" s="1"/>
  <c r="G946" i="1"/>
  <c r="H946" i="1" s="1"/>
  <c r="I946" i="1" s="1"/>
  <c r="G456" i="1"/>
  <c r="H456" i="1" s="1"/>
  <c r="I456" i="1" s="1"/>
  <c r="G596" i="1"/>
  <c r="H596" i="1" s="1"/>
  <c r="I596" i="1" s="1"/>
  <c r="G771" i="1"/>
  <c r="H771" i="1" s="1"/>
  <c r="I771" i="1" s="1"/>
  <c r="G1051" i="1"/>
  <c r="H1051" i="1" s="1"/>
  <c r="I1051" i="1" s="1"/>
  <c r="G281" i="1"/>
  <c r="H281" i="1" s="1"/>
  <c r="I281" i="1" s="1"/>
  <c r="G911" i="1"/>
  <c r="H911" i="1" s="1"/>
  <c r="I911" i="1" s="1"/>
  <c r="G1156" i="1"/>
  <c r="H1156" i="1" s="1"/>
  <c r="I1156" i="1" s="1"/>
  <c r="G1366" i="1"/>
  <c r="H1366" i="1" s="1"/>
  <c r="I1366" i="1" s="1"/>
  <c r="G491" i="1"/>
  <c r="H491" i="1" s="1"/>
  <c r="I491" i="1" s="1"/>
  <c r="G701" i="1"/>
  <c r="H701" i="1" s="1"/>
  <c r="I701" i="1" s="1"/>
  <c r="G806" i="1"/>
  <c r="H806" i="1" s="1"/>
  <c r="I806" i="1" s="1"/>
  <c r="G1506" i="1"/>
  <c r="H1506" i="1" s="1"/>
  <c r="I1506" i="1" s="1"/>
  <c r="G141" i="1"/>
  <c r="H141" i="1" s="1"/>
  <c r="I141" i="1" s="1"/>
  <c r="G71" i="1"/>
  <c r="H71" i="1" s="1"/>
  <c r="I71" i="1" s="1"/>
  <c r="G841" i="1"/>
  <c r="H841" i="1" s="1"/>
  <c r="I841" i="1" s="1"/>
  <c r="G1121" i="1"/>
  <c r="H1121" i="1" s="1"/>
  <c r="I1121" i="1" s="1"/>
  <c r="G1191" i="1"/>
  <c r="H1191" i="1" s="1"/>
  <c r="I1191" i="1" s="1"/>
  <c r="G1331" i="1"/>
  <c r="H1331" i="1" s="1"/>
  <c r="I1331" i="1" s="1"/>
  <c r="G246" i="1"/>
  <c r="H246" i="1" s="1"/>
  <c r="I246" i="1" s="1"/>
  <c r="G666" i="1"/>
  <c r="H666" i="1" s="1"/>
  <c r="I666" i="1" s="1"/>
  <c r="G1016" i="1"/>
  <c r="H1016" i="1" s="1"/>
  <c r="I1016" i="1" s="1"/>
  <c r="G1086" i="1"/>
  <c r="H1086" i="1" s="1"/>
  <c r="I1086" i="1" s="1"/>
  <c r="G1296" i="1"/>
  <c r="H1296" i="1" s="1"/>
  <c r="I1296" i="1" s="1"/>
  <c r="G1261" i="1"/>
  <c r="H1261" i="1" s="1"/>
  <c r="I1261" i="1" s="1"/>
  <c r="G1471" i="1"/>
  <c r="H1471" i="1" s="1"/>
  <c r="I1471" i="1" s="1"/>
  <c r="G1541" i="1"/>
  <c r="H1541" i="1" s="1"/>
  <c r="I1541" i="1" s="1"/>
  <c r="G36" i="1"/>
  <c r="H36" i="1" s="1"/>
  <c r="I36" i="1" s="1"/>
  <c r="G1226" i="1"/>
  <c r="H1226" i="1" s="1"/>
  <c r="I1226" i="1" s="1"/>
  <c r="G106" i="1"/>
  <c r="H106" i="1" s="1"/>
  <c r="I106" i="1" s="1"/>
  <c r="G981" i="1"/>
  <c r="H981" i="1" s="1"/>
  <c r="I981" i="1" s="1"/>
  <c r="G1401" i="1"/>
  <c r="H1401" i="1" s="1"/>
  <c r="I1401" i="1" s="1"/>
  <c r="G876" i="1"/>
  <c r="H876" i="1" s="1"/>
  <c r="I876" i="1" s="1"/>
  <c r="G1436" i="1"/>
  <c r="H1436" i="1" s="1"/>
  <c r="I1436" i="1" s="1"/>
  <c r="G232" i="1"/>
  <c r="H232" i="1" s="1"/>
  <c r="I232" i="1" s="1"/>
  <c r="G442" i="1"/>
  <c r="H442" i="1" s="1"/>
  <c r="I442" i="1" s="1"/>
  <c r="G337" i="1"/>
  <c r="H337" i="1" s="1"/>
  <c r="I337" i="1" s="1"/>
  <c r="G547" i="1"/>
  <c r="H547" i="1" s="1"/>
  <c r="I547" i="1" s="1"/>
  <c r="G302" i="1"/>
  <c r="H302" i="1" s="1"/>
  <c r="I302" i="1" s="1"/>
  <c r="G267" i="1"/>
  <c r="H267" i="1" s="1"/>
  <c r="I267" i="1" s="1"/>
  <c r="G477" i="1"/>
  <c r="H477" i="1" s="1"/>
  <c r="I477" i="1" s="1"/>
  <c r="G862" i="1"/>
  <c r="H862" i="1" s="1"/>
  <c r="I862" i="1" s="1"/>
  <c r="G582" i="1"/>
  <c r="H582" i="1" s="1"/>
  <c r="I582" i="1" s="1"/>
  <c r="G757" i="1"/>
  <c r="H757" i="1" s="1"/>
  <c r="I757" i="1" s="1"/>
  <c r="G1177" i="1"/>
  <c r="H1177" i="1" s="1"/>
  <c r="I1177" i="1" s="1"/>
  <c r="G162" i="1"/>
  <c r="H162" i="1" s="1"/>
  <c r="I162" i="1" s="1"/>
  <c r="G932" i="1"/>
  <c r="H932" i="1" s="1"/>
  <c r="I932" i="1" s="1"/>
  <c r="G1072" i="1"/>
  <c r="H1072" i="1" s="1"/>
  <c r="I1072" i="1" s="1"/>
  <c r="G1282" i="1"/>
  <c r="H1282" i="1" s="1"/>
  <c r="I1282" i="1" s="1"/>
  <c r="G1492" i="1"/>
  <c r="H1492" i="1" s="1"/>
  <c r="I1492" i="1" s="1"/>
  <c r="G57" i="1"/>
  <c r="H57" i="1" s="1"/>
  <c r="I57" i="1" s="1"/>
  <c r="G512" i="1"/>
  <c r="H512" i="1" s="1"/>
  <c r="I512" i="1" s="1"/>
  <c r="G722" i="1"/>
  <c r="H722" i="1" s="1"/>
  <c r="I722" i="1" s="1"/>
  <c r="G1037" i="1"/>
  <c r="H1037" i="1" s="1"/>
  <c r="I1037" i="1" s="1"/>
  <c r="G1107" i="1"/>
  <c r="H1107" i="1" s="1"/>
  <c r="I1107" i="1" s="1"/>
  <c r="G1457" i="1"/>
  <c r="H1457" i="1" s="1"/>
  <c r="I1457" i="1" s="1"/>
  <c r="G1527" i="1"/>
  <c r="H1527" i="1" s="1"/>
  <c r="I1527" i="1" s="1"/>
  <c r="G92" i="1"/>
  <c r="H92" i="1" s="1"/>
  <c r="I92" i="1" s="1"/>
  <c r="G197" i="1"/>
  <c r="H197" i="1" s="1"/>
  <c r="I197" i="1" s="1"/>
  <c r="G372" i="1"/>
  <c r="H372" i="1" s="1"/>
  <c r="I372" i="1" s="1"/>
  <c r="G792" i="1"/>
  <c r="H792" i="1" s="1"/>
  <c r="I792" i="1" s="1"/>
  <c r="G1352" i="1"/>
  <c r="H1352" i="1" s="1"/>
  <c r="I1352" i="1" s="1"/>
  <c r="G652" i="1"/>
  <c r="H652" i="1" s="1"/>
  <c r="I652" i="1" s="1"/>
  <c r="G687" i="1"/>
  <c r="H687" i="1" s="1"/>
  <c r="I687" i="1" s="1"/>
  <c r="G1247" i="1"/>
  <c r="H1247" i="1" s="1"/>
  <c r="I1247" i="1" s="1"/>
  <c r="G1317" i="1"/>
  <c r="H1317" i="1" s="1"/>
  <c r="I1317" i="1" s="1"/>
  <c r="G1002" i="1"/>
  <c r="H1002" i="1" s="1"/>
  <c r="I1002" i="1" s="1"/>
  <c r="G1387" i="1"/>
  <c r="H1387" i="1" s="1"/>
  <c r="I1387" i="1" s="1"/>
  <c r="G407" i="1"/>
  <c r="H407" i="1" s="1"/>
  <c r="I407" i="1" s="1"/>
  <c r="G617" i="1"/>
  <c r="H617" i="1" s="1"/>
  <c r="I617" i="1" s="1"/>
  <c r="G967" i="1"/>
  <c r="H967" i="1" s="1"/>
  <c r="I967" i="1" s="1"/>
  <c r="G1142" i="1"/>
  <c r="H1142" i="1" s="1"/>
  <c r="I1142" i="1" s="1"/>
  <c r="G127" i="1"/>
  <c r="H127" i="1" s="1"/>
  <c r="I127" i="1" s="1"/>
  <c r="G1212" i="1"/>
  <c r="H1212" i="1" s="1"/>
  <c r="I1212" i="1" s="1"/>
  <c r="G1422" i="1"/>
  <c r="H1422" i="1" s="1"/>
  <c r="I1422" i="1" s="1"/>
  <c r="G22" i="1"/>
  <c r="H22" i="1" s="1"/>
  <c r="I22" i="1" s="1"/>
  <c r="G897" i="1"/>
  <c r="H897" i="1" s="1"/>
  <c r="I897" i="1" s="1"/>
  <c r="G827" i="1"/>
  <c r="H827" i="1" s="1"/>
  <c r="I827" i="1" s="1"/>
  <c r="G280" i="1"/>
  <c r="H280" i="1" s="1"/>
  <c r="I280" i="1" s="1"/>
  <c r="G490" i="1"/>
  <c r="H490" i="1" s="1"/>
  <c r="I490" i="1" s="1"/>
  <c r="G175" i="1"/>
  <c r="H175" i="1" s="1"/>
  <c r="I175" i="1" s="1"/>
  <c r="G385" i="1"/>
  <c r="H385" i="1" s="1"/>
  <c r="I385" i="1" s="1"/>
  <c r="G595" i="1"/>
  <c r="H595" i="1" s="1"/>
  <c r="I595" i="1" s="1"/>
  <c r="G350" i="1"/>
  <c r="H350" i="1" s="1"/>
  <c r="I350" i="1" s="1"/>
  <c r="G315" i="1"/>
  <c r="H315" i="1" s="1"/>
  <c r="I315" i="1" s="1"/>
  <c r="G525" i="1"/>
  <c r="H525" i="1" s="1"/>
  <c r="I525" i="1" s="1"/>
  <c r="G700" i="1"/>
  <c r="H700" i="1" s="1"/>
  <c r="I700" i="1" s="1"/>
  <c r="G910" i="1"/>
  <c r="H910" i="1" s="1"/>
  <c r="I910" i="1" s="1"/>
  <c r="G245" i="1"/>
  <c r="H245" i="1" s="1"/>
  <c r="I245" i="1" s="1"/>
  <c r="G735" i="1"/>
  <c r="H735" i="1" s="1"/>
  <c r="I735" i="1" s="1"/>
  <c r="G1015" i="1"/>
  <c r="H1015" i="1" s="1"/>
  <c r="I1015" i="1" s="1"/>
  <c r="G1225" i="1"/>
  <c r="H1225" i="1" s="1"/>
  <c r="I1225" i="1" s="1"/>
  <c r="G560" i="1"/>
  <c r="H560" i="1" s="1"/>
  <c r="I560" i="1" s="1"/>
  <c r="G875" i="1"/>
  <c r="H875" i="1" s="1"/>
  <c r="I875" i="1" s="1"/>
  <c r="G1120" i="1"/>
  <c r="H1120" i="1" s="1"/>
  <c r="I1120" i="1" s="1"/>
  <c r="G1330" i="1"/>
  <c r="H1330" i="1" s="1"/>
  <c r="I1330" i="1" s="1"/>
  <c r="G1540" i="1"/>
  <c r="H1540" i="1" s="1"/>
  <c r="I1540" i="1" s="1"/>
  <c r="G1435" i="1"/>
  <c r="H1435" i="1" s="1"/>
  <c r="I1435" i="1" s="1"/>
  <c r="G1470" i="1"/>
  <c r="H1470" i="1" s="1"/>
  <c r="I1470" i="1" s="1"/>
  <c r="G105" i="1"/>
  <c r="H105" i="1" s="1"/>
  <c r="I105" i="1" s="1"/>
  <c r="G35" i="1"/>
  <c r="H35" i="1" s="1"/>
  <c r="I35" i="1" s="1"/>
  <c r="G665" i="1"/>
  <c r="H665" i="1" s="1"/>
  <c r="I665" i="1" s="1"/>
  <c r="G770" i="1"/>
  <c r="H770" i="1" s="1"/>
  <c r="I770" i="1" s="1"/>
  <c r="G1085" i="1"/>
  <c r="H1085" i="1" s="1"/>
  <c r="I1085" i="1" s="1"/>
  <c r="G1155" i="1"/>
  <c r="H1155" i="1" s="1"/>
  <c r="I1155" i="1" s="1"/>
  <c r="G1295" i="1"/>
  <c r="H1295" i="1" s="1"/>
  <c r="I1295" i="1" s="1"/>
  <c r="G210" i="1"/>
  <c r="H210" i="1" s="1"/>
  <c r="I210" i="1" s="1"/>
  <c r="G980" i="1"/>
  <c r="H980" i="1" s="1"/>
  <c r="I980" i="1" s="1"/>
  <c r="G1050" i="1"/>
  <c r="H1050" i="1" s="1"/>
  <c r="I1050" i="1" s="1"/>
  <c r="G1260" i="1"/>
  <c r="H1260" i="1" s="1"/>
  <c r="I1260" i="1" s="1"/>
  <c r="G1400" i="1"/>
  <c r="H1400" i="1" s="1"/>
  <c r="I1400" i="1" s="1"/>
  <c r="G455" i="1"/>
  <c r="H455" i="1" s="1"/>
  <c r="I455" i="1" s="1"/>
  <c r="G945" i="1"/>
  <c r="H945" i="1" s="1"/>
  <c r="I945" i="1" s="1"/>
  <c r="G1505" i="1"/>
  <c r="H1505" i="1" s="1"/>
  <c r="I1505" i="1" s="1"/>
  <c r="G420" i="1"/>
  <c r="H420" i="1" s="1"/>
  <c r="I420" i="1" s="1"/>
  <c r="G805" i="1"/>
  <c r="H805" i="1" s="1"/>
  <c r="I805" i="1" s="1"/>
  <c r="G630" i="1"/>
  <c r="H630" i="1" s="1"/>
  <c r="I630" i="1" s="1"/>
  <c r="G70" i="1"/>
  <c r="H70" i="1" s="1"/>
  <c r="I70" i="1" s="1"/>
  <c r="G1190" i="1"/>
  <c r="H1190" i="1" s="1"/>
  <c r="I1190" i="1" s="1"/>
  <c r="G840" i="1"/>
  <c r="H840" i="1" s="1"/>
  <c r="I840" i="1" s="1"/>
  <c r="G1365" i="1"/>
  <c r="H1365" i="1" s="1"/>
  <c r="I1365" i="1" s="1"/>
  <c r="G140" i="1"/>
  <c r="H140" i="1" s="1"/>
  <c r="I140" i="1" s="1"/>
  <c r="G190" i="1"/>
  <c r="H190" i="1" s="1"/>
  <c r="I190" i="1" s="1"/>
  <c r="G400" i="1"/>
  <c r="H400" i="1" s="1"/>
  <c r="I400" i="1" s="1"/>
  <c r="G295" i="1"/>
  <c r="H295" i="1" s="1"/>
  <c r="I295" i="1" s="1"/>
  <c r="G505" i="1"/>
  <c r="H505" i="1" s="1"/>
  <c r="I505" i="1" s="1"/>
  <c r="G260" i="1"/>
  <c r="H260" i="1" s="1"/>
  <c r="I260" i="1" s="1"/>
  <c r="G225" i="1"/>
  <c r="H225" i="1" s="1"/>
  <c r="I225" i="1" s="1"/>
  <c r="G435" i="1"/>
  <c r="H435" i="1" s="1"/>
  <c r="I435" i="1" s="1"/>
  <c r="G645" i="1"/>
  <c r="H645" i="1" s="1"/>
  <c r="I645" i="1" s="1"/>
  <c r="G470" i="1"/>
  <c r="H470" i="1" s="1"/>
  <c r="I470" i="1" s="1"/>
  <c r="G540" i="1"/>
  <c r="H540" i="1" s="1"/>
  <c r="I540" i="1" s="1"/>
  <c r="G820" i="1"/>
  <c r="H820" i="1" s="1"/>
  <c r="I820" i="1" s="1"/>
  <c r="G365" i="1"/>
  <c r="H365" i="1" s="1"/>
  <c r="I365" i="1" s="1"/>
  <c r="G610" i="1"/>
  <c r="H610" i="1" s="1"/>
  <c r="I610" i="1" s="1"/>
  <c r="G750" i="1"/>
  <c r="H750" i="1" s="1"/>
  <c r="I750" i="1" s="1"/>
  <c r="G1135" i="1"/>
  <c r="H1135" i="1" s="1"/>
  <c r="I1135" i="1" s="1"/>
  <c r="G575" i="1"/>
  <c r="H575" i="1" s="1"/>
  <c r="I575" i="1" s="1"/>
  <c r="G925" i="1"/>
  <c r="H925" i="1" s="1"/>
  <c r="I925" i="1" s="1"/>
  <c r="G1030" i="1"/>
  <c r="H1030" i="1" s="1"/>
  <c r="I1030" i="1" s="1"/>
  <c r="G1240" i="1"/>
  <c r="H1240" i="1" s="1"/>
  <c r="I1240" i="1" s="1"/>
  <c r="G1450" i="1"/>
  <c r="H1450" i="1" s="1"/>
  <c r="I1450" i="1" s="1"/>
  <c r="G155" i="1"/>
  <c r="H155" i="1" s="1"/>
  <c r="I155" i="1" s="1"/>
  <c r="G330" i="1"/>
  <c r="H330" i="1" s="1"/>
  <c r="I330" i="1" s="1"/>
  <c r="G680" i="1"/>
  <c r="H680" i="1" s="1"/>
  <c r="I680" i="1" s="1"/>
  <c r="G1205" i="1"/>
  <c r="H1205" i="1" s="1"/>
  <c r="I1205" i="1" s="1"/>
  <c r="G1520" i="1"/>
  <c r="H1520" i="1" s="1"/>
  <c r="I1520" i="1" s="1"/>
  <c r="G85" i="1"/>
  <c r="H85" i="1" s="1"/>
  <c r="I85" i="1" s="1"/>
  <c r="G1345" i="1"/>
  <c r="H1345" i="1" s="1"/>
  <c r="I1345" i="1" s="1"/>
  <c r="G120" i="1"/>
  <c r="H120" i="1" s="1"/>
  <c r="I120" i="1" s="1"/>
  <c r="G960" i="1"/>
  <c r="H960" i="1" s="1"/>
  <c r="I960" i="1" s="1"/>
  <c r="G1310" i="1"/>
  <c r="H1310" i="1" s="1"/>
  <c r="I1310" i="1" s="1"/>
  <c r="G1065" i="1"/>
  <c r="H1065" i="1" s="1"/>
  <c r="I1065" i="1" s="1"/>
  <c r="G1100" i="1"/>
  <c r="H1100" i="1" s="1"/>
  <c r="I1100" i="1" s="1"/>
  <c r="G1275" i="1"/>
  <c r="H1275" i="1" s="1"/>
  <c r="I1275" i="1" s="1"/>
  <c r="G1415" i="1"/>
  <c r="H1415" i="1" s="1"/>
  <c r="I1415" i="1" s="1"/>
  <c r="G1485" i="1"/>
  <c r="H1485" i="1" s="1"/>
  <c r="I1485" i="1" s="1"/>
  <c r="G715" i="1"/>
  <c r="H715" i="1" s="1"/>
  <c r="I715" i="1" s="1"/>
  <c r="G890" i="1"/>
  <c r="H890" i="1" s="1"/>
  <c r="I890" i="1" s="1"/>
  <c r="G1170" i="1"/>
  <c r="H1170" i="1" s="1"/>
  <c r="I1170" i="1" s="1"/>
  <c r="G855" i="1"/>
  <c r="H855" i="1" s="1"/>
  <c r="I855" i="1" s="1"/>
  <c r="G995" i="1"/>
  <c r="H995" i="1" s="1"/>
  <c r="I995" i="1" s="1"/>
  <c r="G1380" i="1"/>
  <c r="H1380" i="1" s="1"/>
  <c r="I1380" i="1" s="1"/>
  <c r="G50" i="1"/>
  <c r="H50" i="1" s="1"/>
  <c r="I50" i="1" s="1"/>
  <c r="G15" i="1"/>
  <c r="H15" i="1" s="1"/>
  <c r="I15" i="1" s="1"/>
  <c r="G785" i="1"/>
  <c r="H785" i="1" s="1"/>
  <c r="I785" i="1" s="1"/>
  <c r="G178" i="1"/>
  <c r="H178" i="1" s="1"/>
  <c r="I178" i="1" s="1"/>
  <c r="G388" i="1"/>
  <c r="H388" i="1" s="1"/>
  <c r="I388" i="1" s="1"/>
  <c r="G598" i="1"/>
  <c r="H598" i="1" s="1"/>
  <c r="I598" i="1" s="1"/>
  <c r="G143" i="1"/>
  <c r="H143" i="1" s="1"/>
  <c r="I143" i="1" s="1"/>
  <c r="G283" i="1"/>
  <c r="H283" i="1" s="1"/>
  <c r="I283" i="1" s="1"/>
  <c r="G493" i="1"/>
  <c r="H493" i="1" s="1"/>
  <c r="I493" i="1" s="1"/>
  <c r="G248" i="1"/>
  <c r="H248" i="1" s="1"/>
  <c r="I248" i="1" s="1"/>
  <c r="G213" i="1"/>
  <c r="H213" i="1" s="1"/>
  <c r="I213" i="1" s="1"/>
  <c r="G423" i="1"/>
  <c r="H423" i="1" s="1"/>
  <c r="I423" i="1" s="1"/>
  <c r="G633" i="1"/>
  <c r="H633" i="1" s="1"/>
  <c r="I633" i="1" s="1"/>
  <c r="G353" i="1"/>
  <c r="H353" i="1" s="1"/>
  <c r="I353" i="1" s="1"/>
  <c r="G458" i="1"/>
  <c r="H458" i="1" s="1"/>
  <c r="I458" i="1" s="1"/>
  <c r="G528" i="1"/>
  <c r="H528" i="1" s="1"/>
  <c r="I528" i="1" s="1"/>
  <c r="G808" i="1"/>
  <c r="H808" i="1" s="1"/>
  <c r="I808" i="1" s="1"/>
  <c r="G878" i="1"/>
  <c r="H878" i="1" s="1"/>
  <c r="I878" i="1" s="1"/>
  <c r="G1123" i="1"/>
  <c r="H1123" i="1" s="1"/>
  <c r="I1123" i="1" s="1"/>
  <c r="G703" i="1"/>
  <c r="H703" i="1" s="1"/>
  <c r="I703" i="1" s="1"/>
  <c r="G1018" i="1"/>
  <c r="H1018" i="1" s="1"/>
  <c r="I1018" i="1" s="1"/>
  <c r="G1228" i="1"/>
  <c r="H1228" i="1" s="1"/>
  <c r="I1228" i="1" s="1"/>
  <c r="G1438" i="1"/>
  <c r="H1438" i="1" s="1"/>
  <c r="I1438" i="1" s="1"/>
  <c r="G983" i="1"/>
  <c r="H983" i="1" s="1"/>
  <c r="I983" i="1" s="1"/>
  <c r="G1053" i="1"/>
  <c r="H1053" i="1" s="1"/>
  <c r="I1053" i="1" s="1"/>
  <c r="G1298" i="1"/>
  <c r="H1298" i="1" s="1"/>
  <c r="I1298" i="1" s="1"/>
  <c r="G738" i="1"/>
  <c r="H738" i="1" s="1"/>
  <c r="I738" i="1" s="1"/>
  <c r="G948" i="1"/>
  <c r="H948" i="1" s="1"/>
  <c r="I948" i="1" s="1"/>
  <c r="G1403" i="1"/>
  <c r="H1403" i="1" s="1"/>
  <c r="I1403" i="1" s="1"/>
  <c r="G1473" i="1"/>
  <c r="H1473" i="1" s="1"/>
  <c r="I1473" i="1" s="1"/>
  <c r="G38" i="1"/>
  <c r="H38" i="1" s="1"/>
  <c r="I38" i="1" s="1"/>
  <c r="G108" i="1"/>
  <c r="H108" i="1" s="1"/>
  <c r="I108" i="1" s="1"/>
  <c r="G318" i="1"/>
  <c r="H318" i="1" s="1"/>
  <c r="I318" i="1" s="1"/>
  <c r="G563" i="1"/>
  <c r="H563" i="1" s="1"/>
  <c r="I563" i="1" s="1"/>
  <c r="G773" i="1"/>
  <c r="H773" i="1" s="1"/>
  <c r="I773" i="1" s="1"/>
  <c r="G843" i="1"/>
  <c r="H843" i="1" s="1"/>
  <c r="I843" i="1" s="1"/>
  <c r="G1193" i="1"/>
  <c r="H1193" i="1" s="1"/>
  <c r="I1193" i="1" s="1"/>
  <c r="G1368" i="1"/>
  <c r="H1368" i="1" s="1"/>
  <c r="I1368" i="1" s="1"/>
  <c r="G73" i="1"/>
  <c r="H73" i="1" s="1"/>
  <c r="I73" i="1" s="1"/>
  <c r="G1088" i="1"/>
  <c r="H1088" i="1" s="1"/>
  <c r="I1088" i="1" s="1"/>
  <c r="G913" i="1"/>
  <c r="H913" i="1" s="1"/>
  <c r="I913" i="1" s="1"/>
  <c r="G1263" i="1"/>
  <c r="H1263" i="1" s="1"/>
  <c r="I1263" i="1" s="1"/>
  <c r="G1508" i="1"/>
  <c r="H1508" i="1" s="1"/>
  <c r="I1508" i="1" s="1"/>
  <c r="G668" i="1"/>
  <c r="H668" i="1" s="1"/>
  <c r="I668" i="1" s="1"/>
  <c r="G3" i="1"/>
  <c r="H3" i="1" s="1"/>
  <c r="I3" i="1" s="1"/>
  <c r="G1333" i="1"/>
  <c r="H1333" i="1" s="1"/>
  <c r="I1333" i="1" s="1"/>
  <c r="G1158" i="1"/>
  <c r="H1158" i="1" s="1"/>
  <c r="I1158" i="1" s="1"/>
  <c r="G238" i="1"/>
  <c r="H238" i="1" s="1"/>
  <c r="I238" i="1" s="1"/>
  <c r="G448" i="1"/>
  <c r="H448" i="1" s="1"/>
  <c r="I448" i="1" s="1"/>
  <c r="G343" i="1"/>
  <c r="H343" i="1" s="1"/>
  <c r="I343" i="1" s="1"/>
  <c r="G553" i="1"/>
  <c r="H553" i="1" s="1"/>
  <c r="I553" i="1" s="1"/>
  <c r="G308" i="1"/>
  <c r="H308" i="1" s="1"/>
  <c r="I308" i="1" s="1"/>
  <c r="G273" i="1"/>
  <c r="H273" i="1" s="1"/>
  <c r="I273" i="1" s="1"/>
  <c r="G483" i="1"/>
  <c r="H483" i="1" s="1"/>
  <c r="I483" i="1" s="1"/>
  <c r="G413" i="1"/>
  <c r="H413" i="1" s="1"/>
  <c r="I413" i="1" s="1"/>
  <c r="G588" i="1"/>
  <c r="H588" i="1" s="1"/>
  <c r="I588" i="1" s="1"/>
  <c r="G868" i="1"/>
  <c r="H868" i="1" s="1"/>
  <c r="I868" i="1" s="1"/>
  <c r="G378" i="1"/>
  <c r="H378" i="1" s="1"/>
  <c r="I378" i="1" s="1"/>
  <c r="G728" i="1"/>
  <c r="H728" i="1" s="1"/>
  <c r="I728" i="1" s="1"/>
  <c r="G1183" i="1"/>
  <c r="H1183" i="1" s="1"/>
  <c r="I1183" i="1" s="1"/>
  <c r="G658" i="1"/>
  <c r="H658" i="1" s="1"/>
  <c r="I658" i="1" s="1"/>
  <c r="G903" i="1"/>
  <c r="H903" i="1" s="1"/>
  <c r="I903" i="1" s="1"/>
  <c r="G1078" i="1"/>
  <c r="H1078" i="1" s="1"/>
  <c r="I1078" i="1" s="1"/>
  <c r="G1288" i="1"/>
  <c r="H1288" i="1" s="1"/>
  <c r="I1288" i="1" s="1"/>
  <c r="G1498" i="1"/>
  <c r="H1498" i="1" s="1"/>
  <c r="I1498" i="1" s="1"/>
  <c r="G63" i="1"/>
  <c r="H63" i="1" s="1"/>
  <c r="I63" i="1" s="1"/>
  <c r="G973" i="1"/>
  <c r="H973" i="1" s="1"/>
  <c r="I973" i="1" s="1"/>
  <c r="G1428" i="1"/>
  <c r="H1428" i="1" s="1"/>
  <c r="I1428" i="1" s="1"/>
  <c r="G1463" i="1"/>
  <c r="H1463" i="1" s="1"/>
  <c r="I1463" i="1" s="1"/>
  <c r="G168" i="1"/>
  <c r="H168" i="1" s="1"/>
  <c r="I168" i="1" s="1"/>
  <c r="G203" i="1"/>
  <c r="H203" i="1" s="1"/>
  <c r="I203" i="1" s="1"/>
  <c r="G518" i="1"/>
  <c r="H518" i="1" s="1"/>
  <c r="I518" i="1" s="1"/>
  <c r="G1218" i="1"/>
  <c r="H1218" i="1" s="1"/>
  <c r="I1218" i="1" s="1"/>
  <c r="G1323" i="1"/>
  <c r="H1323" i="1" s="1"/>
  <c r="I1323" i="1" s="1"/>
  <c r="G833" i="1"/>
  <c r="H833" i="1" s="1"/>
  <c r="I833" i="1" s="1"/>
  <c r="G938" i="1"/>
  <c r="H938" i="1" s="1"/>
  <c r="I938" i="1" s="1"/>
  <c r="G1113" i="1"/>
  <c r="H1113" i="1" s="1"/>
  <c r="I1113" i="1" s="1"/>
  <c r="G1148" i="1"/>
  <c r="H1148" i="1" s="1"/>
  <c r="I1148" i="1" s="1"/>
  <c r="G1253" i="1"/>
  <c r="H1253" i="1" s="1"/>
  <c r="I1253" i="1" s="1"/>
  <c r="G1358" i="1"/>
  <c r="H1358" i="1" s="1"/>
  <c r="I1358" i="1" s="1"/>
  <c r="G28" i="1"/>
  <c r="H28" i="1" s="1"/>
  <c r="I28" i="1" s="1"/>
  <c r="G763" i="1"/>
  <c r="H763" i="1" s="1"/>
  <c r="I763" i="1" s="1"/>
  <c r="G98" i="1"/>
  <c r="H98" i="1" s="1"/>
  <c r="I98" i="1" s="1"/>
  <c r="G133" i="1"/>
  <c r="H133" i="1" s="1"/>
  <c r="I133" i="1" s="1"/>
  <c r="G623" i="1"/>
  <c r="H623" i="1" s="1"/>
  <c r="I623" i="1" s="1"/>
  <c r="G798" i="1"/>
  <c r="H798" i="1" s="1"/>
  <c r="I798" i="1" s="1"/>
  <c r="G1008" i="1"/>
  <c r="H1008" i="1" s="1"/>
  <c r="I1008" i="1" s="1"/>
  <c r="G693" i="1"/>
  <c r="H693" i="1" s="1"/>
  <c r="I693" i="1" s="1"/>
  <c r="G1043" i="1"/>
  <c r="H1043" i="1" s="1"/>
  <c r="I1043" i="1" s="1"/>
  <c r="G1393" i="1"/>
  <c r="H1393" i="1" s="1"/>
  <c r="I1393" i="1" s="1"/>
  <c r="G1533" i="1"/>
  <c r="H1533" i="1" s="1"/>
  <c r="I1533" i="1" s="1"/>
  <c r="G214" i="1"/>
  <c r="H214" i="1" s="1"/>
  <c r="I214" i="1" s="1"/>
  <c r="G424" i="1"/>
  <c r="H424" i="1" s="1"/>
  <c r="I424" i="1" s="1"/>
  <c r="G144" i="1"/>
  <c r="H144" i="1" s="1"/>
  <c r="I144" i="1" s="1"/>
  <c r="G319" i="1"/>
  <c r="H319" i="1" s="1"/>
  <c r="I319" i="1" s="1"/>
  <c r="G529" i="1"/>
  <c r="H529" i="1" s="1"/>
  <c r="I529" i="1" s="1"/>
  <c r="G284" i="1"/>
  <c r="H284" i="1" s="1"/>
  <c r="I284" i="1" s="1"/>
  <c r="G249" i="1"/>
  <c r="H249" i="1" s="1"/>
  <c r="I249" i="1" s="1"/>
  <c r="G459" i="1"/>
  <c r="H459" i="1" s="1"/>
  <c r="I459" i="1" s="1"/>
  <c r="G389" i="1"/>
  <c r="H389" i="1" s="1"/>
  <c r="I389" i="1" s="1"/>
  <c r="G494" i="1"/>
  <c r="H494" i="1" s="1"/>
  <c r="I494" i="1" s="1"/>
  <c r="G564" i="1"/>
  <c r="H564" i="1" s="1"/>
  <c r="I564" i="1" s="1"/>
  <c r="G844" i="1"/>
  <c r="H844" i="1" s="1"/>
  <c r="I844" i="1" s="1"/>
  <c r="G914" i="1"/>
  <c r="H914" i="1" s="1"/>
  <c r="I914" i="1" s="1"/>
  <c r="G1159" i="1"/>
  <c r="H1159" i="1" s="1"/>
  <c r="I1159" i="1" s="1"/>
  <c r="G739" i="1"/>
  <c r="H739" i="1" s="1"/>
  <c r="I739" i="1" s="1"/>
  <c r="G1054" i="1"/>
  <c r="H1054" i="1" s="1"/>
  <c r="I1054" i="1" s="1"/>
  <c r="G1264" i="1"/>
  <c r="H1264" i="1" s="1"/>
  <c r="I1264" i="1" s="1"/>
  <c r="G1474" i="1"/>
  <c r="H1474" i="1" s="1"/>
  <c r="I1474" i="1" s="1"/>
  <c r="G39" i="1"/>
  <c r="H39" i="1" s="1"/>
  <c r="I39" i="1" s="1"/>
  <c r="G669" i="1"/>
  <c r="H669" i="1" s="1"/>
  <c r="I669" i="1" s="1"/>
  <c r="G1019" i="1"/>
  <c r="H1019" i="1" s="1"/>
  <c r="I1019" i="1" s="1"/>
  <c r="G1089" i="1"/>
  <c r="H1089" i="1" s="1"/>
  <c r="I1089" i="1" s="1"/>
  <c r="G1334" i="1"/>
  <c r="H1334" i="1" s="1"/>
  <c r="I1334" i="1" s="1"/>
  <c r="G634" i="1"/>
  <c r="H634" i="1" s="1"/>
  <c r="I634" i="1" s="1"/>
  <c r="G1439" i="1"/>
  <c r="H1439" i="1" s="1"/>
  <c r="I1439" i="1" s="1"/>
  <c r="G1509" i="1"/>
  <c r="H1509" i="1" s="1"/>
  <c r="I1509" i="1" s="1"/>
  <c r="G74" i="1"/>
  <c r="H74" i="1" s="1"/>
  <c r="I74" i="1" s="1"/>
  <c r="G179" i="1"/>
  <c r="H179" i="1" s="1"/>
  <c r="I179" i="1" s="1"/>
  <c r="G354" i="1"/>
  <c r="H354" i="1" s="1"/>
  <c r="I354" i="1" s="1"/>
  <c r="G949" i="1"/>
  <c r="H949" i="1" s="1"/>
  <c r="I949" i="1" s="1"/>
  <c r="G1229" i="1"/>
  <c r="H1229" i="1" s="1"/>
  <c r="I1229" i="1" s="1"/>
  <c r="G1404" i="1"/>
  <c r="H1404" i="1" s="1"/>
  <c r="I1404" i="1" s="1"/>
  <c r="G704" i="1"/>
  <c r="H704" i="1" s="1"/>
  <c r="I704" i="1" s="1"/>
  <c r="G809" i="1"/>
  <c r="H809" i="1" s="1"/>
  <c r="I809" i="1" s="1"/>
  <c r="G984" i="1"/>
  <c r="H984" i="1" s="1"/>
  <c r="I984" i="1" s="1"/>
  <c r="G774" i="1"/>
  <c r="H774" i="1" s="1"/>
  <c r="I774" i="1" s="1"/>
  <c r="G1124" i="1"/>
  <c r="H1124" i="1" s="1"/>
  <c r="I1124" i="1" s="1"/>
  <c r="G1299" i="1"/>
  <c r="H1299" i="1" s="1"/>
  <c r="I1299" i="1" s="1"/>
  <c r="G1369" i="1"/>
  <c r="H1369" i="1" s="1"/>
  <c r="I1369" i="1" s="1"/>
  <c r="G4" i="1"/>
  <c r="H4" i="1" s="1"/>
  <c r="I4" i="1" s="1"/>
  <c r="G879" i="1"/>
  <c r="H879" i="1" s="1"/>
  <c r="I879" i="1" s="1"/>
  <c r="G1194" i="1"/>
  <c r="H1194" i="1" s="1"/>
  <c r="I1194" i="1" s="1"/>
  <c r="G109" i="1"/>
  <c r="H109" i="1" s="1"/>
  <c r="I109" i="1" s="1"/>
  <c r="G599" i="1"/>
  <c r="H599" i="1" s="1"/>
  <c r="I599" i="1" s="1"/>
  <c r="G172" i="1"/>
  <c r="H172" i="1" s="1"/>
  <c r="I172" i="1" s="1"/>
  <c r="G382" i="1"/>
  <c r="H382" i="1" s="1"/>
  <c r="I382" i="1" s="1"/>
  <c r="G592" i="1"/>
  <c r="H592" i="1" s="1"/>
  <c r="I592" i="1" s="1"/>
  <c r="G277" i="1"/>
  <c r="H277" i="1" s="1"/>
  <c r="I277" i="1" s="1"/>
  <c r="G487" i="1"/>
  <c r="H487" i="1" s="1"/>
  <c r="I487" i="1" s="1"/>
  <c r="G242" i="1"/>
  <c r="H242" i="1" s="1"/>
  <c r="I242" i="1" s="1"/>
  <c r="G207" i="1"/>
  <c r="H207" i="1" s="1"/>
  <c r="I207" i="1" s="1"/>
  <c r="G417" i="1"/>
  <c r="H417" i="1" s="1"/>
  <c r="I417" i="1" s="1"/>
  <c r="G627" i="1"/>
  <c r="H627" i="1" s="1"/>
  <c r="I627" i="1" s="1"/>
  <c r="G802" i="1"/>
  <c r="H802" i="1" s="1"/>
  <c r="I802" i="1" s="1"/>
  <c r="G452" i="1"/>
  <c r="H452" i="1" s="1"/>
  <c r="I452" i="1" s="1"/>
  <c r="G312" i="1"/>
  <c r="H312" i="1" s="1"/>
  <c r="I312" i="1" s="1"/>
  <c r="G662" i="1"/>
  <c r="H662" i="1" s="1"/>
  <c r="I662" i="1" s="1"/>
  <c r="G907" i="1"/>
  <c r="H907" i="1" s="1"/>
  <c r="I907" i="1" s="1"/>
  <c r="G1117" i="1"/>
  <c r="H1117" i="1" s="1"/>
  <c r="I1117" i="1" s="1"/>
  <c r="G732" i="1"/>
  <c r="H732" i="1" s="1"/>
  <c r="I732" i="1" s="1"/>
  <c r="G1012" i="1"/>
  <c r="H1012" i="1" s="1"/>
  <c r="I1012" i="1" s="1"/>
  <c r="G1222" i="1"/>
  <c r="H1222" i="1" s="1"/>
  <c r="I1222" i="1" s="1"/>
  <c r="G1432" i="1"/>
  <c r="H1432" i="1" s="1"/>
  <c r="I1432" i="1" s="1"/>
  <c r="G942" i="1"/>
  <c r="H942" i="1" s="1"/>
  <c r="I942" i="1" s="1"/>
  <c r="G1187" i="1"/>
  <c r="H1187" i="1" s="1"/>
  <c r="I1187" i="1" s="1"/>
  <c r="G1327" i="1"/>
  <c r="H1327" i="1" s="1"/>
  <c r="I1327" i="1" s="1"/>
  <c r="G767" i="1"/>
  <c r="H767" i="1" s="1"/>
  <c r="I767" i="1" s="1"/>
  <c r="G347" i="1"/>
  <c r="H347" i="1" s="1"/>
  <c r="I347" i="1" s="1"/>
  <c r="G872" i="1"/>
  <c r="H872" i="1" s="1"/>
  <c r="I872" i="1" s="1"/>
  <c r="G1502" i="1"/>
  <c r="H1502" i="1" s="1"/>
  <c r="I1502" i="1" s="1"/>
  <c r="G67" i="1"/>
  <c r="H67" i="1" s="1"/>
  <c r="I67" i="1" s="1"/>
  <c r="G102" i="1"/>
  <c r="H102" i="1" s="1"/>
  <c r="I102" i="1" s="1"/>
  <c r="G32" i="1"/>
  <c r="H32" i="1" s="1"/>
  <c r="I32" i="1" s="1"/>
  <c r="G522" i="1"/>
  <c r="H522" i="1" s="1"/>
  <c r="I522" i="1" s="1"/>
  <c r="G697" i="1"/>
  <c r="H697" i="1" s="1"/>
  <c r="I697" i="1" s="1"/>
  <c r="G1397" i="1"/>
  <c r="H1397" i="1" s="1"/>
  <c r="I1397" i="1" s="1"/>
  <c r="G1467" i="1"/>
  <c r="H1467" i="1" s="1"/>
  <c r="I1467" i="1" s="1"/>
  <c r="G1047" i="1"/>
  <c r="H1047" i="1" s="1"/>
  <c r="I1047" i="1" s="1"/>
  <c r="G1082" i="1"/>
  <c r="H1082" i="1" s="1"/>
  <c r="I1082" i="1" s="1"/>
  <c r="G557" i="1"/>
  <c r="H557" i="1" s="1"/>
  <c r="I557" i="1" s="1"/>
  <c r="G1152" i="1"/>
  <c r="H1152" i="1" s="1"/>
  <c r="I1152" i="1" s="1"/>
  <c r="G1292" i="1"/>
  <c r="H1292" i="1" s="1"/>
  <c r="I1292" i="1" s="1"/>
  <c r="G137" i="1"/>
  <c r="H137" i="1" s="1"/>
  <c r="I137" i="1" s="1"/>
  <c r="G1362" i="1"/>
  <c r="H1362" i="1" s="1"/>
  <c r="I1362" i="1" s="1"/>
  <c r="G1537" i="1"/>
  <c r="H1537" i="1" s="1"/>
  <c r="I1537" i="1" s="1"/>
  <c r="G837" i="1"/>
  <c r="H837" i="1" s="1"/>
  <c r="I837" i="1" s="1"/>
  <c r="G977" i="1"/>
  <c r="H977" i="1" s="1"/>
  <c r="I977" i="1" s="1"/>
  <c r="G1257" i="1"/>
  <c r="H1257" i="1" s="1"/>
  <c r="I1257" i="1" s="1"/>
  <c r="G304" i="1"/>
  <c r="H304" i="1" s="1"/>
  <c r="I304" i="1" s="1"/>
  <c r="G514" i="1"/>
  <c r="H514" i="1" s="1"/>
  <c r="I514" i="1" s="1"/>
  <c r="G199" i="1"/>
  <c r="H199" i="1" s="1"/>
  <c r="I199" i="1" s="1"/>
  <c r="G409" i="1"/>
  <c r="H409" i="1" s="1"/>
  <c r="I409" i="1" s="1"/>
  <c r="G619" i="1"/>
  <c r="H619" i="1" s="1"/>
  <c r="I619" i="1" s="1"/>
  <c r="G164" i="1"/>
  <c r="H164" i="1" s="1"/>
  <c r="I164" i="1" s="1"/>
  <c r="G374" i="1"/>
  <c r="H374" i="1" s="1"/>
  <c r="I374" i="1" s="1"/>
  <c r="G339" i="1"/>
  <c r="H339" i="1" s="1"/>
  <c r="I339" i="1" s="1"/>
  <c r="G549" i="1"/>
  <c r="H549" i="1" s="1"/>
  <c r="I549" i="1" s="1"/>
  <c r="G234" i="1"/>
  <c r="H234" i="1" s="1"/>
  <c r="I234" i="1" s="1"/>
  <c r="G269" i="1"/>
  <c r="H269" i="1" s="1"/>
  <c r="I269" i="1" s="1"/>
  <c r="G724" i="1"/>
  <c r="H724" i="1" s="1"/>
  <c r="I724" i="1" s="1"/>
  <c r="G934" i="1"/>
  <c r="H934" i="1" s="1"/>
  <c r="I934" i="1" s="1"/>
  <c r="G444" i="1"/>
  <c r="H444" i="1" s="1"/>
  <c r="I444" i="1" s="1"/>
  <c r="G829" i="1"/>
  <c r="H829" i="1" s="1"/>
  <c r="I829" i="1" s="1"/>
  <c r="G864" i="1"/>
  <c r="H864" i="1" s="1"/>
  <c r="I864" i="1" s="1"/>
  <c r="G1039" i="1"/>
  <c r="H1039" i="1" s="1"/>
  <c r="I1039" i="1" s="1"/>
  <c r="G689" i="1"/>
  <c r="H689" i="1" s="1"/>
  <c r="I689" i="1" s="1"/>
  <c r="G1144" i="1"/>
  <c r="H1144" i="1" s="1"/>
  <c r="I1144" i="1" s="1"/>
  <c r="G1354" i="1"/>
  <c r="H1354" i="1" s="1"/>
  <c r="I1354" i="1" s="1"/>
  <c r="G899" i="1"/>
  <c r="H899" i="1" s="1"/>
  <c r="I899" i="1" s="1"/>
  <c r="G1214" i="1"/>
  <c r="H1214" i="1" s="1"/>
  <c r="I1214" i="1" s="1"/>
  <c r="G1249" i="1"/>
  <c r="H1249" i="1" s="1"/>
  <c r="I1249" i="1" s="1"/>
  <c r="G1284" i="1"/>
  <c r="H1284" i="1" s="1"/>
  <c r="I1284" i="1" s="1"/>
  <c r="G129" i="1"/>
  <c r="H129" i="1" s="1"/>
  <c r="I129" i="1" s="1"/>
  <c r="G479" i="1"/>
  <c r="H479" i="1" s="1"/>
  <c r="I479" i="1" s="1"/>
  <c r="G759" i="1"/>
  <c r="H759" i="1" s="1"/>
  <c r="I759" i="1" s="1"/>
  <c r="G969" i="1"/>
  <c r="H969" i="1" s="1"/>
  <c r="I969" i="1" s="1"/>
  <c r="G1424" i="1"/>
  <c r="H1424" i="1" s="1"/>
  <c r="I1424" i="1" s="1"/>
  <c r="G584" i="1"/>
  <c r="H584" i="1" s="1"/>
  <c r="I584" i="1" s="1"/>
  <c r="G794" i="1"/>
  <c r="H794" i="1" s="1"/>
  <c r="I794" i="1" s="1"/>
  <c r="G1389" i="1"/>
  <c r="H1389" i="1" s="1"/>
  <c r="I1389" i="1" s="1"/>
  <c r="G1529" i="1"/>
  <c r="H1529" i="1" s="1"/>
  <c r="I1529" i="1" s="1"/>
  <c r="G654" i="1"/>
  <c r="H654" i="1" s="1"/>
  <c r="I654" i="1" s="1"/>
  <c r="G1074" i="1"/>
  <c r="H1074" i="1" s="1"/>
  <c r="I1074" i="1" s="1"/>
  <c r="G1109" i="1"/>
  <c r="H1109" i="1" s="1"/>
  <c r="I1109" i="1" s="1"/>
  <c r="G1459" i="1"/>
  <c r="H1459" i="1" s="1"/>
  <c r="I1459" i="1" s="1"/>
  <c r="G24" i="1"/>
  <c r="H24" i="1" s="1"/>
  <c r="I24" i="1" s="1"/>
  <c r="G1179" i="1"/>
  <c r="H1179" i="1" s="1"/>
  <c r="I1179" i="1" s="1"/>
  <c r="G1319" i="1"/>
  <c r="H1319" i="1" s="1"/>
  <c r="I1319" i="1" s="1"/>
  <c r="G59" i="1"/>
  <c r="H59" i="1" s="1"/>
  <c r="I59" i="1" s="1"/>
  <c r="G94" i="1"/>
  <c r="H94" i="1" s="1"/>
  <c r="I94" i="1" s="1"/>
  <c r="G1004" i="1"/>
  <c r="H1004" i="1" s="1"/>
  <c r="I1004" i="1" s="1"/>
  <c r="G1494" i="1"/>
  <c r="H1494" i="1" s="1"/>
  <c r="I1494" i="1" s="1"/>
  <c r="G298" i="1"/>
  <c r="H298" i="1" s="1"/>
  <c r="I298" i="1" s="1"/>
  <c r="G508" i="1"/>
  <c r="H508" i="1" s="1"/>
  <c r="I508" i="1" s="1"/>
  <c r="G193" i="1"/>
  <c r="H193" i="1" s="1"/>
  <c r="I193" i="1" s="1"/>
  <c r="G403" i="1"/>
  <c r="H403" i="1" s="1"/>
  <c r="I403" i="1" s="1"/>
  <c r="G613" i="1"/>
  <c r="H613" i="1" s="1"/>
  <c r="I613" i="1" s="1"/>
  <c r="G158" i="1"/>
  <c r="H158" i="1" s="1"/>
  <c r="I158" i="1" s="1"/>
  <c r="G368" i="1"/>
  <c r="H368" i="1" s="1"/>
  <c r="I368" i="1" s="1"/>
  <c r="G333" i="1"/>
  <c r="H333" i="1" s="1"/>
  <c r="I333" i="1" s="1"/>
  <c r="G543" i="1"/>
  <c r="H543" i="1" s="1"/>
  <c r="I543" i="1" s="1"/>
  <c r="G718" i="1"/>
  <c r="H718" i="1" s="1"/>
  <c r="I718" i="1" s="1"/>
  <c r="G928" i="1"/>
  <c r="H928" i="1" s="1"/>
  <c r="I928" i="1" s="1"/>
  <c r="G893" i="1"/>
  <c r="H893" i="1" s="1"/>
  <c r="I893" i="1" s="1"/>
  <c r="G1033" i="1"/>
  <c r="H1033" i="1" s="1"/>
  <c r="I1033" i="1" s="1"/>
  <c r="G1243" i="1"/>
  <c r="H1243" i="1" s="1"/>
  <c r="I1243" i="1" s="1"/>
  <c r="G648" i="1"/>
  <c r="H648" i="1" s="1"/>
  <c r="I648" i="1" s="1"/>
  <c r="G753" i="1"/>
  <c r="H753" i="1" s="1"/>
  <c r="I753" i="1" s="1"/>
  <c r="G1138" i="1"/>
  <c r="H1138" i="1" s="1"/>
  <c r="I1138" i="1" s="1"/>
  <c r="G1348" i="1"/>
  <c r="H1348" i="1" s="1"/>
  <c r="I1348" i="1" s="1"/>
  <c r="G263" i="1"/>
  <c r="H263" i="1" s="1"/>
  <c r="I263" i="1" s="1"/>
  <c r="G473" i="1"/>
  <c r="H473" i="1" s="1"/>
  <c r="I473" i="1" s="1"/>
  <c r="G858" i="1"/>
  <c r="H858" i="1" s="1"/>
  <c r="I858" i="1" s="1"/>
  <c r="G963" i="1"/>
  <c r="H963" i="1" s="1"/>
  <c r="I963" i="1" s="1"/>
  <c r="G1313" i="1"/>
  <c r="H1313" i="1" s="1"/>
  <c r="I1313" i="1" s="1"/>
  <c r="G123" i="1"/>
  <c r="H123" i="1" s="1"/>
  <c r="I123" i="1" s="1"/>
  <c r="G228" i="1"/>
  <c r="H228" i="1" s="1"/>
  <c r="I228" i="1" s="1"/>
  <c r="G683" i="1"/>
  <c r="H683" i="1" s="1"/>
  <c r="I683" i="1" s="1"/>
  <c r="G788" i="1"/>
  <c r="H788" i="1" s="1"/>
  <c r="I788" i="1" s="1"/>
  <c r="G438" i="1"/>
  <c r="H438" i="1" s="1"/>
  <c r="I438" i="1" s="1"/>
  <c r="G823" i="1"/>
  <c r="H823" i="1" s="1"/>
  <c r="I823" i="1" s="1"/>
  <c r="G1103" i="1"/>
  <c r="H1103" i="1" s="1"/>
  <c r="I1103" i="1" s="1"/>
  <c r="G1173" i="1"/>
  <c r="H1173" i="1" s="1"/>
  <c r="I1173" i="1" s="1"/>
  <c r="G1453" i="1"/>
  <c r="H1453" i="1" s="1"/>
  <c r="I1453" i="1" s="1"/>
  <c r="G1488" i="1"/>
  <c r="H1488" i="1" s="1"/>
  <c r="I1488" i="1" s="1"/>
  <c r="G53" i="1"/>
  <c r="H53" i="1" s="1"/>
  <c r="I53" i="1" s="1"/>
  <c r="G998" i="1"/>
  <c r="H998" i="1" s="1"/>
  <c r="I998" i="1" s="1"/>
  <c r="G1068" i="1"/>
  <c r="H1068" i="1" s="1"/>
  <c r="I1068" i="1" s="1"/>
  <c r="G1418" i="1"/>
  <c r="H1418" i="1" s="1"/>
  <c r="I1418" i="1" s="1"/>
  <c r="H88" i="1"/>
  <c r="I88" i="1" s="1"/>
  <c r="G578" i="1"/>
  <c r="H578" i="1" s="1"/>
  <c r="I578" i="1" s="1"/>
  <c r="G1208" i="1"/>
  <c r="H1208" i="1" s="1"/>
  <c r="I1208" i="1" s="1"/>
  <c r="G1383" i="1"/>
  <c r="H1383" i="1" s="1"/>
  <c r="I1383" i="1" s="1"/>
  <c r="G1523" i="1"/>
  <c r="H1523" i="1" s="1"/>
  <c r="I1523" i="1" s="1"/>
  <c r="G1278" i="1"/>
  <c r="H1278" i="1" s="1"/>
  <c r="I1278" i="1" s="1"/>
  <c r="G18" i="1"/>
  <c r="H18" i="1" s="1"/>
  <c r="I18" i="1" s="1"/>
  <c r="G220" i="1"/>
  <c r="H220" i="1" s="1"/>
  <c r="I220" i="1" s="1"/>
  <c r="G430" i="1"/>
  <c r="H430" i="1" s="1"/>
  <c r="I430" i="1" s="1"/>
  <c r="G325" i="1"/>
  <c r="H325" i="1" s="1"/>
  <c r="I325" i="1" s="1"/>
  <c r="G535" i="1"/>
  <c r="H535" i="1" s="1"/>
  <c r="I535" i="1" s="1"/>
  <c r="G290" i="1"/>
  <c r="H290" i="1" s="1"/>
  <c r="I290" i="1" s="1"/>
  <c r="G255" i="1"/>
  <c r="H255" i="1" s="1"/>
  <c r="I255" i="1" s="1"/>
  <c r="G465" i="1"/>
  <c r="H465" i="1" s="1"/>
  <c r="I465" i="1" s="1"/>
  <c r="G185" i="1"/>
  <c r="H185" i="1" s="1"/>
  <c r="I185" i="1" s="1"/>
  <c r="G850" i="1"/>
  <c r="H850" i="1" s="1"/>
  <c r="I850" i="1" s="1"/>
  <c r="G360" i="1"/>
  <c r="H360" i="1" s="1"/>
  <c r="I360" i="1" s="1"/>
  <c r="G150" i="1"/>
  <c r="H150" i="1" s="1"/>
  <c r="I150" i="1" s="1"/>
  <c r="G815" i="1"/>
  <c r="H815" i="1" s="1"/>
  <c r="I815" i="1" s="1"/>
  <c r="G885" i="1"/>
  <c r="H885" i="1" s="1"/>
  <c r="I885" i="1" s="1"/>
  <c r="G1165" i="1"/>
  <c r="H1165" i="1" s="1"/>
  <c r="I1165" i="1" s="1"/>
  <c r="G605" i="1"/>
  <c r="H605" i="1" s="1"/>
  <c r="I605" i="1" s="1"/>
  <c r="G710" i="1"/>
  <c r="H710" i="1" s="1"/>
  <c r="I710" i="1" s="1"/>
  <c r="G1060" i="1"/>
  <c r="H1060" i="1" s="1"/>
  <c r="I1060" i="1" s="1"/>
  <c r="G1270" i="1"/>
  <c r="H1270" i="1" s="1"/>
  <c r="I1270" i="1" s="1"/>
  <c r="G1480" i="1"/>
  <c r="H1480" i="1" s="1"/>
  <c r="I1480" i="1" s="1"/>
  <c r="G45" i="1"/>
  <c r="H45" i="1" s="1"/>
  <c r="I45" i="1" s="1"/>
  <c r="G570" i="1"/>
  <c r="H570" i="1" s="1"/>
  <c r="I570" i="1" s="1"/>
  <c r="G920" i="1"/>
  <c r="H920" i="1" s="1"/>
  <c r="I920" i="1" s="1"/>
  <c r="G1305" i="1"/>
  <c r="H1305" i="1" s="1"/>
  <c r="I1305" i="1" s="1"/>
  <c r="G745" i="1"/>
  <c r="H745" i="1" s="1"/>
  <c r="I745" i="1" s="1"/>
  <c r="G500" i="1"/>
  <c r="H500" i="1" s="1"/>
  <c r="I500" i="1" s="1"/>
  <c r="G675" i="1"/>
  <c r="H675" i="1" s="1"/>
  <c r="I675" i="1" s="1"/>
  <c r="G1130" i="1"/>
  <c r="H1130" i="1" s="1"/>
  <c r="I1130" i="1" s="1"/>
  <c r="G1200" i="1"/>
  <c r="H1200" i="1" s="1"/>
  <c r="I1200" i="1" s="1"/>
  <c r="G1410" i="1"/>
  <c r="H1410" i="1" s="1"/>
  <c r="I1410" i="1" s="1"/>
  <c r="G1025" i="1"/>
  <c r="H1025" i="1" s="1"/>
  <c r="I1025" i="1" s="1"/>
  <c r="G1095" i="1"/>
  <c r="H1095" i="1" s="1"/>
  <c r="I1095" i="1" s="1"/>
  <c r="G1375" i="1"/>
  <c r="H1375" i="1" s="1"/>
  <c r="I1375" i="1" s="1"/>
  <c r="G395" i="1"/>
  <c r="H395" i="1" s="1"/>
  <c r="I395" i="1" s="1"/>
  <c r="G10" i="1"/>
  <c r="H10" i="1" s="1"/>
  <c r="I10" i="1" s="1"/>
  <c r="G990" i="1"/>
  <c r="H990" i="1" s="1"/>
  <c r="I990" i="1" s="1"/>
  <c r="G955" i="1"/>
  <c r="H955" i="1" s="1"/>
  <c r="I955" i="1" s="1"/>
  <c r="G1340" i="1"/>
  <c r="H1340" i="1" s="1"/>
  <c r="I1340" i="1" s="1"/>
  <c r="G115" i="1"/>
  <c r="H115" i="1" s="1"/>
  <c r="I115" i="1" s="1"/>
  <c r="G1235" i="1"/>
  <c r="H1235" i="1" s="1"/>
  <c r="I1235" i="1" s="1"/>
  <c r="G1515" i="1"/>
  <c r="H1515" i="1" s="1"/>
  <c r="I1515" i="1" s="1"/>
  <c r="G640" i="1"/>
  <c r="H640" i="1" s="1"/>
  <c r="I640" i="1" s="1"/>
  <c r="G780" i="1"/>
  <c r="H780" i="1" s="1"/>
  <c r="I780" i="1" s="1"/>
  <c r="G1445" i="1"/>
  <c r="H1445" i="1" s="1"/>
  <c r="I1445" i="1" s="1"/>
  <c r="G80" i="1"/>
  <c r="H80" i="1" s="1"/>
  <c r="I80" i="1" s="1"/>
  <c r="G340" i="1"/>
  <c r="H340" i="1" s="1"/>
  <c r="I340" i="1" s="1"/>
  <c r="G550" i="1"/>
  <c r="H550" i="1" s="1"/>
  <c r="I550" i="1" s="1"/>
  <c r="G235" i="1"/>
  <c r="H235" i="1" s="1"/>
  <c r="I235" i="1" s="1"/>
  <c r="G445" i="1"/>
  <c r="H445" i="1" s="1"/>
  <c r="I445" i="1" s="1"/>
  <c r="G655" i="1"/>
  <c r="H655" i="1" s="1"/>
  <c r="I655" i="1" s="1"/>
  <c r="G200" i="1"/>
  <c r="H200" i="1" s="1"/>
  <c r="I200" i="1" s="1"/>
  <c r="G165" i="1"/>
  <c r="H165" i="1" s="1"/>
  <c r="I165" i="1" s="1"/>
  <c r="G375" i="1"/>
  <c r="H375" i="1" s="1"/>
  <c r="I375" i="1" s="1"/>
  <c r="G585" i="1"/>
  <c r="H585" i="1" s="1"/>
  <c r="I585" i="1" s="1"/>
  <c r="G620" i="1"/>
  <c r="H620" i="1" s="1"/>
  <c r="I620" i="1" s="1"/>
  <c r="G760" i="1"/>
  <c r="H760" i="1" s="1"/>
  <c r="I760" i="1" s="1"/>
  <c r="G970" i="1"/>
  <c r="H970" i="1" s="1"/>
  <c r="I970" i="1" s="1"/>
  <c r="G270" i="1"/>
  <c r="H270" i="1" s="1"/>
  <c r="I270" i="1" s="1"/>
  <c r="G410" i="1"/>
  <c r="H410" i="1" s="1"/>
  <c r="I410" i="1" s="1"/>
  <c r="G900" i="1"/>
  <c r="H900" i="1" s="1"/>
  <c r="I900" i="1" s="1"/>
  <c r="G1075" i="1"/>
  <c r="H1075" i="1" s="1"/>
  <c r="I1075" i="1" s="1"/>
  <c r="G725" i="1"/>
  <c r="H725" i="1" s="1"/>
  <c r="I725" i="1" s="1"/>
  <c r="G1180" i="1"/>
  <c r="H1180" i="1" s="1"/>
  <c r="I1180" i="1" s="1"/>
  <c r="G1390" i="1"/>
  <c r="H1390" i="1" s="1"/>
  <c r="I1390" i="1" s="1"/>
  <c r="G1320" i="1"/>
  <c r="H1320" i="1" s="1"/>
  <c r="I1320" i="1" s="1"/>
  <c r="G305" i="1"/>
  <c r="H305" i="1" s="1"/>
  <c r="I305" i="1" s="1"/>
  <c r="G515" i="1"/>
  <c r="H515" i="1" s="1"/>
  <c r="I515" i="1" s="1"/>
  <c r="G1005" i="1"/>
  <c r="H1005" i="1" s="1"/>
  <c r="I1005" i="1" s="1"/>
  <c r="G1460" i="1"/>
  <c r="H1460" i="1" s="1"/>
  <c r="I1460" i="1" s="1"/>
  <c r="G1495" i="1"/>
  <c r="H1495" i="1" s="1"/>
  <c r="I1495" i="1" s="1"/>
  <c r="G60" i="1"/>
  <c r="H60" i="1" s="1"/>
  <c r="I60" i="1" s="1"/>
  <c r="G865" i="1"/>
  <c r="H865" i="1" s="1"/>
  <c r="I865" i="1" s="1"/>
  <c r="G1425" i="1"/>
  <c r="H1425" i="1" s="1"/>
  <c r="I1425" i="1" s="1"/>
  <c r="G830" i="1"/>
  <c r="H830" i="1" s="1"/>
  <c r="I830" i="1" s="1"/>
  <c r="G1215" i="1"/>
  <c r="H1215" i="1" s="1"/>
  <c r="I1215" i="1" s="1"/>
  <c r="G1250" i="1"/>
  <c r="H1250" i="1" s="1"/>
  <c r="I1250" i="1" s="1"/>
  <c r="G95" i="1"/>
  <c r="H95" i="1" s="1"/>
  <c r="I95" i="1" s="1"/>
  <c r="G795" i="1"/>
  <c r="H795" i="1" s="1"/>
  <c r="I795" i="1" s="1"/>
  <c r="G690" i="1"/>
  <c r="H690" i="1" s="1"/>
  <c r="I690" i="1" s="1"/>
  <c r="G1040" i="1"/>
  <c r="H1040" i="1" s="1"/>
  <c r="I1040" i="1" s="1"/>
  <c r="G25" i="1"/>
  <c r="H25" i="1" s="1"/>
  <c r="I25" i="1" s="1"/>
  <c r="G480" i="1"/>
  <c r="H480" i="1" s="1"/>
  <c r="I480" i="1" s="1"/>
  <c r="G935" i="1"/>
  <c r="H935" i="1" s="1"/>
  <c r="I935" i="1" s="1"/>
  <c r="G1530" i="1"/>
  <c r="H1530" i="1" s="1"/>
  <c r="I1530" i="1" s="1"/>
  <c r="G1285" i="1"/>
  <c r="H1285" i="1" s="1"/>
  <c r="I1285" i="1" s="1"/>
  <c r="G1110" i="1"/>
  <c r="H1110" i="1" s="1"/>
  <c r="I1110" i="1" s="1"/>
  <c r="G130" i="1"/>
  <c r="H130" i="1" s="1"/>
  <c r="I130" i="1" s="1"/>
  <c r="G1145" i="1"/>
  <c r="H1145" i="1" s="1"/>
  <c r="I1145" i="1" s="1"/>
  <c r="G1355" i="1"/>
  <c r="H1355" i="1" s="1"/>
  <c r="I1355" i="1" s="1"/>
  <c r="G256" i="1"/>
  <c r="H256" i="1" s="1"/>
  <c r="I256" i="1" s="1"/>
  <c r="G466" i="1"/>
  <c r="H466" i="1" s="1"/>
  <c r="I466" i="1" s="1"/>
  <c r="G151" i="1"/>
  <c r="H151" i="1" s="1"/>
  <c r="I151" i="1" s="1"/>
  <c r="G361" i="1"/>
  <c r="H361" i="1" s="1"/>
  <c r="I361" i="1" s="1"/>
  <c r="G571" i="1"/>
  <c r="H571" i="1" s="1"/>
  <c r="I571" i="1" s="1"/>
  <c r="G326" i="1"/>
  <c r="H326" i="1" s="1"/>
  <c r="I326" i="1" s="1"/>
  <c r="G291" i="1"/>
  <c r="H291" i="1" s="1"/>
  <c r="I291" i="1" s="1"/>
  <c r="G501" i="1"/>
  <c r="H501" i="1" s="1"/>
  <c r="I501" i="1" s="1"/>
  <c r="G676" i="1"/>
  <c r="H676" i="1" s="1"/>
  <c r="I676" i="1" s="1"/>
  <c r="G886" i="1"/>
  <c r="H886" i="1" s="1"/>
  <c r="I886" i="1" s="1"/>
  <c r="G396" i="1"/>
  <c r="H396" i="1" s="1"/>
  <c r="I396" i="1" s="1"/>
  <c r="G431" i="1"/>
  <c r="H431" i="1" s="1"/>
  <c r="I431" i="1" s="1"/>
  <c r="G221" i="1"/>
  <c r="H221" i="1" s="1"/>
  <c r="I221" i="1" s="1"/>
  <c r="G921" i="1"/>
  <c r="H921" i="1" s="1"/>
  <c r="I921" i="1" s="1"/>
  <c r="G991" i="1"/>
  <c r="H991" i="1" s="1"/>
  <c r="I991" i="1" s="1"/>
  <c r="G1201" i="1"/>
  <c r="H1201" i="1" s="1"/>
  <c r="I1201" i="1" s="1"/>
  <c r="G186" i="1"/>
  <c r="H186" i="1" s="1"/>
  <c r="I186" i="1" s="1"/>
  <c r="G746" i="1"/>
  <c r="H746" i="1" s="1"/>
  <c r="I746" i="1" s="1"/>
  <c r="G1096" i="1"/>
  <c r="H1096" i="1" s="1"/>
  <c r="I1096" i="1" s="1"/>
  <c r="G1306" i="1"/>
  <c r="H1306" i="1" s="1"/>
  <c r="I1306" i="1" s="1"/>
  <c r="G1516" i="1"/>
  <c r="H1516" i="1" s="1"/>
  <c r="I1516" i="1" s="1"/>
  <c r="G81" i="1"/>
  <c r="H81" i="1" s="1"/>
  <c r="I81" i="1" s="1"/>
  <c r="G641" i="1"/>
  <c r="H641" i="1" s="1"/>
  <c r="I641" i="1" s="1"/>
  <c r="G711" i="1"/>
  <c r="H711" i="1" s="1"/>
  <c r="I711" i="1" s="1"/>
  <c r="G1341" i="1"/>
  <c r="H1341" i="1" s="1"/>
  <c r="I1341" i="1" s="1"/>
  <c r="G11" i="1"/>
  <c r="H11" i="1" s="1"/>
  <c r="I11" i="1" s="1"/>
  <c r="G781" i="1"/>
  <c r="H781" i="1" s="1"/>
  <c r="I781" i="1" s="1"/>
  <c r="G1236" i="1"/>
  <c r="H1236" i="1" s="1"/>
  <c r="I1236" i="1" s="1"/>
  <c r="G1446" i="1"/>
  <c r="H1446" i="1" s="1"/>
  <c r="I1446" i="1" s="1"/>
  <c r="G1481" i="1"/>
  <c r="H1481" i="1" s="1"/>
  <c r="I1481" i="1" s="1"/>
  <c r="G46" i="1"/>
  <c r="H46" i="1" s="1"/>
  <c r="I46" i="1" s="1"/>
  <c r="G606" i="1"/>
  <c r="H606" i="1" s="1"/>
  <c r="I606" i="1" s="1"/>
  <c r="G1131" i="1"/>
  <c r="H1131" i="1" s="1"/>
  <c r="I1131" i="1" s="1"/>
  <c r="G1166" i="1"/>
  <c r="H1166" i="1" s="1"/>
  <c r="I1166" i="1" s="1"/>
  <c r="G1411" i="1"/>
  <c r="H1411" i="1" s="1"/>
  <c r="I1411" i="1" s="1"/>
  <c r="G816" i="1"/>
  <c r="H816" i="1" s="1"/>
  <c r="I816" i="1" s="1"/>
  <c r="G851" i="1"/>
  <c r="H851" i="1" s="1"/>
  <c r="I851" i="1" s="1"/>
  <c r="G116" i="1"/>
  <c r="H116" i="1" s="1"/>
  <c r="I116" i="1" s="1"/>
  <c r="G1026" i="1"/>
  <c r="H1026" i="1" s="1"/>
  <c r="I1026" i="1" s="1"/>
  <c r="G956" i="1"/>
  <c r="H956" i="1" s="1"/>
  <c r="I956" i="1" s="1"/>
  <c r="G536" i="1"/>
  <c r="H536" i="1" s="1"/>
  <c r="I536" i="1" s="1"/>
  <c r="G1271" i="1"/>
  <c r="H1271" i="1" s="1"/>
  <c r="I1271" i="1" s="1"/>
  <c r="G1376" i="1"/>
  <c r="H1376" i="1" s="1"/>
  <c r="I1376" i="1" s="1"/>
  <c r="G1061" i="1"/>
  <c r="H1061" i="1" s="1"/>
  <c r="I106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<sst xmlns="http://schemas.openxmlformats.org/spreadsheetml/2006/main" count="19112" uniqueCount="165">
  <si>
    <t>Treatment</t>
  </si>
  <si>
    <t>RUNINFO</t>
  </si>
  <si>
    <t>Name</t>
  </si>
  <si>
    <t>Replicate</t>
  </si>
  <si>
    <t>µg_FA_per_mg</t>
  </si>
  <si>
    <t>S_1</t>
  </si>
  <si>
    <t>C08:0</t>
  </si>
  <si>
    <t>C10:0</t>
  </si>
  <si>
    <t>C11:0</t>
  </si>
  <si>
    <t>C12:0</t>
  </si>
  <si>
    <t>C13:0</t>
  </si>
  <si>
    <t>C14:0</t>
  </si>
  <si>
    <t>C14:1</t>
  </si>
  <si>
    <t>C15:0</t>
  </si>
  <si>
    <t>C15:1</t>
  </si>
  <si>
    <t>C16:0</t>
  </si>
  <si>
    <t>C16:1</t>
  </si>
  <si>
    <t>C17:0</t>
  </si>
  <si>
    <t>C17:1</t>
  </si>
  <si>
    <t>C18:0</t>
  </si>
  <si>
    <t>C18:1</t>
  </si>
  <si>
    <t>C18:2(n-6t)</t>
  </si>
  <si>
    <t>C18:2(n-6c)</t>
  </si>
  <si>
    <t>C18:3(n-6)</t>
  </si>
  <si>
    <t>C18:3(n-3)</t>
  </si>
  <si>
    <t>C18:4(n-3)</t>
  </si>
  <si>
    <t>C20:0</t>
  </si>
  <si>
    <t>C20:1</t>
  </si>
  <si>
    <t>C20:2(n-6)</t>
  </si>
  <si>
    <t>C20:3(n-6)</t>
  </si>
  <si>
    <t>C20:4(n-6)</t>
  </si>
  <si>
    <t>C20:3(n-3)</t>
  </si>
  <si>
    <t>C21:0</t>
  </si>
  <si>
    <t>C20:5(n-3)</t>
  </si>
  <si>
    <t>C22:0</t>
  </si>
  <si>
    <t>C22:1</t>
  </si>
  <si>
    <t>C22:2</t>
  </si>
  <si>
    <t>C22:5(n-3)</t>
  </si>
  <si>
    <t>C22:6(n-3)</t>
  </si>
  <si>
    <t>C24:0</t>
  </si>
  <si>
    <t>C24:1</t>
  </si>
  <si>
    <t>NC</t>
  </si>
  <si>
    <t>FA_µg_sample</t>
  </si>
  <si>
    <t>S_2</t>
  </si>
  <si>
    <t>Oldname</t>
  </si>
  <si>
    <t>NC25</t>
  </si>
  <si>
    <t>NC26</t>
  </si>
  <si>
    <t>NC28</t>
  </si>
  <si>
    <t>NC27</t>
  </si>
  <si>
    <t>S_3</t>
  </si>
  <si>
    <t>S_4</t>
  </si>
  <si>
    <t>NC3</t>
  </si>
  <si>
    <t>S_5</t>
  </si>
  <si>
    <t>NC4</t>
  </si>
  <si>
    <t>S_6</t>
  </si>
  <si>
    <t>NC7</t>
  </si>
  <si>
    <t>S_7</t>
  </si>
  <si>
    <t>NC8</t>
  </si>
  <si>
    <t>S_8</t>
  </si>
  <si>
    <t>NC10</t>
  </si>
  <si>
    <t>S_9</t>
  </si>
  <si>
    <t>NC15</t>
  </si>
  <si>
    <t>S_10</t>
  </si>
  <si>
    <t>Pro2</t>
  </si>
  <si>
    <t>S_11</t>
  </si>
  <si>
    <t>Pro</t>
  </si>
  <si>
    <t>Pro7</t>
  </si>
  <si>
    <t>S_12</t>
  </si>
  <si>
    <t>Pro8</t>
  </si>
  <si>
    <t>S_13</t>
  </si>
  <si>
    <t>Pro9</t>
  </si>
  <si>
    <t>S_14</t>
  </si>
  <si>
    <t>Pro18</t>
  </si>
  <si>
    <t>S_15</t>
  </si>
  <si>
    <t>Pro20</t>
  </si>
  <si>
    <t>S_16</t>
  </si>
  <si>
    <t>Pro21</t>
  </si>
  <si>
    <t>S_17</t>
  </si>
  <si>
    <t>Pro23</t>
  </si>
  <si>
    <t>S_18</t>
  </si>
  <si>
    <t>Pro24</t>
  </si>
  <si>
    <t>S_19</t>
  </si>
  <si>
    <t>Pro26</t>
  </si>
  <si>
    <t>S_20</t>
  </si>
  <si>
    <t>Mix4</t>
  </si>
  <si>
    <t>S_21</t>
  </si>
  <si>
    <t>Mix</t>
  </si>
  <si>
    <t>Mix7</t>
  </si>
  <si>
    <t>S_22</t>
  </si>
  <si>
    <t>Mix9</t>
  </si>
  <si>
    <t>S_23</t>
  </si>
  <si>
    <t>Mix10</t>
  </si>
  <si>
    <t>S_24</t>
  </si>
  <si>
    <t>Mix12</t>
  </si>
  <si>
    <t>S_25</t>
  </si>
  <si>
    <t>Mix13</t>
  </si>
  <si>
    <t>S_26</t>
  </si>
  <si>
    <t>S_27</t>
  </si>
  <si>
    <t>Mix15</t>
  </si>
  <si>
    <t>Mix17</t>
  </si>
  <si>
    <t>S_28</t>
  </si>
  <si>
    <t>Mix18</t>
  </si>
  <si>
    <t>S_29</t>
  </si>
  <si>
    <t>Mix26</t>
  </si>
  <si>
    <t>S_30</t>
  </si>
  <si>
    <t>S3</t>
  </si>
  <si>
    <t>S4</t>
  </si>
  <si>
    <t>S7</t>
  </si>
  <si>
    <t>S9</t>
  </si>
  <si>
    <t>S6</t>
  </si>
  <si>
    <t>Blank1</t>
  </si>
  <si>
    <t>Blank2</t>
  </si>
  <si>
    <t>Blank3</t>
  </si>
  <si>
    <t>WBPro2</t>
  </si>
  <si>
    <t>S_31</t>
  </si>
  <si>
    <t>WBPro</t>
  </si>
  <si>
    <t>WBCip1</t>
  </si>
  <si>
    <t>S_32</t>
  </si>
  <si>
    <t>WBCip_1</t>
  </si>
  <si>
    <t>WBCip2</t>
  </si>
  <si>
    <t>S_33</t>
  </si>
  <si>
    <t>WBCip_2</t>
  </si>
  <si>
    <t>WBMix</t>
  </si>
  <si>
    <t>S_34</t>
  </si>
  <si>
    <t>Cip2</t>
  </si>
  <si>
    <t>S_35</t>
  </si>
  <si>
    <t>Cip</t>
  </si>
  <si>
    <t>Cip3</t>
  </si>
  <si>
    <t>S_36</t>
  </si>
  <si>
    <t>Cip4</t>
  </si>
  <si>
    <t>S_37</t>
  </si>
  <si>
    <t>Cip18</t>
  </si>
  <si>
    <t>S_38</t>
  </si>
  <si>
    <t>Cip6</t>
  </si>
  <si>
    <t>S_39</t>
  </si>
  <si>
    <t>Cip7</t>
  </si>
  <si>
    <t>S_40</t>
  </si>
  <si>
    <t>Cip16</t>
  </si>
  <si>
    <t>S_41</t>
  </si>
  <si>
    <t>Cip19</t>
  </si>
  <si>
    <t>S_42</t>
  </si>
  <si>
    <t>Cip11</t>
  </si>
  <si>
    <t>S_43</t>
  </si>
  <si>
    <t>Cip14</t>
  </si>
  <si>
    <t>S_44</t>
  </si>
  <si>
    <t>jetzt noch werte durch mg einwaage teilen</t>
  </si>
  <si>
    <t>NA</t>
  </si>
  <si>
    <t>median</t>
  </si>
  <si>
    <t>blank deduction</t>
  </si>
  <si>
    <t>Infos:</t>
  </si>
  <si>
    <t>a) in Spalte FA_ug_sample, bei #NV Angabe stand in Patricks aufgeräumter Liste "ND"</t>
  </si>
  <si>
    <t>negative values to 0</t>
  </si>
  <si>
    <t>FA</t>
  </si>
  <si>
    <t>SAFA</t>
  </si>
  <si>
    <t>MUFA</t>
  </si>
  <si>
    <t>PUFA</t>
  </si>
  <si>
    <t>µg_FA_per_mg dryweight</t>
  </si>
  <si>
    <t>Wieso median? Eher mittelwert nehmen</t>
  </si>
  <si>
    <t>b) negative values set to 0 (as there was a data, but the blank average was higher)</t>
  </si>
  <si>
    <t>Alt FA_µg_sample</t>
  </si>
  <si>
    <t>Neu FA_µg_sample</t>
  </si>
  <si>
    <t>replicate</t>
  </si>
  <si>
    <t>fa</t>
  </si>
  <si>
    <t>treatment</t>
  </si>
  <si>
    <t>fa_conc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</si>
</sst>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2" fontId="0" fillId="0" borderId="0" xfId="0" applyNumberFormat="1"/>
    <xf numFmtId="49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0" fontId="0" fillId="2" borderId="0" xfId="0" applyFill="1"/>
    <xf numFmtId="2" fontId="0" fillId="2" borderId="0" xfId="0" applyNumberFormat="1" applyFill="1"/>
    <xf numFmtId="0" fontId="0" fillId="0" borderId="0" xfId="0" applyAlignment="1">
      <alignment horizontal="right"/>
    </xf>
    <xf numFmtId="0" fontId="0" fillId="0" borderId="0" xfId="0" applyAlignment="1">
      <alignment horizontal="left" vertical="center" wrapText="1"/>
    </xf>
    <xf numFmtId="2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2" fontId="0" fillId="3" borderId="0" xfId="0" applyNumberFormat="1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5" borderId="0" xfId="0" applyFill="1"/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0" fillId="0" borderId="1" xfId="0" applyBorder="1" applyAlignment="1">
      <alignment horizontal="right"/>
    </xf>
    <xf numFmtId="166" fontId="0" fillId="0" borderId="0" xfId="0" applyNumberFormat="1" applyAlignment="1">
      <alignment horizontal="left" vertical="center" wrapText="1"/>
    </xf>
    <xf numFmtId="166" fontId="0" fillId="0" borderId="0" xfId="0" applyNumberFormat="1" applyAlignment="1">
      <alignment horizontal="right"/>
    </xf>
    <xf numFmtId="166" fontId="0" fillId="0" borderId="1" xfId="0" applyNumberFormat="1" applyBorder="1" applyAlignment="1">
      <alignment horizontal="right"/>
    </xf>
    <xf numFmtId="166" fontId="0" fillId="0" borderId="0" xfId="0" applyNumberFormat="1"/>
    <xf numFmtId="166" fontId="0" fillId="6" borderId="0" xfId="0" applyNumberFormat="1" applyFill="1" applyAlignment="1">
      <alignment horizontal="left" vertical="center" wrapText="1"/>
    </xf>
    <xf numFmtId="166" fontId="0" fillId="6" borderId="0" xfId="0" applyNumberFormat="1" applyFill="1" applyAlignment="1">
      <alignment horizontal="right"/>
    </xf>
    <xf numFmtId="166" fontId="0" fillId="6" borderId="1" xfId="0" applyNumberFormat="1" applyFill="1" applyBorder="1" applyAlignment="1">
      <alignment horizontal="right"/>
    </xf>
    <xf numFmtId="166" fontId="0" fillId="6" borderId="0" xfId="0" applyNumberFormat="1" applyFill="1"/>
    <xf numFmtId="166" fontId="0" fillId="6" borderId="1" xfId="0" applyNumberFormat="1" applyFill="1" applyBorder="1"/>
    <xf numFmtId="164" fontId="0" fillId="6" borderId="0" xfId="0" applyNumberFormat="1" applyFill="1" applyAlignment="1">
      <alignment horizontal="left" vertical="center" wrapText="1"/>
    </xf>
    <xf numFmtId="164" fontId="0" fillId="6" borderId="0" xfId="0" applyNumberFormat="1" applyFill="1" applyAlignment="1">
      <alignment horizontal="right"/>
    </xf>
    <xf numFmtId="164" fontId="0" fillId="6" borderId="1" xfId="0" applyNumberFormat="1" applyFill="1" applyBorder="1" applyAlignment="1">
      <alignment horizontal="right"/>
    </xf>
    <xf numFmtId="0" fontId="0" fillId="6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5DC8B-D028-43D4-986E-62F9C1EF4FB5}">
  <dimension ref="A1:R1541"/>
  <sheetViews>
    <sheetView topLeftCell="A32" zoomScale="80" zoomScaleNormal="80" workbookViewId="0">
      <selection activeCell="I27" sqref="I27"/>
    </sheetView>
  </sheetViews>
  <sheetFormatPr baseColWidth="10" defaultRowHeight="14.5" x14ac:dyDescent="0.35"/>
  <cols>
    <col min="6" max="6" width="17.36328125" style="4" customWidth="1"/>
    <col min="7" max="7" width="16.36328125" style="7" customWidth="1"/>
    <col min="8" max="8" width="19.1796875" style="7" customWidth="1"/>
    <col min="9" max="9" width="13.90625" style="7" customWidth="1"/>
  </cols>
  <sheetData>
    <row r="1" spans="1:13" s="8" customFormat="1" ht="41" customHeight="1" x14ac:dyDescent="0.35">
      <c r="A1" s="8" t="s">
        <v>44</v>
      </c>
      <c r="B1" s="9" t="s">
        <v>1</v>
      </c>
      <c r="C1" s="10" t="s">
        <v>2</v>
      </c>
      <c r="D1" s="10" t="s">
        <v>152</v>
      </c>
      <c r="E1" s="9" t="s">
        <v>0</v>
      </c>
      <c r="F1" s="11" t="s">
        <v>42</v>
      </c>
      <c r="G1" s="9" t="s">
        <v>148</v>
      </c>
      <c r="H1" s="15" t="s">
        <v>151</v>
      </c>
      <c r="I1" s="12" t="s">
        <v>156</v>
      </c>
      <c r="L1" s="13" t="s">
        <v>149</v>
      </c>
      <c r="M1" s="8" t="s">
        <v>150</v>
      </c>
    </row>
    <row r="2" spans="1:13" x14ac:dyDescent="0.35">
      <c r="A2" t="s">
        <v>45</v>
      </c>
      <c r="B2" t="s">
        <v>5</v>
      </c>
      <c r="C2" t="s">
        <v>6</v>
      </c>
      <c r="D2" t="s">
        <v>153</v>
      </c>
      <c r="E2" t="s">
        <v>41</v>
      </c>
      <c r="F2" s="4">
        <v>6.9195217000000007</v>
      </c>
      <c r="G2" s="4">
        <f>IFERROR(F2-alt_Blanks!$I$2,F2)</f>
        <v>0.21298059999999985</v>
      </c>
      <c r="H2" s="7">
        <f>IF(G2&lt;0,0,G2)</f>
        <v>0.21298059999999985</v>
      </c>
      <c r="I2" s="7">
        <f>H2/0.4108</f>
        <v>0.51845326192794516</v>
      </c>
      <c r="M2" t="s">
        <v>158</v>
      </c>
    </row>
    <row r="3" spans="1:13" x14ac:dyDescent="0.35">
      <c r="A3" t="s">
        <v>45</v>
      </c>
      <c r="B3" t="s">
        <v>5</v>
      </c>
      <c r="C3" t="s">
        <v>7</v>
      </c>
      <c r="D3" t="s">
        <v>153</v>
      </c>
      <c r="E3" t="s">
        <v>41</v>
      </c>
      <c r="F3" s="4">
        <v>0</v>
      </c>
      <c r="G3" s="4">
        <f>IFERROR(F3-alt_Blanks!$I$3,F3)</f>
        <v>0</v>
      </c>
      <c r="H3" s="7">
        <f>IF(G3&lt;0,0,G3)</f>
        <v>0</v>
      </c>
      <c r="I3" s="7">
        <f t="shared" ref="I3:I36" si="0">H3/0.4108</f>
        <v>0</v>
      </c>
    </row>
    <row r="4" spans="1:13" x14ac:dyDescent="0.35">
      <c r="A4" t="s">
        <v>45</v>
      </c>
      <c r="B4" t="s">
        <v>5</v>
      </c>
      <c r="C4" t="s">
        <v>8</v>
      </c>
      <c r="D4" t="s">
        <v>153</v>
      </c>
      <c r="E4" t="s">
        <v>41</v>
      </c>
      <c r="F4" s="4">
        <v>0</v>
      </c>
      <c r="G4" s="4">
        <f>IFERROR(F4-alt_Blanks!$I$4,F4)</f>
        <v>0</v>
      </c>
      <c r="H4" s="7">
        <f>IF(G4&lt;0,0,G4)</f>
        <v>0</v>
      </c>
      <c r="I4" s="7">
        <f t="shared" si="0"/>
        <v>0</v>
      </c>
    </row>
    <row r="5" spans="1:13" x14ac:dyDescent="0.35">
      <c r="A5" t="s">
        <v>45</v>
      </c>
      <c r="B5" t="s">
        <v>5</v>
      </c>
      <c r="C5" t="s">
        <v>9</v>
      </c>
      <c r="D5" t="s">
        <v>153</v>
      </c>
      <c r="E5" t="s">
        <v>41</v>
      </c>
      <c r="F5" s="4">
        <v>3.9083869</v>
      </c>
      <c r="G5" s="4">
        <f>IFERROR(F5-alt_Blanks!$I$5,F5)</f>
        <v>3.9083869</v>
      </c>
      <c r="H5" s="7">
        <f>IF(G5&lt;0,0,G5)</f>
        <v>3.9083869</v>
      </c>
      <c r="I5" s="7">
        <f t="shared" si="0"/>
        <v>9.5140869036027258</v>
      </c>
    </row>
    <row r="6" spans="1:13" x14ac:dyDescent="0.35">
      <c r="A6" t="s">
        <v>45</v>
      </c>
      <c r="B6" t="s">
        <v>5</v>
      </c>
      <c r="C6" t="s">
        <v>10</v>
      </c>
      <c r="D6" t="s">
        <v>153</v>
      </c>
      <c r="E6" t="s">
        <v>41</v>
      </c>
      <c r="F6" s="4">
        <v>89.102143299999994</v>
      </c>
      <c r="G6" s="4">
        <f>IFERROR(F6-alt_Blanks!$I$6,F6)</f>
        <v>89.102143299999994</v>
      </c>
      <c r="H6" s="7">
        <f t="shared" ref="H6:H69" si="1">IF(G6&lt;0,0,G6)</f>
        <v>89.102143299999994</v>
      </c>
      <c r="I6" s="7">
        <f t="shared" si="0"/>
        <v>216.89908300876337</v>
      </c>
    </row>
    <row r="7" spans="1:13" x14ac:dyDescent="0.35">
      <c r="A7" t="s">
        <v>45</v>
      </c>
      <c r="B7" t="s">
        <v>5</v>
      </c>
      <c r="C7" t="s">
        <v>11</v>
      </c>
      <c r="D7" t="s">
        <v>153</v>
      </c>
      <c r="E7" t="s">
        <v>41</v>
      </c>
      <c r="F7" s="4">
        <v>82.495747499999993</v>
      </c>
      <c r="G7" s="4">
        <f>IFERROR(F7-alt_Blanks!$I$7,F7)</f>
        <v>82.495747499999993</v>
      </c>
      <c r="H7" s="7">
        <f t="shared" si="1"/>
        <v>82.495747499999993</v>
      </c>
      <c r="I7" s="7">
        <f t="shared" si="0"/>
        <v>200.81730160662121</v>
      </c>
    </row>
    <row r="8" spans="1:13" x14ac:dyDescent="0.35">
      <c r="A8" t="s">
        <v>45</v>
      </c>
      <c r="B8" t="s">
        <v>5</v>
      </c>
      <c r="C8" t="s">
        <v>12</v>
      </c>
      <c r="D8" t="s">
        <v>154</v>
      </c>
      <c r="E8" t="s">
        <v>41</v>
      </c>
      <c r="F8" s="4">
        <v>0</v>
      </c>
      <c r="G8" s="4">
        <f>IFERROR(F8-alt_Blanks!$I$8,F8)</f>
        <v>0</v>
      </c>
      <c r="H8" s="7">
        <f t="shared" si="1"/>
        <v>0</v>
      </c>
      <c r="I8" s="7">
        <f t="shared" si="0"/>
        <v>0</v>
      </c>
    </row>
    <row r="9" spans="1:13" x14ac:dyDescent="0.35">
      <c r="A9" t="s">
        <v>45</v>
      </c>
      <c r="B9" t="s">
        <v>5</v>
      </c>
      <c r="C9" t="s">
        <v>13</v>
      </c>
      <c r="D9" t="s">
        <v>153</v>
      </c>
      <c r="E9" t="s">
        <v>41</v>
      </c>
      <c r="F9" s="4">
        <v>12.380672200000001</v>
      </c>
      <c r="G9" s="4">
        <f>IFERROR(F9-alt_Blanks!$I$9,F9)</f>
        <v>12.380672200000001</v>
      </c>
      <c r="H9" s="7">
        <f t="shared" si="1"/>
        <v>12.380672200000001</v>
      </c>
      <c r="I9" s="7">
        <f t="shared" si="0"/>
        <v>30.137955696202535</v>
      </c>
    </row>
    <row r="10" spans="1:13" x14ac:dyDescent="0.35">
      <c r="A10" t="s">
        <v>45</v>
      </c>
      <c r="B10" t="s">
        <v>5</v>
      </c>
      <c r="C10" t="s">
        <v>14</v>
      </c>
      <c r="D10" t="s">
        <v>154</v>
      </c>
      <c r="E10" t="s">
        <v>41</v>
      </c>
      <c r="F10" s="4">
        <v>0</v>
      </c>
      <c r="G10" s="4">
        <f>IFERROR(F10-alt_Blanks!$I$10,F10)</f>
        <v>0</v>
      </c>
      <c r="H10" s="7">
        <f t="shared" si="1"/>
        <v>0</v>
      </c>
      <c r="I10" s="7">
        <f t="shared" si="0"/>
        <v>0</v>
      </c>
    </row>
    <row r="11" spans="1:13" x14ac:dyDescent="0.35">
      <c r="A11" t="s">
        <v>45</v>
      </c>
      <c r="B11" t="s">
        <v>5</v>
      </c>
      <c r="C11" t="s">
        <v>15</v>
      </c>
      <c r="D11" t="s">
        <v>153</v>
      </c>
      <c r="E11" t="s">
        <v>41</v>
      </c>
      <c r="F11" s="4">
        <v>2493.7801046000004</v>
      </c>
      <c r="G11" s="4">
        <f>IFERROR(F11-alt_Blanks!$I$11,F11)</f>
        <v>1688.5634149000005</v>
      </c>
      <c r="H11" s="7">
        <f t="shared" si="1"/>
        <v>1688.5634149000005</v>
      </c>
      <c r="I11" s="7">
        <f t="shared" si="0"/>
        <v>4110.4270080331071</v>
      </c>
    </row>
    <row r="12" spans="1:13" x14ac:dyDescent="0.35">
      <c r="A12" t="s">
        <v>45</v>
      </c>
      <c r="B12" t="s">
        <v>5</v>
      </c>
      <c r="C12" t="s">
        <v>16</v>
      </c>
      <c r="D12" t="s">
        <v>154</v>
      </c>
      <c r="E12" t="s">
        <v>41</v>
      </c>
      <c r="F12" s="4">
        <v>349.68087760000003</v>
      </c>
      <c r="G12" s="4">
        <f>IFERROR(F12-alt_Blanks!$I$12,F12)</f>
        <v>349.68087760000003</v>
      </c>
      <c r="H12" s="7">
        <f t="shared" si="1"/>
        <v>349.68087760000003</v>
      </c>
      <c r="I12" s="7">
        <f t="shared" si="0"/>
        <v>851.21927361246355</v>
      </c>
    </row>
    <row r="13" spans="1:13" x14ac:dyDescent="0.35">
      <c r="A13" t="s">
        <v>45</v>
      </c>
      <c r="B13" t="s">
        <v>5</v>
      </c>
      <c r="C13" t="s">
        <v>17</v>
      </c>
      <c r="D13" t="s">
        <v>153</v>
      </c>
      <c r="E13" t="s">
        <v>41</v>
      </c>
      <c r="F13" s="4">
        <v>19.372226600000001</v>
      </c>
      <c r="G13" s="4">
        <f>IFERROR(F13-alt_Blanks!$I$13,F13)</f>
        <v>18.519513100000001</v>
      </c>
      <c r="H13" s="7">
        <f t="shared" si="1"/>
        <v>18.519513100000001</v>
      </c>
      <c r="I13" s="7">
        <f t="shared" si="0"/>
        <v>45.081580087633888</v>
      </c>
    </row>
    <row r="14" spans="1:13" x14ac:dyDescent="0.35">
      <c r="A14" t="s">
        <v>45</v>
      </c>
      <c r="B14" t="s">
        <v>5</v>
      </c>
      <c r="C14" t="s">
        <v>18</v>
      </c>
      <c r="D14" t="s">
        <v>154</v>
      </c>
      <c r="E14" t="s">
        <v>41</v>
      </c>
      <c r="F14" s="4">
        <v>0</v>
      </c>
      <c r="G14" s="4">
        <f>IFERROR(F14-alt_Blanks!$I$14,F14)</f>
        <v>0</v>
      </c>
      <c r="H14" s="7">
        <f t="shared" si="1"/>
        <v>0</v>
      </c>
      <c r="I14" s="7">
        <f t="shared" si="0"/>
        <v>0</v>
      </c>
    </row>
    <row r="15" spans="1:13" x14ac:dyDescent="0.35">
      <c r="A15" t="s">
        <v>45</v>
      </c>
      <c r="B15" t="s">
        <v>5</v>
      </c>
      <c r="C15" t="s">
        <v>19</v>
      </c>
      <c r="D15" t="s">
        <v>153</v>
      </c>
      <c r="E15" t="s">
        <v>41</v>
      </c>
      <c r="F15" s="4">
        <v>465.12035049999997</v>
      </c>
      <c r="G15" s="4">
        <f>IFERROR(F15-alt_Blanks!$I$15,F15)</f>
        <v>196.4969534</v>
      </c>
      <c r="H15" s="7">
        <f t="shared" si="1"/>
        <v>196.4969534</v>
      </c>
      <c r="I15" s="7">
        <f t="shared" si="0"/>
        <v>478.3275399221032</v>
      </c>
    </row>
    <row r="16" spans="1:13" x14ac:dyDescent="0.35">
      <c r="A16" t="s">
        <v>45</v>
      </c>
      <c r="B16" t="s">
        <v>5</v>
      </c>
      <c r="C16" t="s">
        <v>20</v>
      </c>
      <c r="D16" t="s">
        <v>154</v>
      </c>
      <c r="E16" t="s">
        <v>41</v>
      </c>
      <c r="F16" s="4">
        <v>393.73369679999996</v>
      </c>
      <c r="G16" s="4">
        <f>IFERROR(F16-alt_Blanks!$I$16,F16)</f>
        <v>375.26778359999997</v>
      </c>
      <c r="H16" s="7">
        <f t="shared" si="1"/>
        <v>375.26778359999997</v>
      </c>
      <c r="I16" s="7">
        <f t="shared" si="0"/>
        <v>913.50482862706906</v>
      </c>
    </row>
    <row r="17" spans="1:9" x14ac:dyDescent="0.35">
      <c r="A17" t="s">
        <v>45</v>
      </c>
      <c r="B17" t="s">
        <v>5</v>
      </c>
      <c r="C17" t="s">
        <v>21</v>
      </c>
      <c r="D17" t="s">
        <v>155</v>
      </c>
      <c r="E17" t="s">
        <v>41</v>
      </c>
      <c r="F17" s="4">
        <v>0.36288819999999999</v>
      </c>
      <c r="G17" s="4">
        <f>IFERROR(F17-alt_Blanks!$I$17,F17)</f>
        <v>3.0934799999999985E-2</v>
      </c>
      <c r="H17" s="7">
        <f t="shared" si="1"/>
        <v>3.0934799999999985E-2</v>
      </c>
      <c r="I17" s="7">
        <f t="shared" si="0"/>
        <v>7.5303797468354389E-2</v>
      </c>
    </row>
    <row r="18" spans="1:9" x14ac:dyDescent="0.35">
      <c r="A18" t="s">
        <v>45</v>
      </c>
      <c r="B18" t="s">
        <v>5</v>
      </c>
      <c r="C18" t="s">
        <v>22</v>
      </c>
      <c r="D18" t="s">
        <v>155</v>
      </c>
      <c r="E18" t="s">
        <v>41</v>
      </c>
      <c r="F18" s="4">
        <v>217.57505460000002</v>
      </c>
      <c r="G18" s="4">
        <f>IFERROR(F18-alt_Blanks!$I$18,F18)</f>
        <v>211.571595</v>
      </c>
      <c r="H18" s="7">
        <f t="shared" si="1"/>
        <v>211.571595</v>
      </c>
      <c r="I18" s="7">
        <f t="shared" si="0"/>
        <v>515.02335686465437</v>
      </c>
    </row>
    <row r="19" spans="1:9" x14ac:dyDescent="0.35">
      <c r="A19" t="s">
        <v>45</v>
      </c>
      <c r="B19" t="s">
        <v>5</v>
      </c>
      <c r="C19" t="s">
        <v>23</v>
      </c>
      <c r="D19" t="s">
        <v>155</v>
      </c>
      <c r="E19" t="s">
        <v>41</v>
      </c>
      <c r="F19" s="4">
        <v>0</v>
      </c>
      <c r="G19" s="4">
        <f>IFERROR(F19-alt_Blanks!$I$19,F19)</f>
        <v>0</v>
      </c>
      <c r="H19" s="7">
        <f t="shared" si="1"/>
        <v>0</v>
      </c>
      <c r="I19" s="7">
        <f t="shared" si="0"/>
        <v>0</v>
      </c>
    </row>
    <row r="20" spans="1:9" x14ac:dyDescent="0.35">
      <c r="A20" t="s">
        <v>45</v>
      </c>
      <c r="B20" t="s">
        <v>5</v>
      </c>
      <c r="C20" t="s">
        <v>24</v>
      </c>
      <c r="D20" t="s">
        <v>155</v>
      </c>
      <c r="E20" t="s">
        <v>41</v>
      </c>
      <c r="F20" s="4">
        <v>181.89141219999999</v>
      </c>
      <c r="G20" s="4">
        <f>IFERROR(F20-alt_Blanks!$I$20,F20)</f>
        <v>179.95343679999999</v>
      </c>
      <c r="H20" s="7">
        <f t="shared" si="1"/>
        <v>179.95343679999999</v>
      </c>
      <c r="I20" s="7">
        <f t="shared" si="0"/>
        <v>438.05607789678675</v>
      </c>
    </row>
    <row r="21" spans="1:9" x14ac:dyDescent="0.35">
      <c r="A21" t="s">
        <v>45</v>
      </c>
      <c r="B21" t="s">
        <v>5</v>
      </c>
      <c r="C21" t="s">
        <v>25</v>
      </c>
      <c r="D21" t="s">
        <v>155</v>
      </c>
      <c r="E21" t="s">
        <v>41</v>
      </c>
      <c r="F21" s="4">
        <v>8.8877940999999989</v>
      </c>
      <c r="G21" s="4">
        <f>IFERROR(F21-alt_Blanks!$I$21,F21)</f>
        <v>8.6732849999999981</v>
      </c>
      <c r="H21" s="7">
        <f t="shared" si="1"/>
        <v>8.6732849999999981</v>
      </c>
      <c r="I21" s="7">
        <f t="shared" si="0"/>
        <v>21.113157254138262</v>
      </c>
    </row>
    <row r="22" spans="1:9" x14ac:dyDescent="0.35">
      <c r="A22" t="s">
        <v>45</v>
      </c>
      <c r="B22" t="s">
        <v>5</v>
      </c>
      <c r="C22" t="s">
        <v>26</v>
      </c>
      <c r="D22" t="s">
        <v>153</v>
      </c>
      <c r="E22" t="s">
        <v>41</v>
      </c>
      <c r="F22" s="4">
        <v>4.7820946000000006</v>
      </c>
      <c r="G22" s="4">
        <f>IFERROR(F22-alt_Blanks!$I$22,F22)</f>
        <v>3.1873732000000006</v>
      </c>
      <c r="H22" s="7">
        <f t="shared" si="1"/>
        <v>3.1873732000000006</v>
      </c>
      <c r="I22" s="7">
        <f t="shared" si="0"/>
        <v>7.7589415774099333</v>
      </c>
    </row>
    <row r="23" spans="1:9" x14ac:dyDescent="0.35">
      <c r="A23" t="s">
        <v>45</v>
      </c>
      <c r="B23" t="s">
        <v>5</v>
      </c>
      <c r="C23" t="s">
        <v>27</v>
      </c>
      <c r="D23" t="s">
        <v>154</v>
      </c>
      <c r="E23" t="s">
        <v>41</v>
      </c>
      <c r="F23" s="4">
        <v>9.3887077000000012</v>
      </c>
      <c r="G23" s="4">
        <f>IFERROR(F23-alt_Blanks!$I$23,F23)</f>
        <v>9.2679703000000018</v>
      </c>
      <c r="H23" s="7">
        <f t="shared" si="1"/>
        <v>9.2679703000000018</v>
      </c>
      <c r="I23" s="7">
        <f t="shared" si="0"/>
        <v>22.560784566699127</v>
      </c>
    </row>
    <row r="24" spans="1:9" x14ac:dyDescent="0.35">
      <c r="A24" t="s">
        <v>45</v>
      </c>
      <c r="B24" t="s">
        <v>5</v>
      </c>
      <c r="C24" t="s">
        <v>28</v>
      </c>
      <c r="D24" t="s">
        <v>155</v>
      </c>
      <c r="E24" t="s">
        <v>41</v>
      </c>
      <c r="F24" s="4">
        <v>22.894910800000002</v>
      </c>
      <c r="G24" s="4">
        <f>IFERROR(F24-alt_Blanks!$I$24,F24)</f>
        <v>22.647741200000002</v>
      </c>
      <c r="H24" s="7">
        <f t="shared" si="1"/>
        <v>22.647741200000002</v>
      </c>
      <c r="I24" s="7">
        <f t="shared" si="0"/>
        <v>55.130820837390466</v>
      </c>
    </row>
    <row r="25" spans="1:9" x14ac:dyDescent="0.35">
      <c r="A25" t="s">
        <v>45</v>
      </c>
      <c r="B25" t="s">
        <v>5</v>
      </c>
      <c r="C25" t="s">
        <v>29</v>
      </c>
      <c r="D25" t="s">
        <v>155</v>
      </c>
      <c r="E25" t="s">
        <v>41</v>
      </c>
      <c r="F25" s="4">
        <v>0.4021034</v>
      </c>
      <c r="G25" s="4">
        <f>IFERROR(F25-alt_Blanks!$I$25,F25)</f>
        <v>-7.0137399999999961E-2</v>
      </c>
      <c r="H25" s="7">
        <f t="shared" si="1"/>
        <v>0</v>
      </c>
      <c r="I25" s="7">
        <f t="shared" si="0"/>
        <v>0</v>
      </c>
    </row>
    <row r="26" spans="1:9" x14ac:dyDescent="0.35">
      <c r="A26" t="s">
        <v>45</v>
      </c>
      <c r="B26" t="s">
        <v>5</v>
      </c>
      <c r="C26" t="s">
        <v>30</v>
      </c>
      <c r="D26" t="s">
        <v>155</v>
      </c>
      <c r="E26" t="s">
        <v>41</v>
      </c>
      <c r="F26" s="4">
        <v>214.76229240000001</v>
      </c>
      <c r="G26" s="4">
        <f>IFERROR(F26-alt_Blanks!$I$26,F26)</f>
        <v>214.1821161</v>
      </c>
      <c r="H26" s="7">
        <f t="shared" si="1"/>
        <v>214.1821161</v>
      </c>
      <c r="I26" s="7">
        <f t="shared" si="0"/>
        <v>521.37808203505358</v>
      </c>
    </row>
    <row r="27" spans="1:9" x14ac:dyDescent="0.35">
      <c r="A27" t="s">
        <v>45</v>
      </c>
      <c r="B27" t="s">
        <v>5</v>
      </c>
      <c r="C27" t="s">
        <v>31</v>
      </c>
      <c r="D27" t="s">
        <v>155</v>
      </c>
      <c r="E27" t="s">
        <v>41</v>
      </c>
      <c r="F27" s="4" t="e">
        <v>#N/A</v>
      </c>
      <c r="G27" s="4" t="e">
        <f>IFERROR(F27-alt_Blanks!$I$27,F27)</f>
        <v>#N/A</v>
      </c>
      <c r="H27" s="7" t="e">
        <f t="shared" si="1"/>
        <v>#N/A</v>
      </c>
      <c r="I27" s="7" t="e">
        <f t="shared" si="0"/>
        <v>#N/A</v>
      </c>
    </row>
    <row r="28" spans="1:9" x14ac:dyDescent="0.35">
      <c r="A28" t="s">
        <v>45</v>
      </c>
      <c r="B28" t="s">
        <v>5</v>
      </c>
      <c r="C28" t="s">
        <v>32</v>
      </c>
      <c r="D28" t="s">
        <v>153</v>
      </c>
      <c r="E28" t="s">
        <v>41</v>
      </c>
      <c r="F28" s="4">
        <v>0</v>
      </c>
      <c r="G28" s="4">
        <f>IFERROR(F28-alt_Blanks!$I$28,F28)</f>
        <v>0</v>
      </c>
      <c r="H28" s="7">
        <f t="shared" si="1"/>
        <v>0</v>
      </c>
      <c r="I28" s="7">
        <f t="shared" si="0"/>
        <v>0</v>
      </c>
    </row>
    <row r="29" spans="1:9" x14ac:dyDescent="0.35">
      <c r="A29" t="s">
        <v>45</v>
      </c>
      <c r="B29" t="s">
        <v>5</v>
      </c>
      <c r="C29" t="s">
        <v>33</v>
      </c>
      <c r="D29" t="s">
        <v>155</v>
      </c>
      <c r="E29" t="s">
        <v>41</v>
      </c>
      <c r="F29" s="4">
        <v>187.3859448</v>
      </c>
      <c r="G29" s="4">
        <f>IFERROR(F29-alt_Blanks!$I$29,F29)</f>
        <v>186.77432379999999</v>
      </c>
      <c r="H29" s="7">
        <f t="shared" si="1"/>
        <v>186.77432379999999</v>
      </c>
      <c r="I29" s="7">
        <f t="shared" si="0"/>
        <v>454.6599897760467</v>
      </c>
    </row>
    <row r="30" spans="1:9" x14ac:dyDescent="0.35">
      <c r="A30" t="s">
        <v>45</v>
      </c>
      <c r="B30" t="s">
        <v>5</v>
      </c>
      <c r="C30" t="s">
        <v>34</v>
      </c>
      <c r="D30" t="s">
        <v>153</v>
      </c>
      <c r="E30" t="s">
        <v>41</v>
      </c>
      <c r="F30" s="4">
        <v>0</v>
      </c>
      <c r="G30" s="4">
        <f>IFERROR(F30-alt_Blanks!$I$30,F30)</f>
        <v>0</v>
      </c>
      <c r="H30" s="7">
        <f t="shared" si="1"/>
        <v>0</v>
      </c>
      <c r="I30" s="7">
        <f t="shared" si="0"/>
        <v>0</v>
      </c>
    </row>
    <row r="31" spans="1:9" x14ac:dyDescent="0.35">
      <c r="A31" t="s">
        <v>45</v>
      </c>
      <c r="B31" t="s">
        <v>5</v>
      </c>
      <c r="C31" t="s">
        <v>35</v>
      </c>
      <c r="D31" t="s">
        <v>154</v>
      </c>
      <c r="E31" t="s">
        <v>41</v>
      </c>
      <c r="F31" s="4">
        <v>94.303770799999995</v>
      </c>
      <c r="G31" s="4">
        <f>IFERROR(F31-alt_Blanks!$I$31,F31)</f>
        <v>-8.1508627999999987</v>
      </c>
      <c r="H31" s="7">
        <f t="shared" si="1"/>
        <v>0</v>
      </c>
      <c r="I31" s="7">
        <f t="shared" si="0"/>
        <v>0</v>
      </c>
    </row>
    <row r="32" spans="1:9" x14ac:dyDescent="0.35">
      <c r="A32" t="s">
        <v>45</v>
      </c>
      <c r="B32" t="s">
        <v>5</v>
      </c>
      <c r="C32" t="s">
        <v>36</v>
      </c>
      <c r="D32" t="s">
        <v>155</v>
      </c>
      <c r="E32" t="s">
        <v>41</v>
      </c>
      <c r="F32" s="4">
        <v>1.9159594</v>
      </c>
      <c r="G32" s="4">
        <f>IFERROR(F32-alt_Blanks!$I$32,F32)</f>
        <v>-1.1609100000000039E-2</v>
      </c>
      <c r="H32" s="7">
        <f t="shared" si="1"/>
        <v>0</v>
      </c>
      <c r="I32" s="7">
        <f t="shared" si="0"/>
        <v>0</v>
      </c>
    </row>
    <row r="33" spans="1:9" x14ac:dyDescent="0.35">
      <c r="A33" t="s">
        <v>45</v>
      </c>
      <c r="B33" t="s">
        <v>5</v>
      </c>
      <c r="C33" t="s">
        <v>37</v>
      </c>
      <c r="D33" t="s">
        <v>155</v>
      </c>
      <c r="E33" t="s">
        <v>41</v>
      </c>
      <c r="F33" s="4">
        <v>5.5423441000000002</v>
      </c>
      <c r="G33" s="4">
        <f>IFERROR(F33-alt_Blanks!$I$33,F33)</f>
        <v>5.5423441000000002</v>
      </c>
      <c r="H33" s="7">
        <f t="shared" si="1"/>
        <v>5.5423441000000002</v>
      </c>
      <c r="I33" s="7">
        <f t="shared" si="0"/>
        <v>13.491587390457644</v>
      </c>
    </row>
    <row r="34" spans="1:9" x14ac:dyDescent="0.35">
      <c r="A34" t="s">
        <v>45</v>
      </c>
      <c r="B34" t="s">
        <v>5</v>
      </c>
      <c r="C34" t="s">
        <v>38</v>
      </c>
      <c r="D34" t="s">
        <v>155</v>
      </c>
      <c r="E34" t="s">
        <v>41</v>
      </c>
      <c r="F34" s="4">
        <v>6.4709817000000003</v>
      </c>
      <c r="G34" s="4">
        <f>IFERROR(F34-alt_Blanks!$I$34,F34)</f>
        <v>6.4709817000000003</v>
      </c>
      <c r="H34" s="7">
        <f t="shared" si="1"/>
        <v>6.4709817000000003</v>
      </c>
      <c r="I34" s="7">
        <f t="shared" si="0"/>
        <v>15.75214629990263</v>
      </c>
    </row>
    <row r="35" spans="1:9" x14ac:dyDescent="0.35">
      <c r="A35" t="s">
        <v>45</v>
      </c>
      <c r="B35" t="s">
        <v>5</v>
      </c>
      <c r="C35" t="s">
        <v>39</v>
      </c>
      <c r="D35" t="s">
        <v>153</v>
      </c>
      <c r="E35" t="s">
        <v>41</v>
      </c>
      <c r="F35" s="4">
        <v>6.6126120000000004</v>
      </c>
      <c r="G35" s="4">
        <f>IFERROR(F35-alt_Blanks!$I$35,F35)</f>
        <v>6.6126120000000004</v>
      </c>
      <c r="H35" s="7">
        <f t="shared" si="1"/>
        <v>6.6126120000000004</v>
      </c>
      <c r="I35" s="7">
        <f t="shared" si="0"/>
        <v>16.096913339824734</v>
      </c>
    </row>
    <row r="36" spans="1:9" x14ac:dyDescent="0.35">
      <c r="A36" t="s">
        <v>45</v>
      </c>
      <c r="B36" t="s">
        <v>5</v>
      </c>
      <c r="C36" t="s">
        <v>40</v>
      </c>
      <c r="D36" t="s">
        <v>154</v>
      </c>
      <c r="E36" t="s">
        <v>41</v>
      </c>
      <c r="F36" s="4">
        <v>0</v>
      </c>
      <c r="G36" s="4">
        <f>IFERROR(F36-alt_Blanks!$I$36,F36)</f>
        <v>0</v>
      </c>
      <c r="H36" s="7">
        <f t="shared" si="1"/>
        <v>0</v>
      </c>
      <c r="I36" s="7">
        <f t="shared" si="0"/>
        <v>0</v>
      </c>
    </row>
    <row r="37" spans="1:9" x14ac:dyDescent="0.35">
      <c r="A37" t="s">
        <v>46</v>
      </c>
      <c r="B37" t="s">
        <v>43</v>
      </c>
      <c r="C37" t="s">
        <v>6</v>
      </c>
      <c r="D37" t="s">
        <v>153</v>
      </c>
      <c r="E37" t="s">
        <v>41</v>
      </c>
      <c r="F37" s="4">
        <v>6.7014392999999997</v>
      </c>
      <c r="G37" s="4">
        <f>IFERROR(F37-alt_Blanks!$I$2,F37)</f>
        <v>-5.1018000000011554E-3</v>
      </c>
      <c r="H37" s="7">
        <f t="shared" si="1"/>
        <v>0</v>
      </c>
      <c r="I37" s="7">
        <f>H37/0.6072</f>
        <v>0</v>
      </c>
    </row>
    <row r="38" spans="1:9" x14ac:dyDescent="0.35">
      <c r="A38" t="s">
        <v>46</v>
      </c>
      <c r="B38" t="s">
        <v>43</v>
      </c>
      <c r="C38" t="s">
        <v>7</v>
      </c>
      <c r="D38" t="s">
        <v>153</v>
      </c>
      <c r="E38" t="s">
        <v>41</v>
      </c>
      <c r="F38" s="4">
        <v>0</v>
      </c>
      <c r="G38" s="4">
        <f>IFERROR(F38-alt_Blanks!$I$3,F38)</f>
        <v>0</v>
      </c>
      <c r="H38" s="7">
        <f t="shared" si="1"/>
        <v>0</v>
      </c>
      <c r="I38" s="7">
        <f t="shared" ref="I38:I71" si="2">H38/0.6072</f>
        <v>0</v>
      </c>
    </row>
    <row r="39" spans="1:9" x14ac:dyDescent="0.35">
      <c r="A39" t="s">
        <v>46</v>
      </c>
      <c r="B39" t="s">
        <v>43</v>
      </c>
      <c r="C39" t="s">
        <v>8</v>
      </c>
      <c r="D39" t="s">
        <v>153</v>
      </c>
      <c r="E39" t="s">
        <v>41</v>
      </c>
      <c r="F39" s="4">
        <v>0</v>
      </c>
      <c r="G39" s="4">
        <f>IFERROR(F39-alt_Blanks!$I$4,F39)</f>
        <v>0</v>
      </c>
      <c r="H39" s="7">
        <f t="shared" si="1"/>
        <v>0</v>
      </c>
      <c r="I39" s="7">
        <f t="shared" si="2"/>
        <v>0</v>
      </c>
    </row>
    <row r="40" spans="1:9" x14ac:dyDescent="0.35">
      <c r="A40" t="s">
        <v>46</v>
      </c>
      <c r="B40" t="s">
        <v>43</v>
      </c>
      <c r="C40" t="s">
        <v>9</v>
      </c>
      <c r="D40" t="s">
        <v>153</v>
      </c>
      <c r="E40" t="s">
        <v>41</v>
      </c>
      <c r="F40" s="4">
        <v>8.8682996000000003</v>
      </c>
      <c r="G40" s="4">
        <f>IFERROR(F40-alt_Blanks!$I$5,F40)</f>
        <v>8.8682996000000003</v>
      </c>
      <c r="H40" s="7">
        <f t="shared" si="1"/>
        <v>8.8682996000000003</v>
      </c>
      <c r="I40" s="7">
        <f t="shared" si="2"/>
        <v>14.60523649538867</v>
      </c>
    </row>
    <row r="41" spans="1:9" x14ac:dyDescent="0.35">
      <c r="A41" t="s">
        <v>46</v>
      </c>
      <c r="B41" t="s">
        <v>43</v>
      </c>
      <c r="C41" t="s">
        <v>10</v>
      </c>
      <c r="D41" t="s">
        <v>153</v>
      </c>
      <c r="E41" t="s">
        <v>41</v>
      </c>
      <c r="F41" s="4">
        <v>96.253498500000006</v>
      </c>
      <c r="G41" s="4">
        <f>IFERROR(F41-alt_Blanks!$I$6,F41)</f>
        <v>96.253498500000006</v>
      </c>
      <c r="H41" s="7">
        <f t="shared" si="1"/>
        <v>96.253498500000006</v>
      </c>
      <c r="I41" s="7">
        <f t="shared" si="2"/>
        <v>158.52025444664034</v>
      </c>
    </row>
    <row r="42" spans="1:9" x14ac:dyDescent="0.35">
      <c r="A42" t="s">
        <v>46</v>
      </c>
      <c r="B42" t="s">
        <v>43</v>
      </c>
      <c r="C42" t="s">
        <v>11</v>
      </c>
      <c r="D42" t="s">
        <v>153</v>
      </c>
      <c r="E42" t="s">
        <v>41</v>
      </c>
      <c r="F42" s="4">
        <v>91.746002500000003</v>
      </c>
      <c r="G42" s="4">
        <f>IFERROR(F42-alt_Blanks!$I$7,F42)</f>
        <v>91.746002500000003</v>
      </c>
      <c r="H42" s="7">
        <f t="shared" si="1"/>
        <v>91.746002500000003</v>
      </c>
      <c r="I42" s="7">
        <f t="shared" si="2"/>
        <v>151.09684206192361</v>
      </c>
    </row>
    <row r="43" spans="1:9" x14ac:dyDescent="0.35">
      <c r="A43" t="s">
        <v>46</v>
      </c>
      <c r="B43" t="s">
        <v>43</v>
      </c>
      <c r="C43" t="s">
        <v>12</v>
      </c>
      <c r="D43" t="s">
        <v>154</v>
      </c>
      <c r="E43" t="s">
        <v>41</v>
      </c>
      <c r="F43" s="4">
        <v>0</v>
      </c>
      <c r="G43" s="4">
        <f>IFERROR(F43-alt_Blanks!$I$8,F43)</f>
        <v>0</v>
      </c>
      <c r="H43" s="7">
        <f t="shared" si="1"/>
        <v>0</v>
      </c>
      <c r="I43" s="7">
        <f t="shared" si="2"/>
        <v>0</v>
      </c>
    </row>
    <row r="44" spans="1:9" x14ac:dyDescent="0.35">
      <c r="A44" t="s">
        <v>46</v>
      </c>
      <c r="B44" t="s">
        <v>43</v>
      </c>
      <c r="C44" t="s">
        <v>13</v>
      </c>
      <c r="D44" t="s">
        <v>153</v>
      </c>
      <c r="E44" t="s">
        <v>41</v>
      </c>
      <c r="F44" s="4">
        <v>14.8679299</v>
      </c>
      <c r="G44" s="4">
        <f>IFERROR(F44-alt_Blanks!$I$9,F44)</f>
        <v>14.8679299</v>
      </c>
      <c r="H44" s="7">
        <f t="shared" si="1"/>
        <v>14.8679299</v>
      </c>
      <c r="I44" s="7">
        <f t="shared" si="2"/>
        <v>24.486050559947302</v>
      </c>
    </row>
    <row r="45" spans="1:9" x14ac:dyDescent="0.35">
      <c r="A45" t="s">
        <v>46</v>
      </c>
      <c r="B45" t="s">
        <v>43</v>
      </c>
      <c r="C45" t="s">
        <v>14</v>
      </c>
      <c r="D45" t="s">
        <v>154</v>
      </c>
      <c r="E45" t="s">
        <v>41</v>
      </c>
      <c r="F45" s="4">
        <v>0</v>
      </c>
      <c r="G45" s="4">
        <f>IFERROR(F45-alt_Blanks!$I$10,F45)</f>
        <v>0</v>
      </c>
      <c r="H45" s="7">
        <f t="shared" si="1"/>
        <v>0</v>
      </c>
      <c r="I45" s="7">
        <f t="shared" si="2"/>
        <v>0</v>
      </c>
    </row>
    <row r="46" spans="1:9" x14ac:dyDescent="0.35">
      <c r="A46" t="s">
        <v>46</v>
      </c>
      <c r="B46" t="s">
        <v>43</v>
      </c>
      <c r="C46" t="s">
        <v>15</v>
      </c>
      <c r="D46" t="s">
        <v>153</v>
      </c>
      <c r="E46" t="s">
        <v>41</v>
      </c>
      <c r="F46" s="4">
        <v>2296.9465058000001</v>
      </c>
      <c r="G46" s="4">
        <f>IFERROR(F46-alt_Blanks!$I$11,F46)</f>
        <v>1491.7298161000001</v>
      </c>
      <c r="H46" s="7">
        <f t="shared" si="1"/>
        <v>1491.7298161000001</v>
      </c>
      <c r="I46" s="7">
        <f t="shared" si="2"/>
        <v>2456.7355337615286</v>
      </c>
    </row>
    <row r="47" spans="1:9" x14ac:dyDescent="0.35">
      <c r="A47" t="s">
        <v>46</v>
      </c>
      <c r="B47" t="s">
        <v>43</v>
      </c>
      <c r="C47" t="s">
        <v>16</v>
      </c>
      <c r="D47" t="s">
        <v>154</v>
      </c>
      <c r="E47" t="s">
        <v>41</v>
      </c>
      <c r="F47" s="4">
        <v>321.00218630000001</v>
      </c>
      <c r="G47" s="4">
        <f>IFERROR(F47-alt_Blanks!$I$12,F47)</f>
        <v>321.00218630000001</v>
      </c>
      <c r="H47" s="7">
        <f t="shared" si="1"/>
        <v>321.00218630000001</v>
      </c>
      <c r="I47" s="7">
        <f t="shared" si="2"/>
        <v>528.65972710803692</v>
      </c>
    </row>
    <row r="48" spans="1:9" x14ac:dyDescent="0.35">
      <c r="A48" t="s">
        <v>46</v>
      </c>
      <c r="B48" t="s">
        <v>43</v>
      </c>
      <c r="C48" t="s">
        <v>17</v>
      </c>
      <c r="D48" t="s">
        <v>153</v>
      </c>
      <c r="E48" t="s">
        <v>41</v>
      </c>
      <c r="F48" s="4">
        <v>18.381928199999997</v>
      </c>
      <c r="G48" s="4">
        <f>IFERROR(F48-alt_Blanks!$I$13,F48)</f>
        <v>17.529214699999997</v>
      </c>
      <c r="H48" s="7">
        <f t="shared" si="1"/>
        <v>17.529214699999997</v>
      </c>
      <c r="I48" s="7">
        <f t="shared" si="2"/>
        <v>28.86893066534914</v>
      </c>
    </row>
    <row r="49" spans="1:18" x14ac:dyDescent="0.35">
      <c r="A49" t="s">
        <v>46</v>
      </c>
      <c r="B49" t="s">
        <v>43</v>
      </c>
      <c r="C49" t="s">
        <v>18</v>
      </c>
      <c r="D49" t="s">
        <v>154</v>
      </c>
      <c r="E49" t="s">
        <v>41</v>
      </c>
      <c r="F49" s="4">
        <v>0</v>
      </c>
      <c r="G49" s="4">
        <f>IFERROR(F49-alt_Blanks!$I$14,F49)</f>
        <v>0</v>
      </c>
      <c r="H49" s="7">
        <f t="shared" si="1"/>
        <v>0</v>
      </c>
      <c r="I49" s="7">
        <f t="shared" si="2"/>
        <v>0</v>
      </c>
    </row>
    <row r="50" spans="1:18" x14ac:dyDescent="0.35">
      <c r="A50" t="s">
        <v>46</v>
      </c>
      <c r="B50" t="s">
        <v>43</v>
      </c>
      <c r="C50" t="s">
        <v>19</v>
      </c>
      <c r="D50" t="s">
        <v>153</v>
      </c>
      <c r="E50" t="s">
        <v>41</v>
      </c>
      <c r="F50" s="4">
        <v>384.21906969999998</v>
      </c>
      <c r="G50" s="4">
        <f>IFERROR(F50-alt_Blanks!$I$15,F50)</f>
        <v>115.5956726</v>
      </c>
      <c r="H50" s="7">
        <f t="shared" si="1"/>
        <v>115.5956726</v>
      </c>
      <c r="I50" s="7">
        <f t="shared" si="2"/>
        <v>190.37495487483531</v>
      </c>
    </row>
    <row r="51" spans="1:18" x14ac:dyDescent="0.35">
      <c r="A51" t="s">
        <v>46</v>
      </c>
      <c r="B51" t="s">
        <v>43</v>
      </c>
      <c r="C51" t="s">
        <v>20</v>
      </c>
      <c r="D51" t="s">
        <v>154</v>
      </c>
      <c r="E51" t="s">
        <v>41</v>
      </c>
      <c r="F51" s="4">
        <v>419.33310499999999</v>
      </c>
      <c r="G51" s="4">
        <f>IFERROR(F51-alt_Blanks!$I$16,F51)</f>
        <v>400.8671918</v>
      </c>
      <c r="H51" s="7">
        <f t="shared" si="1"/>
        <v>400.8671918</v>
      </c>
      <c r="I51" s="7">
        <f t="shared" si="2"/>
        <v>660.18970981554685</v>
      </c>
    </row>
    <row r="52" spans="1:18" x14ac:dyDescent="0.35">
      <c r="A52" t="s">
        <v>46</v>
      </c>
      <c r="B52" t="s">
        <v>43</v>
      </c>
      <c r="C52" t="s">
        <v>21</v>
      </c>
      <c r="D52" t="s">
        <v>155</v>
      </c>
      <c r="E52" t="s">
        <v>41</v>
      </c>
      <c r="F52" s="4">
        <v>0.74719939999999996</v>
      </c>
      <c r="G52" s="4">
        <f>IFERROR(F52-alt_Blanks!$I$17,F52)</f>
        <v>0.41524599999999995</v>
      </c>
      <c r="H52" s="7">
        <f t="shared" si="1"/>
        <v>0.41524599999999995</v>
      </c>
      <c r="I52" s="7">
        <f t="shared" si="2"/>
        <v>0.68387022397891961</v>
      </c>
    </row>
    <row r="53" spans="1:18" x14ac:dyDescent="0.35">
      <c r="A53" t="s">
        <v>46</v>
      </c>
      <c r="B53" t="s">
        <v>43</v>
      </c>
      <c r="C53" t="s">
        <v>22</v>
      </c>
      <c r="D53" t="s">
        <v>155</v>
      </c>
      <c r="E53" t="s">
        <v>41</v>
      </c>
      <c r="F53" s="4">
        <v>202.13776910000001</v>
      </c>
      <c r="G53" s="4">
        <f>IFERROR(F53-alt_Blanks!$I$18,F53)</f>
        <v>196.1343095</v>
      </c>
      <c r="H53" s="7">
        <f t="shared" si="1"/>
        <v>196.1343095</v>
      </c>
      <c r="I53" s="7">
        <f t="shared" si="2"/>
        <v>323.01434370882743</v>
      </c>
      <c r="R53" s="7"/>
    </row>
    <row r="54" spans="1:18" x14ac:dyDescent="0.35">
      <c r="A54" t="s">
        <v>46</v>
      </c>
      <c r="B54" t="s">
        <v>43</v>
      </c>
      <c r="C54" t="s">
        <v>23</v>
      </c>
      <c r="D54" t="s">
        <v>155</v>
      </c>
      <c r="E54" t="s">
        <v>41</v>
      </c>
      <c r="F54" s="4">
        <v>0</v>
      </c>
      <c r="G54" s="4">
        <f>IFERROR(F54-alt_Blanks!$I$19,F54)</f>
        <v>0</v>
      </c>
      <c r="H54" s="7">
        <f t="shared" si="1"/>
        <v>0</v>
      </c>
      <c r="I54" s="7">
        <f t="shared" si="2"/>
        <v>0</v>
      </c>
      <c r="R54" s="7">
        <v>323.01434370882743</v>
      </c>
    </row>
    <row r="55" spans="1:18" x14ac:dyDescent="0.35">
      <c r="A55" t="s">
        <v>46</v>
      </c>
      <c r="B55" t="s">
        <v>43</v>
      </c>
      <c r="C55" t="s">
        <v>24</v>
      </c>
      <c r="D55" t="s">
        <v>155</v>
      </c>
      <c r="E55" t="s">
        <v>41</v>
      </c>
      <c r="F55" s="4">
        <v>175.0626843</v>
      </c>
      <c r="G55" s="4">
        <f>IFERROR(F55-alt_Blanks!$I$20,F55)</f>
        <v>173.1247089</v>
      </c>
      <c r="H55" s="7">
        <f t="shared" si="1"/>
        <v>173.1247089</v>
      </c>
      <c r="I55" s="7">
        <f t="shared" si="2"/>
        <v>285.11974456521739</v>
      </c>
      <c r="R55" s="7">
        <v>475.74471886627276</v>
      </c>
    </row>
    <row r="56" spans="1:18" x14ac:dyDescent="0.35">
      <c r="A56" t="s">
        <v>46</v>
      </c>
      <c r="B56" t="s">
        <v>43</v>
      </c>
      <c r="C56" t="s">
        <v>25</v>
      </c>
      <c r="D56" t="s">
        <v>155</v>
      </c>
      <c r="E56" t="s">
        <v>41</v>
      </c>
      <c r="F56" s="4">
        <v>9.4875166000000011</v>
      </c>
      <c r="G56" s="4">
        <f>IFERROR(F56-alt_Blanks!$I$21,F56)</f>
        <v>9.2730075000000003</v>
      </c>
      <c r="H56" s="7">
        <f t="shared" si="1"/>
        <v>9.2730075000000003</v>
      </c>
      <c r="I56" s="7">
        <f t="shared" si="2"/>
        <v>15.271751482213441</v>
      </c>
      <c r="R56" s="7">
        <v>318.03523037589827</v>
      </c>
    </row>
    <row r="57" spans="1:18" x14ac:dyDescent="0.35">
      <c r="A57" t="s">
        <v>46</v>
      </c>
      <c r="B57" t="s">
        <v>43</v>
      </c>
      <c r="C57" t="s">
        <v>26</v>
      </c>
      <c r="D57" t="s">
        <v>153</v>
      </c>
      <c r="E57" t="s">
        <v>41</v>
      </c>
      <c r="F57" s="4">
        <v>1.5077561000000002</v>
      </c>
      <c r="G57" s="4">
        <f>IFERROR(F57-alt_Blanks!$I$22,F57)</f>
        <v>-8.696529999999969E-2</v>
      </c>
      <c r="H57" s="7">
        <f t="shared" si="1"/>
        <v>0</v>
      </c>
      <c r="I57" s="7">
        <f t="shared" si="2"/>
        <v>0</v>
      </c>
      <c r="R57" s="7">
        <v>444.14252176505664</v>
      </c>
    </row>
    <row r="58" spans="1:18" x14ac:dyDescent="0.35">
      <c r="A58" t="s">
        <v>46</v>
      </c>
      <c r="B58" t="s">
        <v>43</v>
      </c>
      <c r="C58" t="s">
        <v>27</v>
      </c>
      <c r="D58" t="s">
        <v>154</v>
      </c>
      <c r="E58" t="s">
        <v>41</v>
      </c>
      <c r="F58" s="4">
        <v>9.4481435999999999</v>
      </c>
      <c r="G58" s="4">
        <f>IFERROR(F58-alt_Blanks!$I$23,F58)</f>
        <v>9.3274062000000004</v>
      </c>
      <c r="H58" s="7">
        <f t="shared" si="1"/>
        <v>9.3274062000000004</v>
      </c>
      <c r="I58" s="7">
        <f t="shared" si="2"/>
        <v>15.361340909090911</v>
      </c>
      <c r="R58" s="7">
        <v>621.3667666357984</v>
      </c>
    </row>
    <row r="59" spans="1:18" x14ac:dyDescent="0.35">
      <c r="A59" t="s">
        <v>46</v>
      </c>
      <c r="B59" t="s">
        <v>43</v>
      </c>
      <c r="C59" t="s">
        <v>28</v>
      </c>
      <c r="D59" t="s">
        <v>155</v>
      </c>
      <c r="E59" t="s">
        <v>41</v>
      </c>
      <c r="F59" s="4">
        <v>25.3865868</v>
      </c>
      <c r="G59" s="4">
        <f>IFERROR(F59-alt_Blanks!$I$24,F59)</f>
        <v>25.1394172</v>
      </c>
      <c r="H59" s="7">
        <f t="shared" si="1"/>
        <v>25.1394172</v>
      </c>
      <c r="I59" s="7">
        <f t="shared" si="2"/>
        <v>41.402202239789197</v>
      </c>
      <c r="R59" s="7">
        <v>446.19198833034108</v>
      </c>
    </row>
    <row r="60" spans="1:18" x14ac:dyDescent="0.35">
      <c r="A60" t="s">
        <v>46</v>
      </c>
      <c r="B60" t="s">
        <v>43</v>
      </c>
      <c r="C60" t="s">
        <v>29</v>
      </c>
      <c r="D60" t="s">
        <v>155</v>
      </c>
      <c r="E60" t="s">
        <v>41</v>
      </c>
      <c r="F60" s="4">
        <v>0.39492139999999998</v>
      </c>
      <c r="G60" s="4">
        <f>IFERROR(F60-alt_Blanks!$I$25,F60)</f>
        <v>-7.7319399999999983E-2</v>
      </c>
      <c r="H60" s="7">
        <f t="shared" si="1"/>
        <v>0</v>
      </c>
      <c r="I60" s="7">
        <f t="shared" si="2"/>
        <v>0</v>
      </c>
      <c r="R60" s="7">
        <v>441.03809586022356</v>
      </c>
    </row>
    <row r="61" spans="1:18" x14ac:dyDescent="0.35">
      <c r="A61" t="s">
        <v>46</v>
      </c>
      <c r="B61" t="s">
        <v>43</v>
      </c>
      <c r="C61" t="s">
        <v>30</v>
      </c>
      <c r="D61" t="s">
        <v>155</v>
      </c>
      <c r="E61" t="s">
        <v>41</v>
      </c>
      <c r="F61" s="4">
        <v>143.37697310000001</v>
      </c>
      <c r="G61" s="4">
        <f>IFERROR(F61-alt_Blanks!$I$26,F61)</f>
        <v>142.79679680000001</v>
      </c>
      <c r="H61" s="7">
        <f t="shared" si="1"/>
        <v>142.79679680000001</v>
      </c>
      <c r="I61" s="7">
        <f t="shared" si="2"/>
        <v>235.17259025032942</v>
      </c>
      <c r="R61" s="7">
        <v>388.55901631973353</v>
      </c>
    </row>
    <row r="62" spans="1:18" x14ac:dyDescent="0.35">
      <c r="A62" t="s">
        <v>46</v>
      </c>
      <c r="B62" t="s">
        <v>43</v>
      </c>
      <c r="C62" t="s">
        <v>31</v>
      </c>
      <c r="D62" t="s">
        <v>155</v>
      </c>
      <c r="E62" t="s">
        <v>41</v>
      </c>
      <c r="F62" s="4" t="e">
        <v>#N/A</v>
      </c>
      <c r="G62" s="4" t="e">
        <f>IFERROR(F62-alt_Blanks!$I$27,F62)</f>
        <v>#N/A</v>
      </c>
      <c r="H62" s="7" t="e">
        <f t="shared" si="1"/>
        <v>#N/A</v>
      </c>
      <c r="I62" s="7" t="e">
        <f t="shared" si="2"/>
        <v>#N/A</v>
      </c>
      <c r="R62" s="7">
        <v>304.06932722513085</v>
      </c>
    </row>
    <row r="63" spans="1:18" x14ac:dyDescent="0.35">
      <c r="A63" t="s">
        <v>46</v>
      </c>
      <c r="B63" t="s">
        <v>43</v>
      </c>
      <c r="C63" t="s">
        <v>32</v>
      </c>
      <c r="D63" t="s">
        <v>153</v>
      </c>
      <c r="E63" t="s">
        <v>41</v>
      </c>
      <c r="F63" s="4">
        <v>0</v>
      </c>
      <c r="G63" s="4">
        <f>IFERROR(F63-alt_Blanks!$I$28,F63)</f>
        <v>0</v>
      </c>
      <c r="H63" s="7">
        <f t="shared" si="1"/>
        <v>0</v>
      </c>
      <c r="I63" s="7">
        <f t="shared" si="2"/>
        <v>0</v>
      </c>
    </row>
    <row r="64" spans="1:18" x14ac:dyDescent="0.35">
      <c r="A64" t="s">
        <v>46</v>
      </c>
      <c r="B64" t="s">
        <v>43</v>
      </c>
      <c r="C64" t="s">
        <v>33</v>
      </c>
      <c r="D64" t="s">
        <v>155</v>
      </c>
      <c r="E64" t="s">
        <v>41</v>
      </c>
      <c r="F64" s="4">
        <v>173.11515849999998</v>
      </c>
      <c r="G64" s="4">
        <f>IFERROR(F64-alt_Blanks!$I$29,F64)</f>
        <v>172.50353749999996</v>
      </c>
      <c r="H64" s="7">
        <f t="shared" si="1"/>
        <v>172.50353749999996</v>
      </c>
      <c r="I64" s="7">
        <f t="shared" si="2"/>
        <v>284.09673501317519</v>
      </c>
    </row>
    <row r="65" spans="1:9" x14ac:dyDescent="0.35">
      <c r="A65" t="s">
        <v>46</v>
      </c>
      <c r="B65" t="s">
        <v>43</v>
      </c>
      <c r="C65" t="s">
        <v>34</v>
      </c>
      <c r="D65" t="s">
        <v>153</v>
      </c>
      <c r="E65" t="s">
        <v>41</v>
      </c>
      <c r="F65" s="4">
        <v>0</v>
      </c>
      <c r="G65" s="4">
        <f>IFERROR(F65-alt_Blanks!$I$30,F65)</f>
        <v>0</v>
      </c>
      <c r="H65" s="7">
        <f t="shared" si="1"/>
        <v>0</v>
      </c>
      <c r="I65" s="7">
        <f t="shared" si="2"/>
        <v>0</v>
      </c>
    </row>
    <row r="66" spans="1:9" x14ac:dyDescent="0.35">
      <c r="A66" t="s">
        <v>46</v>
      </c>
      <c r="B66" t="s">
        <v>43</v>
      </c>
      <c r="C66" t="s">
        <v>35</v>
      </c>
      <c r="D66" t="s">
        <v>154</v>
      </c>
      <c r="E66" t="s">
        <v>41</v>
      </c>
      <c r="F66" s="4">
        <v>51.987946799999996</v>
      </c>
      <c r="G66" s="4">
        <f>IFERROR(F66-alt_Blanks!$I$31,F66)</f>
        <v>-50.466686799999998</v>
      </c>
      <c r="H66" s="7">
        <f t="shared" si="1"/>
        <v>0</v>
      </c>
      <c r="I66" s="7">
        <f t="shared" si="2"/>
        <v>0</v>
      </c>
    </row>
    <row r="67" spans="1:9" x14ac:dyDescent="0.35">
      <c r="A67" t="s">
        <v>46</v>
      </c>
      <c r="B67" t="s">
        <v>43</v>
      </c>
      <c r="C67" t="s">
        <v>36</v>
      </c>
      <c r="D67" t="s">
        <v>155</v>
      </c>
      <c r="E67" t="s">
        <v>41</v>
      </c>
      <c r="F67" s="4">
        <v>1.8645900999999998</v>
      </c>
      <c r="G67" s="4">
        <f>IFERROR(F67-alt_Blanks!$I$32,F67)</f>
        <v>-6.2978400000000212E-2</v>
      </c>
      <c r="H67" s="7">
        <f t="shared" si="1"/>
        <v>0</v>
      </c>
      <c r="I67" s="7">
        <f t="shared" si="2"/>
        <v>0</v>
      </c>
    </row>
    <row r="68" spans="1:9" x14ac:dyDescent="0.35">
      <c r="A68" t="s">
        <v>46</v>
      </c>
      <c r="B68" t="s">
        <v>43</v>
      </c>
      <c r="C68" t="s">
        <v>37</v>
      </c>
      <c r="D68" t="s">
        <v>155</v>
      </c>
      <c r="E68" t="s">
        <v>41</v>
      </c>
      <c r="F68" s="4">
        <v>4.2312012999999995</v>
      </c>
      <c r="G68" s="4">
        <f>IFERROR(F68-alt_Blanks!$I$33,F68)</f>
        <v>4.2312012999999995</v>
      </c>
      <c r="H68" s="7">
        <f t="shared" si="1"/>
        <v>4.2312012999999995</v>
      </c>
      <c r="I68" s="7">
        <f t="shared" si="2"/>
        <v>6.9683815876152826</v>
      </c>
    </row>
    <row r="69" spans="1:9" x14ac:dyDescent="0.35">
      <c r="A69" t="s">
        <v>46</v>
      </c>
      <c r="B69" t="s">
        <v>43</v>
      </c>
      <c r="C69" t="s">
        <v>38</v>
      </c>
      <c r="D69" t="s">
        <v>155</v>
      </c>
      <c r="E69" t="s">
        <v>41</v>
      </c>
      <c r="F69" s="4">
        <v>4.0687560999999999</v>
      </c>
      <c r="G69" s="4">
        <f>IFERROR(F69-alt_Blanks!$I$34,F69)</f>
        <v>4.0687560999999999</v>
      </c>
      <c r="H69" s="7">
        <f t="shared" si="1"/>
        <v>4.0687560999999999</v>
      </c>
      <c r="I69" s="7">
        <f t="shared" si="2"/>
        <v>6.7008499670619237</v>
      </c>
    </row>
    <row r="70" spans="1:9" x14ac:dyDescent="0.35">
      <c r="A70" t="s">
        <v>46</v>
      </c>
      <c r="B70" t="s">
        <v>43</v>
      </c>
      <c r="C70" t="s">
        <v>39</v>
      </c>
      <c r="D70" t="s">
        <v>153</v>
      </c>
      <c r="E70" t="s">
        <v>41</v>
      </c>
      <c r="F70" s="4">
        <v>12.190144399999999</v>
      </c>
      <c r="G70" s="4">
        <f>IFERROR(F70-alt_Blanks!$I$35,F70)</f>
        <v>12.190144399999999</v>
      </c>
      <c r="H70" s="7">
        <f t="shared" ref="H70:H133" si="3">IF(G70&lt;0,0,G70)</f>
        <v>12.190144399999999</v>
      </c>
      <c r="I70" s="7">
        <f t="shared" si="2"/>
        <v>20.075995388669302</v>
      </c>
    </row>
    <row r="71" spans="1:9" x14ac:dyDescent="0.35">
      <c r="A71" t="s">
        <v>46</v>
      </c>
      <c r="B71" t="s">
        <v>43</v>
      </c>
      <c r="C71" t="s">
        <v>40</v>
      </c>
      <c r="D71" t="s">
        <v>154</v>
      </c>
      <c r="E71" t="s">
        <v>41</v>
      </c>
      <c r="F71" s="4">
        <v>0</v>
      </c>
      <c r="G71" s="4">
        <f>IFERROR(F71-alt_Blanks!$I$36,F71)</f>
        <v>0</v>
      </c>
      <c r="H71" s="7">
        <f t="shared" si="3"/>
        <v>0</v>
      </c>
      <c r="I71" s="7">
        <f t="shared" si="2"/>
        <v>0</v>
      </c>
    </row>
    <row r="72" spans="1:9" x14ac:dyDescent="0.35">
      <c r="A72" t="s">
        <v>48</v>
      </c>
      <c r="B72" t="s">
        <v>49</v>
      </c>
      <c r="C72" t="s">
        <v>6</v>
      </c>
      <c r="D72" t="s">
        <v>153</v>
      </c>
      <c r="E72" t="s">
        <v>41</v>
      </c>
      <c r="F72" s="4">
        <v>6.6946287</v>
      </c>
      <c r="G72" s="4">
        <f>IFERROR(F72-alt_Blanks!$I$2,F72)</f>
        <v>-1.1912400000000822E-2</v>
      </c>
      <c r="H72" s="7">
        <f t="shared" si="3"/>
        <v>0</v>
      </c>
      <c r="I72" s="7">
        <f>H72/0.9138</f>
        <v>0</v>
      </c>
    </row>
    <row r="73" spans="1:9" x14ac:dyDescent="0.35">
      <c r="A73" t="s">
        <v>48</v>
      </c>
      <c r="B73" t="s">
        <v>49</v>
      </c>
      <c r="C73" t="s">
        <v>7</v>
      </c>
      <c r="D73" t="s">
        <v>153</v>
      </c>
      <c r="E73" t="s">
        <v>41</v>
      </c>
      <c r="F73" s="4">
        <v>0</v>
      </c>
      <c r="G73" s="4">
        <f>IFERROR(F73-alt_Blanks!$I$3,F73)</f>
        <v>0</v>
      </c>
      <c r="H73" s="7">
        <f t="shared" si="3"/>
        <v>0</v>
      </c>
      <c r="I73" s="7">
        <f t="shared" ref="I73:I106" si="4">H73/0.9138</f>
        <v>0</v>
      </c>
    </row>
    <row r="74" spans="1:9" x14ac:dyDescent="0.35">
      <c r="A74" t="s">
        <v>48</v>
      </c>
      <c r="B74" t="s">
        <v>49</v>
      </c>
      <c r="C74" t="s">
        <v>8</v>
      </c>
      <c r="D74" t="s">
        <v>153</v>
      </c>
      <c r="E74" t="s">
        <v>41</v>
      </c>
      <c r="F74" s="4">
        <v>0</v>
      </c>
      <c r="G74" s="4">
        <f>IFERROR(F74-alt_Blanks!$I$4,F74)</f>
        <v>0</v>
      </c>
      <c r="H74" s="7">
        <f t="shared" si="3"/>
        <v>0</v>
      </c>
      <c r="I74" s="7">
        <f t="shared" si="4"/>
        <v>0</v>
      </c>
    </row>
    <row r="75" spans="1:9" x14ac:dyDescent="0.35">
      <c r="A75" t="s">
        <v>48</v>
      </c>
      <c r="B75" t="s">
        <v>49</v>
      </c>
      <c r="C75" t="s">
        <v>9</v>
      </c>
      <c r="D75" t="s">
        <v>153</v>
      </c>
      <c r="E75" t="s">
        <v>41</v>
      </c>
      <c r="F75" s="4">
        <v>13.8524625</v>
      </c>
      <c r="G75" s="4">
        <f>IFERROR(F75-alt_Blanks!$I$5,F75)</f>
        <v>13.8524625</v>
      </c>
      <c r="H75" s="7">
        <f t="shared" si="3"/>
        <v>13.8524625</v>
      </c>
      <c r="I75" s="7">
        <f t="shared" si="4"/>
        <v>15.159184175968484</v>
      </c>
    </row>
    <row r="76" spans="1:9" x14ac:dyDescent="0.35">
      <c r="A76" t="s">
        <v>48</v>
      </c>
      <c r="B76" t="s">
        <v>49</v>
      </c>
      <c r="C76" t="s">
        <v>10</v>
      </c>
      <c r="D76" t="s">
        <v>153</v>
      </c>
      <c r="E76" t="s">
        <v>41</v>
      </c>
      <c r="F76" s="4">
        <v>97.207644700000003</v>
      </c>
      <c r="G76" s="4">
        <f>IFERROR(F76-alt_Blanks!$I$6,F76)</f>
        <v>97.207644700000003</v>
      </c>
      <c r="H76" s="7">
        <f t="shared" si="3"/>
        <v>97.207644700000003</v>
      </c>
      <c r="I76" s="7">
        <f t="shared" si="4"/>
        <v>106.37737437075947</v>
      </c>
    </row>
    <row r="77" spans="1:9" x14ac:dyDescent="0.35">
      <c r="A77" t="s">
        <v>48</v>
      </c>
      <c r="B77" t="s">
        <v>49</v>
      </c>
      <c r="C77" t="s">
        <v>11</v>
      </c>
      <c r="D77" t="s">
        <v>153</v>
      </c>
      <c r="E77" t="s">
        <v>41</v>
      </c>
      <c r="F77" s="4">
        <v>137.17156349999999</v>
      </c>
      <c r="G77" s="4">
        <f>IFERROR(F77-alt_Blanks!$I$7,F77)</f>
        <v>137.17156349999999</v>
      </c>
      <c r="H77" s="7">
        <f t="shared" si="3"/>
        <v>137.17156349999999</v>
      </c>
      <c r="I77" s="7">
        <f t="shared" si="4"/>
        <v>150.11114412344057</v>
      </c>
    </row>
    <row r="78" spans="1:9" x14ac:dyDescent="0.35">
      <c r="A78" t="s">
        <v>48</v>
      </c>
      <c r="B78" t="s">
        <v>49</v>
      </c>
      <c r="C78" t="s">
        <v>12</v>
      </c>
      <c r="D78" t="s">
        <v>154</v>
      </c>
      <c r="E78" t="s">
        <v>41</v>
      </c>
      <c r="F78" s="4">
        <v>0</v>
      </c>
      <c r="G78" s="4">
        <f>IFERROR(F78-alt_Blanks!$I$8,F78)</f>
        <v>0</v>
      </c>
      <c r="H78" s="7">
        <f t="shared" si="3"/>
        <v>0</v>
      </c>
      <c r="I78" s="7">
        <f t="shared" si="4"/>
        <v>0</v>
      </c>
    </row>
    <row r="79" spans="1:9" x14ac:dyDescent="0.35">
      <c r="A79" t="s">
        <v>48</v>
      </c>
      <c r="B79" t="s">
        <v>49</v>
      </c>
      <c r="C79" t="s">
        <v>13</v>
      </c>
      <c r="D79" t="s">
        <v>153</v>
      </c>
      <c r="E79" t="s">
        <v>41</v>
      </c>
      <c r="F79" s="4">
        <v>21.296026300000001</v>
      </c>
      <c r="G79" s="4">
        <f>IFERROR(F79-alt_Blanks!$I$9,F79)</f>
        <v>21.296026300000001</v>
      </c>
      <c r="H79" s="7">
        <f t="shared" si="3"/>
        <v>21.296026300000001</v>
      </c>
      <c r="I79" s="7">
        <f t="shared" si="4"/>
        <v>23.304909498796238</v>
      </c>
    </row>
    <row r="80" spans="1:9" x14ac:dyDescent="0.35">
      <c r="A80" t="s">
        <v>48</v>
      </c>
      <c r="B80" t="s">
        <v>49</v>
      </c>
      <c r="C80" t="s">
        <v>14</v>
      </c>
      <c r="D80" t="s">
        <v>154</v>
      </c>
      <c r="E80" t="s">
        <v>41</v>
      </c>
      <c r="F80" s="4">
        <v>0</v>
      </c>
      <c r="G80" s="4">
        <f>IFERROR(F80-alt_Blanks!$I$10,F80)</f>
        <v>0</v>
      </c>
      <c r="H80" s="7">
        <f t="shared" si="3"/>
        <v>0</v>
      </c>
      <c r="I80" s="7">
        <f t="shared" si="4"/>
        <v>0</v>
      </c>
    </row>
    <row r="81" spans="1:9" x14ac:dyDescent="0.35">
      <c r="A81" t="s">
        <v>48</v>
      </c>
      <c r="B81" t="s">
        <v>49</v>
      </c>
      <c r="C81" t="s">
        <v>15</v>
      </c>
      <c r="D81" t="s">
        <v>153</v>
      </c>
      <c r="E81" t="s">
        <v>41</v>
      </c>
      <c r="F81" s="4">
        <v>3158.6578758999999</v>
      </c>
      <c r="G81" s="4">
        <f>IFERROR(F81-alt_Blanks!$I$11,F81)</f>
        <v>2353.4411861999997</v>
      </c>
      <c r="H81" s="7">
        <f t="shared" si="3"/>
        <v>2353.4411861999997</v>
      </c>
      <c r="I81" s="7">
        <f t="shared" si="4"/>
        <v>2575.4445022980958</v>
      </c>
    </row>
    <row r="82" spans="1:9" x14ac:dyDescent="0.35">
      <c r="A82" t="s">
        <v>48</v>
      </c>
      <c r="B82" t="s">
        <v>49</v>
      </c>
      <c r="C82" t="s">
        <v>16</v>
      </c>
      <c r="D82" t="s">
        <v>154</v>
      </c>
      <c r="E82" t="s">
        <v>41</v>
      </c>
      <c r="F82" s="4">
        <v>538.04847380000001</v>
      </c>
      <c r="G82" s="4">
        <f>IFERROR(F82-alt_Blanks!$I$12,F82)</f>
        <v>538.04847380000001</v>
      </c>
      <c r="H82" s="7">
        <f t="shared" si="3"/>
        <v>538.04847380000001</v>
      </c>
      <c r="I82" s="7">
        <f t="shared" si="4"/>
        <v>588.80331998249073</v>
      </c>
    </row>
    <row r="83" spans="1:9" x14ac:dyDescent="0.35">
      <c r="A83" t="s">
        <v>48</v>
      </c>
      <c r="B83" t="s">
        <v>49</v>
      </c>
      <c r="C83" t="s">
        <v>17</v>
      </c>
      <c r="D83" t="s">
        <v>153</v>
      </c>
      <c r="E83" t="s">
        <v>41</v>
      </c>
      <c r="F83" s="4">
        <v>34.052665699999999</v>
      </c>
      <c r="G83" s="4">
        <f>IFERROR(F83-alt_Blanks!$I$13,F83)</f>
        <v>33.199952199999998</v>
      </c>
      <c r="H83" s="7">
        <f t="shared" si="3"/>
        <v>33.199952199999998</v>
      </c>
      <c r="I83" s="7">
        <f t="shared" si="4"/>
        <v>36.331748960385205</v>
      </c>
    </row>
    <row r="84" spans="1:9" x14ac:dyDescent="0.35">
      <c r="A84" t="s">
        <v>48</v>
      </c>
      <c r="B84" t="s">
        <v>49</v>
      </c>
      <c r="C84" t="s">
        <v>18</v>
      </c>
      <c r="D84" t="s">
        <v>154</v>
      </c>
      <c r="E84" t="s">
        <v>41</v>
      </c>
      <c r="F84" s="4">
        <v>0</v>
      </c>
      <c r="G84" s="4">
        <f>IFERROR(F84-alt_Blanks!$I$14,F84)</f>
        <v>0</v>
      </c>
      <c r="H84" s="7">
        <f t="shared" si="3"/>
        <v>0</v>
      </c>
      <c r="I84" s="7">
        <f t="shared" si="4"/>
        <v>0</v>
      </c>
    </row>
    <row r="85" spans="1:9" x14ac:dyDescent="0.35">
      <c r="A85" t="s">
        <v>48</v>
      </c>
      <c r="B85" t="s">
        <v>49</v>
      </c>
      <c r="C85" t="s">
        <v>19</v>
      </c>
      <c r="D85" t="s">
        <v>153</v>
      </c>
      <c r="E85" t="s">
        <v>41</v>
      </c>
      <c r="F85" s="4">
        <v>552.3190247</v>
      </c>
      <c r="G85" s="4">
        <f>IFERROR(F85-alt_Blanks!$I$15,F85)</f>
        <v>283.69562760000002</v>
      </c>
      <c r="H85" s="7">
        <f t="shared" si="3"/>
        <v>283.69562760000002</v>
      </c>
      <c r="I85" s="7">
        <f t="shared" si="4"/>
        <v>310.4570229809587</v>
      </c>
    </row>
    <row r="86" spans="1:9" x14ac:dyDescent="0.35">
      <c r="A86" t="s">
        <v>48</v>
      </c>
      <c r="B86" t="s">
        <v>49</v>
      </c>
      <c r="C86" t="s">
        <v>20</v>
      </c>
      <c r="D86" t="s">
        <v>154</v>
      </c>
      <c r="E86" t="s">
        <v>41</v>
      </c>
      <c r="F86" s="4">
        <v>754.97088480000002</v>
      </c>
      <c r="G86" s="4">
        <f>IFERROR(F86-alt_Blanks!$I$16,F86)</f>
        <v>736.50497159999998</v>
      </c>
      <c r="H86" s="7">
        <f t="shared" si="3"/>
        <v>736.50497159999998</v>
      </c>
      <c r="I86" s="7">
        <f t="shared" si="4"/>
        <v>805.98048982271837</v>
      </c>
    </row>
    <row r="87" spans="1:9" x14ac:dyDescent="0.35">
      <c r="A87" t="s">
        <v>48</v>
      </c>
      <c r="B87" t="s">
        <v>49</v>
      </c>
      <c r="C87" t="s">
        <v>21</v>
      </c>
      <c r="D87" t="s">
        <v>155</v>
      </c>
      <c r="E87" t="s">
        <v>41</v>
      </c>
      <c r="F87" s="4">
        <v>0.34246370000000004</v>
      </c>
      <c r="G87" s="4">
        <f>IFERROR(F87-alt_Blanks!$I$17,F87)</f>
        <v>1.0510300000000028E-2</v>
      </c>
      <c r="H87" s="7">
        <f t="shared" si="3"/>
        <v>1.0510300000000028E-2</v>
      </c>
      <c r="I87" s="7">
        <f t="shared" si="4"/>
        <v>1.150175093018169E-2</v>
      </c>
    </row>
    <row r="88" spans="1:9" x14ac:dyDescent="0.35">
      <c r="A88" t="s">
        <v>48</v>
      </c>
      <c r="B88" t="s">
        <v>49</v>
      </c>
      <c r="C88" t="s">
        <v>22</v>
      </c>
      <c r="D88" t="s">
        <v>155</v>
      </c>
      <c r="E88" t="s">
        <v>41</v>
      </c>
      <c r="F88" s="4">
        <v>440.73898370000001</v>
      </c>
      <c r="G88" s="4">
        <f>IFERROR(F88-alt_Blanks!$I$18,F88)</f>
        <v>434.73552410000002</v>
      </c>
      <c r="H88" s="7">
        <f t="shared" si="3"/>
        <v>434.73552410000002</v>
      </c>
      <c r="I88" s="7">
        <f t="shared" si="4"/>
        <v>475.74471886627276</v>
      </c>
    </row>
    <row r="89" spans="1:9" x14ac:dyDescent="0.35">
      <c r="A89" t="s">
        <v>48</v>
      </c>
      <c r="B89" t="s">
        <v>49</v>
      </c>
      <c r="C89" t="s">
        <v>23</v>
      </c>
      <c r="D89" t="s">
        <v>155</v>
      </c>
      <c r="E89" t="s">
        <v>41</v>
      </c>
      <c r="F89" s="4">
        <v>0</v>
      </c>
      <c r="G89" s="4">
        <f>IFERROR(F89-alt_Blanks!$I$19,F89)</f>
        <v>0</v>
      </c>
      <c r="H89" s="7">
        <f t="shared" si="3"/>
        <v>0</v>
      </c>
      <c r="I89" s="7">
        <f t="shared" si="4"/>
        <v>0</v>
      </c>
    </row>
    <row r="90" spans="1:9" x14ac:dyDescent="0.35">
      <c r="A90" t="s">
        <v>48</v>
      </c>
      <c r="B90" t="s">
        <v>49</v>
      </c>
      <c r="C90" t="s">
        <v>24</v>
      </c>
      <c r="D90" t="s">
        <v>155</v>
      </c>
      <c r="E90" t="s">
        <v>41</v>
      </c>
      <c r="F90" s="4">
        <v>517.86097589999997</v>
      </c>
      <c r="G90" s="4">
        <f>IFERROR(F90-alt_Blanks!$I$20,F90)</f>
        <v>515.92300049999994</v>
      </c>
      <c r="H90" s="7">
        <f t="shared" si="3"/>
        <v>515.92300049999994</v>
      </c>
      <c r="I90" s="7">
        <f t="shared" si="4"/>
        <v>564.59072061720281</v>
      </c>
    </row>
    <row r="91" spans="1:9" x14ac:dyDescent="0.35">
      <c r="A91" t="s">
        <v>48</v>
      </c>
      <c r="B91" t="s">
        <v>49</v>
      </c>
      <c r="C91" t="s">
        <v>25</v>
      </c>
      <c r="D91" t="s">
        <v>155</v>
      </c>
      <c r="E91" t="s">
        <v>41</v>
      </c>
      <c r="F91" s="4">
        <v>33.0088613</v>
      </c>
      <c r="G91" s="4">
        <f>IFERROR(F91-alt_Blanks!$I$21,F91)</f>
        <v>32.794352199999999</v>
      </c>
      <c r="H91" s="7">
        <f t="shared" si="3"/>
        <v>32.794352199999999</v>
      </c>
      <c r="I91" s="7">
        <f t="shared" si="4"/>
        <v>35.887888159334651</v>
      </c>
    </row>
    <row r="92" spans="1:9" x14ac:dyDescent="0.35">
      <c r="A92" t="s">
        <v>48</v>
      </c>
      <c r="B92" t="s">
        <v>49</v>
      </c>
      <c r="C92" t="s">
        <v>26</v>
      </c>
      <c r="D92" t="s">
        <v>153</v>
      </c>
      <c r="E92" t="s">
        <v>41</v>
      </c>
      <c r="F92" s="4">
        <v>1.5606182</v>
      </c>
      <c r="G92" s="4">
        <f>IFERROR(F92-alt_Blanks!$I$22,F92)</f>
        <v>-3.4103199999999889E-2</v>
      </c>
      <c r="H92" s="7">
        <f t="shared" si="3"/>
        <v>0</v>
      </c>
      <c r="I92" s="7">
        <f t="shared" si="4"/>
        <v>0</v>
      </c>
    </row>
    <row r="93" spans="1:9" x14ac:dyDescent="0.35">
      <c r="A93" t="s">
        <v>48</v>
      </c>
      <c r="B93" t="s">
        <v>49</v>
      </c>
      <c r="C93" t="s">
        <v>27</v>
      </c>
      <c r="D93" t="s">
        <v>154</v>
      </c>
      <c r="E93" t="s">
        <v>41</v>
      </c>
      <c r="F93" s="4">
        <v>51.819645700000002</v>
      </c>
      <c r="G93" s="4">
        <f>IFERROR(F93-alt_Blanks!$I$23,F93)</f>
        <v>51.698908299999999</v>
      </c>
      <c r="H93" s="7">
        <f t="shared" si="3"/>
        <v>51.698908299999999</v>
      </c>
      <c r="I93" s="7">
        <f t="shared" si="4"/>
        <v>56.575736813307074</v>
      </c>
    </row>
    <row r="94" spans="1:9" x14ac:dyDescent="0.35">
      <c r="A94" t="s">
        <v>48</v>
      </c>
      <c r="B94" t="s">
        <v>49</v>
      </c>
      <c r="C94" t="s">
        <v>28</v>
      </c>
      <c r="D94" t="s">
        <v>155</v>
      </c>
      <c r="E94" t="s">
        <v>41</v>
      </c>
      <c r="F94" s="4">
        <v>86.324218700000003</v>
      </c>
      <c r="G94" s="4">
        <f>IFERROR(F94-alt_Blanks!$I$24,F94)</f>
        <v>86.077049099999996</v>
      </c>
      <c r="H94" s="7">
        <f t="shared" si="3"/>
        <v>86.077049099999996</v>
      </c>
      <c r="I94" s="7">
        <f t="shared" si="4"/>
        <v>94.196814510833889</v>
      </c>
    </row>
    <row r="95" spans="1:9" x14ac:dyDescent="0.35">
      <c r="A95" t="s">
        <v>48</v>
      </c>
      <c r="B95" t="s">
        <v>49</v>
      </c>
      <c r="C95" t="s">
        <v>29</v>
      </c>
      <c r="D95" t="s">
        <v>155</v>
      </c>
      <c r="E95" t="s">
        <v>41</v>
      </c>
      <c r="F95" s="4">
        <v>19.824876</v>
      </c>
      <c r="G95" s="4">
        <f>IFERROR(F95-alt_Blanks!$I$25,F95)</f>
        <v>19.352635199999998</v>
      </c>
      <c r="H95" s="7">
        <f t="shared" si="3"/>
        <v>19.352635199999998</v>
      </c>
      <c r="I95" s="7">
        <f t="shared" si="4"/>
        <v>21.178195666447799</v>
      </c>
    </row>
    <row r="96" spans="1:9" x14ac:dyDescent="0.35">
      <c r="A96" t="s">
        <v>48</v>
      </c>
      <c r="B96" t="s">
        <v>49</v>
      </c>
      <c r="C96" t="s">
        <v>30</v>
      </c>
      <c r="D96" t="s">
        <v>155</v>
      </c>
      <c r="E96" t="s">
        <v>41</v>
      </c>
      <c r="F96" s="4">
        <v>367.99144610000002</v>
      </c>
      <c r="G96" s="4">
        <f>IFERROR(F96-alt_Blanks!$I$26,F96)</f>
        <v>367.41126980000001</v>
      </c>
      <c r="H96" s="7">
        <f t="shared" si="3"/>
        <v>367.41126980000001</v>
      </c>
      <c r="I96" s="7">
        <f t="shared" si="4"/>
        <v>402.06967585905016</v>
      </c>
    </row>
    <row r="97" spans="1:9" x14ac:dyDescent="0.35">
      <c r="A97" t="s">
        <v>48</v>
      </c>
      <c r="B97" t="s">
        <v>49</v>
      </c>
      <c r="C97" t="s">
        <v>31</v>
      </c>
      <c r="D97" t="s">
        <v>155</v>
      </c>
      <c r="E97" t="s">
        <v>41</v>
      </c>
      <c r="F97" s="4">
        <v>17.386776600000001</v>
      </c>
      <c r="G97" s="4">
        <f>IFERROR(F97-alt_Blanks!$I$27,F97)</f>
        <v>17.386776600000001</v>
      </c>
      <c r="H97" s="7">
        <f t="shared" si="3"/>
        <v>17.386776600000001</v>
      </c>
      <c r="I97" s="7">
        <f t="shared" si="4"/>
        <v>19.026894944189102</v>
      </c>
    </row>
    <row r="98" spans="1:9" x14ac:dyDescent="0.35">
      <c r="A98" t="s">
        <v>48</v>
      </c>
      <c r="B98" t="s">
        <v>49</v>
      </c>
      <c r="C98" t="s">
        <v>32</v>
      </c>
      <c r="D98" t="s">
        <v>153</v>
      </c>
      <c r="E98" t="s">
        <v>41</v>
      </c>
      <c r="F98" s="4">
        <v>7.0875800000000003E-2</v>
      </c>
      <c r="G98" s="4">
        <f>IFERROR(F98-alt_Blanks!$I$28,F98)</f>
        <v>7.0875800000000003E-2</v>
      </c>
      <c r="H98" s="7">
        <f t="shared" si="3"/>
        <v>7.0875800000000003E-2</v>
      </c>
      <c r="I98" s="7">
        <f t="shared" si="4"/>
        <v>7.7561610855767141E-2</v>
      </c>
    </row>
    <row r="99" spans="1:9" x14ac:dyDescent="0.35">
      <c r="A99" t="s">
        <v>48</v>
      </c>
      <c r="B99" t="s">
        <v>49</v>
      </c>
      <c r="C99" t="s">
        <v>33</v>
      </c>
      <c r="D99" t="s">
        <v>155</v>
      </c>
      <c r="E99" t="s">
        <v>41</v>
      </c>
      <c r="F99" s="4">
        <v>287.80608880000005</v>
      </c>
      <c r="G99" s="4">
        <f>IFERROR(F99-alt_Blanks!$I$29,F99)</f>
        <v>287.19446780000004</v>
      </c>
      <c r="H99" s="7">
        <f t="shared" si="3"/>
        <v>287.19446780000004</v>
      </c>
      <c r="I99" s="7">
        <f t="shared" si="4"/>
        <v>314.28591354782236</v>
      </c>
    </row>
    <row r="100" spans="1:9" x14ac:dyDescent="0.35">
      <c r="A100" t="s">
        <v>48</v>
      </c>
      <c r="B100" t="s">
        <v>49</v>
      </c>
      <c r="C100" t="s">
        <v>34</v>
      </c>
      <c r="D100" t="s">
        <v>153</v>
      </c>
      <c r="E100" t="s">
        <v>41</v>
      </c>
      <c r="F100" s="4">
        <v>0</v>
      </c>
      <c r="G100" s="4">
        <f>IFERROR(F100-alt_Blanks!$I$30,F100)</f>
        <v>0</v>
      </c>
      <c r="H100" s="7">
        <f t="shared" si="3"/>
        <v>0</v>
      </c>
      <c r="I100" s="7">
        <f t="shared" si="4"/>
        <v>0</v>
      </c>
    </row>
    <row r="101" spans="1:9" x14ac:dyDescent="0.35">
      <c r="A101" t="s">
        <v>48</v>
      </c>
      <c r="B101" t="s">
        <v>49</v>
      </c>
      <c r="C101" t="s">
        <v>35</v>
      </c>
      <c r="D101" t="s">
        <v>154</v>
      </c>
      <c r="E101" t="s">
        <v>41</v>
      </c>
      <c r="F101" s="4">
        <v>85.830479699999998</v>
      </c>
      <c r="G101" s="4">
        <f>IFERROR(F101-alt_Blanks!$I$31,F101)</f>
        <v>-16.624153899999996</v>
      </c>
      <c r="H101" s="7">
        <f t="shared" si="3"/>
        <v>0</v>
      </c>
      <c r="I101" s="7">
        <f t="shared" si="4"/>
        <v>0</v>
      </c>
    </row>
    <row r="102" spans="1:9" x14ac:dyDescent="0.35">
      <c r="A102" t="s">
        <v>48</v>
      </c>
      <c r="B102" t="s">
        <v>49</v>
      </c>
      <c r="C102" t="s">
        <v>36</v>
      </c>
      <c r="D102" t="s">
        <v>155</v>
      </c>
      <c r="E102" t="s">
        <v>41</v>
      </c>
      <c r="F102" s="4">
        <v>1.9092201</v>
      </c>
      <c r="G102" s="4">
        <f>IFERROR(F102-alt_Blanks!$I$32,F102)</f>
        <v>-1.8348400000000042E-2</v>
      </c>
      <c r="H102" s="7">
        <f t="shared" si="3"/>
        <v>0</v>
      </c>
      <c r="I102" s="7">
        <f t="shared" si="4"/>
        <v>0</v>
      </c>
    </row>
    <row r="103" spans="1:9" x14ac:dyDescent="0.35">
      <c r="A103" t="s">
        <v>48</v>
      </c>
      <c r="B103" t="s">
        <v>49</v>
      </c>
      <c r="C103" t="s">
        <v>37</v>
      </c>
      <c r="D103" t="s">
        <v>155</v>
      </c>
      <c r="E103" t="s">
        <v>41</v>
      </c>
      <c r="F103" s="4">
        <v>14.5929684</v>
      </c>
      <c r="G103" s="4">
        <f>IFERROR(F103-alt_Blanks!$I$33,F103)</f>
        <v>14.5929684</v>
      </c>
      <c r="H103" s="7">
        <f t="shared" si="3"/>
        <v>14.5929684</v>
      </c>
      <c r="I103" s="7">
        <f t="shared" si="4"/>
        <v>15.969543007222589</v>
      </c>
    </row>
    <row r="104" spans="1:9" x14ac:dyDescent="0.35">
      <c r="A104" t="s">
        <v>48</v>
      </c>
      <c r="B104" t="s">
        <v>49</v>
      </c>
      <c r="C104" t="s">
        <v>38</v>
      </c>
      <c r="D104" t="s">
        <v>155</v>
      </c>
      <c r="E104" t="s">
        <v>41</v>
      </c>
      <c r="F104" s="4">
        <v>19.883378499999999</v>
      </c>
      <c r="G104" s="4">
        <f>IFERROR(F104-alt_Blanks!$I$34,F104)</f>
        <v>19.883378499999999</v>
      </c>
      <c r="H104" s="7">
        <f t="shared" si="3"/>
        <v>19.883378499999999</v>
      </c>
      <c r="I104" s="7">
        <f t="shared" si="4"/>
        <v>21.759004705624864</v>
      </c>
    </row>
    <row r="105" spans="1:9" x14ac:dyDescent="0.35">
      <c r="A105" t="s">
        <v>48</v>
      </c>
      <c r="B105" t="s">
        <v>49</v>
      </c>
      <c r="C105" t="s">
        <v>39</v>
      </c>
      <c r="D105" t="s">
        <v>153</v>
      </c>
      <c r="E105" t="s">
        <v>41</v>
      </c>
      <c r="F105" s="4">
        <v>21.478907599999999</v>
      </c>
      <c r="G105" s="4">
        <f>IFERROR(F105-alt_Blanks!$I$35,F105)</f>
        <v>21.478907599999999</v>
      </c>
      <c r="H105" s="7">
        <f t="shared" si="3"/>
        <v>21.478907599999999</v>
      </c>
      <c r="I105" s="7">
        <f t="shared" si="4"/>
        <v>23.505042241190633</v>
      </c>
    </row>
    <row r="106" spans="1:9" x14ac:dyDescent="0.35">
      <c r="A106" t="s">
        <v>48</v>
      </c>
      <c r="B106" t="s">
        <v>49</v>
      </c>
      <c r="C106" t="s">
        <v>40</v>
      </c>
      <c r="D106" t="s">
        <v>154</v>
      </c>
      <c r="E106" t="s">
        <v>41</v>
      </c>
      <c r="F106" s="4">
        <v>0</v>
      </c>
      <c r="G106" s="4">
        <f>IFERROR(F106-alt_Blanks!$I$36,F106)</f>
        <v>0</v>
      </c>
      <c r="H106" s="7">
        <f t="shared" si="3"/>
        <v>0</v>
      </c>
      <c r="I106" s="7">
        <f t="shared" si="4"/>
        <v>0</v>
      </c>
    </row>
    <row r="107" spans="1:9" x14ac:dyDescent="0.35">
      <c r="A107" t="s">
        <v>47</v>
      </c>
      <c r="B107" t="s">
        <v>50</v>
      </c>
      <c r="C107" t="s">
        <v>6</v>
      </c>
      <c r="D107" t="s">
        <v>153</v>
      </c>
      <c r="E107" t="s">
        <v>41</v>
      </c>
      <c r="F107" s="4">
        <v>6.7367412</v>
      </c>
      <c r="G107" s="4">
        <f>IFERROR(F107-alt_Blanks!$I$2,F107)</f>
        <v>3.0200099999999175E-2</v>
      </c>
      <c r="H107" s="7">
        <f t="shared" si="3"/>
        <v>3.0200099999999175E-2</v>
      </c>
      <c r="I107" s="7">
        <f>H107/0.7236</f>
        <v>4.1735903814260879E-2</v>
      </c>
    </row>
    <row r="108" spans="1:9" x14ac:dyDescent="0.35">
      <c r="A108" t="s">
        <v>47</v>
      </c>
      <c r="B108" t="s">
        <v>50</v>
      </c>
      <c r="C108" t="s">
        <v>7</v>
      </c>
      <c r="D108" t="s">
        <v>153</v>
      </c>
      <c r="E108" t="s">
        <v>41</v>
      </c>
      <c r="F108" s="4">
        <v>0.27177039999999997</v>
      </c>
      <c r="G108" s="4">
        <f>IFERROR(F108-alt_Blanks!$I$3,F108)</f>
        <v>0.27177039999999997</v>
      </c>
      <c r="H108" s="7">
        <f t="shared" si="3"/>
        <v>0.27177039999999997</v>
      </c>
      <c r="I108" s="7">
        <f t="shared" ref="I108:I141" si="5">H108/0.7236</f>
        <v>0.3755809839690436</v>
      </c>
    </row>
    <row r="109" spans="1:9" x14ac:dyDescent="0.35">
      <c r="A109" t="s">
        <v>47</v>
      </c>
      <c r="B109" t="s">
        <v>50</v>
      </c>
      <c r="C109" t="s">
        <v>8</v>
      </c>
      <c r="D109" t="s">
        <v>153</v>
      </c>
      <c r="E109" t="s">
        <v>41</v>
      </c>
      <c r="F109" s="4">
        <v>0</v>
      </c>
      <c r="G109" s="4">
        <f>IFERROR(F109-alt_Blanks!$I$4,F109)</f>
        <v>0</v>
      </c>
      <c r="H109" s="7">
        <f t="shared" si="3"/>
        <v>0</v>
      </c>
      <c r="I109" s="7">
        <f t="shared" si="5"/>
        <v>0</v>
      </c>
    </row>
    <row r="110" spans="1:9" x14ac:dyDescent="0.35">
      <c r="A110" t="s">
        <v>47</v>
      </c>
      <c r="B110" t="s">
        <v>50</v>
      </c>
      <c r="C110" t="s">
        <v>9</v>
      </c>
      <c r="D110" t="s">
        <v>153</v>
      </c>
      <c r="E110" t="s">
        <v>41</v>
      </c>
      <c r="F110" s="4">
        <v>11.917392299999999</v>
      </c>
      <c r="G110" s="4">
        <f>IFERROR(F110-alt_Blanks!$I$5,F110)</f>
        <v>11.917392299999999</v>
      </c>
      <c r="H110" s="7">
        <f t="shared" si="3"/>
        <v>11.917392299999999</v>
      </c>
      <c r="I110" s="7">
        <f t="shared" si="5"/>
        <v>16.469585820895521</v>
      </c>
    </row>
    <row r="111" spans="1:9" x14ac:dyDescent="0.35">
      <c r="A111" t="s">
        <v>47</v>
      </c>
      <c r="B111" t="s">
        <v>50</v>
      </c>
      <c r="C111" t="s">
        <v>10</v>
      </c>
      <c r="D111" t="s">
        <v>153</v>
      </c>
      <c r="E111" t="s">
        <v>41</v>
      </c>
      <c r="F111" s="4">
        <v>96.611986799999997</v>
      </c>
      <c r="G111" s="4">
        <f>IFERROR(F111-alt_Blanks!$I$6,F111)</f>
        <v>96.611986799999997</v>
      </c>
      <c r="H111" s="7">
        <f t="shared" si="3"/>
        <v>96.611986799999997</v>
      </c>
      <c r="I111" s="7">
        <f t="shared" si="5"/>
        <v>133.51573631840796</v>
      </c>
    </row>
    <row r="112" spans="1:9" x14ac:dyDescent="0.35">
      <c r="A112" t="s">
        <v>47</v>
      </c>
      <c r="B112" t="s">
        <v>50</v>
      </c>
      <c r="C112" t="s">
        <v>11</v>
      </c>
      <c r="D112" t="s">
        <v>153</v>
      </c>
      <c r="E112" t="s">
        <v>41</v>
      </c>
      <c r="F112" s="4">
        <v>106.619164</v>
      </c>
      <c r="G112" s="4">
        <f>IFERROR(F112-alt_Blanks!$I$7,F112)</f>
        <v>106.619164</v>
      </c>
      <c r="H112" s="7">
        <f t="shared" si="3"/>
        <v>106.619164</v>
      </c>
      <c r="I112" s="7">
        <f t="shared" si="5"/>
        <v>147.34544499723603</v>
      </c>
    </row>
    <row r="113" spans="1:9" x14ac:dyDescent="0.35">
      <c r="A113" t="s">
        <v>47</v>
      </c>
      <c r="B113" t="s">
        <v>50</v>
      </c>
      <c r="C113" t="s">
        <v>12</v>
      </c>
      <c r="D113" t="s">
        <v>154</v>
      </c>
      <c r="E113" t="s">
        <v>41</v>
      </c>
      <c r="F113" s="4">
        <v>0</v>
      </c>
      <c r="G113" s="4">
        <f>IFERROR(F113-alt_Blanks!$I$8,F113)</f>
        <v>0</v>
      </c>
      <c r="H113" s="7">
        <f t="shared" si="3"/>
        <v>0</v>
      </c>
      <c r="I113" s="7">
        <f t="shared" si="5"/>
        <v>0</v>
      </c>
    </row>
    <row r="114" spans="1:9" x14ac:dyDescent="0.35">
      <c r="A114" t="s">
        <v>47</v>
      </c>
      <c r="B114" t="s">
        <v>50</v>
      </c>
      <c r="C114" t="s">
        <v>13</v>
      </c>
      <c r="D114" t="s">
        <v>153</v>
      </c>
      <c r="E114" t="s">
        <v>41</v>
      </c>
      <c r="F114" s="4">
        <v>17.706470299999999</v>
      </c>
      <c r="G114" s="4">
        <f>IFERROR(F114-alt_Blanks!$I$9,F114)</f>
        <v>17.706470299999999</v>
      </c>
      <c r="H114" s="7">
        <f t="shared" si="3"/>
        <v>17.706470299999999</v>
      </c>
      <c r="I114" s="7">
        <f t="shared" si="5"/>
        <v>24.469970011055832</v>
      </c>
    </row>
    <row r="115" spans="1:9" x14ac:dyDescent="0.35">
      <c r="A115" t="s">
        <v>47</v>
      </c>
      <c r="B115" t="s">
        <v>50</v>
      </c>
      <c r="C115" t="s">
        <v>14</v>
      </c>
      <c r="D115" t="s">
        <v>154</v>
      </c>
      <c r="E115" t="s">
        <v>41</v>
      </c>
      <c r="F115" s="4">
        <v>0</v>
      </c>
      <c r="G115" s="4">
        <f>IFERROR(F115-alt_Blanks!$I$10,F115)</f>
        <v>0</v>
      </c>
      <c r="H115" s="7">
        <f t="shared" si="3"/>
        <v>0</v>
      </c>
      <c r="I115" s="7">
        <f t="shared" si="5"/>
        <v>0</v>
      </c>
    </row>
    <row r="116" spans="1:9" x14ac:dyDescent="0.35">
      <c r="A116" t="s">
        <v>47</v>
      </c>
      <c r="B116" t="s">
        <v>50</v>
      </c>
      <c r="C116" t="s">
        <v>15</v>
      </c>
      <c r="D116" t="s">
        <v>153</v>
      </c>
      <c r="E116" t="s">
        <v>41</v>
      </c>
      <c r="F116" s="4">
        <v>2735.3749583999997</v>
      </c>
      <c r="G116" s="4">
        <f>IFERROR(F116-alt_Blanks!$I$11,F116)</f>
        <v>1930.1582686999998</v>
      </c>
      <c r="H116" s="7">
        <f t="shared" si="3"/>
        <v>1930.1582686999998</v>
      </c>
      <c r="I116" s="7">
        <f t="shared" si="5"/>
        <v>2667.4381822830287</v>
      </c>
    </row>
    <row r="117" spans="1:9" x14ac:dyDescent="0.35">
      <c r="A117" t="s">
        <v>47</v>
      </c>
      <c r="B117" t="s">
        <v>50</v>
      </c>
      <c r="C117" t="s">
        <v>16</v>
      </c>
      <c r="D117" t="s">
        <v>154</v>
      </c>
      <c r="E117" t="s">
        <v>41</v>
      </c>
      <c r="F117" s="4">
        <v>487.11088849999999</v>
      </c>
      <c r="G117" s="4">
        <f>IFERROR(F117-alt_Blanks!$I$12,F117)</f>
        <v>487.11088849999999</v>
      </c>
      <c r="H117" s="7">
        <f t="shared" si="3"/>
        <v>487.11088849999999</v>
      </c>
      <c r="I117" s="7">
        <f t="shared" si="5"/>
        <v>673.17701561636261</v>
      </c>
    </row>
    <row r="118" spans="1:9" x14ac:dyDescent="0.35">
      <c r="A118" t="s">
        <v>47</v>
      </c>
      <c r="B118" t="s">
        <v>50</v>
      </c>
      <c r="C118" t="s">
        <v>17</v>
      </c>
      <c r="D118" t="s">
        <v>153</v>
      </c>
      <c r="E118" t="s">
        <v>41</v>
      </c>
      <c r="F118" s="4">
        <v>24.171529100000001</v>
      </c>
      <c r="G118" s="4">
        <f>IFERROR(F118-alt_Blanks!$I$13,F118)</f>
        <v>23.318815600000001</v>
      </c>
      <c r="H118" s="7">
        <f t="shared" si="3"/>
        <v>23.318815600000001</v>
      </c>
      <c r="I118" s="7">
        <f t="shared" si="5"/>
        <v>32.226113322277499</v>
      </c>
    </row>
    <row r="119" spans="1:9" x14ac:dyDescent="0.35">
      <c r="A119" t="s">
        <v>47</v>
      </c>
      <c r="B119" t="s">
        <v>50</v>
      </c>
      <c r="C119" t="s">
        <v>18</v>
      </c>
      <c r="D119" t="s">
        <v>154</v>
      </c>
      <c r="E119" t="s">
        <v>41</v>
      </c>
      <c r="F119" s="4">
        <v>0</v>
      </c>
      <c r="G119" s="4">
        <f>IFERROR(F119-alt_Blanks!$I$14,F119)</f>
        <v>0</v>
      </c>
      <c r="H119" s="7">
        <f t="shared" si="3"/>
        <v>0</v>
      </c>
      <c r="I119" s="7">
        <f t="shared" si="5"/>
        <v>0</v>
      </c>
    </row>
    <row r="120" spans="1:9" x14ac:dyDescent="0.35">
      <c r="A120" t="s">
        <v>47</v>
      </c>
      <c r="B120" t="s">
        <v>50</v>
      </c>
      <c r="C120" t="s">
        <v>19</v>
      </c>
      <c r="D120" t="s">
        <v>153</v>
      </c>
      <c r="E120" t="s">
        <v>41</v>
      </c>
      <c r="F120" s="4">
        <v>442.92893040000001</v>
      </c>
      <c r="G120" s="4">
        <f>IFERROR(F120-alt_Blanks!$I$15,F120)</f>
        <v>174.30553330000004</v>
      </c>
      <c r="H120" s="7">
        <f t="shared" si="3"/>
        <v>174.30553330000004</v>
      </c>
      <c r="I120" s="7">
        <f t="shared" si="5"/>
        <v>240.88658554449978</v>
      </c>
    </row>
    <row r="121" spans="1:9" x14ac:dyDescent="0.35">
      <c r="A121" t="s">
        <v>47</v>
      </c>
      <c r="B121" t="s">
        <v>50</v>
      </c>
      <c r="C121" t="s">
        <v>20</v>
      </c>
      <c r="D121" t="s">
        <v>154</v>
      </c>
      <c r="E121" t="s">
        <v>41</v>
      </c>
      <c r="F121" s="4">
        <v>444.7091021</v>
      </c>
      <c r="G121" s="4">
        <f>IFERROR(F121-alt_Blanks!$I$16,F121)</f>
        <v>426.24318890000001</v>
      </c>
      <c r="H121" s="7">
        <f t="shared" si="3"/>
        <v>426.24318890000001</v>
      </c>
      <c r="I121" s="7">
        <f t="shared" si="5"/>
        <v>589.05913336097285</v>
      </c>
    </row>
    <row r="122" spans="1:9" x14ac:dyDescent="0.35">
      <c r="A122" t="s">
        <v>47</v>
      </c>
      <c r="B122" t="s">
        <v>50</v>
      </c>
      <c r="C122" t="s">
        <v>21</v>
      </c>
      <c r="D122" t="s">
        <v>155</v>
      </c>
      <c r="E122" t="s">
        <v>41</v>
      </c>
      <c r="F122" s="4">
        <v>0.66811890000000007</v>
      </c>
      <c r="G122" s="4">
        <f>IFERROR(F122-alt_Blanks!$I$17,F122)</f>
        <v>0.33616550000000006</v>
      </c>
      <c r="H122" s="7">
        <f t="shared" si="3"/>
        <v>0.33616550000000006</v>
      </c>
      <c r="I122" s="7">
        <f t="shared" si="5"/>
        <v>0.46457365948037599</v>
      </c>
    </row>
    <row r="123" spans="1:9" x14ac:dyDescent="0.35">
      <c r="A123" t="s">
        <v>47</v>
      </c>
      <c r="B123" t="s">
        <v>50</v>
      </c>
      <c r="C123" t="s">
        <v>22</v>
      </c>
      <c r="D123" t="s">
        <v>155</v>
      </c>
      <c r="E123" t="s">
        <v>41</v>
      </c>
      <c r="F123" s="4">
        <v>236.1337523</v>
      </c>
      <c r="G123" s="4">
        <f>IFERROR(F123-alt_Blanks!$I$18,F123)</f>
        <v>230.13029269999998</v>
      </c>
      <c r="H123" s="7">
        <f t="shared" si="3"/>
        <v>230.13029269999998</v>
      </c>
      <c r="I123" s="7">
        <f t="shared" si="5"/>
        <v>318.03523037589827</v>
      </c>
    </row>
    <row r="124" spans="1:9" x14ac:dyDescent="0.35">
      <c r="A124" t="s">
        <v>47</v>
      </c>
      <c r="B124" t="s">
        <v>50</v>
      </c>
      <c r="C124" t="s">
        <v>23</v>
      </c>
      <c r="D124" t="s">
        <v>155</v>
      </c>
      <c r="E124" t="s">
        <v>41</v>
      </c>
      <c r="F124" s="4">
        <v>0</v>
      </c>
      <c r="G124" s="4">
        <f>IFERROR(F124-alt_Blanks!$I$19,F124)</f>
        <v>0</v>
      </c>
      <c r="H124" s="7">
        <f t="shared" si="3"/>
        <v>0</v>
      </c>
      <c r="I124" s="7">
        <f t="shared" si="5"/>
        <v>0</v>
      </c>
    </row>
    <row r="125" spans="1:9" x14ac:dyDescent="0.35">
      <c r="A125" t="s">
        <v>47</v>
      </c>
      <c r="B125" t="s">
        <v>50</v>
      </c>
      <c r="C125" t="s">
        <v>24</v>
      </c>
      <c r="D125" t="s">
        <v>155</v>
      </c>
      <c r="E125" t="s">
        <v>41</v>
      </c>
      <c r="F125" s="4">
        <v>216.44535500000001</v>
      </c>
      <c r="G125" s="4">
        <f>IFERROR(F125-alt_Blanks!$I$20,F125)</f>
        <v>214.50737960000001</v>
      </c>
      <c r="H125" s="7">
        <f t="shared" si="3"/>
        <v>214.50737960000001</v>
      </c>
      <c r="I125" s="7">
        <f t="shared" si="5"/>
        <v>296.44469264787176</v>
      </c>
    </row>
    <row r="126" spans="1:9" x14ac:dyDescent="0.35">
      <c r="A126" t="s">
        <v>47</v>
      </c>
      <c r="B126" t="s">
        <v>50</v>
      </c>
      <c r="C126" t="s">
        <v>25</v>
      </c>
      <c r="D126" t="s">
        <v>155</v>
      </c>
      <c r="E126" t="s">
        <v>41</v>
      </c>
      <c r="F126" s="4">
        <v>12.4464907</v>
      </c>
      <c r="G126" s="4">
        <f>IFERROR(F126-alt_Blanks!$I$21,F126)</f>
        <v>12.231981599999999</v>
      </c>
      <c r="H126" s="7">
        <f t="shared" si="3"/>
        <v>12.231981599999999</v>
      </c>
      <c r="I126" s="7">
        <f t="shared" si="5"/>
        <v>16.904341625207294</v>
      </c>
    </row>
    <row r="127" spans="1:9" x14ac:dyDescent="0.35">
      <c r="A127" t="s">
        <v>47</v>
      </c>
      <c r="B127" t="s">
        <v>50</v>
      </c>
      <c r="C127" t="s">
        <v>26</v>
      </c>
      <c r="D127" t="s">
        <v>153</v>
      </c>
      <c r="E127" t="s">
        <v>41</v>
      </c>
      <c r="F127" s="4">
        <v>1.8122145000000001</v>
      </c>
      <c r="G127" s="4">
        <f>IFERROR(F127-alt_Blanks!$I$22,F127)</f>
        <v>0.21749310000000022</v>
      </c>
      <c r="H127" s="7">
        <f t="shared" si="3"/>
        <v>0.21749310000000022</v>
      </c>
      <c r="I127" s="7">
        <f t="shared" si="5"/>
        <v>0.30057089552238836</v>
      </c>
    </row>
    <row r="128" spans="1:9" x14ac:dyDescent="0.35">
      <c r="A128" t="s">
        <v>47</v>
      </c>
      <c r="B128" t="s">
        <v>50</v>
      </c>
      <c r="C128" t="s">
        <v>27</v>
      </c>
      <c r="D128" t="s">
        <v>154</v>
      </c>
      <c r="E128" t="s">
        <v>41</v>
      </c>
      <c r="F128" s="4">
        <v>17.964521000000001</v>
      </c>
      <c r="G128" s="4">
        <f>IFERROR(F128-alt_Blanks!$I$23,F128)</f>
        <v>17.843783600000002</v>
      </c>
      <c r="H128" s="7">
        <f t="shared" si="3"/>
        <v>17.843783600000002</v>
      </c>
      <c r="I128" s="7">
        <f t="shared" si="5"/>
        <v>24.659734107241572</v>
      </c>
    </row>
    <row r="129" spans="1:9" x14ac:dyDescent="0.35">
      <c r="A129" t="s">
        <v>47</v>
      </c>
      <c r="B129" t="s">
        <v>50</v>
      </c>
      <c r="C129" t="s">
        <v>28</v>
      </c>
      <c r="D129" t="s">
        <v>155</v>
      </c>
      <c r="E129" t="s">
        <v>41</v>
      </c>
      <c r="F129" s="4">
        <v>41.860368000000001</v>
      </c>
      <c r="G129" s="4">
        <f>IFERROR(F129-alt_Blanks!$I$24,F129)</f>
        <v>41.613198400000002</v>
      </c>
      <c r="H129" s="7">
        <f t="shared" si="3"/>
        <v>41.613198400000002</v>
      </c>
      <c r="I129" s="7">
        <f t="shared" si="5"/>
        <v>57.50856605859591</v>
      </c>
    </row>
    <row r="130" spans="1:9" x14ac:dyDescent="0.35">
      <c r="A130" t="s">
        <v>47</v>
      </c>
      <c r="B130" t="s">
        <v>50</v>
      </c>
      <c r="C130" t="s">
        <v>29</v>
      </c>
      <c r="D130" t="s">
        <v>155</v>
      </c>
      <c r="E130" t="s">
        <v>41</v>
      </c>
      <c r="F130" s="4">
        <v>5.0889845999999999</v>
      </c>
      <c r="G130" s="4">
        <f>IFERROR(F130-alt_Blanks!$I$25,F130)</f>
        <v>4.6167438000000001</v>
      </c>
      <c r="H130" s="7">
        <f t="shared" si="3"/>
        <v>4.6167438000000001</v>
      </c>
      <c r="I130" s="7">
        <f t="shared" si="5"/>
        <v>6.3802429519071309</v>
      </c>
    </row>
    <row r="131" spans="1:9" x14ac:dyDescent="0.35">
      <c r="A131" t="s">
        <v>47</v>
      </c>
      <c r="B131" t="s">
        <v>50</v>
      </c>
      <c r="C131" t="s">
        <v>30</v>
      </c>
      <c r="D131" t="s">
        <v>155</v>
      </c>
      <c r="E131" t="s">
        <v>41</v>
      </c>
      <c r="F131" s="4">
        <v>235.72992869999999</v>
      </c>
      <c r="G131" s="4">
        <f>IFERROR(F131-alt_Blanks!$I$26,F131)</f>
        <v>235.14975239999998</v>
      </c>
      <c r="H131" s="7">
        <f t="shared" si="3"/>
        <v>235.14975239999998</v>
      </c>
      <c r="I131" s="7">
        <f t="shared" si="5"/>
        <v>324.97201824212266</v>
      </c>
    </row>
    <row r="132" spans="1:9" x14ac:dyDescent="0.35">
      <c r="A132" t="s">
        <v>47</v>
      </c>
      <c r="B132" t="s">
        <v>50</v>
      </c>
      <c r="C132" t="s">
        <v>31</v>
      </c>
      <c r="D132" t="s">
        <v>155</v>
      </c>
      <c r="E132" t="s">
        <v>41</v>
      </c>
      <c r="F132" s="4" t="e">
        <v>#N/A</v>
      </c>
      <c r="G132" s="4" t="e">
        <f>IFERROR(F132-alt_Blanks!$I$27,F132)</f>
        <v>#N/A</v>
      </c>
      <c r="H132" s="7" t="e">
        <f t="shared" si="3"/>
        <v>#N/A</v>
      </c>
      <c r="I132" s="7" t="e">
        <f t="shared" si="5"/>
        <v>#N/A</v>
      </c>
    </row>
    <row r="133" spans="1:9" x14ac:dyDescent="0.35">
      <c r="A133" t="s">
        <v>47</v>
      </c>
      <c r="B133" t="s">
        <v>50</v>
      </c>
      <c r="C133" t="s">
        <v>32</v>
      </c>
      <c r="D133" t="s">
        <v>153</v>
      </c>
      <c r="E133" t="s">
        <v>41</v>
      </c>
      <c r="F133" s="4">
        <v>0.4644721</v>
      </c>
      <c r="G133" s="4">
        <f>IFERROR(F133-alt_Blanks!$I$28,F133)</f>
        <v>0.4644721</v>
      </c>
      <c r="H133" s="7">
        <f t="shared" si="3"/>
        <v>0.4644721</v>
      </c>
      <c r="I133" s="7">
        <f t="shared" si="5"/>
        <v>0.64189068546158101</v>
      </c>
    </row>
    <row r="134" spans="1:9" x14ac:dyDescent="0.35">
      <c r="A134" t="s">
        <v>47</v>
      </c>
      <c r="B134" t="s">
        <v>50</v>
      </c>
      <c r="C134" t="s">
        <v>33</v>
      </c>
      <c r="D134" t="s">
        <v>155</v>
      </c>
      <c r="E134" t="s">
        <v>41</v>
      </c>
      <c r="F134" s="4">
        <v>213.305758</v>
      </c>
      <c r="G134" s="4">
        <f>IFERROR(F134-alt_Blanks!$I$29,F134)</f>
        <v>212.69413699999998</v>
      </c>
      <c r="H134" s="7">
        <f t="shared" ref="H134:H197" si="6">IF(G134&lt;0,0,G134)</f>
        <v>212.69413699999998</v>
      </c>
      <c r="I134" s="7">
        <f t="shared" si="5"/>
        <v>293.9388294637921</v>
      </c>
    </row>
    <row r="135" spans="1:9" x14ac:dyDescent="0.35">
      <c r="A135" t="s">
        <v>47</v>
      </c>
      <c r="B135" t="s">
        <v>50</v>
      </c>
      <c r="C135" t="s">
        <v>34</v>
      </c>
      <c r="D135" t="s">
        <v>153</v>
      </c>
      <c r="E135" t="s">
        <v>41</v>
      </c>
      <c r="F135" s="4">
        <v>0</v>
      </c>
      <c r="G135" s="4">
        <f>IFERROR(F135-alt_Blanks!$I$30,F135)</f>
        <v>0</v>
      </c>
      <c r="H135" s="7">
        <f t="shared" si="6"/>
        <v>0</v>
      </c>
      <c r="I135" s="7">
        <f t="shared" si="5"/>
        <v>0</v>
      </c>
    </row>
    <row r="136" spans="1:9" x14ac:dyDescent="0.35">
      <c r="A136" t="s">
        <v>47</v>
      </c>
      <c r="B136" t="s">
        <v>50</v>
      </c>
      <c r="C136" t="s">
        <v>35</v>
      </c>
      <c r="D136" t="s">
        <v>154</v>
      </c>
      <c r="E136" t="s">
        <v>41</v>
      </c>
      <c r="F136" s="4">
        <v>66.718069799999995</v>
      </c>
      <c r="G136" s="4">
        <f>IFERROR(F136-alt_Blanks!$I$31,F136)</f>
        <v>-35.736563799999999</v>
      </c>
      <c r="H136" s="7">
        <f t="shared" si="6"/>
        <v>0</v>
      </c>
      <c r="I136" s="7">
        <f t="shared" si="5"/>
        <v>0</v>
      </c>
    </row>
    <row r="137" spans="1:9" x14ac:dyDescent="0.35">
      <c r="A137" t="s">
        <v>47</v>
      </c>
      <c r="B137" t="s">
        <v>50</v>
      </c>
      <c r="C137" t="s">
        <v>36</v>
      </c>
      <c r="D137" t="s">
        <v>155</v>
      </c>
      <c r="E137" t="s">
        <v>41</v>
      </c>
      <c r="F137" s="4">
        <v>1.8987339999999999</v>
      </c>
      <c r="G137" s="4">
        <f>IFERROR(F137-alt_Blanks!$I$32,F137)</f>
        <v>-2.8834500000000096E-2</v>
      </c>
      <c r="H137" s="7">
        <f t="shared" si="6"/>
        <v>0</v>
      </c>
      <c r="I137" s="7">
        <f t="shared" si="5"/>
        <v>0</v>
      </c>
    </row>
    <row r="138" spans="1:9" x14ac:dyDescent="0.35">
      <c r="A138" t="s">
        <v>47</v>
      </c>
      <c r="B138" t="s">
        <v>50</v>
      </c>
      <c r="C138" t="s">
        <v>37</v>
      </c>
      <c r="D138" t="s">
        <v>155</v>
      </c>
      <c r="E138" t="s">
        <v>41</v>
      </c>
      <c r="F138" s="4">
        <v>7.7797767999999996</v>
      </c>
      <c r="G138" s="4">
        <f>IFERROR(F138-alt_Blanks!$I$33,F138)</f>
        <v>7.7797767999999996</v>
      </c>
      <c r="H138" s="7">
        <f t="shared" si="6"/>
        <v>7.7797767999999996</v>
      </c>
      <c r="I138" s="7">
        <f t="shared" si="5"/>
        <v>10.751488114980651</v>
      </c>
    </row>
    <row r="139" spans="1:9" x14ac:dyDescent="0.35">
      <c r="A139" t="s">
        <v>47</v>
      </c>
      <c r="B139" t="s">
        <v>50</v>
      </c>
      <c r="C139" t="s">
        <v>38</v>
      </c>
      <c r="D139" t="s">
        <v>155</v>
      </c>
      <c r="E139" t="s">
        <v>41</v>
      </c>
      <c r="F139" s="4">
        <v>8.5064084999999992</v>
      </c>
      <c r="G139" s="4">
        <f>IFERROR(F139-alt_Blanks!$I$34,F139)</f>
        <v>8.5064084999999992</v>
      </c>
      <c r="H139" s="7">
        <f t="shared" si="6"/>
        <v>8.5064084999999992</v>
      </c>
      <c r="I139" s="7">
        <f t="shared" si="5"/>
        <v>11.755677860696515</v>
      </c>
    </row>
    <row r="140" spans="1:9" x14ac:dyDescent="0.35">
      <c r="A140" t="s">
        <v>47</v>
      </c>
      <c r="B140" t="s">
        <v>50</v>
      </c>
      <c r="C140" t="s">
        <v>39</v>
      </c>
      <c r="D140" t="s">
        <v>153</v>
      </c>
      <c r="E140" t="s">
        <v>41</v>
      </c>
      <c r="F140" s="4">
        <v>22.515428800000002</v>
      </c>
      <c r="G140" s="4">
        <f>IFERROR(F140-alt_Blanks!$I$35,F140)</f>
        <v>22.515428800000002</v>
      </c>
      <c r="H140" s="7">
        <f t="shared" si="6"/>
        <v>22.515428800000002</v>
      </c>
      <c r="I140" s="7">
        <f t="shared" si="5"/>
        <v>31.115849640685465</v>
      </c>
    </row>
    <row r="141" spans="1:9" x14ac:dyDescent="0.35">
      <c r="A141" t="s">
        <v>47</v>
      </c>
      <c r="B141" t="s">
        <v>50</v>
      </c>
      <c r="C141" t="s">
        <v>40</v>
      </c>
      <c r="D141" t="s">
        <v>154</v>
      </c>
      <c r="E141" t="s">
        <v>41</v>
      </c>
      <c r="F141" s="4">
        <v>0</v>
      </c>
      <c r="G141" s="4">
        <f>IFERROR(F141-alt_Blanks!$I$36,F141)</f>
        <v>0</v>
      </c>
      <c r="H141" s="7">
        <f t="shared" si="6"/>
        <v>0</v>
      </c>
      <c r="I141" s="7">
        <f t="shared" si="5"/>
        <v>0</v>
      </c>
    </row>
    <row r="142" spans="1:9" x14ac:dyDescent="0.35">
      <c r="A142" t="s">
        <v>51</v>
      </c>
      <c r="B142" t="s">
        <v>52</v>
      </c>
      <c r="C142" t="s">
        <v>6</v>
      </c>
      <c r="D142" t="s">
        <v>153</v>
      </c>
      <c r="E142" t="s">
        <v>41</v>
      </c>
      <c r="F142" s="4">
        <v>6.6951331999999999</v>
      </c>
      <c r="G142" s="4">
        <f>IFERROR(F142-alt_Blanks!$I$2,F142)</f>
        <v>-1.1407900000000915E-2</v>
      </c>
      <c r="H142" s="7">
        <f t="shared" si="6"/>
        <v>0</v>
      </c>
      <c r="I142" s="7">
        <f>H142/0.6708</f>
        <v>0</v>
      </c>
    </row>
    <row r="143" spans="1:9" x14ac:dyDescent="0.35">
      <c r="A143" t="s">
        <v>51</v>
      </c>
      <c r="B143" t="s">
        <v>52</v>
      </c>
      <c r="C143" t="s">
        <v>7</v>
      </c>
      <c r="D143" t="s">
        <v>153</v>
      </c>
      <c r="E143" t="s">
        <v>41</v>
      </c>
      <c r="F143" s="4">
        <v>0</v>
      </c>
      <c r="G143" s="4">
        <f>IFERROR(F143-alt_Blanks!$I$3,F143)</f>
        <v>0</v>
      </c>
      <c r="H143" s="7">
        <f t="shared" si="6"/>
        <v>0</v>
      </c>
      <c r="I143" s="7">
        <f t="shared" ref="I143:I176" si="7">H143/0.6708</f>
        <v>0</v>
      </c>
    </row>
    <row r="144" spans="1:9" x14ac:dyDescent="0.35">
      <c r="A144" t="s">
        <v>51</v>
      </c>
      <c r="B144" t="s">
        <v>52</v>
      </c>
      <c r="C144" t="s">
        <v>8</v>
      </c>
      <c r="D144" t="s">
        <v>153</v>
      </c>
      <c r="E144" t="s">
        <v>41</v>
      </c>
      <c r="F144" s="4">
        <v>0</v>
      </c>
      <c r="G144" s="4">
        <f>IFERROR(F144-alt_Blanks!$I$4,F144)</f>
        <v>0</v>
      </c>
      <c r="H144" s="7">
        <f t="shared" si="6"/>
        <v>0</v>
      </c>
      <c r="I144" s="7">
        <f t="shared" si="7"/>
        <v>0</v>
      </c>
    </row>
    <row r="145" spans="1:9" x14ac:dyDescent="0.35">
      <c r="A145" t="s">
        <v>51</v>
      </c>
      <c r="B145" t="s">
        <v>52</v>
      </c>
      <c r="C145" t="s">
        <v>9</v>
      </c>
      <c r="D145" t="s">
        <v>153</v>
      </c>
      <c r="E145" t="s">
        <v>41</v>
      </c>
      <c r="F145" s="4">
        <v>14.651449599999999</v>
      </c>
      <c r="G145" s="4">
        <f>IFERROR(F145-alt_Blanks!$I$5,F145)</f>
        <v>14.651449599999999</v>
      </c>
      <c r="H145" s="7">
        <f t="shared" si="6"/>
        <v>14.651449599999999</v>
      </c>
      <c r="I145" s="7">
        <f t="shared" si="7"/>
        <v>21.841755515802028</v>
      </c>
    </row>
    <row r="146" spans="1:9" x14ac:dyDescent="0.35">
      <c r="A146" t="s">
        <v>51</v>
      </c>
      <c r="B146" t="s">
        <v>52</v>
      </c>
      <c r="C146" t="s">
        <v>10</v>
      </c>
      <c r="D146" t="s">
        <v>153</v>
      </c>
      <c r="E146" t="s">
        <v>41</v>
      </c>
      <c r="F146" s="4">
        <v>95.484060299999996</v>
      </c>
      <c r="G146" s="4">
        <f>IFERROR(F146-alt_Blanks!$I$6,F146)</f>
        <v>95.484060299999996</v>
      </c>
      <c r="H146" s="7">
        <f t="shared" si="6"/>
        <v>95.484060299999996</v>
      </c>
      <c r="I146" s="7">
        <f t="shared" si="7"/>
        <v>142.34356037567085</v>
      </c>
    </row>
    <row r="147" spans="1:9" x14ac:dyDescent="0.35">
      <c r="A147" t="s">
        <v>51</v>
      </c>
      <c r="B147" t="s">
        <v>52</v>
      </c>
      <c r="C147" t="s">
        <v>11</v>
      </c>
      <c r="D147" t="s">
        <v>153</v>
      </c>
      <c r="E147" t="s">
        <v>41</v>
      </c>
      <c r="F147" s="4">
        <v>134.51253800000001</v>
      </c>
      <c r="G147" s="4">
        <f>IFERROR(F147-alt_Blanks!$I$7,F147)</f>
        <v>134.51253800000001</v>
      </c>
      <c r="H147" s="7">
        <f t="shared" si="6"/>
        <v>134.51253800000001</v>
      </c>
      <c r="I147" s="7">
        <f t="shared" si="7"/>
        <v>200.52554859868815</v>
      </c>
    </row>
    <row r="148" spans="1:9" x14ac:dyDescent="0.35">
      <c r="A148" t="s">
        <v>51</v>
      </c>
      <c r="B148" t="s">
        <v>52</v>
      </c>
      <c r="C148" t="s">
        <v>12</v>
      </c>
      <c r="D148" t="s">
        <v>154</v>
      </c>
      <c r="E148" t="s">
        <v>41</v>
      </c>
      <c r="F148" s="4">
        <v>0</v>
      </c>
      <c r="G148" s="4">
        <f>IFERROR(F148-alt_Blanks!$I$8,F148)</f>
        <v>0</v>
      </c>
      <c r="H148" s="7">
        <f t="shared" si="6"/>
        <v>0</v>
      </c>
      <c r="I148" s="7">
        <f t="shared" si="7"/>
        <v>0</v>
      </c>
    </row>
    <row r="149" spans="1:9" x14ac:dyDescent="0.35">
      <c r="A149" t="s">
        <v>51</v>
      </c>
      <c r="B149" t="s">
        <v>52</v>
      </c>
      <c r="C149" t="s">
        <v>13</v>
      </c>
      <c r="D149" t="s">
        <v>153</v>
      </c>
      <c r="E149" t="s">
        <v>41</v>
      </c>
      <c r="F149" s="4">
        <v>18.688696400000001</v>
      </c>
      <c r="G149" s="4">
        <f>IFERROR(F149-alt_Blanks!$I$9,F149)</f>
        <v>18.688696400000001</v>
      </c>
      <c r="H149" s="7">
        <f t="shared" si="6"/>
        <v>18.688696400000001</v>
      </c>
      <c r="I149" s="7">
        <f t="shared" si="7"/>
        <v>27.860310673822305</v>
      </c>
    </row>
    <row r="150" spans="1:9" x14ac:dyDescent="0.35">
      <c r="A150" t="s">
        <v>51</v>
      </c>
      <c r="B150" t="s">
        <v>52</v>
      </c>
      <c r="C150" t="s">
        <v>14</v>
      </c>
      <c r="D150" t="s">
        <v>154</v>
      </c>
      <c r="E150" t="s">
        <v>41</v>
      </c>
      <c r="F150" s="4">
        <v>0</v>
      </c>
      <c r="G150" s="4">
        <f>IFERROR(F150-alt_Blanks!$I$10,F150)</f>
        <v>0</v>
      </c>
      <c r="H150" s="7">
        <f t="shared" si="6"/>
        <v>0</v>
      </c>
      <c r="I150" s="7">
        <f t="shared" si="7"/>
        <v>0</v>
      </c>
    </row>
    <row r="151" spans="1:9" x14ac:dyDescent="0.35">
      <c r="A151" t="s">
        <v>51</v>
      </c>
      <c r="B151" t="s">
        <v>52</v>
      </c>
      <c r="C151" t="s">
        <v>15</v>
      </c>
      <c r="D151" t="s">
        <v>153</v>
      </c>
      <c r="E151" t="s">
        <v>41</v>
      </c>
      <c r="F151" s="4">
        <v>3052.9328737000001</v>
      </c>
      <c r="G151" s="4">
        <f>IFERROR(F151-alt_Blanks!$I$11,F151)</f>
        <v>2247.7161839999999</v>
      </c>
      <c r="H151" s="7">
        <f t="shared" si="6"/>
        <v>2247.7161839999999</v>
      </c>
      <c r="I151" s="7">
        <f t="shared" si="7"/>
        <v>3350.799320214669</v>
      </c>
    </row>
    <row r="152" spans="1:9" x14ac:dyDescent="0.35">
      <c r="A152" t="s">
        <v>51</v>
      </c>
      <c r="B152" t="s">
        <v>52</v>
      </c>
      <c r="C152" t="s">
        <v>16</v>
      </c>
      <c r="D152" t="s">
        <v>154</v>
      </c>
      <c r="E152" t="s">
        <v>41</v>
      </c>
      <c r="F152" s="4">
        <v>632.97792070000003</v>
      </c>
      <c r="G152" s="4">
        <f>IFERROR(F152-alt_Blanks!$I$12,F152)</f>
        <v>632.97792070000003</v>
      </c>
      <c r="H152" s="7">
        <f t="shared" si="6"/>
        <v>632.97792070000003</v>
      </c>
      <c r="I152" s="7">
        <f t="shared" si="7"/>
        <v>943.6164590041742</v>
      </c>
    </row>
    <row r="153" spans="1:9" x14ac:dyDescent="0.35">
      <c r="A153" t="s">
        <v>51</v>
      </c>
      <c r="B153" t="s">
        <v>52</v>
      </c>
      <c r="C153" t="s">
        <v>17</v>
      </c>
      <c r="D153" t="s">
        <v>153</v>
      </c>
      <c r="E153" t="s">
        <v>41</v>
      </c>
      <c r="F153" s="4">
        <v>22.566353299999999</v>
      </c>
      <c r="G153" s="4">
        <f>IFERROR(F153-alt_Blanks!$I$13,F153)</f>
        <v>21.713639799999999</v>
      </c>
      <c r="H153" s="7">
        <f t="shared" si="6"/>
        <v>21.713639799999999</v>
      </c>
      <c r="I153" s="7">
        <f t="shared" si="7"/>
        <v>32.369767143709005</v>
      </c>
    </row>
    <row r="154" spans="1:9" x14ac:dyDescent="0.35">
      <c r="A154" t="s">
        <v>51</v>
      </c>
      <c r="B154" t="s">
        <v>52</v>
      </c>
      <c r="C154" t="s">
        <v>18</v>
      </c>
      <c r="D154" t="s">
        <v>154</v>
      </c>
      <c r="E154" t="s">
        <v>41</v>
      </c>
      <c r="F154" s="4">
        <v>0</v>
      </c>
      <c r="G154" s="4">
        <f>IFERROR(F154-alt_Blanks!$I$14,F154)</f>
        <v>0</v>
      </c>
      <c r="H154" s="7">
        <f t="shared" si="6"/>
        <v>0</v>
      </c>
      <c r="I154" s="7">
        <f t="shared" si="7"/>
        <v>0</v>
      </c>
    </row>
    <row r="155" spans="1:9" x14ac:dyDescent="0.35">
      <c r="A155" t="s">
        <v>51</v>
      </c>
      <c r="B155" t="s">
        <v>52</v>
      </c>
      <c r="C155" t="s">
        <v>19</v>
      </c>
      <c r="D155" t="s">
        <v>153</v>
      </c>
      <c r="E155" t="s">
        <v>41</v>
      </c>
      <c r="F155" s="4">
        <v>452.96472110000002</v>
      </c>
      <c r="G155" s="4">
        <f>IFERROR(F155-alt_Blanks!$I$15,F155)</f>
        <v>184.34132400000004</v>
      </c>
      <c r="H155" s="7">
        <f t="shared" si="6"/>
        <v>184.34132400000004</v>
      </c>
      <c r="I155" s="7">
        <f t="shared" si="7"/>
        <v>274.80817531305911</v>
      </c>
    </row>
    <row r="156" spans="1:9" x14ac:dyDescent="0.35">
      <c r="A156" t="s">
        <v>51</v>
      </c>
      <c r="B156" t="s">
        <v>52</v>
      </c>
      <c r="C156" t="s">
        <v>20</v>
      </c>
      <c r="D156" t="s">
        <v>154</v>
      </c>
      <c r="E156" t="s">
        <v>41</v>
      </c>
      <c r="F156" s="4">
        <v>613.81146459999991</v>
      </c>
      <c r="G156" s="4">
        <f>IFERROR(F156-alt_Blanks!$I$16,F156)</f>
        <v>595.34555139999986</v>
      </c>
      <c r="H156" s="7">
        <f t="shared" si="6"/>
        <v>595.34555139999986</v>
      </c>
      <c r="I156" s="7">
        <f t="shared" si="7"/>
        <v>887.51572957662484</v>
      </c>
    </row>
    <row r="157" spans="1:9" x14ac:dyDescent="0.35">
      <c r="A157" t="s">
        <v>51</v>
      </c>
      <c r="B157" t="s">
        <v>52</v>
      </c>
      <c r="C157" t="s">
        <v>21</v>
      </c>
      <c r="D157" t="s">
        <v>155</v>
      </c>
      <c r="E157" t="s">
        <v>41</v>
      </c>
      <c r="F157" s="4">
        <v>0.27750389999999997</v>
      </c>
      <c r="G157" s="4">
        <f>IFERROR(F157-alt_Blanks!$I$17,F157)</f>
        <v>-5.444950000000004E-2</v>
      </c>
      <c r="H157" s="7">
        <f t="shared" si="6"/>
        <v>0</v>
      </c>
      <c r="I157" s="7">
        <f t="shared" si="7"/>
        <v>0</v>
      </c>
    </row>
    <row r="158" spans="1:9" x14ac:dyDescent="0.35">
      <c r="A158" t="s">
        <v>51</v>
      </c>
      <c r="B158" t="s">
        <v>52</v>
      </c>
      <c r="C158" t="s">
        <v>22</v>
      </c>
      <c r="D158" t="s">
        <v>155</v>
      </c>
      <c r="E158" t="s">
        <v>41</v>
      </c>
      <c r="F158" s="4">
        <v>303.93426319999998</v>
      </c>
      <c r="G158" s="4">
        <f>IFERROR(F158-alt_Blanks!$I$18,F158)</f>
        <v>297.93080359999999</v>
      </c>
      <c r="H158" s="7">
        <f t="shared" si="6"/>
        <v>297.93080359999999</v>
      </c>
      <c r="I158" s="7">
        <f t="shared" si="7"/>
        <v>444.14252176505664</v>
      </c>
    </row>
    <row r="159" spans="1:9" x14ac:dyDescent="0.35">
      <c r="A159" t="s">
        <v>51</v>
      </c>
      <c r="B159" t="s">
        <v>52</v>
      </c>
      <c r="C159" t="s">
        <v>23</v>
      </c>
      <c r="D159" t="s">
        <v>155</v>
      </c>
      <c r="E159" t="s">
        <v>41</v>
      </c>
      <c r="F159" s="4">
        <v>0</v>
      </c>
      <c r="G159" s="4">
        <f>IFERROR(F159-alt_Blanks!$I$19,F159)</f>
        <v>0</v>
      </c>
      <c r="H159" s="7">
        <f t="shared" si="6"/>
        <v>0</v>
      </c>
      <c r="I159" s="7">
        <f t="shared" si="7"/>
        <v>0</v>
      </c>
    </row>
    <row r="160" spans="1:9" x14ac:dyDescent="0.35">
      <c r="A160" t="s">
        <v>51</v>
      </c>
      <c r="B160" t="s">
        <v>52</v>
      </c>
      <c r="C160" t="s">
        <v>24</v>
      </c>
      <c r="D160" t="s">
        <v>155</v>
      </c>
      <c r="E160" t="s">
        <v>41</v>
      </c>
      <c r="F160" s="4">
        <v>226.71887520000001</v>
      </c>
      <c r="G160" s="4">
        <f>IFERROR(F160-alt_Blanks!$I$20,F160)</f>
        <v>224.78089980000001</v>
      </c>
      <c r="H160" s="7">
        <f t="shared" si="6"/>
        <v>224.78089980000001</v>
      </c>
      <c r="I160" s="7">
        <f t="shared" si="7"/>
        <v>335.09376833631489</v>
      </c>
    </row>
    <row r="161" spans="1:9" x14ac:dyDescent="0.35">
      <c r="A161" t="s">
        <v>51</v>
      </c>
      <c r="B161" t="s">
        <v>52</v>
      </c>
      <c r="C161" t="s">
        <v>25</v>
      </c>
      <c r="D161" t="s">
        <v>155</v>
      </c>
      <c r="E161" t="s">
        <v>41</v>
      </c>
      <c r="F161" s="4">
        <v>11.3454601</v>
      </c>
      <c r="G161" s="4">
        <f>IFERROR(F161-alt_Blanks!$I$21,F161)</f>
        <v>11.130951</v>
      </c>
      <c r="H161" s="7">
        <f t="shared" si="6"/>
        <v>11.130951</v>
      </c>
      <c r="I161" s="7">
        <f t="shared" si="7"/>
        <v>16.593546511627906</v>
      </c>
    </row>
    <row r="162" spans="1:9" x14ac:dyDescent="0.35">
      <c r="A162" t="s">
        <v>51</v>
      </c>
      <c r="B162" t="s">
        <v>52</v>
      </c>
      <c r="C162" t="s">
        <v>26</v>
      </c>
      <c r="D162" t="s">
        <v>153</v>
      </c>
      <c r="E162" t="s">
        <v>41</v>
      </c>
      <c r="F162" s="4">
        <v>1.5999242</v>
      </c>
      <c r="G162" s="4">
        <f>IFERROR(F162-alt_Blanks!$I$22,F162)</f>
        <v>5.202800000000174E-3</v>
      </c>
      <c r="H162" s="7">
        <f t="shared" si="6"/>
        <v>5.202800000000174E-3</v>
      </c>
      <c r="I162" s="7">
        <f t="shared" si="7"/>
        <v>7.7561121049495741E-3</v>
      </c>
    </row>
    <row r="163" spans="1:9" x14ac:dyDescent="0.35">
      <c r="A163" t="s">
        <v>51</v>
      </c>
      <c r="B163" t="s">
        <v>52</v>
      </c>
      <c r="C163" t="s">
        <v>27</v>
      </c>
      <c r="D163" t="s">
        <v>154</v>
      </c>
      <c r="E163" t="s">
        <v>41</v>
      </c>
      <c r="F163" s="4">
        <v>26.919015899999998</v>
      </c>
      <c r="G163" s="4">
        <f>IFERROR(F163-alt_Blanks!$I$23,F163)</f>
        <v>26.798278499999999</v>
      </c>
      <c r="H163" s="7">
        <f t="shared" si="6"/>
        <v>26.798278499999999</v>
      </c>
      <c r="I163" s="7">
        <f t="shared" si="7"/>
        <v>39.949729427549194</v>
      </c>
    </row>
    <row r="164" spans="1:9" x14ac:dyDescent="0.35">
      <c r="A164" t="s">
        <v>51</v>
      </c>
      <c r="B164" t="s">
        <v>52</v>
      </c>
      <c r="C164" t="s">
        <v>28</v>
      </c>
      <c r="D164" t="s">
        <v>155</v>
      </c>
      <c r="E164" t="s">
        <v>41</v>
      </c>
      <c r="F164" s="4">
        <v>50.078904100000003</v>
      </c>
      <c r="G164" s="4">
        <f>IFERROR(F164-alt_Blanks!$I$24,F164)</f>
        <v>49.831734500000003</v>
      </c>
      <c r="H164" s="7">
        <f t="shared" si="6"/>
        <v>49.831734500000003</v>
      </c>
      <c r="I164" s="7">
        <f t="shared" si="7"/>
        <v>74.287022212283844</v>
      </c>
    </row>
    <row r="165" spans="1:9" x14ac:dyDescent="0.35">
      <c r="A165" t="s">
        <v>51</v>
      </c>
      <c r="B165" t="s">
        <v>52</v>
      </c>
      <c r="C165" t="s">
        <v>29</v>
      </c>
      <c r="D165" t="s">
        <v>155</v>
      </c>
      <c r="E165" t="s">
        <v>41</v>
      </c>
      <c r="F165" s="4">
        <v>0.4216065</v>
      </c>
      <c r="G165" s="4">
        <f>IFERROR(F165-alt_Blanks!$I$25,F165)</f>
        <v>-5.0634299999999965E-2</v>
      </c>
      <c r="H165" s="7">
        <f t="shared" si="6"/>
        <v>0</v>
      </c>
      <c r="I165" s="7">
        <f t="shared" si="7"/>
        <v>0</v>
      </c>
    </row>
    <row r="166" spans="1:9" x14ac:dyDescent="0.35">
      <c r="A166" t="s">
        <v>51</v>
      </c>
      <c r="B166" t="s">
        <v>52</v>
      </c>
      <c r="C166" t="s">
        <v>30</v>
      </c>
      <c r="D166" t="s">
        <v>155</v>
      </c>
      <c r="E166" t="s">
        <v>41</v>
      </c>
      <c r="F166" s="4">
        <v>233.85097469999999</v>
      </c>
      <c r="G166" s="4">
        <f>IFERROR(F166-alt_Blanks!$I$26,F166)</f>
        <v>233.27079839999999</v>
      </c>
      <c r="H166" s="7">
        <f t="shared" si="6"/>
        <v>233.27079839999999</v>
      </c>
      <c r="I166" s="7">
        <f t="shared" si="7"/>
        <v>347.75014669051882</v>
      </c>
    </row>
    <row r="167" spans="1:9" x14ac:dyDescent="0.35">
      <c r="A167" t="s">
        <v>51</v>
      </c>
      <c r="B167" t="s">
        <v>52</v>
      </c>
      <c r="C167" t="s">
        <v>31</v>
      </c>
      <c r="D167" t="s">
        <v>155</v>
      </c>
      <c r="E167" t="s">
        <v>41</v>
      </c>
      <c r="F167" s="4" t="e">
        <v>#N/A</v>
      </c>
      <c r="G167" s="4" t="e">
        <f>IFERROR(F167-alt_Blanks!$I$27,F167)</f>
        <v>#N/A</v>
      </c>
      <c r="H167" s="7" t="e">
        <f t="shared" si="6"/>
        <v>#N/A</v>
      </c>
      <c r="I167" s="7" t="e">
        <f t="shared" si="7"/>
        <v>#N/A</v>
      </c>
    </row>
    <row r="168" spans="1:9" x14ac:dyDescent="0.35">
      <c r="A168" t="s">
        <v>51</v>
      </c>
      <c r="B168" t="s">
        <v>52</v>
      </c>
      <c r="C168" t="s">
        <v>32</v>
      </c>
      <c r="D168" t="s">
        <v>153</v>
      </c>
      <c r="E168" t="s">
        <v>41</v>
      </c>
      <c r="F168" s="4">
        <v>0</v>
      </c>
      <c r="G168" s="4">
        <f>IFERROR(F168-alt_Blanks!$I$28,F168)</f>
        <v>0</v>
      </c>
      <c r="H168" s="7">
        <f t="shared" si="6"/>
        <v>0</v>
      </c>
      <c r="I168" s="7">
        <f t="shared" si="7"/>
        <v>0</v>
      </c>
    </row>
    <row r="169" spans="1:9" x14ac:dyDescent="0.35">
      <c r="A169" t="s">
        <v>51</v>
      </c>
      <c r="B169" t="s">
        <v>52</v>
      </c>
      <c r="C169" t="s">
        <v>33</v>
      </c>
      <c r="D169" t="s">
        <v>155</v>
      </c>
      <c r="E169" t="s">
        <v>41</v>
      </c>
      <c r="F169" s="4">
        <v>199.13929569999999</v>
      </c>
      <c r="G169" s="4">
        <f>IFERROR(F169-alt_Blanks!$I$29,F169)</f>
        <v>198.52767469999998</v>
      </c>
      <c r="H169" s="7">
        <f t="shared" si="6"/>
        <v>198.52767469999998</v>
      </c>
      <c r="I169" s="7">
        <f t="shared" si="7"/>
        <v>295.95658124627312</v>
      </c>
    </row>
    <row r="170" spans="1:9" x14ac:dyDescent="0.35">
      <c r="A170" t="s">
        <v>51</v>
      </c>
      <c r="B170" t="s">
        <v>52</v>
      </c>
      <c r="C170" t="s">
        <v>34</v>
      </c>
      <c r="D170" t="s">
        <v>153</v>
      </c>
      <c r="E170" t="s">
        <v>41</v>
      </c>
      <c r="F170" s="4">
        <v>0</v>
      </c>
      <c r="G170" s="4">
        <f>IFERROR(F170-alt_Blanks!$I$30,F170)</f>
        <v>0</v>
      </c>
      <c r="H170" s="7">
        <f t="shared" si="6"/>
        <v>0</v>
      </c>
      <c r="I170" s="7">
        <f t="shared" si="7"/>
        <v>0</v>
      </c>
    </row>
    <row r="171" spans="1:9" x14ac:dyDescent="0.35">
      <c r="A171" t="s">
        <v>51</v>
      </c>
      <c r="B171" t="s">
        <v>52</v>
      </c>
      <c r="C171" t="s">
        <v>35</v>
      </c>
      <c r="D171" t="s">
        <v>154</v>
      </c>
      <c r="E171" t="s">
        <v>41</v>
      </c>
      <c r="F171" s="4">
        <v>62.498383800000006</v>
      </c>
      <c r="G171" s="4">
        <f>IFERROR(F171-alt_Blanks!$I$31,F171)</f>
        <v>-39.956249799999988</v>
      </c>
      <c r="H171" s="7">
        <f t="shared" si="6"/>
        <v>0</v>
      </c>
      <c r="I171" s="7">
        <f t="shared" si="7"/>
        <v>0</v>
      </c>
    </row>
    <row r="172" spans="1:9" x14ac:dyDescent="0.35">
      <c r="A172" t="s">
        <v>51</v>
      </c>
      <c r="B172" t="s">
        <v>52</v>
      </c>
      <c r="C172" t="s">
        <v>36</v>
      </c>
      <c r="D172" t="s">
        <v>155</v>
      </c>
      <c r="E172" t="s">
        <v>41</v>
      </c>
      <c r="F172" s="4">
        <v>9.9632521000000001</v>
      </c>
      <c r="G172" s="4">
        <f>IFERROR(F172-alt_Blanks!$I$32,F172)</f>
        <v>8.0356836000000005</v>
      </c>
      <c r="H172" s="7">
        <f t="shared" si="6"/>
        <v>8.0356836000000005</v>
      </c>
      <c r="I172" s="7">
        <f t="shared" si="7"/>
        <v>11.979254025044725</v>
      </c>
    </row>
    <row r="173" spans="1:9" x14ac:dyDescent="0.35">
      <c r="A173" t="s">
        <v>51</v>
      </c>
      <c r="B173" t="s">
        <v>52</v>
      </c>
      <c r="C173" t="s">
        <v>37</v>
      </c>
      <c r="D173" t="s">
        <v>155</v>
      </c>
      <c r="E173" t="s">
        <v>41</v>
      </c>
      <c r="F173" s="4">
        <v>7.5219358000000005</v>
      </c>
      <c r="G173" s="4">
        <f>IFERROR(F173-alt_Blanks!$I$33,F173)</f>
        <v>7.5219358000000005</v>
      </c>
      <c r="H173" s="7">
        <f t="shared" si="6"/>
        <v>7.5219358000000005</v>
      </c>
      <c r="I173" s="7">
        <f t="shared" si="7"/>
        <v>11.213380739415625</v>
      </c>
    </row>
    <row r="174" spans="1:9" x14ac:dyDescent="0.35">
      <c r="A174" t="s">
        <v>51</v>
      </c>
      <c r="B174" t="s">
        <v>52</v>
      </c>
      <c r="C174" t="s">
        <v>38</v>
      </c>
      <c r="D174" t="s">
        <v>155</v>
      </c>
      <c r="E174" t="s">
        <v>41</v>
      </c>
      <c r="F174" s="4">
        <v>6.9483413000000001</v>
      </c>
      <c r="G174" s="4">
        <f>IFERROR(F174-alt_Blanks!$I$34,F174)</f>
        <v>6.9483413000000001</v>
      </c>
      <c r="H174" s="7">
        <f t="shared" si="6"/>
        <v>6.9483413000000001</v>
      </c>
      <c r="I174" s="7">
        <f t="shared" si="7"/>
        <v>10.358290548598688</v>
      </c>
    </row>
    <row r="175" spans="1:9" x14ac:dyDescent="0.35">
      <c r="A175" t="s">
        <v>51</v>
      </c>
      <c r="B175" t="s">
        <v>52</v>
      </c>
      <c r="C175" t="s">
        <v>39</v>
      </c>
      <c r="D175" t="s">
        <v>153</v>
      </c>
      <c r="E175" t="s">
        <v>41</v>
      </c>
      <c r="F175" s="4">
        <v>25.124684700000003</v>
      </c>
      <c r="G175" s="4">
        <f>IFERROR(F175-alt_Blanks!$I$35,F175)</f>
        <v>25.124684700000003</v>
      </c>
      <c r="H175" s="7">
        <f t="shared" si="6"/>
        <v>25.124684700000003</v>
      </c>
      <c r="I175" s="7">
        <f t="shared" si="7"/>
        <v>37.454807245080509</v>
      </c>
    </row>
    <row r="176" spans="1:9" x14ac:dyDescent="0.35">
      <c r="A176" t="s">
        <v>51</v>
      </c>
      <c r="B176" t="s">
        <v>52</v>
      </c>
      <c r="C176" t="s">
        <v>40</v>
      </c>
      <c r="D176" t="s">
        <v>154</v>
      </c>
      <c r="E176" t="s">
        <v>41</v>
      </c>
      <c r="F176" s="4">
        <v>0</v>
      </c>
      <c r="G176" s="4">
        <f>IFERROR(F176-alt_Blanks!$I$36,F176)</f>
        <v>0</v>
      </c>
      <c r="H176" s="7">
        <f t="shared" si="6"/>
        <v>0</v>
      </c>
      <c r="I176" s="7">
        <f t="shared" si="7"/>
        <v>0</v>
      </c>
    </row>
    <row r="177" spans="1:9" x14ac:dyDescent="0.35">
      <c r="A177" t="s">
        <v>53</v>
      </c>
      <c r="B177" t="s">
        <v>54</v>
      </c>
      <c r="C177" t="s">
        <v>6</v>
      </c>
      <c r="D177" t="s">
        <v>153</v>
      </c>
      <c r="E177" t="s">
        <v>41</v>
      </c>
      <c r="F177" s="4">
        <v>6.6676724000000007</v>
      </c>
      <c r="G177" s="4">
        <f>IFERROR(F177-alt_Blanks!$I$2,F177)</f>
        <v>-3.8868700000000089E-2</v>
      </c>
      <c r="H177" s="7">
        <f t="shared" si="6"/>
        <v>0</v>
      </c>
      <c r="I177" s="7">
        <f>H177/0.7559</f>
        <v>0</v>
      </c>
    </row>
    <row r="178" spans="1:9" x14ac:dyDescent="0.35">
      <c r="A178" t="s">
        <v>53</v>
      </c>
      <c r="B178" t="s">
        <v>54</v>
      </c>
      <c r="C178" t="s">
        <v>7</v>
      </c>
      <c r="D178" t="s">
        <v>153</v>
      </c>
      <c r="E178" t="s">
        <v>41</v>
      </c>
      <c r="F178" s="4">
        <v>0</v>
      </c>
      <c r="G178" s="4">
        <f>IFERROR(F178-alt_Blanks!$I$3,F178)</f>
        <v>0</v>
      </c>
      <c r="H178" s="7">
        <f t="shared" si="6"/>
        <v>0</v>
      </c>
      <c r="I178" s="7">
        <f t="shared" ref="I178:I211" si="8">H178/0.7559</f>
        <v>0</v>
      </c>
    </row>
    <row r="179" spans="1:9" x14ac:dyDescent="0.35">
      <c r="A179" t="s">
        <v>53</v>
      </c>
      <c r="B179" t="s">
        <v>54</v>
      </c>
      <c r="C179" t="s">
        <v>8</v>
      </c>
      <c r="D179" t="s">
        <v>153</v>
      </c>
      <c r="E179" t="s">
        <v>41</v>
      </c>
      <c r="F179" s="4">
        <v>0</v>
      </c>
      <c r="G179" s="4">
        <f>IFERROR(F179-alt_Blanks!$I$4,F179)</f>
        <v>0</v>
      </c>
      <c r="H179" s="7">
        <f t="shared" si="6"/>
        <v>0</v>
      </c>
      <c r="I179" s="7">
        <f t="shared" si="8"/>
        <v>0</v>
      </c>
    </row>
    <row r="180" spans="1:9" x14ac:dyDescent="0.35">
      <c r="A180" t="s">
        <v>53</v>
      </c>
      <c r="B180" t="s">
        <v>54</v>
      </c>
      <c r="C180" t="s">
        <v>9</v>
      </c>
      <c r="D180" t="s">
        <v>153</v>
      </c>
      <c r="E180" t="s">
        <v>41</v>
      </c>
      <c r="F180" s="4">
        <v>0</v>
      </c>
      <c r="G180" s="4">
        <f>IFERROR(F180-alt_Blanks!$I$5,F180)</f>
        <v>0</v>
      </c>
      <c r="H180" s="7">
        <f t="shared" si="6"/>
        <v>0</v>
      </c>
      <c r="I180" s="7">
        <f t="shared" si="8"/>
        <v>0</v>
      </c>
    </row>
    <row r="181" spans="1:9" x14ac:dyDescent="0.35">
      <c r="A181" t="s">
        <v>53</v>
      </c>
      <c r="B181" t="s">
        <v>54</v>
      </c>
      <c r="C181" t="s">
        <v>10</v>
      </c>
      <c r="D181" t="s">
        <v>153</v>
      </c>
      <c r="E181" t="s">
        <v>41</v>
      </c>
      <c r="F181" s="4">
        <v>0</v>
      </c>
      <c r="G181" s="4">
        <f>IFERROR(F181-alt_Blanks!$I$6,F181)</f>
        <v>0</v>
      </c>
      <c r="H181" s="7">
        <f t="shared" si="6"/>
        <v>0</v>
      </c>
      <c r="I181" s="7">
        <f t="shared" si="8"/>
        <v>0</v>
      </c>
    </row>
    <row r="182" spans="1:9" x14ac:dyDescent="0.35">
      <c r="A182" t="s">
        <v>53</v>
      </c>
      <c r="B182" t="s">
        <v>54</v>
      </c>
      <c r="C182" t="s">
        <v>11</v>
      </c>
      <c r="D182" t="s">
        <v>153</v>
      </c>
      <c r="E182" t="s">
        <v>41</v>
      </c>
      <c r="F182" s="4">
        <v>46.715862699999995</v>
      </c>
      <c r="G182" s="4">
        <f>IFERROR(F182-alt_Blanks!$I$7,F182)</f>
        <v>46.715862699999995</v>
      </c>
      <c r="H182" s="7">
        <f t="shared" si="6"/>
        <v>46.715862699999995</v>
      </c>
      <c r="I182" s="7">
        <f t="shared" si="8"/>
        <v>61.801644000529166</v>
      </c>
    </row>
    <row r="183" spans="1:9" x14ac:dyDescent="0.35">
      <c r="A183" t="s">
        <v>53</v>
      </c>
      <c r="B183" t="s">
        <v>54</v>
      </c>
      <c r="C183" t="s">
        <v>12</v>
      </c>
      <c r="D183" t="s">
        <v>154</v>
      </c>
      <c r="E183" t="s">
        <v>41</v>
      </c>
      <c r="F183" s="4">
        <v>0</v>
      </c>
      <c r="G183" s="4">
        <f>IFERROR(F183-alt_Blanks!$I$8,F183)</f>
        <v>0</v>
      </c>
      <c r="H183" s="7">
        <f t="shared" si="6"/>
        <v>0</v>
      </c>
      <c r="I183" s="7">
        <f t="shared" si="8"/>
        <v>0</v>
      </c>
    </row>
    <row r="184" spans="1:9" x14ac:dyDescent="0.35">
      <c r="A184" t="s">
        <v>53</v>
      </c>
      <c r="B184" t="s">
        <v>54</v>
      </c>
      <c r="C184" t="s">
        <v>13</v>
      </c>
      <c r="D184" t="s">
        <v>153</v>
      </c>
      <c r="E184" t="s">
        <v>41</v>
      </c>
      <c r="F184" s="4">
        <v>12.195388400000001</v>
      </c>
      <c r="G184" s="4">
        <f>IFERROR(F184-alt_Blanks!$I$9,F184)</f>
        <v>12.195388400000001</v>
      </c>
      <c r="H184" s="7">
        <f t="shared" si="6"/>
        <v>12.195388400000001</v>
      </c>
      <c r="I184" s="7">
        <f t="shared" si="8"/>
        <v>16.13360021166821</v>
      </c>
    </row>
    <row r="185" spans="1:9" x14ac:dyDescent="0.35">
      <c r="A185" t="s">
        <v>53</v>
      </c>
      <c r="B185" t="s">
        <v>54</v>
      </c>
      <c r="C185" t="s">
        <v>14</v>
      </c>
      <c r="D185" t="s">
        <v>154</v>
      </c>
      <c r="E185" t="s">
        <v>41</v>
      </c>
      <c r="F185" s="4">
        <v>0</v>
      </c>
      <c r="G185" s="4">
        <f>IFERROR(F185-alt_Blanks!$I$10,F185)</f>
        <v>0</v>
      </c>
      <c r="H185" s="7">
        <f t="shared" si="6"/>
        <v>0</v>
      </c>
      <c r="I185" s="7">
        <f t="shared" si="8"/>
        <v>0</v>
      </c>
    </row>
    <row r="186" spans="1:9" x14ac:dyDescent="0.35">
      <c r="A186" t="s">
        <v>53</v>
      </c>
      <c r="B186" t="s">
        <v>54</v>
      </c>
      <c r="C186" t="s">
        <v>15</v>
      </c>
      <c r="D186" t="s">
        <v>153</v>
      </c>
      <c r="E186" t="s">
        <v>41</v>
      </c>
      <c r="F186" s="4">
        <v>3033.5846743000002</v>
      </c>
      <c r="G186" s="4">
        <f>IFERROR(F186-alt_Blanks!$I$11,F186)</f>
        <v>2228.3679846000005</v>
      </c>
      <c r="H186" s="7">
        <f t="shared" si="6"/>
        <v>2228.3679846000005</v>
      </c>
      <c r="I186" s="7">
        <f t="shared" si="8"/>
        <v>2947.9666418838474</v>
      </c>
    </row>
    <row r="187" spans="1:9" x14ac:dyDescent="0.35">
      <c r="A187" t="s">
        <v>53</v>
      </c>
      <c r="B187" t="s">
        <v>54</v>
      </c>
      <c r="C187" t="s">
        <v>16</v>
      </c>
      <c r="D187" t="s">
        <v>154</v>
      </c>
      <c r="E187" t="s">
        <v>41</v>
      </c>
      <c r="F187" s="4">
        <v>434.55811200000005</v>
      </c>
      <c r="G187" s="4">
        <f>IFERROR(F187-alt_Blanks!$I$12,F187)</f>
        <v>434.55811200000005</v>
      </c>
      <c r="H187" s="7">
        <f t="shared" si="6"/>
        <v>434.55811200000005</v>
      </c>
      <c r="I187" s="7">
        <f t="shared" si="8"/>
        <v>574.88836089429822</v>
      </c>
    </row>
    <row r="188" spans="1:9" x14ac:dyDescent="0.35">
      <c r="A188" t="s">
        <v>53</v>
      </c>
      <c r="B188" t="s">
        <v>54</v>
      </c>
      <c r="C188" t="s">
        <v>17</v>
      </c>
      <c r="D188" t="s">
        <v>153</v>
      </c>
      <c r="E188" t="s">
        <v>41</v>
      </c>
      <c r="F188" s="4">
        <v>25.937928700000001</v>
      </c>
      <c r="G188" s="4">
        <f>IFERROR(F188-alt_Blanks!$I$13,F188)</f>
        <v>25.0852152</v>
      </c>
      <c r="H188" s="7">
        <f t="shared" si="6"/>
        <v>25.0852152</v>
      </c>
      <c r="I188" s="7">
        <f t="shared" si="8"/>
        <v>33.185891255457072</v>
      </c>
    </row>
    <row r="189" spans="1:9" x14ac:dyDescent="0.35">
      <c r="A189" t="s">
        <v>53</v>
      </c>
      <c r="B189" t="s">
        <v>54</v>
      </c>
      <c r="C189" t="s">
        <v>18</v>
      </c>
      <c r="D189" t="s">
        <v>154</v>
      </c>
      <c r="E189" t="s">
        <v>41</v>
      </c>
      <c r="F189" s="4">
        <v>0</v>
      </c>
      <c r="G189" s="4">
        <f>IFERROR(F189-alt_Blanks!$I$14,F189)</f>
        <v>0</v>
      </c>
      <c r="H189" s="7">
        <f t="shared" si="6"/>
        <v>0</v>
      </c>
      <c r="I189" s="7">
        <f t="shared" si="8"/>
        <v>0</v>
      </c>
    </row>
    <row r="190" spans="1:9" x14ac:dyDescent="0.35">
      <c r="A190" t="s">
        <v>53</v>
      </c>
      <c r="B190" t="s">
        <v>54</v>
      </c>
      <c r="C190" t="s">
        <v>19</v>
      </c>
      <c r="D190" t="s">
        <v>153</v>
      </c>
      <c r="E190" t="s">
        <v>41</v>
      </c>
      <c r="F190" s="4">
        <v>642.57614289999992</v>
      </c>
      <c r="G190" s="4">
        <f>IFERROR(F190-alt_Blanks!$I$15,F190)</f>
        <v>373.95274579999995</v>
      </c>
      <c r="H190" s="7">
        <f t="shared" si="6"/>
        <v>373.95274579999995</v>
      </c>
      <c r="I190" s="7">
        <f t="shared" si="8"/>
        <v>494.71192723905273</v>
      </c>
    </row>
    <row r="191" spans="1:9" x14ac:dyDescent="0.35">
      <c r="A191" t="s">
        <v>53</v>
      </c>
      <c r="B191" t="s">
        <v>54</v>
      </c>
      <c r="C191" t="s">
        <v>20</v>
      </c>
      <c r="D191" t="s">
        <v>154</v>
      </c>
      <c r="E191" t="s">
        <v>41</v>
      </c>
      <c r="F191" s="4">
        <v>728.72291760000007</v>
      </c>
      <c r="G191" s="4">
        <f>IFERROR(F191-alt_Blanks!$I$16,F191)</f>
        <v>710.25700440000003</v>
      </c>
      <c r="H191" s="7">
        <f t="shared" si="6"/>
        <v>710.25700440000003</v>
      </c>
      <c r="I191" s="7">
        <f t="shared" si="8"/>
        <v>939.61768011641755</v>
      </c>
    </row>
    <row r="192" spans="1:9" x14ac:dyDescent="0.35">
      <c r="A192" t="s">
        <v>53</v>
      </c>
      <c r="B192" t="s">
        <v>54</v>
      </c>
      <c r="C192" t="s">
        <v>21</v>
      </c>
      <c r="D192" t="s">
        <v>155</v>
      </c>
      <c r="E192" t="s">
        <v>41</v>
      </c>
      <c r="F192" s="4">
        <v>0.34658069999999996</v>
      </c>
      <c r="G192" s="4">
        <f>IFERROR(F192-alt_Blanks!$I$17,F192)</f>
        <v>1.4627299999999954E-2</v>
      </c>
      <c r="H192" s="7">
        <f t="shared" si="6"/>
        <v>1.4627299999999954E-2</v>
      </c>
      <c r="I192" s="7">
        <f t="shared" si="8"/>
        <v>1.9350840058208696E-2</v>
      </c>
    </row>
    <row r="193" spans="1:9" x14ac:dyDescent="0.35">
      <c r="A193" t="s">
        <v>53</v>
      </c>
      <c r="B193" t="s">
        <v>54</v>
      </c>
      <c r="C193" t="s">
        <v>22</v>
      </c>
      <c r="D193" t="s">
        <v>155</v>
      </c>
      <c r="E193" t="s">
        <v>41</v>
      </c>
      <c r="F193" s="4">
        <v>475.69459850000004</v>
      </c>
      <c r="G193" s="4">
        <f>IFERROR(F193-alt_Blanks!$I$18,F193)</f>
        <v>469.69113890000006</v>
      </c>
      <c r="H193" s="7">
        <f t="shared" si="6"/>
        <v>469.69113890000006</v>
      </c>
      <c r="I193" s="7">
        <f t="shared" si="8"/>
        <v>621.3667666357984</v>
      </c>
    </row>
    <row r="194" spans="1:9" x14ac:dyDescent="0.35">
      <c r="A194" t="s">
        <v>53</v>
      </c>
      <c r="B194" t="s">
        <v>54</v>
      </c>
      <c r="C194" t="s">
        <v>23</v>
      </c>
      <c r="D194" t="s">
        <v>155</v>
      </c>
      <c r="E194" t="s">
        <v>41</v>
      </c>
      <c r="F194" s="4">
        <v>0</v>
      </c>
      <c r="G194" s="4">
        <f>IFERROR(F194-alt_Blanks!$I$19,F194)</f>
        <v>0</v>
      </c>
      <c r="H194" s="7">
        <f t="shared" si="6"/>
        <v>0</v>
      </c>
      <c r="I194" s="7">
        <f t="shared" si="8"/>
        <v>0</v>
      </c>
    </row>
    <row r="195" spans="1:9" x14ac:dyDescent="0.35">
      <c r="A195" t="s">
        <v>53</v>
      </c>
      <c r="B195" t="s">
        <v>54</v>
      </c>
      <c r="C195" t="s">
        <v>24</v>
      </c>
      <c r="D195" t="s">
        <v>155</v>
      </c>
      <c r="E195" t="s">
        <v>41</v>
      </c>
      <c r="F195" s="4">
        <v>488.27723729999997</v>
      </c>
      <c r="G195" s="4">
        <f>IFERROR(F195-alt_Blanks!$I$20,F195)</f>
        <v>486.33926189999994</v>
      </c>
      <c r="H195" s="7">
        <f t="shared" si="6"/>
        <v>486.33926189999994</v>
      </c>
      <c r="I195" s="7">
        <f t="shared" si="8"/>
        <v>643.39100661463146</v>
      </c>
    </row>
    <row r="196" spans="1:9" x14ac:dyDescent="0.35">
      <c r="A196" t="s">
        <v>53</v>
      </c>
      <c r="B196" t="s">
        <v>54</v>
      </c>
      <c r="C196" t="s">
        <v>25</v>
      </c>
      <c r="D196" t="s">
        <v>155</v>
      </c>
      <c r="E196" t="s">
        <v>41</v>
      </c>
      <c r="F196" s="4">
        <v>21.513761900000002</v>
      </c>
      <c r="G196" s="4">
        <f>IFERROR(F196-alt_Blanks!$I$21,F196)</f>
        <v>21.299252800000001</v>
      </c>
      <c r="H196" s="7">
        <f t="shared" si="6"/>
        <v>21.299252800000001</v>
      </c>
      <c r="I196" s="7">
        <f t="shared" si="8"/>
        <v>28.177341976451913</v>
      </c>
    </row>
    <row r="197" spans="1:9" x14ac:dyDescent="0.35">
      <c r="A197" t="s">
        <v>53</v>
      </c>
      <c r="B197" t="s">
        <v>54</v>
      </c>
      <c r="C197" t="s">
        <v>26</v>
      </c>
      <c r="D197" t="s">
        <v>153</v>
      </c>
      <c r="E197" t="s">
        <v>41</v>
      </c>
      <c r="F197" s="4">
        <v>1.7797164000000001</v>
      </c>
      <c r="G197" s="4">
        <f>IFERROR(F197-alt_Blanks!$I$22,F197)</f>
        <v>0.18499500000000024</v>
      </c>
      <c r="H197" s="7">
        <f t="shared" si="6"/>
        <v>0.18499500000000024</v>
      </c>
      <c r="I197" s="7">
        <f t="shared" si="8"/>
        <v>0.24473475327424293</v>
      </c>
    </row>
    <row r="198" spans="1:9" x14ac:dyDescent="0.35">
      <c r="A198" t="s">
        <v>53</v>
      </c>
      <c r="B198" t="s">
        <v>54</v>
      </c>
      <c r="C198" t="s">
        <v>27</v>
      </c>
      <c r="D198" t="s">
        <v>154</v>
      </c>
      <c r="E198" t="s">
        <v>41</v>
      </c>
      <c r="F198" s="4">
        <v>46.561836499999998</v>
      </c>
      <c r="G198" s="4">
        <f>IFERROR(F198-alt_Blanks!$I$23,F198)</f>
        <v>46.441099099999995</v>
      </c>
      <c r="H198" s="7">
        <f t="shared" ref="H198:H261" si="9">IF(G198&lt;0,0,G198)</f>
        <v>46.441099099999995</v>
      </c>
      <c r="I198" s="7">
        <f t="shared" si="8"/>
        <v>61.438152004233359</v>
      </c>
    </row>
    <row r="199" spans="1:9" x14ac:dyDescent="0.35">
      <c r="A199" t="s">
        <v>53</v>
      </c>
      <c r="B199" t="s">
        <v>54</v>
      </c>
      <c r="C199" t="s">
        <v>28</v>
      </c>
      <c r="D199" t="s">
        <v>155</v>
      </c>
      <c r="E199" t="s">
        <v>41</v>
      </c>
      <c r="F199" s="4">
        <v>71.8591409</v>
      </c>
      <c r="G199" s="4">
        <f>IFERROR(F199-alt_Blanks!$I$24,F199)</f>
        <v>71.611971299999993</v>
      </c>
      <c r="H199" s="7">
        <f t="shared" si="9"/>
        <v>71.611971299999993</v>
      </c>
      <c r="I199" s="7">
        <f t="shared" si="8"/>
        <v>94.737361158883445</v>
      </c>
    </row>
    <row r="200" spans="1:9" x14ac:dyDescent="0.35">
      <c r="A200" t="s">
        <v>53</v>
      </c>
      <c r="B200" t="s">
        <v>54</v>
      </c>
      <c r="C200" t="s">
        <v>29</v>
      </c>
      <c r="D200" t="s">
        <v>155</v>
      </c>
      <c r="E200" t="s">
        <v>41</v>
      </c>
      <c r="F200" s="4">
        <v>12.9686933</v>
      </c>
      <c r="G200" s="4">
        <f>IFERROR(F200-alt_Blanks!$I$25,F200)</f>
        <v>12.4964525</v>
      </c>
      <c r="H200" s="7">
        <f t="shared" si="9"/>
        <v>12.4964525</v>
      </c>
      <c r="I200" s="7">
        <f t="shared" si="8"/>
        <v>16.531885831459189</v>
      </c>
    </row>
    <row r="201" spans="1:9" x14ac:dyDescent="0.35">
      <c r="A201" t="s">
        <v>53</v>
      </c>
      <c r="B201" t="s">
        <v>54</v>
      </c>
      <c r="C201" t="s">
        <v>30</v>
      </c>
      <c r="D201" t="s">
        <v>155</v>
      </c>
      <c r="E201" t="s">
        <v>41</v>
      </c>
      <c r="F201" s="4">
        <v>337.94537190000005</v>
      </c>
      <c r="G201" s="4">
        <f>IFERROR(F201-alt_Blanks!$I$26,F201)</f>
        <v>337.36519560000005</v>
      </c>
      <c r="H201" s="7">
        <f t="shared" si="9"/>
        <v>337.36519560000005</v>
      </c>
      <c r="I201" s="7">
        <f t="shared" si="8"/>
        <v>446.30929435110471</v>
      </c>
    </row>
    <row r="202" spans="1:9" x14ac:dyDescent="0.35">
      <c r="A202" t="s">
        <v>53</v>
      </c>
      <c r="B202" t="s">
        <v>54</v>
      </c>
      <c r="C202" t="s">
        <v>31</v>
      </c>
      <c r="D202" t="s">
        <v>155</v>
      </c>
      <c r="E202" t="s">
        <v>41</v>
      </c>
      <c r="F202" s="4">
        <v>16.6552072</v>
      </c>
      <c r="G202" s="4">
        <f>IFERROR(F202-alt_Blanks!$I$27,F202)</f>
        <v>16.6552072</v>
      </c>
      <c r="H202" s="7">
        <f t="shared" si="9"/>
        <v>16.6552072</v>
      </c>
      <c r="I202" s="7">
        <f t="shared" si="8"/>
        <v>22.033611853419764</v>
      </c>
    </row>
    <row r="203" spans="1:9" x14ac:dyDescent="0.35">
      <c r="A203" t="s">
        <v>53</v>
      </c>
      <c r="B203" t="s">
        <v>54</v>
      </c>
      <c r="C203" t="s">
        <v>32</v>
      </c>
      <c r="D203" t="s">
        <v>153</v>
      </c>
      <c r="E203" t="s">
        <v>41</v>
      </c>
      <c r="F203" s="4">
        <v>0</v>
      </c>
      <c r="G203" s="4">
        <f>IFERROR(F203-alt_Blanks!$I$28,F203)</f>
        <v>0</v>
      </c>
      <c r="H203" s="7">
        <f t="shared" si="9"/>
        <v>0</v>
      </c>
      <c r="I203" s="7">
        <f t="shared" si="8"/>
        <v>0</v>
      </c>
    </row>
    <row r="204" spans="1:9" x14ac:dyDescent="0.35">
      <c r="A204" t="s">
        <v>53</v>
      </c>
      <c r="B204" t="s">
        <v>54</v>
      </c>
      <c r="C204" t="s">
        <v>33</v>
      </c>
      <c r="D204" t="s">
        <v>155</v>
      </c>
      <c r="E204" t="s">
        <v>41</v>
      </c>
      <c r="F204" s="4">
        <v>253.12810110000001</v>
      </c>
      <c r="G204" s="4">
        <f>IFERROR(F204-alt_Blanks!$I$29,F204)</f>
        <v>252.5164801</v>
      </c>
      <c r="H204" s="7">
        <f t="shared" si="9"/>
        <v>252.5164801</v>
      </c>
      <c r="I204" s="7">
        <f t="shared" si="8"/>
        <v>334.06069599153324</v>
      </c>
    </row>
    <row r="205" spans="1:9" x14ac:dyDescent="0.35">
      <c r="A205" t="s">
        <v>53</v>
      </c>
      <c r="B205" t="s">
        <v>54</v>
      </c>
      <c r="C205" t="s">
        <v>34</v>
      </c>
      <c r="D205" t="s">
        <v>153</v>
      </c>
      <c r="E205" t="s">
        <v>41</v>
      </c>
      <c r="F205" s="4">
        <v>0</v>
      </c>
      <c r="G205" s="4">
        <f>IFERROR(F205-alt_Blanks!$I$30,F205)</f>
        <v>0</v>
      </c>
      <c r="H205" s="7">
        <f t="shared" si="9"/>
        <v>0</v>
      </c>
      <c r="I205" s="7">
        <f t="shared" si="8"/>
        <v>0</v>
      </c>
    </row>
    <row r="206" spans="1:9" x14ac:dyDescent="0.35">
      <c r="A206" t="s">
        <v>53</v>
      </c>
      <c r="B206" t="s">
        <v>54</v>
      </c>
      <c r="C206" t="s">
        <v>35</v>
      </c>
      <c r="D206" t="s">
        <v>154</v>
      </c>
      <c r="E206" t="s">
        <v>41</v>
      </c>
      <c r="F206" s="4">
        <v>89.688233699999998</v>
      </c>
      <c r="G206" s="4">
        <f>IFERROR(F206-alt_Blanks!$I$31,F206)</f>
        <v>-12.766399899999996</v>
      </c>
      <c r="H206" s="7">
        <f t="shared" si="9"/>
        <v>0</v>
      </c>
      <c r="I206" s="7">
        <f t="shared" si="8"/>
        <v>0</v>
      </c>
    </row>
    <row r="207" spans="1:9" x14ac:dyDescent="0.35">
      <c r="A207" t="s">
        <v>53</v>
      </c>
      <c r="B207" t="s">
        <v>54</v>
      </c>
      <c r="C207" t="s">
        <v>36</v>
      </c>
      <c r="D207" t="s">
        <v>155</v>
      </c>
      <c r="E207" t="s">
        <v>41</v>
      </c>
      <c r="F207" s="4">
        <v>2.0221628000000003</v>
      </c>
      <c r="G207" s="4">
        <f>IFERROR(F207-alt_Blanks!$I$32,F207)</f>
        <v>9.4594300000000242E-2</v>
      </c>
      <c r="H207" s="7">
        <f t="shared" si="9"/>
        <v>9.4594300000000242E-2</v>
      </c>
      <c r="I207" s="7">
        <f t="shared" si="8"/>
        <v>0.12514128853022918</v>
      </c>
    </row>
    <row r="208" spans="1:9" x14ac:dyDescent="0.35">
      <c r="A208" t="s">
        <v>53</v>
      </c>
      <c r="B208" t="s">
        <v>54</v>
      </c>
      <c r="C208" t="s">
        <v>37</v>
      </c>
      <c r="D208" t="s">
        <v>155</v>
      </c>
      <c r="E208" t="s">
        <v>41</v>
      </c>
      <c r="F208" s="4">
        <v>11.610082700000001</v>
      </c>
      <c r="G208" s="4">
        <f>IFERROR(F208-alt_Blanks!$I$33,F208)</f>
        <v>11.610082700000001</v>
      </c>
      <c r="H208" s="7">
        <f t="shared" si="9"/>
        <v>11.610082700000001</v>
      </c>
      <c r="I208" s="7">
        <f t="shared" si="8"/>
        <v>15.359283899986773</v>
      </c>
    </row>
    <row r="209" spans="1:9" x14ac:dyDescent="0.35">
      <c r="A209" t="s">
        <v>53</v>
      </c>
      <c r="B209" t="s">
        <v>54</v>
      </c>
      <c r="C209" t="s">
        <v>38</v>
      </c>
      <c r="D209" t="s">
        <v>155</v>
      </c>
      <c r="E209" t="s">
        <v>41</v>
      </c>
      <c r="F209" s="4">
        <v>13.991179300000001</v>
      </c>
      <c r="G209" s="4">
        <f>IFERROR(F209-alt_Blanks!$I$34,F209)</f>
        <v>13.991179300000001</v>
      </c>
      <c r="H209" s="7">
        <f t="shared" si="9"/>
        <v>13.991179300000001</v>
      </c>
      <c r="I209" s="7">
        <f t="shared" si="8"/>
        <v>18.509299245932002</v>
      </c>
    </row>
    <row r="210" spans="1:9" x14ac:dyDescent="0.35">
      <c r="A210" t="s">
        <v>53</v>
      </c>
      <c r="B210" t="s">
        <v>54</v>
      </c>
      <c r="C210" t="s">
        <v>39</v>
      </c>
      <c r="D210" t="s">
        <v>153</v>
      </c>
      <c r="E210" t="s">
        <v>41</v>
      </c>
      <c r="F210" s="4">
        <v>16.382639300000001</v>
      </c>
      <c r="G210" s="4">
        <f>IFERROR(F210-alt_Blanks!$I$35,F210)</f>
        <v>16.382639300000001</v>
      </c>
      <c r="H210" s="7">
        <f t="shared" si="9"/>
        <v>16.382639300000001</v>
      </c>
      <c r="I210" s="7">
        <f t="shared" si="8"/>
        <v>21.673024606429422</v>
      </c>
    </row>
    <row r="211" spans="1:9" x14ac:dyDescent="0.35">
      <c r="A211" t="s">
        <v>53</v>
      </c>
      <c r="B211" t="s">
        <v>54</v>
      </c>
      <c r="C211" t="s">
        <v>40</v>
      </c>
      <c r="D211" t="s">
        <v>154</v>
      </c>
      <c r="E211" t="s">
        <v>41</v>
      </c>
      <c r="F211" s="4">
        <v>0</v>
      </c>
      <c r="G211" s="4">
        <f>IFERROR(F211-alt_Blanks!$I$36,F211)</f>
        <v>0</v>
      </c>
      <c r="H211" s="7">
        <f t="shared" si="9"/>
        <v>0</v>
      </c>
      <c r="I211" s="7">
        <f t="shared" si="8"/>
        <v>0</v>
      </c>
    </row>
    <row r="212" spans="1:9" x14ac:dyDescent="0.35">
      <c r="A212" t="s">
        <v>55</v>
      </c>
      <c r="B212" t="s">
        <v>56</v>
      </c>
      <c r="C212" t="s">
        <v>6</v>
      </c>
      <c r="D212" t="s">
        <v>153</v>
      </c>
      <c r="E212" t="s">
        <v>41</v>
      </c>
      <c r="F212" s="4">
        <v>6.6992855000000002</v>
      </c>
      <c r="G212" s="4">
        <f>IFERROR(F212-alt_Blanks!$I$2,F212)</f>
        <v>-7.2556000000005838E-3</v>
      </c>
      <c r="H212" s="7">
        <f t="shared" si="9"/>
        <v>0</v>
      </c>
      <c r="I212" s="7">
        <f>H212/0.6684</f>
        <v>0</v>
      </c>
    </row>
    <row r="213" spans="1:9" x14ac:dyDescent="0.35">
      <c r="A213" t="s">
        <v>55</v>
      </c>
      <c r="B213" t="s">
        <v>56</v>
      </c>
      <c r="C213" t="s">
        <v>7</v>
      </c>
      <c r="D213" t="s">
        <v>153</v>
      </c>
      <c r="E213" t="s">
        <v>41</v>
      </c>
      <c r="F213" s="4">
        <v>0</v>
      </c>
      <c r="G213" s="4">
        <f>IFERROR(F213-alt_Blanks!$I$3,F213)</f>
        <v>0</v>
      </c>
      <c r="H213" s="7">
        <f t="shared" si="9"/>
        <v>0</v>
      </c>
      <c r="I213" s="7">
        <f t="shared" ref="I213:I246" si="10">H213/0.6684</f>
        <v>0</v>
      </c>
    </row>
    <row r="214" spans="1:9" x14ac:dyDescent="0.35">
      <c r="A214" t="s">
        <v>55</v>
      </c>
      <c r="B214" t="s">
        <v>56</v>
      </c>
      <c r="C214" t="s">
        <v>8</v>
      </c>
      <c r="D214" t="s">
        <v>153</v>
      </c>
      <c r="E214" t="s">
        <v>41</v>
      </c>
      <c r="F214" s="4">
        <v>0</v>
      </c>
      <c r="G214" s="4">
        <f>IFERROR(F214-alt_Blanks!$I$4,F214)</f>
        <v>0</v>
      </c>
      <c r="H214" s="7">
        <f t="shared" si="9"/>
        <v>0</v>
      </c>
      <c r="I214" s="7">
        <f t="shared" si="10"/>
        <v>0</v>
      </c>
    </row>
    <row r="215" spans="1:9" x14ac:dyDescent="0.35">
      <c r="A215" t="s">
        <v>55</v>
      </c>
      <c r="B215" t="s">
        <v>56</v>
      </c>
      <c r="C215" t="s">
        <v>9</v>
      </c>
      <c r="D215" t="s">
        <v>153</v>
      </c>
      <c r="E215" t="s">
        <v>41</v>
      </c>
      <c r="F215" s="4">
        <v>0</v>
      </c>
      <c r="G215" s="4">
        <f>IFERROR(F215-alt_Blanks!$I$5,F215)</f>
        <v>0</v>
      </c>
      <c r="H215" s="7">
        <f t="shared" si="9"/>
        <v>0</v>
      </c>
      <c r="I215" s="7">
        <f t="shared" si="10"/>
        <v>0</v>
      </c>
    </row>
    <row r="216" spans="1:9" x14ac:dyDescent="0.35">
      <c r="A216" t="s">
        <v>55</v>
      </c>
      <c r="B216" t="s">
        <v>56</v>
      </c>
      <c r="C216" t="s">
        <v>10</v>
      </c>
      <c r="D216" t="s">
        <v>153</v>
      </c>
      <c r="E216" t="s">
        <v>41</v>
      </c>
      <c r="F216" s="4">
        <v>0.80016229999999999</v>
      </c>
      <c r="G216" s="4">
        <f>IFERROR(F216-alt_Blanks!$I$6,F216)</f>
        <v>0.80016229999999999</v>
      </c>
      <c r="H216" s="7">
        <f t="shared" si="9"/>
        <v>0.80016229999999999</v>
      </c>
      <c r="I216" s="7">
        <f t="shared" si="10"/>
        <v>1.1971309096349492</v>
      </c>
    </row>
    <row r="217" spans="1:9" x14ac:dyDescent="0.35">
      <c r="A217" t="s">
        <v>55</v>
      </c>
      <c r="B217" t="s">
        <v>56</v>
      </c>
      <c r="C217" t="s">
        <v>11</v>
      </c>
      <c r="D217" t="s">
        <v>153</v>
      </c>
      <c r="E217" t="s">
        <v>41</v>
      </c>
      <c r="F217" s="4">
        <v>83.5308864</v>
      </c>
      <c r="G217" s="4">
        <f>IFERROR(F217-alt_Blanks!$I$7,F217)</f>
        <v>83.5308864</v>
      </c>
      <c r="H217" s="7">
        <f t="shared" si="9"/>
        <v>83.5308864</v>
      </c>
      <c r="I217" s="7">
        <f t="shared" si="10"/>
        <v>124.9714039497307</v>
      </c>
    </row>
    <row r="218" spans="1:9" x14ac:dyDescent="0.35">
      <c r="A218" t="s">
        <v>55</v>
      </c>
      <c r="B218" t="s">
        <v>56</v>
      </c>
      <c r="C218" t="s">
        <v>12</v>
      </c>
      <c r="D218" t="s">
        <v>154</v>
      </c>
      <c r="E218" t="s">
        <v>41</v>
      </c>
      <c r="F218" s="4">
        <v>0</v>
      </c>
      <c r="G218" s="4">
        <f>IFERROR(F218-alt_Blanks!$I$8,F218)</f>
        <v>0</v>
      </c>
      <c r="H218" s="7">
        <f t="shared" si="9"/>
        <v>0</v>
      </c>
      <c r="I218" s="7">
        <f t="shared" si="10"/>
        <v>0</v>
      </c>
    </row>
    <row r="219" spans="1:9" x14ac:dyDescent="0.35">
      <c r="A219" t="s">
        <v>55</v>
      </c>
      <c r="B219" t="s">
        <v>56</v>
      </c>
      <c r="C219" t="s">
        <v>13</v>
      </c>
      <c r="D219" t="s">
        <v>153</v>
      </c>
      <c r="E219" t="s">
        <v>41</v>
      </c>
      <c r="F219" s="4">
        <v>12.503864100000001</v>
      </c>
      <c r="G219" s="4">
        <f>IFERROR(F219-alt_Blanks!$I$9,F219)</f>
        <v>12.503864100000001</v>
      </c>
      <c r="H219" s="7">
        <f t="shared" si="9"/>
        <v>12.503864100000001</v>
      </c>
      <c r="I219" s="7">
        <f t="shared" si="10"/>
        <v>18.707157540394974</v>
      </c>
    </row>
    <row r="220" spans="1:9" x14ac:dyDescent="0.35">
      <c r="A220" t="s">
        <v>55</v>
      </c>
      <c r="B220" t="s">
        <v>56</v>
      </c>
      <c r="C220" t="s">
        <v>14</v>
      </c>
      <c r="D220" t="s">
        <v>154</v>
      </c>
      <c r="E220" t="s">
        <v>41</v>
      </c>
      <c r="F220" s="4">
        <v>0</v>
      </c>
      <c r="G220" s="4">
        <f>IFERROR(F220-alt_Blanks!$I$10,F220)</f>
        <v>0</v>
      </c>
      <c r="H220" s="7">
        <f t="shared" si="9"/>
        <v>0</v>
      </c>
      <c r="I220" s="7">
        <f t="shared" si="10"/>
        <v>0</v>
      </c>
    </row>
    <row r="221" spans="1:9" x14ac:dyDescent="0.35">
      <c r="A221" t="s">
        <v>55</v>
      </c>
      <c r="B221" t="s">
        <v>56</v>
      </c>
      <c r="C221" t="s">
        <v>15</v>
      </c>
      <c r="D221" t="s">
        <v>153</v>
      </c>
      <c r="E221" t="s">
        <v>41</v>
      </c>
      <c r="F221" s="4">
        <v>2678.0562187</v>
      </c>
      <c r="G221" s="4">
        <f>IFERROR(F221-alt_Blanks!$I$11,F221)</f>
        <v>1872.8395290000001</v>
      </c>
      <c r="H221" s="7">
        <f t="shared" si="9"/>
        <v>1872.8395290000001</v>
      </c>
      <c r="I221" s="7">
        <f t="shared" si="10"/>
        <v>2801.9741606822263</v>
      </c>
    </row>
    <row r="222" spans="1:9" x14ac:dyDescent="0.35">
      <c r="A222" t="s">
        <v>55</v>
      </c>
      <c r="B222" t="s">
        <v>56</v>
      </c>
      <c r="C222" t="s">
        <v>16</v>
      </c>
      <c r="D222" t="s">
        <v>154</v>
      </c>
      <c r="E222" t="s">
        <v>41</v>
      </c>
      <c r="F222" s="4">
        <v>496.5587501</v>
      </c>
      <c r="G222" s="4">
        <f>IFERROR(F222-alt_Blanks!$I$12,F222)</f>
        <v>496.5587501</v>
      </c>
      <c r="H222" s="7">
        <f t="shared" si="9"/>
        <v>496.5587501</v>
      </c>
      <c r="I222" s="7">
        <f t="shared" si="10"/>
        <v>742.90656807301013</v>
      </c>
    </row>
    <row r="223" spans="1:9" x14ac:dyDescent="0.35">
      <c r="A223" t="s">
        <v>55</v>
      </c>
      <c r="B223" t="s">
        <v>56</v>
      </c>
      <c r="C223" t="s">
        <v>17</v>
      </c>
      <c r="D223" t="s">
        <v>153</v>
      </c>
      <c r="E223" t="s">
        <v>41</v>
      </c>
      <c r="F223" s="4">
        <v>24.492535</v>
      </c>
      <c r="G223" s="4">
        <f>IFERROR(F223-alt_Blanks!$I$13,F223)</f>
        <v>23.6398215</v>
      </c>
      <c r="H223" s="7">
        <f t="shared" si="9"/>
        <v>23.6398215</v>
      </c>
      <c r="I223" s="7">
        <f t="shared" si="10"/>
        <v>35.36777603231598</v>
      </c>
    </row>
    <row r="224" spans="1:9" x14ac:dyDescent="0.35">
      <c r="A224" t="s">
        <v>55</v>
      </c>
      <c r="B224" t="s">
        <v>56</v>
      </c>
      <c r="C224" t="s">
        <v>18</v>
      </c>
      <c r="D224" t="s">
        <v>154</v>
      </c>
      <c r="E224" t="s">
        <v>41</v>
      </c>
      <c r="F224" s="4">
        <v>4.1559419999999996</v>
      </c>
      <c r="G224" s="4">
        <f>IFERROR(F224-alt_Blanks!$I$14,F224)</f>
        <v>4.1559419999999996</v>
      </c>
      <c r="H224" s="7">
        <f t="shared" si="9"/>
        <v>4.1559419999999996</v>
      </c>
      <c r="I224" s="7">
        <f t="shared" si="10"/>
        <v>6.2177468581687609</v>
      </c>
    </row>
    <row r="225" spans="1:9" x14ac:dyDescent="0.35">
      <c r="A225" t="s">
        <v>55</v>
      </c>
      <c r="B225" t="s">
        <v>56</v>
      </c>
      <c r="C225" t="s">
        <v>19</v>
      </c>
      <c r="D225" t="s">
        <v>153</v>
      </c>
      <c r="E225" t="s">
        <v>41</v>
      </c>
      <c r="F225" s="4">
        <v>462.39558449999998</v>
      </c>
      <c r="G225" s="4">
        <f>IFERROR(F225-alt_Blanks!$I$15,F225)</f>
        <v>193.77218740000001</v>
      </c>
      <c r="H225" s="7">
        <f t="shared" si="9"/>
        <v>193.77218740000001</v>
      </c>
      <c r="I225" s="7">
        <f t="shared" si="10"/>
        <v>289.90452932375825</v>
      </c>
    </row>
    <row r="226" spans="1:9" x14ac:dyDescent="0.35">
      <c r="A226" t="s">
        <v>55</v>
      </c>
      <c r="B226" t="s">
        <v>56</v>
      </c>
      <c r="C226" t="s">
        <v>20</v>
      </c>
      <c r="D226" t="s">
        <v>154</v>
      </c>
      <c r="E226" t="s">
        <v>41</v>
      </c>
      <c r="F226" s="4">
        <v>529.37252160000003</v>
      </c>
      <c r="G226" s="4">
        <f>IFERROR(F226-alt_Blanks!$I$16,F226)</f>
        <v>510.90660840000004</v>
      </c>
      <c r="H226" s="7">
        <f t="shared" si="9"/>
        <v>510.90660840000004</v>
      </c>
      <c r="I226" s="7">
        <f t="shared" si="10"/>
        <v>764.37254398563744</v>
      </c>
    </row>
    <row r="227" spans="1:9" x14ac:dyDescent="0.35">
      <c r="A227" t="s">
        <v>55</v>
      </c>
      <c r="B227" t="s">
        <v>56</v>
      </c>
      <c r="C227" t="s">
        <v>21</v>
      </c>
      <c r="D227" t="s">
        <v>155</v>
      </c>
      <c r="E227" t="s">
        <v>41</v>
      </c>
      <c r="F227" s="4">
        <v>1.5590261000000001</v>
      </c>
      <c r="G227" s="4">
        <f>IFERROR(F227-alt_Blanks!$I$17,F227)</f>
        <v>1.2270727000000001</v>
      </c>
      <c r="H227" s="7">
        <f t="shared" si="9"/>
        <v>1.2270727000000001</v>
      </c>
      <c r="I227" s="7">
        <f t="shared" si="10"/>
        <v>1.8358358767205267</v>
      </c>
    </row>
    <row r="228" spans="1:9" x14ac:dyDescent="0.35">
      <c r="A228" t="s">
        <v>55</v>
      </c>
      <c r="B228" t="s">
        <v>56</v>
      </c>
      <c r="C228" t="s">
        <v>22</v>
      </c>
      <c r="D228" t="s">
        <v>155</v>
      </c>
      <c r="E228" t="s">
        <v>41</v>
      </c>
      <c r="F228" s="4">
        <v>304.23818459999995</v>
      </c>
      <c r="G228" s="4">
        <f>IFERROR(F228-alt_Blanks!$I$18,F228)</f>
        <v>298.23472499999997</v>
      </c>
      <c r="H228" s="7">
        <f t="shared" si="9"/>
        <v>298.23472499999997</v>
      </c>
      <c r="I228" s="7">
        <f t="shared" si="10"/>
        <v>446.19198833034108</v>
      </c>
    </row>
    <row r="229" spans="1:9" x14ac:dyDescent="0.35">
      <c r="A229" t="s">
        <v>55</v>
      </c>
      <c r="B229" t="s">
        <v>56</v>
      </c>
      <c r="C229" t="s">
        <v>23</v>
      </c>
      <c r="D229" t="s">
        <v>155</v>
      </c>
      <c r="E229" t="s">
        <v>41</v>
      </c>
      <c r="F229" s="4">
        <v>0</v>
      </c>
      <c r="G229" s="4">
        <f>IFERROR(F229-alt_Blanks!$I$19,F229)</f>
        <v>0</v>
      </c>
      <c r="H229" s="7">
        <f t="shared" si="9"/>
        <v>0</v>
      </c>
      <c r="I229" s="7">
        <f t="shared" si="10"/>
        <v>0</v>
      </c>
    </row>
    <row r="230" spans="1:9" x14ac:dyDescent="0.35">
      <c r="A230" t="s">
        <v>55</v>
      </c>
      <c r="B230" t="s">
        <v>56</v>
      </c>
      <c r="C230" t="s">
        <v>24</v>
      </c>
      <c r="D230" t="s">
        <v>155</v>
      </c>
      <c r="E230" t="s">
        <v>41</v>
      </c>
      <c r="F230" s="4">
        <v>286.32960629999997</v>
      </c>
      <c r="G230" s="4">
        <f>IFERROR(F230-alt_Blanks!$I$20,F230)</f>
        <v>284.39163089999994</v>
      </c>
      <c r="H230" s="7">
        <f t="shared" si="9"/>
        <v>284.39163089999994</v>
      </c>
      <c r="I230" s="7">
        <f t="shared" si="10"/>
        <v>425.48119524236972</v>
      </c>
    </row>
    <row r="231" spans="1:9" x14ac:dyDescent="0.35">
      <c r="A231" t="s">
        <v>55</v>
      </c>
      <c r="B231" t="s">
        <v>56</v>
      </c>
      <c r="C231" t="s">
        <v>25</v>
      </c>
      <c r="D231" t="s">
        <v>155</v>
      </c>
      <c r="E231" t="s">
        <v>41</v>
      </c>
      <c r="F231" s="4">
        <v>14.8340817</v>
      </c>
      <c r="G231" s="4">
        <f>IFERROR(F231-alt_Blanks!$I$21,F231)</f>
        <v>14.6195726</v>
      </c>
      <c r="H231" s="7">
        <f t="shared" si="9"/>
        <v>14.6195726</v>
      </c>
      <c r="I231" s="7">
        <f t="shared" si="10"/>
        <v>21.872490424895272</v>
      </c>
    </row>
    <row r="232" spans="1:9" x14ac:dyDescent="0.35">
      <c r="A232" t="s">
        <v>55</v>
      </c>
      <c r="B232" t="s">
        <v>56</v>
      </c>
      <c r="C232" t="s">
        <v>26</v>
      </c>
      <c r="D232" t="s">
        <v>153</v>
      </c>
      <c r="E232" t="s">
        <v>41</v>
      </c>
      <c r="F232" s="4">
        <v>1.5552858000000001</v>
      </c>
      <c r="G232" s="4">
        <f>IFERROR(F232-alt_Blanks!$I$22,F232)</f>
        <v>-3.9435599999999793E-2</v>
      </c>
      <c r="H232" s="7">
        <f t="shared" si="9"/>
        <v>0</v>
      </c>
      <c r="I232" s="7">
        <f t="shared" si="10"/>
        <v>0</v>
      </c>
    </row>
    <row r="233" spans="1:9" x14ac:dyDescent="0.35">
      <c r="A233" t="s">
        <v>55</v>
      </c>
      <c r="B233" t="s">
        <v>56</v>
      </c>
      <c r="C233" t="s">
        <v>27</v>
      </c>
      <c r="D233" t="s">
        <v>154</v>
      </c>
      <c r="E233" t="s">
        <v>41</v>
      </c>
      <c r="F233" s="4">
        <v>0</v>
      </c>
      <c r="G233" s="4">
        <f>IFERROR(F233-alt_Blanks!$I$23,F233)</f>
        <v>-0.12073739999999999</v>
      </c>
      <c r="H233" s="7">
        <f t="shared" si="9"/>
        <v>0</v>
      </c>
      <c r="I233" s="7">
        <f t="shared" si="10"/>
        <v>0</v>
      </c>
    </row>
    <row r="234" spans="1:9" x14ac:dyDescent="0.35">
      <c r="A234" t="s">
        <v>55</v>
      </c>
      <c r="B234" t="s">
        <v>56</v>
      </c>
      <c r="C234" t="s">
        <v>28</v>
      </c>
      <c r="D234" t="s">
        <v>155</v>
      </c>
      <c r="E234" t="s">
        <v>41</v>
      </c>
      <c r="F234" s="4">
        <v>49.490551399999994</v>
      </c>
      <c r="G234" s="4">
        <f>IFERROR(F234-alt_Blanks!$I$24,F234)</f>
        <v>49.243381799999995</v>
      </c>
      <c r="H234" s="7">
        <f t="shared" si="9"/>
        <v>49.243381799999995</v>
      </c>
      <c r="I234" s="7">
        <f t="shared" si="10"/>
        <v>73.673521543985629</v>
      </c>
    </row>
    <row r="235" spans="1:9" x14ac:dyDescent="0.35">
      <c r="A235" t="s">
        <v>55</v>
      </c>
      <c r="B235" t="s">
        <v>56</v>
      </c>
      <c r="C235" t="s">
        <v>29</v>
      </c>
      <c r="D235" t="s">
        <v>155</v>
      </c>
      <c r="E235" t="s">
        <v>41</v>
      </c>
      <c r="F235" s="4">
        <v>8.8423251999999994</v>
      </c>
      <c r="G235" s="4">
        <f>IFERROR(F235-alt_Blanks!$I$25,F235)</f>
        <v>8.3700843999999996</v>
      </c>
      <c r="H235" s="7">
        <f t="shared" si="9"/>
        <v>8.3700843999999996</v>
      </c>
      <c r="I235" s="7">
        <f t="shared" si="10"/>
        <v>12.522567923399162</v>
      </c>
    </row>
    <row r="236" spans="1:9" x14ac:dyDescent="0.35">
      <c r="A236" t="s">
        <v>55</v>
      </c>
      <c r="B236" t="s">
        <v>56</v>
      </c>
      <c r="C236" t="s">
        <v>30</v>
      </c>
      <c r="D236" t="s">
        <v>155</v>
      </c>
      <c r="E236" t="s">
        <v>41</v>
      </c>
      <c r="F236" s="4">
        <v>284.34847409999998</v>
      </c>
      <c r="G236" s="4">
        <f>IFERROR(F236-alt_Blanks!$I$26,F236)</f>
        <v>283.76829779999997</v>
      </c>
      <c r="H236" s="7">
        <f t="shared" si="9"/>
        <v>283.76829779999997</v>
      </c>
      <c r="I236" s="7">
        <f t="shared" si="10"/>
        <v>424.54862028725313</v>
      </c>
    </row>
    <row r="237" spans="1:9" x14ac:dyDescent="0.35">
      <c r="A237" t="s">
        <v>55</v>
      </c>
      <c r="B237" t="s">
        <v>56</v>
      </c>
      <c r="C237" t="s">
        <v>31</v>
      </c>
      <c r="D237" t="s">
        <v>155</v>
      </c>
      <c r="E237" t="s">
        <v>41</v>
      </c>
      <c r="F237" s="4">
        <v>6.0526282</v>
      </c>
      <c r="G237" s="4">
        <f>IFERROR(F237-alt_Blanks!$I$27,F237)</f>
        <v>6.0526282</v>
      </c>
      <c r="H237" s="7">
        <f t="shared" si="9"/>
        <v>6.0526282</v>
      </c>
      <c r="I237" s="7">
        <f t="shared" si="10"/>
        <v>9.0553982645122684</v>
      </c>
    </row>
    <row r="238" spans="1:9" x14ac:dyDescent="0.35">
      <c r="A238" t="s">
        <v>55</v>
      </c>
      <c r="B238" t="s">
        <v>56</v>
      </c>
      <c r="C238" t="s">
        <v>32</v>
      </c>
      <c r="D238" t="s">
        <v>153</v>
      </c>
      <c r="E238" t="s">
        <v>41</v>
      </c>
      <c r="F238" s="4">
        <v>0</v>
      </c>
      <c r="G238" s="4">
        <f>IFERROR(F238-alt_Blanks!$I$28,F238)</f>
        <v>0</v>
      </c>
      <c r="H238" s="7">
        <f t="shared" si="9"/>
        <v>0</v>
      </c>
      <c r="I238" s="7">
        <f t="shared" si="10"/>
        <v>0</v>
      </c>
    </row>
    <row r="239" spans="1:9" x14ac:dyDescent="0.35">
      <c r="A239" t="s">
        <v>55</v>
      </c>
      <c r="B239" t="s">
        <v>56</v>
      </c>
      <c r="C239" t="s">
        <v>33</v>
      </c>
      <c r="D239" t="s">
        <v>155</v>
      </c>
      <c r="E239" t="s">
        <v>41</v>
      </c>
      <c r="F239" s="4">
        <v>236.64176670000001</v>
      </c>
      <c r="G239" s="4">
        <f>IFERROR(F239-alt_Blanks!$I$29,F239)</f>
        <v>236.03014569999999</v>
      </c>
      <c r="H239" s="7">
        <f t="shared" si="9"/>
        <v>236.03014569999999</v>
      </c>
      <c r="I239" s="7">
        <f t="shared" si="10"/>
        <v>353.12708812088567</v>
      </c>
    </row>
    <row r="240" spans="1:9" x14ac:dyDescent="0.35">
      <c r="A240" t="s">
        <v>55</v>
      </c>
      <c r="B240" t="s">
        <v>56</v>
      </c>
      <c r="C240" t="s">
        <v>34</v>
      </c>
      <c r="D240" t="s">
        <v>153</v>
      </c>
      <c r="E240" t="s">
        <v>41</v>
      </c>
      <c r="F240" s="4">
        <v>0</v>
      </c>
      <c r="G240" s="4">
        <f>IFERROR(F240-alt_Blanks!$I$30,F240)</f>
        <v>0</v>
      </c>
      <c r="H240" s="7">
        <f t="shared" si="9"/>
        <v>0</v>
      </c>
      <c r="I240" s="7">
        <f t="shared" si="10"/>
        <v>0</v>
      </c>
    </row>
    <row r="241" spans="1:9" x14ac:dyDescent="0.35">
      <c r="A241" t="s">
        <v>55</v>
      </c>
      <c r="B241" t="s">
        <v>56</v>
      </c>
      <c r="C241" t="s">
        <v>35</v>
      </c>
      <c r="D241" t="s">
        <v>154</v>
      </c>
      <c r="E241" t="s">
        <v>41</v>
      </c>
      <c r="F241" s="4">
        <v>49.572101499999995</v>
      </c>
      <c r="G241" s="4">
        <f>IFERROR(F241-alt_Blanks!$I$31,F241)</f>
        <v>-52.882532099999999</v>
      </c>
      <c r="H241" s="7">
        <f t="shared" si="9"/>
        <v>0</v>
      </c>
      <c r="I241" s="7">
        <f t="shared" si="10"/>
        <v>0</v>
      </c>
    </row>
    <row r="242" spans="1:9" x14ac:dyDescent="0.35">
      <c r="A242" t="s">
        <v>55</v>
      </c>
      <c r="B242" t="s">
        <v>56</v>
      </c>
      <c r="C242" t="s">
        <v>36</v>
      </c>
      <c r="D242" t="s">
        <v>155</v>
      </c>
      <c r="E242" t="s">
        <v>41</v>
      </c>
      <c r="F242" s="4">
        <v>1.9170098</v>
      </c>
      <c r="G242" s="4">
        <f>IFERROR(F242-alt_Blanks!$I$32,F242)</f>
        <v>-1.0558700000000032E-2</v>
      </c>
      <c r="H242" s="7">
        <f t="shared" si="9"/>
        <v>0</v>
      </c>
      <c r="I242" s="7">
        <f t="shared" si="10"/>
        <v>0</v>
      </c>
    </row>
    <row r="243" spans="1:9" x14ac:dyDescent="0.35">
      <c r="A243" t="s">
        <v>55</v>
      </c>
      <c r="B243" t="s">
        <v>56</v>
      </c>
      <c r="C243" t="s">
        <v>37</v>
      </c>
      <c r="D243" t="s">
        <v>155</v>
      </c>
      <c r="E243" t="s">
        <v>41</v>
      </c>
      <c r="F243" s="4">
        <v>7.7788684000000003</v>
      </c>
      <c r="G243" s="4">
        <f>IFERROR(F243-alt_Blanks!$I$33,F243)</f>
        <v>7.7788684000000003</v>
      </c>
      <c r="H243" s="7">
        <f t="shared" si="9"/>
        <v>7.7788684000000003</v>
      </c>
      <c r="I243" s="7">
        <f t="shared" si="10"/>
        <v>11.638043686415321</v>
      </c>
    </row>
    <row r="244" spans="1:9" x14ac:dyDescent="0.35">
      <c r="A244" t="s">
        <v>55</v>
      </c>
      <c r="B244" t="s">
        <v>56</v>
      </c>
      <c r="C244" t="s">
        <v>38</v>
      </c>
      <c r="D244" t="s">
        <v>155</v>
      </c>
      <c r="E244" t="s">
        <v>41</v>
      </c>
      <c r="F244" s="4">
        <v>10.8488439</v>
      </c>
      <c r="G244" s="4">
        <f>IFERROR(F244-alt_Blanks!$I$34,F244)</f>
        <v>10.8488439</v>
      </c>
      <c r="H244" s="7">
        <f t="shared" si="9"/>
        <v>10.8488439</v>
      </c>
      <c r="I244" s="7">
        <f t="shared" si="10"/>
        <v>16.231065080789946</v>
      </c>
    </row>
    <row r="245" spans="1:9" x14ac:dyDescent="0.35">
      <c r="A245" t="s">
        <v>55</v>
      </c>
      <c r="B245" t="s">
        <v>56</v>
      </c>
      <c r="C245" t="s">
        <v>39</v>
      </c>
      <c r="D245" t="s">
        <v>153</v>
      </c>
      <c r="E245" t="s">
        <v>41</v>
      </c>
      <c r="F245" s="4">
        <v>9.6472344999999997</v>
      </c>
      <c r="G245" s="4">
        <f>IFERROR(F245-alt_Blanks!$I$35,F245)</f>
        <v>9.6472344999999997</v>
      </c>
      <c r="H245" s="7">
        <f t="shared" si="9"/>
        <v>9.6472344999999997</v>
      </c>
      <c r="I245" s="7">
        <f t="shared" si="10"/>
        <v>14.433325104727707</v>
      </c>
    </row>
    <row r="246" spans="1:9" x14ac:dyDescent="0.35">
      <c r="A246" t="s">
        <v>55</v>
      </c>
      <c r="B246" t="s">
        <v>56</v>
      </c>
      <c r="C246" t="s">
        <v>40</v>
      </c>
      <c r="D246" t="s">
        <v>154</v>
      </c>
      <c r="E246" t="s">
        <v>41</v>
      </c>
      <c r="F246" s="4">
        <v>0</v>
      </c>
      <c r="G246" s="4">
        <f>IFERROR(F246-alt_Blanks!$I$36,F246)</f>
        <v>0</v>
      </c>
      <c r="H246" s="7">
        <f t="shared" si="9"/>
        <v>0</v>
      </c>
      <c r="I246" s="7">
        <f t="shared" si="10"/>
        <v>0</v>
      </c>
    </row>
    <row r="247" spans="1:9" x14ac:dyDescent="0.35">
      <c r="A247" t="s">
        <v>57</v>
      </c>
      <c r="B247" t="s">
        <v>58</v>
      </c>
      <c r="C247" t="s">
        <v>6</v>
      </c>
      <c r="D247" t="s">
        <v>153</v>
      </c>
      <c r="E247" t="s">
        <v>41</v>
      </c>
      <c r="F247" s="4">
        <v>6.7397358000000001</v>
      </c>
      <c r="G247" s="4">
        <f>IFERROR(F247-alt_Blanks!$I$2,F247)</f>
        <v>3.3194699999999244E-2</v>
      </c>
      <c r="H247" s="7">
        <f t="shared" si="9"/>
        <v>3.3194699999999244E-2</v>
      </c>
      <c r="I247" s="7">
        <f>H247/0.6353</f>
        <v>5.2250432866361163E-2</v>
      </c>
    </row>
    <row r="248" spans="1:9" x14ac:dyDescent="0.35">
      <c r="A248" t="s">
        <v>57</v>
      </c>
      <c r="B248" t="s">
        <v>58</v>
      </c>
      <c r="C248" t="s">
        <v>7</v>
      </c>
      <c r="D248" t="s">
        <v>153</v>
      </c>
      <c r="E248" t="s">
        <v>41</v>
      </c>
      <c r="F248" s="4">
        <v>0</v>
      </c>
      <c r="G248" s="4">
        <f>IFERROR(F248-alt_Blanks!$I$3,F248)</f>
        <v>0</v>
      </c>
      <c r="H248" s="7">
        <f t="shared" si="9"/>
        <v>0</v>
      </c>
      <c r="I248" s="7">
        <f t="shared" ref="I248:I281" si="11">H248/0.6353</f>
        <v>0</v>
      </c>
    </row>
    <row r="249" spans="1:9" x14ac:dyDescent="0.35">
      <c r="A249" t="s">
        <v>57</v>
      </c>
      <c r="B249" t="s">
        <v>58</v>
      </c>
      <c r="C249" t="s">
        <v>8</v>
      </c>
      <c r="D249" t="s">
        <v>153</v>
      </c>
      <c r="E249" t="s">
        <v>41</v>
      </c>
      <c r="F249" s="4">
        <v>0</v>
      </c>
      <c r="G249" s="4">
        <f>IFERROR(F249-alt_Blanks!$I$4,F249)</f>
        <v>0</v>
      </c>
      <c r="H249" s="7">
        <f t="shared" si="9"/>
        <v>0</v>
      </c>
      <c r="I249" s="7">
        <f t="shared" si="11"/>
        <v>0</v>
      </c>
    </row>
    <row r="250" spans="1:9" x14ac:dyDescent="0.35">
      <c r="A250" t="s">
        <v>57</v>
      </c>
      <c r="B250" t="s">
        <v>58</v>
      </c>
      <c r="C250" t="s">
        <v>9</v>
      </c>
      <c r="D250" t="s">
        <v>153</v>
      </c>
      <c r="E250" t="s">
        <v>41</v>
      </c>
      <c r="F250" s="4">
        <v>0</v>
      </c>
      <c r="G250" s="4">
        <f>IFERROR(F250-alt_Blanks!$I$5,F250)</f>
        <v>0</v>
      </c>
      <c r="H250" s="7">
        <f t="shared" si="9"/>
        <v>0</v>
      </c>
      <c r="I250" s="7">
        <f t="shared" si="11"/>
        <v>0</v>
      </c>
    </row>
    <row r="251" spans="1:9" x14ac:dyDescent="0.35">
      <c r="A251" t="s">
        <v>57</v>
      </c>
      <c r="B251" t="s">
        <v>58</v>
      </c>
      <c r="C251" t="s">
        <v>10</v>
      </c>
      <c r="D251" t="s">
        <v>153</v>
      </c>
      <c r="E251" t="s">
        <v>41</v>
      </c>
      <c r="F251" s="4">
        <v>0</v>
      </c>
      <c r="G251" s="4">
        <f>IFERROR(F251-alt_Blanks!$I$6,F251)</f>
        <v>0</v>
      </c>
      <c r="H251" s="7">
        <f t="shared" si="9"/>
        <v>0</v>
      </c>
      <c r="I251" s="7">
        <f t="shared" si="11"/>
        <v>0</v>
      </c>
    </row>
    <row r="252" spans="1:9" x14ac:dyDescent="0.35">
      <c r="A252" t="s">
        <v>57</v>
      </c>
      <c r="B252" t="s">
        <v>58</v>
      </c>
      <c r="C252" t="s">
        <v>11</v>
      </c>
      <c r="D252" t="s">
        <v>153</v>
      </c>
      <c r="E252" t="s">
        <v>41</v>
      </c>
      <c r="F252" s="4">
        <v>42.469700700000004</v>
      </c>
      <c r="G252" s="4">
        <f>IFERROR(F252-alt_Blanks!$I$7,F252)</f>
        <v>42.469700700000004</v>
      </c>
      <c r="H252" s="7">
        <f t="shared" si="9"/>
        <v>42.469700700000004</v>
      </c>
      <c r="I252" s="7">
        <f t="shared" si="11"/>
        <v>66.849835825594212</v>
      </c>
    </row>
    <row r="253" spans="1:9" x14ac:dyDescent="0.35">
      <c r="A253" t="s">
        <v>57</v>
      </c>
      <c r="B253" t="s">
        <v>58</v>
      </c>
      <c r="C253" t="s">
        <v>12</v>
      </c>
      <c r="D253" t="s">
        <v>154</v>
      </c>
      <c r="E253" t="s">
        <v>41</v>
      </c>
      <c r="F253" s="4">
        <v>0</v>
      </c>
      <c r="G253" s="4">
        <f>IFERROR(F253-alt_Blanks!$I$8,F253)</f>
        <v>0</v>
      </c>
      <c r="H253" s="7">
        <f t="shared" si="9"/>
        <v>0</v>
      </c>
      <c r="I253" s="7">
        <f t="shared" si="11"/>
        <v>0</v>
      </c>
    </row>
    <row r="254" spans="1:9" x14ac:dyDescent="0.35">
      <c r="A254" t="s">
        <v>57</v>
      </c>
      <c r="B254" t="s">
        <v>58</v>
      </c>
      <c r="C254" t="s">
        <v>13</v>
      </c>
      <c r="D254" t="s">
        <v>153</v>
      </c>
      <c r="E254" t="s">
        <v>41</v>
      </c>
      <c r="F254" s="4">
        <v>6.2557917999999999</v>
      </c>
      <c r="G254" s="4">
        <f>IFERROR(F254-alt_Blanks!$I$9,F254)</f>
        <v>6.2557917999999999</v>
      </c>
      <c r="H254" s="7">
        <f t="shared" si="9"/>
        <v>6.2557917999999999</v>
      </c>
      <c r="I254" s="7">
        <f t="shared" si="11"/>
        <v>9.8469885093656551</v>
      </c>
    </row>
    <row r="255" spans="1:9" x14ac:dyDescent="0.35">
      <c r="A255" t="s">
        <v>57</v>
      </c>
      <c r="B255" t="s">
        <v>58</v>
      </c>
      <c r="C255" t="s">
        <v>14</v>
      </c>
      <c r="D255" t="s">
        <v>154</v>
      </c>
      <c r="E255" t="s">
        <v>41</v>
      </c>
      <c r="F255" s="4">
        <v>0</v>
      </c>
      <c r="G255" s="4">
        <f>IFERROR(F255-alt_Blanks!$I$10,F255)</f>
        <v>0</v>
      </c>
      <c r="H255" s="7">
        <f t="shared" si="9"/>
        <v>0</v>
      </c>
      <c r="I255" s="7">
        <f t="shared" si="11"/>
        <v>0</v>
      </c>
    </row>
    <row r="256" spans="1:9" x14ac:dyDescent="0.35">
      <c r="A256" t="s">
        <v>57</v>
      </c>
      <c r="B256" t="s">
        <v>58</v>
      </c>
      <c r="C256" t="s">
        <v>15</v>
      </c>
      <c r="D256" t="s">
        <v>153</v>
      </c>
      <c r="E256" t="s">
        <v>41</v>
      </c>
      <c r="F256" s="4">
        <v>2174.1626369999999</v>
      </c>
      <c r="G256" s="4">
        <f>IFERROR(F256-alt_Blanks!$I$11,F256)</f>
        <v>1368.9459472999999</v>
      </c>
      <c r="H256" s="7">
        <f t="shared" si="9"/>
        <v>1368.9459472999999</v>
      </c>
      <c r="I256" s="7">
        <f t="shared" si="11"/>
        <v>2154.8023725798835</v>
      </c>
    </row>
    <row r="257" spans="1:9" x14ac:dyDescent="0.35">
      <c r="A257" t="s">
        <v>57</v>
      </c>
      <c r="B257" t="s">
        <v>58</v>
      </c>
      <c r="C257" t="s">
        <v>16</v>
      </c>
      <c r="D257" t="s">
        <v>154</v>
      </c>
      <c r="E257" t="s">
        <v>41</v>
      </c>
      <c r="F257" s="4">
        <v>395.71085580000005</v>
      </c>
      <c r="G257" s="4">
        <f>IFERROR(F257-alt_Blanks!$I$12,F257)</f>
        <v>395.71085580000005</v>
      </c>
      <c r="H257" s="7">
        <f t="shared" si="9"/>
        <v>395.71085580000005</v>
      </c>
      <c r="I257" s="7">
        <f t="shared" si="11"/>
        <v>622.87243160711489</v>
      </c>
    </row>
    <row r="258" spans="1:9" x14ac:dyDescent="0.35">
      <c r="A258" t="s">
        <v>57</v>
      </c>
      <c r="B258" t="s">
        <v>58</v>
      </c>
      <c r="C258" t="s">
        <v>17</v>
      </c>
      <c r="D258" t="s">
        <v>153</v>
      </c>
      <c r="E258" t="s">
        <v>41</v>
      </c>
      <c r="F258" s="4">
        <v>13.9862854</v>
      </c>
      <c r="G258" s="4">
        <f>IFERROR(F258-alt_Blanks!$I$13,F258)</f>
        <v>13.1335719</v>
      </c>
      <c r="H258" s="7">
        <f t="shared" si="9"/>
        <v>13.1335719</v>
      </c>
      <c r="I258" s="7">
        <f t="shared" si="11"/>
        <v>20.673023610892493</v>
      </c>
    </row>
    <row r="259" spans="1:9" x14ac:dyDescent="0.35">
      <c r="A259" t="s">
        <v>57</v>
      </c>
      <c r="B259" t="s">
        <v>58</v>
      </c>
      <c r="C259" t="s">
        <v>18</v>
      </c>
      <c r="D259" t="s">
        <v>154</v>
      </c>
      <c r="E259" t="s">
        <v>41</v>
      </c>
      <c r="F259" s="4">
        <v>0</v>
      </c>
      <c r="G259" s="4">
        <f>IFERROR(F259-alt_Blanks!$I$14,F259)</f>
        <v>0</v>
      </c>
      <c r="H259" s="7">
        <f t="shared" si="9"/>
        <v>0</v>
      </c>
      <c r="I259" s="7">
        <f t="shared" si="11"/>
        <v>0</v>
      </c>
    </row>
    <row r="260" spans="1:9" x14ac:dyDescent="0.35">
      <c r="A260" t="s">
        <v>57</v>
      </c>
      <c r="B260" t="s">
        <v>58</v>
      </c>
      <c r="C260" t="s">
        <v>19</v>
      </c>
      <c r="D260" t="s">
        <v>153</v>
      </c>
      <c r="E260" t="s">
        <v>41</v>
      </c>
      <c r="F260" s="4">
        <v>364.13963429999995</v>
      </c>
      <c r="G260" s="4">
        <f>IFERROR(F260-alt_Blanks!$I$15,F260)</f>
        <v>95.516237199999978</v>
      </c>
      <c r="H260" s="7">
        <f t="shared" si="9"/>
        <v>95.516237199999978</v>
      </c>
      <c r="I260" s="7">
        <f t="shared" si="11"/>
        <v>150.3482405162915</v>
      </c>
    </row>
    <row r="261" spans="1:9" x14ac:dyDescent="0.35">
      <c r="A261" t="s">
        <v>57</v>
      </c>
      <c r="B261" t="s">
        <v>58</v>
      </c>
      <c r="C261" t="s">
        <v>20</v>
      </c>
      <c r="D261" t="s">
        <v>154</v>
      </c>
      <c r="E261" t="s">
        <v>41</v>
      </c>
      <c r="F261" s="4">
        <v>516.59783719999996</v>
      </c>
      <c r="G261" s="4">
        <f>IFERROR(F261-alt_Blanks!$I$16,F261)</f>
        <v>498.13192399999997</v>
      </c>
      <c r="H261" s="7">
        <f t="shared" si="9"/>
        <v>498.13192399999997</v>
      </c>
      <c r="I261" s="7">
        <f t="shared" si="11"/>
        <v>784.08928695104669</v>
      </c>
    </row>
    <row r="262" spans="1:9" x14ac:dyDescent="0.35">
      <c r="A262" t="s">
        <v>57</v>
      </c>
      <c r="B262" t="s">
        <v>58</v>
      </c>
      <c r="C262" t="s">
        <v>21</v>
      </c>
      <c r="D262" t="s">
        <v>155</v>
      </c>
      <c r="E262" t="s">
        <v>41</v>
      </c>
      <c r="F262" s="4">
        <v>0.98982730000000008</v>
      </c>
      <c r="G262" s="4">
        <f>IFERROR(F262-alt_Blanks!$I$17,F262)</f>
        <v>0.65787390000000001</v>
      </c>
      <c r="H262" s="7">
        <f t="shared" ref="H262:H325" si="12">IF(G262&lt;0,0,G262)</f>
        <v>0.65787390000000001</v>
      </c>
      <c r="I262" s="7">
        <f t="shared" si="11"/>
        <v>1.0355326617346137</v>
      </c>
    </row>
    <row r="263" spans="1:9" x14ac:dyDescent="0.35">
      <c r="A263" t="s">
        <v>57</v>
      </c>
      <c r="B263" t="s">
        <v>58</v>
      </c>
      <c r="C263" t="s">
        <v>22</v>
      </c>
      <c r="D263" t="s">
        <v>155</v>
      </c>
      <c r="E263" t="s">
        <v>41</v>
      </c>
      <c r="F263" s="4">
        <v>286.19496190000001</v>
      </c>
      <c r="G263" s="4">
        <f>IFERROR(F263-alt_Blanks!$I$18,F263)</f>
        <v>280.19150230000002</v>
      </c>
      <c r="H263" s="7">
        <f t="shared" si="12"/>
        <v>280.19150230000002</v>
      </c>
      <c r="I263" s="7">
        <f t="shared" si="11"/>
        <v>441.03809586022356</v>
      </c>
    </row>
    <row r="264" spans="1:9" x14ac:dyDescent="0.35">
      <c r="A264" t="s">
        <v>57</v>
      </c>
      <c r="B264" t="s">
        <v>58</v>
      </c>
      <c r="C264" t="s">
        <v>23</v>
      </c>
      <c r="D264" t="s">
        <v>155</v>
      </c>
      <c r="E264" t="s">
        <v>41</v>
      </c>
      <c r="F264" s="4">
        <v>0</v>
      </c>
      <c r="G264" s="4">
        <f>IFERROR(F264-alt_Blanks!$I$19,F264)</f>
        <v>0</v>
      </c>
      <c r="H264" s="7">
        <f t="shared" si="12"/>
        <v>0</v>
      </c>
      <c r="I264" s="7">
        <f t="shared" si="11"/>
        <v>0</v>
      </c>
    </row>
    <row r="265" spans="1:9" x14ac:dyDescent="0.35">
      <c r="A265" t="s">
        <v>57</v>
      </c>
      <c r="B265" t="s">
        <v>58</v>
      </c>
      <c r="C265" t="s">
        <v>24</v>
      </c>
      <c r="D265" t="s">
        <v>155</v>
      </c>
      <c r="E265" t="s">
        <v>41</v>
      </c>
      <c r="F265" s="4">
        <v>319.69333119999999</v>
      </c>
      <c r="G265" s="4">
        <f>IFERROR(F265-alt_Blanks!$I$20,F265)</f>
        <v>317.75535579999996</v>
      </c>
      <c r="H265" s="7">
        <f t="shared" si="12"/>
        <v>317.75535579999996</v>
      </c>
      <c r="I265" s="7">
        <f t="shared" si="11"/>
        <v>500.16583629781201</v>
      </c>
    </row>
    <row r="266" spans="1:9" x14ac:dyDescent="0.35">
      <c r="A266" t="s">
        <v>57</v>
      </c>
      <c r="B266" t="s">
        <v>58</v>
      </c>
      <c r="C266" t="s">
        <v>25</v>
      </c>
      <c r="D266" t="s">
        <v>155</v>
      </c>
      <c r="E266" t="s">
        <v>41</v>
      </c>
      <c r="F266" s="4">
        <v>17.437924299999999</v>
      </c>
      <c r="G266" s="4">
        <f>IFERROR(F266-alt_Blanks!$I$21,F266)</f>
        <v>17.223415199999998</v>
      </c>
      <c r="H266" s="7">
        <f t="shared" si="12"/>
        <v>17.223415199999998</v>
      </c>
      <c r="I266" s="7">
        <f t="shared" si="11"/>
        <v>27.110680308515661</v>
      </c>
    </row>
    <row r="267" spans="1:9" x14ac:dyDescent="0.35">
      <c r="A267" t="s">
        <v>57</v>
      </c>
      <c r="B267" t="s">
        <v>58</v>
      </c>
      <c r="C267" t="s">
        <v>26</v>
      </c>
      <c r="D267" t="s">
        <v>153</v>
      </c>
      <c r="E267" t="s">
        <v>41</v>
      </c>
      <c r="F267" s="4">
        <v>1.4495451000000001</v>
      </c>
      <c r="G267" s="4">
        <f>IFERROR(F267-alt_Blanks!$I$22,F267)</f>
        <v>-0.1451762999999997</v>
      </c>
      <c r="H267" s="7">
        <f t="shared" si="12"/>
        <v>0</v>
      </c>
      <c r="I267" s="7">
        <f t="shared" si="11"/>
        <v>0</v>
      </c>
    </row>
    <row r="268" spans="1:9" x14ac:dyDescent="0.35">
      <c r="A268" t="s">
        <v>57</v>
      </c>
      <c r="B268" t="s">
        <v>58</v>
      </c>
      <c r="C268" t="s">
        <v>27</v>
      </c>
      <c r="D268" t="s">
        <v>154</v>
      </c>
      <c r="E268" t="s">
        <v>41</v>
      </c>
      <c r="F268" s="4">
        <v>22.870710200000001</v>
      </c>
      <c r="G268" s="4">
        <f>IFERROR(F268-alt_Blanks!$I$23,F268)</f>
        <v>22.749972800000002</v>
      </c>
      <c r="H268" s="7">
        <f t="shared" si="12"/>
        <v>22.749972800000002</v>
      </c>
      <c r="I268" s="7">
        <f t="shared" si="11"/>
        <v>35.809810798048169</v>
      </c>
    </row>
    <row r="269" spans="1:9" x14ac:dyDescent="0.35">
      <c r="A269" t="s">
        <v>57</v>
      </c>
      <c r="B269" t="s">
        <v>58</v>
      </c>
      <c r="C269" t="s">
        <v>28</v>
      </c>
      <c r="D269" t="s">
        <v>155</v>
      </c>
      <c r="E269" t="s">
        <v>41</v>
      </c>
      <c r="F269" s="4">
        <v>43.932386800000003</v>
      </c>
      <c r="G269" s="4">
        <f>IFERROR(F269-alt_Blanks!$I$24,F269)</f>
        <v>43.685217200000004</v>
      </c>
      <c r="H269" s="7">
        <f t="shared" si="12"/>
        <v>43.685217200000004</v>
      </c>
      <c r="I269" s="7">
        <f t="shared" si="11"/>
        <v>68.763131119156313</v>
      </c>
    </row>
    <row r="270" spans="1:9" x14ac:dyDescent="0.35">
      <c r="A270" t="s">
        <v>57</v>
      </c>
      <c r="B270" t="s">
        <v>58</v>
      </c>
      <c r="C270" t="s">
        <v>29</v>
      </c>
      <c r="D270" t="s">
        <v>155</v>
      </c>
      <c r="E270" t="s">
        <v>41</v>
      </c>
      <c r="F270" s="4">
        <v>7.2523596000000001</v>
      </c>
      <c r="G270" s="4">
        <f>IFERROR(F270-alt_Blanks!$I$25,F270)</f>
        <v>6.7801188000000003</v>
      </c>
      <c r="H270" s="7">
        <f t="shared" si="12"/>
        <v>6.7801188000000003</v>
      </c>
      <c r="I270" s="7">
        <f t="shared" si="11"/>
        <v>10.672310404533292</v>
      </c>
    </row>
    <row r="271" spans="1:9" x14ac:dyDescent="0.35">
      <c r="A271" t="s">
        <v>57</v>
      </c>
      <c r="B271" t="s">
        <v>58</v>
      </c>
      <c r="C271" t="s">
        <v>30</v>
      </c>
      <c r="D271" t="s">
        <v>155</v>
      </c>
      <c r="E271" t="s">
        <v>41</v>
      </c>
      <c r="F271" s="4">
        <v>206.1787951</v>
      </c>
      <c r="G271" s="4">
        <f>IFERROR(F271-alt_Blanks!$I$26,F271)</f>
        <v>205.5986188</v>
      </c>
      <c r="H271" s="7">
        <f t="shared" si="12"/>
        <v>205.5986188</v>
      </c>
      <c r="I271" s="7">
        <f t="shared" si="11"/>
        <v>323.62445899575005</v>
      </c>
    </row>
    <row r="272" spans="1:9" x14ac:dyDescent="0.35">
      <c r="A272" t="s">
        <v>57</v>
      </c>
      <c r="B272" t="s">
        <v>58</v>
      </c>
      <c r="C272" t="s">
        <v>31</v>
      </c>
      <c r="D272" t="s">
        <v>155</v>
      </c>
      <c r="E272" t="s">
        <v>41</v>
      </c>
      <c r="F272" s="4">
        <v>12.9494565</v>
      </c>
      <c r="G272" s="4">
        <f>IFERROR(F272-alt_Blanks!$I$27,F272)</f>
        <v>12.9494565</v>
      </c>
      <c r="H272" s="7">
        <f t="shared" si="12"/>
        <v>12.9494565</v>
      </c>
      <c r="I272" s="7">
        <f t="shared" si="11"/>
        <v>20.383215016527625</v>
      </c>
    </row>
    <row r="273" spans="1:9" x14ac:dyDescent="0.35">
      <c r="A273" t="s">
        <v>57</v>
      </c>
      <c r="B273" t="s">
        <v>58</v>
      </c>
      <c r="C273" t="s">
        <v>32</v>
      </c>
      <c r="D273" t="s">
        <v>153</v>
      </c>
      <c r="E273" t="s">
        <v>41</v>
      </c>
      <c r="F273" s="4">
        <v>0</v>
      </c>
      <c r="G273" s="4">
        <f>IFERROR(F273-alt_Blanks!$I$28,F273)</f>
        <v>0</v>
      </c>
      <c r="H273" s="7">
        <f t="shared" si="12"/>
        <v>0</v>
      </c>
      <c r="I273" s="7">
        <f t="shared" si="11"/>
        <v>0</v>
      </c>
    </row>
    <row r="274" spans="1:9" x14ac:dyDescent="0.35">
      <c r="A274" t="s">
        <v>57</v>
      </c>
      <c r="B274" t="s">
        <v>58</v>
      </c>
      <c r="C274" t="s">
        <v>33</v>
      </c>
      <c r="D274" t="s">
        <v>155</v>
      </c>
      <c r="E274" t="s">
        <v>41</v>
      </c>
      <c r="F274" s="4">
        <v>217.11986869999998</v>
      </c>
      <c r="G274" s="4">
        <f>IFERROR(F274-alt_Blanks!$I$29,F274)</f>
        <v>216.50824769999997</v>
      </c>
      <c r="H274" s="7">
        <f t="shared" si="12"/>
        <v>216.50824769999997</v>
      </c>
      <c r="I274" s="7">
        <f t="shared" si="11"/>
        <v>340.79686400125922</v>
      </c>
    </row>
    <row r="275" spans="1:9" x14ac:dyDescent="0.35">
      <c r="A275" t="s">
        <v>57</v>
      </c>
      <c r="B275" t="s">
        <v>58</v>
      </c>
      <c r="C275" t="s">
        <v>34</v>
      </c>
      <c r="D275" t="s">
        <v>153</v>
      </c>
      <c r="E275" t="s">
        <v>41</v>
      </c>
      <c r="F275" s="4">
        <v>0</v>
      </c>
      <c r="G275" s="4">
        <f>IFERROR(F275-alt_Blanks!$I$30,F275)</f>
        <v>0</v>
      </c>
      <c r="H275" s="7">
        <f t="shared" si="12"/>
        <v>0</v>
      </c>
      <c r="I275" s="7">
        <f t="shared" si="11"/>
        <v>0</v>
      </c>
    </row>
    <row r="276" spans="1:9" x14ac:dyDescent="0.35">
      <c r="A276" t="s">
        <v>57</v>
      </c>
      <c r="B276" t="s">
        <v>58</v>
      </c>
      <c r="C276" t="s">
        <v>35</v>
      </c>
      <c r="D276" t="s">
        <v>154</v>
      </c>
      <c r="E276" t="s">
        <v>41</v>
      </c>
      <c r="F276" s="4">
        <v>53.0325293</v>
      </c>
      <c r="G276" s="4">
        <f>IFERROR(F276-alt_Blanks!$I$31,F276)</f>
        <v>-49.422104299999994</v>
      </c>
      <c r="H276" s="7">
        <f t="shared" si="12"/>
        <v>0</v>
      </c>
      <c r="I276" s="7">
        <f t="shared" si="11"/>
        <v>0</v>
      </c>
    </row>
    <row r="277" spans="1:9" x14ac:dyDescent="0.35">
      <c r="A277" t="s">
        <v>57</v>
      </c>
      <c r="B277" t="s">
        <v>58</v>
      </c>
      <c r="C277" t="s">
        <v>36</v>
      </c>
      <c r="D277" t="s">
        <v>155</v>
      </c>
      <c r="E277" t="s">
        <v>41</v>
      </c>
      <c r="F277" s="4">
        <v>9.350685799999999</v>
      </c>
      <c r="G277" s="4">
        <f>IFERROR(F277-alt_Blanks!$I$32,F277)</f>
        <v>7.4231172999999995</v>
      </c>
      <c r="H277" s="7">
        <f t="shared" si="12"/>
        <v>7.4231172999999995</v>
      </c>
      <c r="I277" s="7">
        <f t="shared" si="11"/>
        <v>11.684428301589799</v>
      </c>
    </row>
    <row r="278" spans="1:9" x14ac:dyDescent="0.35">
      <c r="A278" t="s">
        <v>57</v>
      </c>
      <c r="B278" t="s">
        <v>58</v>
      </c>
      <c r="C278" t="s">
        <v>37</v>
      </c>
      <c r="D278" t="s">
        <v>155</v>
      </c>
      <c r="E278" t="s">
        <v>41</v>
      </c>
      <c r="F278" s="4">
        <v>6.3701761000000001</v>
      </c>
      <c r="G278" s="4">
        <f>IFERROR(F278-alt_Blanks!$I$33,F278)</f>
        <v>6.3701761000000001</v>
      </c>
      <c r="H278" s="7">
        <f t="shared" si="12"/>
        <v>6.3701761000000001</v>
      </c>
      <c r="I278" s="7">
        <f t="shared" si="11"/>
        <v>10.027036203368487</v>
      </c>
    </row>
    <row r="279" spans="1:9" x14ac:dyDescent="0.35">
      <c r="A279" t="s">
        <v>57</v>
      </c>
      <c r="B279" t="s">
        <v>58</v>
      </c>
      <c r="C279" t="s">
        <v>38</v>
      </c>
      <c r="D279" t="s">
        <v>155</v>
      </c>
      <c r="E279" t="s">
        <v>41</v>
      </c>
      <c r="F279" s="4">
        <v>4.2916132999999999</v>
      </c>
      <c r="G279" s="4">
        <f>IFERROR(F279-alt_Blanks!$I$34,F279)</f>
        <v>4.2916132999999999</v>
      </c>
      <c r="H279" s="7">
        <f t="shared" si="12"/>
        <v>4.2916132999999999</v>
      </c>
      <c r="I279" s="7">
        <f t="shared" si="11"/>
        <v>6.7552546828270108</v>
      </c>
    </row>
    <row r="280" spans="1:9" x14ac:dyDescent="0.35">
      <c r="A280" t="s">
        <v>57</v>
      </c>
      <c r="B280" t="s">
        <v>58</v>
      </c>
      <c r="C280" t="s">
        <v>39</v>
      </c>
      <c r="D280" t="s">
        <v>153</v>
      </c>
      <c r="E280" t="s">
        <v>41</v>
      </c>
      <c r="F280" s="4">
        <v>0</v>
      </c>
      <c r="G280" s="4">
        <f>IFERROR(F280-alt_Blanks!$I$35,F280)</f>
        <v>0</v>
      </c>
      <c r="H280" s="7">
        <f t="shared" si="12"/>
        <v>0</v>
      </c>
      <c r="I280" s="7">
        <f t="shared" si="11"/>
        <v>0</v>
      </c>
    </row>
    <row r="281" spans="1:9" x14ac:dyDescent="0.35">
      <c r="A281" t="s">
        <v>57</v>
      </c>
      <c r="B281" t="s">
        <v>58</v>
      </c>
      <c r="C281" t="s">
        <v>40</v>
      </c>
      <c r="D281" t="s">
        <v>154</v>
      </c>
      <c r="E281" t="s">
        <v>41</v>
      </c>
      <c r="F281" s="4">
        <v>0</v>
      </c>
      <c r="G281" s="4">
        <f>IFERROR(F281-alt_Blanks!$I$36,F281)</f>
        <v>0</v>
      </c>
      <c r="H281" s="7">
        <f t="shared" si="12"/>
        <v>0</v>
      </c>
      <c r="I281" s="7">
        <f t="shared" si="11"/>
        <v>0</v>
      </c>
    </row>
    <row r="282" spans="1:9" x14ac:dyDescent="0.35">
      <c r="A282" t="s">
        <v>59</v>
      </c>
      <c r="B282" t="s">
        <v>60</v>
      </c>
      <c r="C282" t="s">
        <v>6</v>
      </c>
      <c r="D282" t="s">
        <v>153</v>
      </c>
      <c r="E282" t="s">
        <v>41</v>
      </c>
      <c r="F282" s="4">
        <v>6.6895514999999994</v>
      </c>
      <c r="G282" s="4">
        <f>IFERROR(F282-alt_Blanks!$I$2,F282)</f>
        <v>-1.6989600000001381E-2</v>
      </c>
      <c r="H282" s="7">
        <f t="shared" si="12"/>
        <v>0</v>
      </c>
      <c r="I282" s="7">
        <f>H282/0.6005</f>
        <v>0</v>
      </c>
    </row>
    <row r="283" spans="1:9" x14ac:dyDescent="0.35">
      <c r="A283" t="s">
        <v>59</v>
      </c>
      <c r="B283" t="s">
        <v>60</v>
      </c>
      <c r="C283" t="s">
        <v>7</v>
      </c>
      <c r="D283" t="s">
        <v>153</v>
      </c>
      <c r="E283" t="s">
        <v>41</v>
      </c>
      <c r="F283" s="4">
        <v>0</v>
      </c>
      <c r="G283" s="4">
        <f>IFERROR(F283-alt_Blanks!$I$3,F283)</f>
        <v>0</v>
      </c>
      <c r="H283" s="7">
        <f t="shared" si="12"/>
        <v>0</v>
      </c>
      <c r="I283" s="7">
        <f t="shared" ref="I283:I316" si="13">H283/0.6005</f>
        <v>0</v>
      </c>
    </row>
    <row r="284" spans="1:9" x14ac:dyDescent="0.35">
      <c r="A284" t="s">
        <v>59</v>
      </c>
      <c r="B284" t="s">
        <v>60</v>
      </c>
      <c r="C284" t="s">
        <v>8</v>
      </c>
      <c r="D284" t="s">
        <v>153</v>
      </c>
      <c r="E284" t="s">
        <v>41</v>
      </c>
      <c r="F284" s="4">
        <v>0</v>
      </c>
      <c r="G284" s="4">
        <f>IFERROR(F284-alt_Blanks!$I$4,F284)</f>
        <v>0</v>
      </c>
      <c r="H284" s="7">
        <f t="shared" si="12"/>
        <v>0</v>
      </c>
      <c r="I284" s="7">
        <f t="shared" si="13"/>
        <v>0</v>
      </c>
    </row>
    <row r="285" spans="1:9" x14ac:dyDescent="0.35">
      <c r="A285" t="s">
        <v>59</v>
      </c>
      <c r="B285" t="s">
        <v>60</v>
      </c>
      <c r="C285" t="s">
        <v>9</v>
      </c>
      <c r="D285" t="s">
        <v>153</v>
      </c>
      <c r="E285" t="s">
        <v>41</v>
      </c>
      <c r="F285" s="4">
        <v>0</v>
      </c>
      <c r="G285" s="4">
        <f>IFERROR(F285-alt_Blanks!$I$5,F285)</f>
        <v>0</v>
      </c>
      <c r="H285" s="7">
        <f t="shared" si="12"/>
        <v>0</v>
      </c>
      <c r="I285" s="7">
        <f t="shared" si="13"/>
        <v>0</v>
      </c>
    </row>
    <row r="286" spans="1:9" x14ac:dyDescent="0.35">
      <c r="A286" t="s">
        <v>59</v>
      </c>
      <c r="B286" t="s">
        <v>60</v>
      </c>
      <c r="C286" t="s">
        <v>10</v>
      </c>
      <c r="D286" t="s">
        <v>153</v>
      </c>
      <c r="E286" t="s">
        <v>41</v>
      </c>
      <c r="F286" s="4">
        <v>0</v>
      </c>
      <c r="G286" s="4">
        <f>IFERROR(F286-alt_Blanks!$I$6,F286)</f>
        <v>0</v>
      </c>
      <c r="H286" s="7">
        <f t="shared" si="12"/>
        <v>0</v>
      </c>
      <c r="I286" s="7">
        <f t="shared" si="13"/>
        <v>0</v>
      </c>
    </row>
    <row r="287" spans="1:9" x14ac:dyDescent="0.35">
      <c r="A287" t="s">
        <v>59</v>
      </c>
      <c r="B287" t="s">
        <v>60</v>
      </c>
      <c r="C287" t="s">
        <v>11</v>
      </c>
      <c r="D287" t="s">
        <v>153</v>
      </c>
      <c r="E287" t="s">
        <v>41</v>
      </c>
      <c r="F287" s="4">
        <v>33.764051700000003</v>
      </c>
      <c r="G287" s="4">
        <f>IFERROR(F287-alt_Blanks!$I$7,F287)</f>
        <v>33.764051700000003</v>
      </c>
      <c r="H287" s="7">
        <f t="shared" si="12"/>
        <v>33.764051700000003</v>
      </c>
      <c r="I287" s="7">
        <f t="shared" si="13"/>
        <v>56.226564029975023</v>
      </c>
    </row>
    <row r="288" spans="1:9" x14ac:dyDescent="0.35">
      <c r="A288" t="s">
        <v>59</v>
      </c>
      <c r="B288" t="s">
        <v>60</v>
      </c>
      <c r="C288" t="s">
        <v>12</v>
      </c>
      <c r="D288" t="s">
        <v>154</v>
      </c>
      <c r="E288" t="s">
        <v>41</v>
      </c>
      <c r="F288" s="4">
        <v>0</v>
      </c>
      <c r="G288" s="4">
        <f>IFERROR(F288-alt_Blanks!$I$8,F288)</f>
        <v>0</v>
      </c>
      <c r="H288" s="7">
        <f t="shared" si="12"/>
        <v>0</v>
      </c>
      <c r="I288" s="7">
        <f t="shared" si="13"/>
        <v>0</v>
      </c>
    </row>
    <row r="289" spans="1:9" x14ac:dyDescent="0.35">
      <c r="A289" t="s">
        <v>59</v>
      </c>
      <c r="B289" t="s">
        <v>60</v>
      </c>
      <c r="C289" t="s">
        <v>13</v>
      </c>
      <c r="D289" t="s">
        <v>153</v>
      </c>
      <c r="E289" t="s">
        <v>41</v>
      </c>
      <c r="F289" s="4">
        <v>9.4287720999999998</v>
      </c>
      <c r="G289" s="4">
        <f>IFERROR(F289-alt_Blanks!$I$9,F289)</f>
        <v>9.4287720999999998</v>
      </c>
      <c r="H289" s="7">
        <f t="shared" si="12"/>
        <v>9.4287720999999998</v>
      </c>
      <c r="I289" s="7">
        <f t="shared" si="13"/>
        <v>15.701535553705245</v>
      </c>
    </row>
    <row r="290" spans="1:9" x14ac:dyDescent="0.35">
      <c r="A290" t="s">
        <v>59</v>
      </c>
      <c r="B290" t="s">
        <v>60</v>
      </c>
      <c r="C290" t="s">
        <v>14</v>
      </c>
      <c r="D290" t="s">
        <v>154</v>
      </c>
      <c r="E290" t="s">
        <v>41</v>
      </c>
      <c r="F290" s="4">
        <v>0</v>
      </c>
      <c r="G290" s="4">
        <f>IFERROR(F290-alt_Blanks!$I$10,F290)</f>
        <v>0</v>
      </c>
      <c r="H290" s="7">
        <f t="shared" si="12"/>
        <v>0</v>
      </c>
      <c r="I290" s="7">
        <f t="shared" si="13"/>
        <v>0</v>
      </c>
    </row>
    <row r="291" spans="1:9" x14ac:dyDescent="0.35">
      <c r="A291" t="s">
        <v>59</v>
      </c>
      <c r="B291" t="s">
        <v>60</v>
      </c>
      <c r="C291" t="s">
        <v>15</v>
      </c>
      <c r="D291" t="s">
        <v>153</v>
      </c>
      <c r="E291" t="s">
        <v>41</v>
      </c>
      <c r="F291" s="4">
        <v>2199.1592201999997</v>
      </c>
      <c r="G291" s="4">
        <f>IFERROR(F291-alt_Blanks!$I$11,F291)</f>
        <v>1393.9425304999997</v>
      </c>
      <c r="H291" s="7">
        <f t="shared" si="12"/>
        <v>1393.9425304999997</v>
      </c>
      <c r="I291" s="7">
        <f t="shared" si="13"/>
        <v>2321.3031315570352</v>
      </c>
    </row>
    <row r="292" spans="1:9" x14ac:dyDescent="0.35">
      <c r="A292" t="s">
        <v>59</v>
      </c>
      <c r="B292" t="s">
        <v>60</v>
      </c>
      <c r="C292" t="s">
        <v>16</v>
      </c>
      <c r="D292" t="s">
        <v>154</v>
      </c>
      <c r="E292" t="s">
        <v>41</v>
      </c>
      <c r="F292" s="4">
        <v>369.00012219999996</v>
      </c>
      <c r="G292" s="4">
        <f>IFERROR(F292-alt_Blanks!$I$12,F292)</f>
        <v>369.00012219999996</v>
      </c>
      <c r="H292" s="7">
        <f t="shared" si="12"/>
        <v>369.00012219999996</v>
      </c>
      <c r="I292" s="7">
        <f t="shared" si="13"/>
        <v>614.48813022481261</v>
      </c>
    </row>
    <row r="293" spans="1:9" x14ac:dyDescent="0.35">
      <c r="A293" t="s">
        <v>59</v>
      </c>
      <c r="B293" t="s">
        <v>60</v>
      </c>
      <c r="C293" t="s">
        <v>17</v>
      </c>
      <c r="D293" t="s">
        <v>153</v>
      </c>
      <c r="E293" t="s">
        <v>41</v>
      </c>
      <c r="F293" s="4">
        <v>19.590825899999999</v>
      </c>
      <c r="G293" s="4">
        <f>IFERROR(F293-alt_Blanks!$I$13,F293)</f>
        <v>18.738112399999999</v>
      </c>
      <c r="H293" s="7">
        <f t="shared" si="12"/>
        <v>18.738112399999999</v>
      </c>
      <c r="I293" s="7">
        <f t="shared" si="13"/>
        <v>31.204183846794333</v>
      </c>
    </row>
    <row r="294" spans="1:9" x14ac:dyDescent="0.35">
      <c r="A294" t="s">
        <v>59</v>
      </c>
      <c r="B294" t="s">
        <v>60</v>
      </c>
      <c r="C294" t="s">
        <v>18</v>
      </c>
      <c r="D294" t="s">
        <v>154</v>
      </c>
      <c r="E294" t="s">
        <v>41</v>
      </c>
      <c r="F294" s="4">
        <v>1.1326532999999999</v>
      </c>
      <c r="G294" s="4">
        <f>IFERROR(F294-alt_Blanks!$I$14,F294)</f>
        <v>1.1326532999999999</v>
      </c>
      <c r="H294" s="7">
        <f t="shared" si="12"/>
        <v>1.1326532999999999</v>
      </c>
      <c r="I294" s="7">
        <f t="shared" si="13"/>
        <v>1.8861836802664442</v>
      </c>
    </row>
    <row r="295" spans="1:9" x14ac:dyDescent="0.35">
      <c r="A295" t="s">
        <v>59</v>
      </c>
      <c r="B295" t="s">
        <v>60</v>
      </c>
      <c r="C295" t="s">
        <v>19</v>
      </c>
      <c r="D295" t="s">
        <v>153</v>
      </c>
      <c r="E295" t="s">
        <v>41</v>
      </c>
      <c r="F295" s="4">
        <v>417.83660110000005</v>
      </c>
      <c r="G295" s="4">
        <f>IFERROR(F295-alt_Blanks!$I$15,F295)</f>
        <v>149.21320400000008</v>
      </c>
      <c r="H295" s="7">
        <f t="shared" si="12"/>
        <v>149.21320400000008</v>
      </c>
      <c r="I295" s="7">
        <f t="shared" si="13"/>
        <v>248.4816053288927</v>
      </c>
    </row>
    <row r="296" spans="1:9" x14ac:dyDescent="0.35">
      <c r="A296" t="s">
        <v>59</v>
      </c>
      <c r="B296" t="s">
        <v>60</v>
      </c>
      <c r="C296" t="s">
        <v>20</v>
      </c>
      <c r="D296" t="s">
        <v>154</v>
      </c>
      <c r="E296" t="s">
        <v>41</v>
      </c>
      <c r="F296" s="4">
        <v>403.62261589999997</v>
      </c>
      <c r="G296" s="4">
        <f>IFERROR(F296-alt_Blanks!$I$16,F296)</f>
        <v>385.15670269999998</v>
      </c>
      <c r="H296" s="7">
        <f t="shared" si="12"/>
        <v>385.15670269999998</v>
      </c>
      <c r="I296" s="7">
        <f t="shared" si="13"/>
        <v>641.39334338051617</v>
      </c>
    </row>
    <row r="297" spans="1:9" x14ac:dyDescent="0.35">
      <c r="A297" t="s">
        <v>59</v>
      </c>
      <c r="B297" t="s">
        <v>60</v>
      </c>
      <c r="C297" t="s">
        <v>21</v>
      </c>
      <c r="D297" t="s">
        <v>155</v>
      </c>
      <c r="E297" t="s">
        <v>41</v>
      </c>
      <c r="F297" s="4">
        <v>1.4415064</v>
      </c>
      <c r="G297" s="4">
        <f>IFERROR(F297-alt_Blanks!$I$17,F297)</f>
        <v>1.109553</v>
      </c>
      <c r="H297" s="7">
        <f t="shared" si="12"/>
        <v>1.109553</v>
      </c>
      <c r="I297" s="7">
        <f t="shared" si="13"/>
        <v>1.8477152373022481</v>
      </c>
    </row>
    <row r="298" spans="1:9" x14ac:dyDescent="0.35">
      <c r="A298" t="s">
        <v>59</v>
      </c>
      <c r="B298" t="s">
        <v>60</v>
      </c>
      <c r="C298" t="s">
        <v>22</v>
      </c>
      <c r="D298" t="s">
        <v>155</v>
      </c>
      <c r="E298" t="s">
        <v>41</v>
      </c>
      <c r="F298" s="4">
        <v>239.3331489</v>
      </c>
      <c r="G298" s="4">
        <f>IFERROR(F298-alt_Blanks!$I$18,F298)</f>
        <v>233.32968929999998</v>
      </c>
      <c r="H298" s="7">
        <f t="shared" si="12"/>
        <v>233.32968929999998</v>
      </c>
      <c r="I298" s="7">
        <f t="shared" si="13"/>
        <v>388.55901631973353</v>
      </c>
    </row>
    <row r="299" spans="1:9" x14ac:dyDescent="0.35">
      <c r="A299" t="s">
        <v>59</v>
      </c>
      <c r="B299" t="s">
        <v>60</v>
      </c>
      <c r="C299" t="s">
        <v>23</v>
      </c>
      <c r="D299" t="s">
        <v>155</v>
      </c>
      <c r="E299" t="s">
        <v>41</v>
      </c>
      <c r="F299" s="4">
        <v>0.2082011</v>
      </c>
      <c r="G299" s="4">
        <f>IFERROR(F299-alt_Blanks!$I$19,F299)</f>
        <v>0.2082011</v>
      </c>
      <c r="H299" s="7">
        <f t="shared" si="12"/>
        <v>0.2082011</v>
      </c>
      <c r="I299" s="7">
        <f t="shared" si="13"/>
        <v>0.3467129059117402</v>
      </c>
    </row>
    <row r="300" spans="1:9" x14ac:dyDescent="0.35">
      <c r="A300" t="s">
        <v>59</v>
      </c>
      <c r="B300" t="s">
        <v>60</v>
      </c>
      <c r="C300" t="s">
        <v>24</v>
      </c>
      <c r="D300" t="s">
        <v>155</v>
      </c>
      <c r="E300" t="s">
        <v>41</v>
      </c>
      <c r="F300" s="4">
        <v>225.71177650000001</v>
      </c>
      <c r="G300" s="4">
        <f>IFERROR(F300-alt_Blanks!$I$20,F300)</f>
        <v>223.77380110000001</v>
      </c>
      <c r="H300" s="7">
        <f t="shared" si="12"/>
        <v>223.77380110000001</v>
      </c>
      <c r="I300" s="7">
        <f t="shared" si="13"/>
        <v>372.64579700249794</v>
      </c>
    </row>
    <row r="301" spans="1:9" x14ac:dyDescent="0.35">
      <c r="A301" t="s">
        <v>59</v>
      </c>
      <c r="B301" t="s">
        <v>60</v>
      </c>
      <c r="C301" t="s">
        <v>25</v>
      </c>
      <c r="D301" t="s">
        <v>155</v>
      </c>
      <c r="E301" t="s">
        <v>41</v>
      </c>
      <c r="F301" s="4">
        <v>12.062197299999999</v>
      </c>
      <c r="G301" s="4">
        <f>IFERROR(F301-alt_Blanks!$I$21,F301)</f>
        <v>11.847688199999999</v>
      </c>
      <c r="H301" s="7">
        <f t="shared" si="12"/>
        <v>11.847688199999999</v>
      </c>
      <c r="I301" s="7">
        <f t="shared" si="13"/>
        <v>19.729705578684428</v>
      </c>
    </row>
    <row r="302" spans="1:9" x14ac:dyDescent="0.35">
      <c r="A302" t="s">
        <v>59</v>
      </c>
      <c r="B302" t="s">
        <v>60</v>
      </c>
      <c r="C302" t="s">
        <v>26</v>
      </c>
      <c r="D302" t="s">
        <v>153</v>
      </c>
      <c r="E302" t="s">
        <v>41</v>
      </c>
      <c r="F302" s="4">
        <v>4.9600798000000008</v>
      </c>
      <c r="G302" s="4">
        <f>IFERROR(F302-alt_Blanks!$I$22,F302)</f>
        <v>3.3653584000000007</v>
      </c>
      <c r="H302" s="7">
        <f t="shared" si="12"/>
        <v>3.3653584000000007</v>
      </c>
      <c r="I302" s="7">
        <f t="shared" si="13"/>
        <v>5.604260449625313</v>
      </c>
    </row>
    <row r="303" spans="1:9" x14ac:dyDescent="0.35">
      <c r="A303" t="s">
        <v>59</v>
      </c>
      <c r="B303" t="s">
        <v>60</v>
      </c>
      <c r="C303" t="s">
        <v>27</v>
      </c>
      <c r="D303" t="s">
        <v>154</v>
      </c>
      <c r="E303" t="s">
        <v>41</v>
      </c>
      <c r="F303" s="4">
        <v>19.860390500000001</v>
      </c>
      <c r="G303" s="4">
        <f>IFERROR(F303-alt_Blanks!$I$23,F303)</f>
        <v>19.739653100000002</v>
      </c>
      <c r="H303" s="7">
        <f t="shared" si="12"/>
        <v>19.739653100000002</v>
      </c>
      <c r="I303" s="7">
        <f t="shared" si="13"/>
        <v>32.872028476269776</v>
      </c>
    </row>
    <row r="304" spans="1:9" x14ac:dyDescent="0.35">
      <c r="A304" t="s">
        <v>59</v>
      </c>
      <c r="B304" t="s">
        <v>60</v>
      </c>
      <c r="C304" t="s">
        <v>28</v>
      </c>
      <c r="D304" t="s">
        <v>155</v>
      </c>
      <c r="E304" t="s">
        <v>41</v>
      </c>
      <c r="F304" s="4">
        <v>40.090424899999995</v>
      </c>
      <c r="G304" s="4">
        <f>IFERROR(F304-alt_Blanks!$I$24,F304)</f>
        <v>39.843255299999996</v>
      </c>
      <c r="H304" s="7">
        <f t="shared" si="12"/>
        <v>39.843255299999996</v>
      </c>
      <c r="I304" s="7">
        <f t="shared" si="13"/>
        <v>66.350133721898402</v>
      </c>
    </row>
    <row r="305" spans="1:9" x14ac:dyDescent="0.35">
      <c r="A305" t="s">
        <v>59</v>
      </c>
      <c r="B305" t="s">
        <v>60</v>
      </c>
      <c r="C305" t="s">
        <v>29</v>
      </c>
      <c r="D305" t="s">
        <v>155</v>
      </c>
      <c r="E305" t="s">
        <v>41</v>
      </c>
      <c r="F305" s="4">
        <v>0.42103070000000004</v>
      </c>
      <c r="G305" s="4">
        <f>IFERROR(F305-alt_Blanks!$I$25,F305)</f>
        <v>-5.1210099999999925E-2</v>
      </c>
      <c r="H305" s="7">
        <f t="shared" si="12"/>
        <v>0</v>
      </c>
      <c r="I305" s="7">
        <f t="shared" si="13"/>
        <v>0</v>
      </c>
    </row>
    <row r="306" spans="1:9" x14ac:dyDescent="0.35">
      <c r="A306" t="s">
        <v>59</v>
      </c>
      <c r="B306" t="s">
        <v>60</v>
      </c>
      <c r="C306" t="s">
        <v>30</v>
      </c>
      <c r="D306" t="s">
        <v>155</v>
      </c>
      <c r="E306" t="s">
        <v>41</v>
      </c>
      <c r="F306" s="4">
        <v>258.32173649999999</v>
      </c>
      <c r="G306" s="4">
        <f>IFERROR(F306-alt_Blanks!$I$26,F306)</f>
        <v>257.74156019999998</v>
      </c>
      <c r="H306" s="7">
        <f t="shared" si="12"/>
        <v>257.74156019999998</v>
      </c>
      <c r="I306" s="7">
        <f t="shared" si="13"/>
        <v>429.2115906744379</v>
      </c>
    </row>
    <row r="307" spans="1:9" x14ac:dyDescent="0.35">
      <c r="A307" t="s">
        <v>59</v>
      </c>
      <c r="B307" t="s">
        <v>60</v>
      </c>
      <c r="C307" t="s">
        <v>31</v>
      </c>
      <c r="D307" t="s">
        <v>155</v>
      </c>
      <c r="E307" t="s">
        <v>41</v>
      </c>
      <c r="F307" s="4">
        <v>12.6777693</v>
      </c>
      <c r="G307" s="4">
        <f>IFERROR(F307-alt_Blanks!$I$27,F307)</f>
        <v>12.6777693</v>
      </c>
      <c r="H307" s="7">
        <f t="shared" si="12"/>
        <v>12.6777693</v>
      </c>
      <c r="I307" s="7">
        <f t="shared" si="13"/>
        <v>21.112022148209824</v>
      </c>
    </row>
    <row r="308" spans="1:9" x14ac:dyDescent="0.35">
      <c r="A308" t="s">
        <v>59</v>
      </c>
      <c r="B308" t="s">
        <v>60</v>
      </c>
      <c r="C308" t="s">
        <v>32</v>
      </c>
      <c r="D308" t="s">
        <v>153</v>
      </c>
      <c r="E308" t="s">
        <v>41</v>
      </c>
      <c r="F308" s="4">
        <v>0</v>
      </c>
      <c r="G308" s="4">
        <f>IFERROR(F308-alt_Blanks!$I$28,F308)</f>
        <v>0</v>
      </c>
      <c r="H308" s="7">
        <f t="shared" si="12"/>
        <v>0</v>
      </c>
      <c r="I308" s="7">
        <f t="shared" si="13"/>
        <v>0</v>
      </c>
    </row>
    <row r="309" spans="1:9" x14ac:dyDescent="0.35">
      <c r="A309" t="s">
        <v>59</v>
      </c>
      <c r="B309" t="s">
        <v>60</v>
      </c>
      <c r="C309" t="s">
        <v>33</v>
      </c>
      <c r="D309" t="s">
        <v>155</v>
      </c>
      <c r="E309" t="s">
        <v>41</v>
      </c>
      <c r="F309" s="4">
        <v>221.29606479999998</v>
      </c>
      <c r="G309" s="4">
        <f>IFERROR(F309-alt_Blanks!$I$29,F309)</f>
        <v>220.68444379999997</v>
      </c>
      <c r="H309" s="7">
        <f t="shared" si="12"/>
        <v>220.68444379999997</v>
      </c>
      <c r="I309" s="7">
        <f t="shared" si="13"/>
        <v>367.50115537052449</v>
      </c>
    </row>
    <row r="310" spans="1:9" x14ac:dyDescent="0.35">
      <c r="A310" t="s">
        <v>59</v>
      </c>
      <c r="B310" t="s">
        <v>60</v>
      </c>
      <c r="C310" t="s">
        <v>34</v>
      </c>
      <c r="D310" t="s">
        <v>153</v>
      </c>
      <c r="E310" t="s">
        <v>41</v>
      </c>
      <c r="F310" s="4">
        <v>0</v>
      </c>
      <c r="G310" s="4">
        <f>IFERROR(F310-alt_Blanks!$I$30,F310)</f>
        <v>0</v>
      </c>
      <c r="H310" s="7">
        <f t="shared" si="12"/>
        <v>0</v>
      </c>
      <c r="I310" s="7">
        <f t="shared" si="13"/>
        <v>0</v>
      </c>
    </row>
    <row r="311" spans="1:9" x14ac:dyDescent="0.35">
      <c r="A311" t="s">
        <v>59</v>
      </c>
      <c r="B311" t="s">
        <v>60</v>
      </c>
      <c r="C311" t="s">
        <v>35</v>
      </c>
      <c r="D311" t="s">
        <v>154</v>
      </c>
      <c r="E311" t="s">
        <v>41</v>
      </c>
      <c r="F311" s="4">
        <v>52.252935100000002</v>
      </c>
      <c r="G311" s="4">
        <f>IFERROR(F311-alt_Blanks!$I$31,F311)</f>
        <v>-50.201698499999992</v>
      </c>
      <c r="H311" s="7">
        <f t="shared" si="12"/>
        <v>0</v>
      </c>
      <c r="I311" s="7">
        <f t="shared" si="13"/>
        <v>0</v>
      </c>
    </row>
    <row r="312" spans="1:9" x14ac:dyDescent="0.35">
      <c r="A312" t="s">
        <v>59</v>
      </c>
      <c r="B312" t="s">
        <v>60</v>
      </c>
      <c r="C312" t="s">
        <v>36</v>
      </c>
      <c r="D312" t="s">
        <v>155</v>
      </c>
      <c r="E312" t="s">
        <v>41</v>
      </c>
      <c r="F312" s="4">
        <v>1.9415488999999999</v>
      </c>
      <c r="G312" s="4">
        <f>IFERROR(F312-alt_Blanks!$I$32,F312)</f>
        <v>1.3980399999999893E-2</v>
      </c>
      <c r="H312" s="7">
        <f t="shared" si="12"/>
        <v>1.3980399999999893E-2</v>
      </c>
      <c r="I312" s="7">
        <f t="shared" si="13"/>
        <v>2.3281265611989829E-2</v>
      </c>
    </row>
    <row r="313" spans="1:9" x14ac:dyDescent="0.35">
      <c r="A313" t="s">
        <v>59</v>
      </c>
      <c r="B313" t="s">
        <v>60</v>
      </c>
      <c r="C313" t="s">
        <v>37</v>
      </c>
      <c r="D313" t="s">
        <v>155</v>
      </c>
      <c r="E313" t="s">
        <v>41</v>
      </c>
      <c r="F313" s="4">
        <v>9.3293405000000007</v>
      </c>
      <c r="G313" s="4">
        <f>IFERROR(F313-alt_Blanks!$I$33,F313)</f>
        <v>9.3293405000000007</v>
      </c>
      <c r="H313" s="7">
        <f t="shared" si="12"/>
        <v>9.3293405000000007</v>
      </c>
      <c r="I313" s="7">
        <f t="shared" si="13"/>
        <v>15.535954204829309</v>
      </c>
    </row>
    <row r="314" spans="1:9" x14ac:dyDescent="0.35">
      <c r="A314" t="s">
        <v>59</v>
      </c>
      <c r="B314" t="s">
        <v>60</v>
      </c>
      <c r="C314" t="s">
        <v>38</v>
      </c>
      <c r="D314" t="s">
        <v>155</v>
      </c>
      <c r="E314" t="s">
        <v>41</v>
      </c>
      <c r="F314" s="4">
        <v>10.419840599999999</v>
      </c>
      <c r="G314" s="4">
        <f>IFERROR(F314-alt_Blanks!$I$34,F314)</f>
        <v>10.419840599999999</v>
      </c>
      <c r="H314" s="7">
        <f t="shared" si="12"/>
        <v>10.419840599999999</v>
      </c>
      <c r="I314" s="7">
        <f t="shared" si="13"/>
        <v>17.351941049125724</v>
      </c>
    </row>
    <row r="315" spans="1:9" x14ac:dyDescent="0.35">
      <c r="A315" t="s">
        <v>59</v>
      </c>
      <c r="B315" t="s">
        <v>60</v>
      </c>
      <c r="C315" t="s">
        <v>39</v>
      </c>
      <c r="D315" t="s">
        <v>153</v>
      </c>
      <c r="E315" t="s">
        <v>41</v>
      </c>
      <c r="F315" s="4">
        <v>16.101570299999999</v>
      </c>
      <c r="G315" s="4">
        <f>IFERROR(F315-alt_Blanks!$I$35,F315)</f>
        <v>16.101570299999999</v>
      </c>
      <c r="H315" s="7">
        <f t="shared" si="12"/>
        <v>16.101570299999999</v>
      </c>
      <c r="I315" s="7">
        <f t="shared" si="13"/>
        <v>26.813605828476266</v>
      </c>
    </row>
    <row r="316" spans="1:9" x14ac:dyDescent="0.35">
      <c r="A316" t="s">
        <v>59</v>
      </c>
      <c r="B316" t="s">
        <v>60</v>
      </c>
      <c r="C316" t="s">
        <v>40</v>
      </c>
      <c r="D316" t="s">
        <v>154</v>
      </c>
      <c r="E316" t="s">
        <v>41</v>
      </c>
      <c r="F316" s="4">
        <v>0</v>
      </c>
      <c r="G316" s="4">
        <f>IFERROR(F316-alt_Blanks!$I$36,F316)</f>
        <v>0</v>
      </c>
      <c r="H316" s="7">
        <f t="shared" si="12"/>
        <v>0</v>
      </c>
      <c r="I316" s="7">
        <f t="shared" si="13"/>
        <v>0</v>
      </c>
    </row>
    <row r="317" spans="1:9" x14ac:dyDescent="0.35">
      <c r="A317" t="s">
        <v>61</v>
      </c>
      <c r="B317" t="s">
        <v>62</v>
      </c>
      <c r="C317" t="s">
        <v>6</v>
      </c>
      <c r="D317" t="s">
        <v>153</v>
      </c>
      <c r="E317" t="s">
        <v>41</v>
      </c>
      <c r="F317" s="4">
        <v>6.6836143000000003</v>
      </c>
      <c r="G317" s="4">
        <f>IFERROR(F317-alt_Blanks!$I$2,F317)</f>
        <v>-2.2926800000000469E-2</v>
      </c>
      <c r="H317" s="7">
        <f t="shared" si="12"/>
        <v>0</v>
      </c>
      <c r="I317" s="7">
        <f>H317/0.8022</f>
        <v>0</v>
      </c>
    </row>
    <row r="318" spans="1:9" x14ac:dyDescent="0.35">
      <c r="A318" t="s">
        <v>61</v>
      </c>
      <c r="B318" t="s">
        <v>62</v>
      </c>
      <c r="C318" t="s">
        <v>7</v>
      </c>
      <c r="D318" t="s">
        <v>153</v>
      </c>
      <c r="E318" t="s">
        <v>41</v>
      </c>
      <c r="F318" s="4">
        <v>0</v>
      </c>
      <c r="G318" s="4">
        <f>IFERROR(F318-alt_Blanks!$I$3,F318)</f>
        <v>0</v>
      </c>
      <c r="H318" s="7">
        <f t="shared" si="12"/>
        <v>0</v>
      </c>
      <c r="I318" s="7">
        <f t="shared" ref="I318:I351" si="14">H318/0.8022</f>
        <v>0</v>
      </c>
    </row>
    <row r="319" spans="1:9" x14ac:dyDescent="0.35">
      <c r="A319" t="s">
        <v>61</v>
      </c>
      <c r="B319" t="s">
        <v>62</v>
      </c>
      <c r="C319" t="s">
        <v>8</v>
      </c>
      <c r="D319" t="s">
        <v>153</v>
      </c>
      <c r="E319" t="s">
        <v>41</v>
      </c>
      <c r="F319" s="4">
        <v>0</v>
      </c>
      <c r="G319" s="4">
        <f>IFERROR(F319-alt_Blanks!$I$4,F319)</f>
        <v>0</v>
      </c>
      <c r="H319" s="7">
        <f t="shared" si="12"/>
        <v>0</v>
      </c>
      <c r="I319" s="7">
        <f t="shared" si="14"/>
        <v>0</v>
      </c>
    </row>
    <row r="320" spans="1:9" x14ac:dyDescent="0.35">
      <c r="A320" t="s">
        <v>61</v>
      </c>
      <c r="B320" t="s">
        <v>62</v>
      </c>
      <c r="C320" t="s">
        <v>9</v>
      </c>
      <c r="D320" t="s">
        <v>153</v>
      </c>
      <c r="E320" t="s">
        <v>41</v>
      </c>
      <c r="F320" s="4">
        <v>0</v>
      </c>
      <c r="G320" s="4">
        <f>IFERROR(F320-alt_Blanks!$I$5,F320)</f>
        <v>0</v>
      </c>
      <c r="H320" s="7">
        <f t="shared" si="12"/>
        <v>0</v>
      </c>
      <c r="I320" s="7">
        <f t="shared" si="14"/>
        <v>0</v>
      </c>
    </row>
    <row r="321" spans="1:9" x14ac:dyDescent="0.35">
      <c r="A321" t="s">
        <v>61</v>
      </c>
      <c r="B321" t="s">
        <v>62</v>
      </c>
      <c r="C321" t="s">
        <v>10</v>
      </c>
      <c r="D321" t="s">
        <v>153</v>
      </c>
      <c r="E321" t="s">
        <v>41</v>
      </c>
      <c r="F321" s="4">
        <v>0</v>
      </c>
      <c r="G321" s="4">
        <f>IFERROR(F321-alt_Blanks!$I$6,F321)</f>
        <v>0</v>
      </c>
      <c r="H321" s="7">
        <f t="shared" si="12"/>
        <v>0</v>
      </c>
      <c r="I321" s="7">
        <f t="shared" si="14"/>
        <v>0</v>
      </c>
    </row>
    <row r="322" spans="1:9" x14ac:dyDescent="0.35">
      <c r="A322" t="s">
        <v>61</v>
      </c>
      <c r="B322" t="s">
        <v>62</v>
      </c>
      <c r="C322" t="s">
        <v>11</v>
      </c>
      <c r="D322" t="s">
        <v>153</v>
      </c>
      <c r="E322" t="s">
        <v>41</v>
      </c>
      <c r="F322" s="4">
        <v>38.385556700000002</v>
      </c>
      <c r="G322" s="4">
        <f>IFERROR(F322-alt_Blanks!$I$7,F322)</f>
        <v>38.385556700000002</v>
      </c>
      <c r="H322" s="7">
        <f t="shared" si="12"/>
        <v>38.385556700000002</v>
      </c>
      <c r="I322" s="7">
        <f t="shared" si="14"/>
        <v>47.850357392171532</v>
      </c>
    </row>
    <row r="323" spans="1:9" x14ac:dyDescent="0.35">
      <c r="A323" t="s">
        <v>61</v>
      </c>
      <c r="B323" t="s">
        <v>62</v>
      </c>
      <c r="C323" t="s">
        <v>12</v>
      </c>
      <c r="D323" t="s">
        <v>154</v>
      </c>
      <c r="E323" t="s">
        <v>41</v>
      </c>
      <c r="F323" s="4">
        <v>0</v>
      </c>
      <c r="G323" s="4">
        <f>IFERROR(F323-alt_Blanks!$I$8,F323)</f>
        <v>0</v>
      </c>
      <c r="H323" s="7">
        <f t="shared" si="12"/>
        <v>0</v>
      </c>
      <c r="I323" s="7">
        <f t="shared" si="14"/>
        <v>0</v>
      </c>
    </row>
    <row r="324" spans="1:9" x14ac:dyDescent="0.35">
      <c r="A324" t="s">
        <v>61</v>
      </c>
      <c r="B324" t="s">
        <v>62</v>
      </c>
      <c r="C324" t="s">
        <v>13</v>
      </c>
      <c r="D324" t="s">
        <v>153</v>
      </c>
      <c r="E324" t="s">
        <v>41</v>
      </c>
      <c r="F324" s="4">
        <v>6.9455379000000006</v>
      </c>
      <c r="G324" s="4">
        <f>IFERROR(F324-alt_Blanks!$I$9,F324)</f>
        <v>6.9455379000000006</v>
      </c>
      <c r="H324" s="7">
        <f t="shared" si="12"/>
        <v>6.9455379000000006</v>
      </c>
      <c r="I324" s="7">
        <f t="shared" si="14"/>
        <v>8.6581125654450268</v>
      </c>
    </row>
    <row r="325" spans="1:9" x14ac:dyDescent="0.35">
      <c r="A325" t="s">
        <v>61</v>
      </c>
      <c r="B325" t="s">
        <v>62</v>
      </c>
      <c r="C325" t="s">
        <v>14</v>
      </c>
      <c r="D325" t="s">
        <v>154</v>
      </c>
      <c r="E325" t="s">
        <v>41</v>
      </c>
      <c r="F325" s="4">
        <v>0</v>
      </c>
      <c r="G325" s="4">
        <f>IFERROR(F325-alt_Blanks!$I$10,F325)</f>
        <v>0</v>
      </c>
      <c r="H325" s="7">
        <f t="shared" si="12"/>
        <v>0</v>
      </c>
      <c r="I325" s="7">
        <f t="shared" si="14"/>
        <v>0</v>
      </c>
    </row>
    <row r="326" spans="1:9" x14ac:dyDescent="0.35">
      <c r="A326" t="s">
        <v>61</v>
      </c>
      <c r="B326" t="s">
        <v>62</v>
      </c>
      <c r="C326" t="s">
        <v>15</v>
      </c>
      <c r="D326" t="s">
        <v>153</v>
      </c>
      <c r="E326" t="s">
        <v>41</v>
      </c>
      <c r="F326" s="4">
        <v>1975.0772225999999</v>
      </c>
      <c r="G326" s="4">
        <f>IFERROR(F326-alt_Blanks!$I$11,F326)</f>
        <v>1169.8605329</v>
      </c>
      <c r="H326" s="7">
        <f t="shared" ref="H326:H389" si="15">IF(G326&lt;0,0,G326)</f>
        <v>1169.8605329</v>
      </c>
      <c r="I326" s="7">
        <f t="shared" si="14"/>
        <v>1458.3152990526053</v>
      </c>
    </row>
    <row r="327" spans="1:9" x14ac:dyDescent="0.35">
      <c r="A327" t="s">
        <v>61</v>
      </c>
      <c r="B327" t="s">
        <v>62</v>
      </c>
      <c r="C327" t="s">
        <v>16</v>
      </c>
      <c r="D327" t="s">
        <v>154</v>
      </c>
      <c r="E327" t="s">
        <v>41</v>
      </c>
      <c r="F327" s="4">
        <v>327.46315600000003</v>
      </c>
      <c r="G327" s="4">
        <f>IFERROR(F327-alt_Blanks!$I$12,F327)</f>
        <v>327.46315600000003</v>
      </c>
      <c r="H327" s="7">
        <f t="shared" si="15"/>
        <v>327.46315600000003</v>
      </c>
      <c r="I327" s="7">
        <f t="shared" si="14"/>
        <v>408.20637746197957</v>
      </c>
    </row>
    <row r="328" spans="1:9" x14ac:dyDescent="0.35">
      <c r="A328" t="s">
        <v>61</v>
      </c>
      <c r="B328" t="s">
        <v>62</v>
      </c>
      <c r="C328" t="s">
        <v>17</v>
      </c>
      <c r="D328" t="s">
        <v>153</v>
      </c>
      <c r="E328" t="s">
        <v>41</v>
      </c>
      <c r="F328" s="4">
        <v>14.960301100000001</v>
      </c>
      <c r="G328" s="4">
        <f>IFERROR(F328-alt_Blanks!$I$13,F328)</f>
        <v>14.1075876</v>
      </c>
      <c r="H328" s="7">
        <f t="shared" si="15"/>
        <v>14.1075876</v>
      </c>
      <c r="I328" s="7">
        <f t="shared" si="14"/>
        <v>17.586122662677635</v>
      </c>
    </row>
    <row r="329" spans="1:9" x14ac:dyDescent="0.35">
      <c r="A329" t="s">
        <v>61</v>
      </c>
      <c r="B329" t="s">
        <v>62</v>
      </c>
      <c r="C329" t="s">
        <v>18</v>
      </c>
      <c r="D329" t="s">
        <v>154</v>
      </c>
      <c r="E329" t="s">
        <v>41</v>
      </c>
      <c r="F329" s="4">
        <v>0</v>
      </c>
      <c r="G329" s="4">
        <f>IFERROR(F329-alt_Blanks!$I$14,F329)</f>
        <v>0</v>
      </c>
      <c r="H329" s="7">
        <f t="shared" si="15"/>
        <v>0</v>
      </c>
      <c r="I329" s="7">
        <f t="shared" si="14"/>
        <v>0</v>
      </c>
    </row>
    <row r="330" spans="1:9" x14ac:dyDescent="0.35">
      <c r="A330" t="s">
        <v>61</v>
      </c>
      <c r="B330" t="s">
        <v>62</v>
      </c>
      <c r="C330" t="s">
        <v>19</v>
      </c>
      <c r="D330" t="s">
        <v>153</v>
      </c>
      <c r="E330" t="s">
        <v>41</v>
      </c>
      <c r="F330" s="4">
        <v>353.81064889999999</v>
      </c>
      <c r="G330" s="4">
        <f>IFERROR(F330-alt_Blanks!$I$15,F330)</f>
        <v>85.187251800000013</v>
      </c>
      <c r="H330" s="7">
        <f t="shared" si="15"/>
        <v>85.187251800000013</v>
      </c>
      <c r="I330" s="7">
        <f t="shared" si="14"/>
        <v>106.19203664921467</v>
      </c>
    </row>
    <row r="331" spans="1:9" x14ac:dyDescent="0.35">
      <c r="A331" t="s">
        <v>61</v>
      </c>
      <c r="B331" t="s">
        <v>62</v>
      </c>
      <c r="C331" t="s">
        <v>20</v>
      </c>
      <c r="D331" t="s">
        <v>154</v>
      </c>
      <c r="E331" t="s">
        <v>41</v>
      </c>
      <c r="F331" s="4">
        <v>494.78307699999999</v>
      </c>
      <c r="G331" s="4">
        <f>IFERROR(F331-alt_Blanks!$I$16,F331)</f>
        <v>476.3171638</v>
      </c>
      <c r="H331" s="7">
        <f t="shared" si="15"/>
        <v>476.3171638</v>
      </c>
      <c r="I331" s="7">
        <f t="shared" si="14"/>
        <v>593.76360483669907</v>
      </c>
    </row>
    <row r="332" spans="1:9" x14ac:dyDescent="0.35">
      <c r="A332" t="s">
        <v>61</v>
      </c>
      <c r="B332" t="s">
        <v>62</v>
      </c>
      <c r="C332" t="s">
        <v>21</v>
      </c>
      <c r="D332" t="s">
        <v>155</v>
      </c>
      <c r="E332" t="s">
        <v>41</v>
      </c>
      <c r="F332" s="4">
        <v>0.30598819999999999</v>
      </c>
      <c r="G332" s="4">
        <f>IFERROR(F332-alt_Blanks!$I$17,F332)</f>
        <v>-2.5965200000000022E-2</v>
      </c>
      <c r="H332" s="7">
        <f t="shared" si="15"/>
        <v>0</v>
      </c>
      <c r="I332" s="7">
        <f t="shared" si="14"/>
        <v>0</v>
      </c>
    </row>
    <row r="333" spans="1:9" x14ac:dyDescent="0.35">
      <c r="A333" t="s">
        <v>61</v>
      </c>
      <c r="B333" t="s">
        <v>62</v>
      </c>
      <c r="C333" t="s">
        <v>22</v>
      </c>
      <c r="D333" t="s">
        <v>155</v>
      </c>
      <c r="E333" t="s">
        <v>41</v>
      </c>
      <c r="F333" s="4">
        <v>249.92787390000001</v>
      </c>
      <c r="G333" s="4">
        <f>IFERROR(F333-alt_Blanks!$I$18,F333)</f>
        <v>243.9244143</v>
      </c>
      <c r="H333" s="7">
        <f t="shared" si="15"/>
        <v>243.9244143</v>
      </c>
      <c r="I333" s="7">
        <f t="shared" si="14"/>
        <v>304.06932722513085</v>
      </c>
    </row>
    <row r="334" spans="1:9" x14ac:dyDescent="0.35">
      <c r="A334" t="s">
        <v>61</v>
      </c>
      <c r="B334" t="s">
        <v>62</v>
      </c>
      <c r="C334" t="s">
        <v>23</v>
      </c>
      <c r="D334" t="s">
        <v>155</v>
      </c>
      <c r="E334" t="s">
        <v>41</v>
      </c>
      <c r="F334" s="4">
        <v>0</v>
      </c>
      <c r="G334" s="4">
        <f>IFERROR(F334-alt_Blanks!$I$19,F334)</f>
        <v>0</v>
      </c>
      <c r="H334" s="7">
        <f t="shared" si="15"/>
        <v>0</v>
      </c>
      <c r="I334" s="7">
        <f t="shared" si="14"/>
        <v>0</v>
      </c>
    </row>
    <row r="335" spans="1:9" x14ac:dyDescent="0.35">
      <c r="A335" t="s">
        <v>61</v>
      </c>
      <c r="B335" t="s">
        <v>62</v>
      </c>
      <c r="C335" t="s">
        <v>24</v>
      </c>
      <c r="D335" t="s">
        <v>155</v>
      </c>
      <c r="E335" t="s">
        <v>41</v>
      </c>
      <c r="F335" s="4">
        <v>215.71850649999999</v>
      </c>
      <c r="G335" s="4">
        <f>IFERROR(F335-alt_Blanks!$I$20,F335)</f>
        <v>213.78053109999999</v>
      </c>
      <c r="H335" s="7">
        <f t="shared" si="15"/>
        <v>213.78053109999999</v>
      </c>
      <c r="I335" s="7">
        <f t="shared" si="14"/>
        <v>266.49280865120915</v>
      </c>
    </row>
    <row r="336" spans="1:9" x14ac:dyDescent="0.35">
      <c r="A336" t="s">
        <v>61</v>
      </c>
      <c r="B336" t="s">
        <v>62</v>
      </c>
      <c r="C336" t="s">
        <v>25</v>
      </c>
      <c r="D336" t="s">
        <v>155</v>
      </c>
      <c r="E336" t="s">
        <v>41</v>
      </c>
      <c r="F336" s="4">
        <v>8.3582134000000003</v>
      </c>
      <c r="G336" s="4">
        <f>IFERROR(F336-alt_Blanks!$I$21,F336)</f>
        <v>8.1437042999999996</v>
      </c>
      <c r="H336" s="7">
        <f t="shared" si="15"/>
        <v>8.1437042999999996</v>
      </c>
      <c r="I336" s="7">
        <f t="shared" si="14"/>
        <v>10.151713163799551</v>
      </c>
    </row>
    <row r="337" spans="1:9" x14ac:dyDescent="0.35">
      <c r="A337" t="s">
        <v>61</v>
      </c>
      <c r="B337" t="s">
        <v>62</v>
      </c>
      <c r="C337" t="s">
        <v>26</v>
      </c>
      <c r="D337" t="s">
        <v>153</v>
      </c>
      <c r="E337" t="s">
        <v>41</v>
      </c>
      <c r="F337" s="4">
        <v>1.6576354</v>
      </c>
      <c r="G337" s="4">
        <f>IFERROR(F337-alt_Blanks!$I$22,F337)</f>
        <v>6.2914000000000136E-2</v>
      </c>
      <c r="H337" s="7">
        <f t="shared" si="15"/>
        <v>6.2914000000000136E-2</v>
      </c>
      <c r="I337" s="7">
        <f t="shared" si="14"/>
        <v>7.8426826227873517E-2</v>
      </c>
    </row>
    <row r="338" spans="1:9" x14ac:dyDescent="0.35">
      <c r="A338" t="s">
        <v>61</v>
      </c>
      <c r="B338" t="s">
        <v>62</v>
      </c>
      <c r="C338" t="s">
        <v>27</v>
      </c>
      <c r="D338" t="s">
        <v>154</v>
      </c>
      <c r="E338" t="s">
        <v>41</v>
      </c>
      <c r="F338" s="4">
        <v>23.761468000000001</v>
      </c>
      <c r="G338" s="4">
        <f>IFERROR(F338-alt_Blanks!$I$23,F338)</f>
        <v>23.640730600000001</v>
      </c>
      <c r="H338" s="7">
        <f t="shared" si="15"/>
        <v>23.640730600000001</v>
      </c>
      <c r="I338" s="7">
        <f t="shared" si="14"/>
        <v>29.46987110446273</v>
      </c>
    </row>
    <row r="339" spans="1:9" x14ac:dyDescent="0.35">
      <c r="A339" t="s">
        <v>61</v>
      </c>
      <c r="B339" t="s">
        <v>62</v>
      </c>
      <c r="C339" t="s">
        <v>28</v>
      </c>
      <c r="D339" t="s">
        <v>155</v>
      </c>
      <c r="E339" t="s">
        <v>41</v>
      </c>
      <c r="F339" s="4">
        <v>42.134903999999999</v>
      </c>
      <c r="G339" s="4">
        <f>IFERROR(F339-alt_Blanks!$I$24,F339)</f>
        <v>41.887734399999999</v>
      </c>
      <c r="H339" s="7">
        <f t="shared" si="15"/>
        <v>41.887734399999999</v>
      </c>
      <c r="I339" s="7">
        <f t="shared" si="14"/>
        <v>52.216073797058087</v>
      </c>
    </row>
    <row r="340" spans="1:9" x14ac:dyDescent="0.35">
      <c r="A340" t="s">
        <v>61</v>
      </c>
      <c r="B340" t="s">
        <v>62</v>
      </c>
      <c r="C340" t="s">
        <v>29</v>
      </c>
      <c r="D340" t="s">
        <v>155</v>
      </c>
      <c r="E340" t="s">
        <v>41</v>
      </c>
      <c r="F340" s="4">
        <v>0.4187612</v>
      </c>
      <c r="G340" s="4">
        <f>IFERROR(F340-alt_Blanks!$I$25,F340)</f>
        <v>-5.3479599999999961E-2</v>
      </c>
      <c r="H340" s="7">
        <f t="shared" si="15"/>
        <v>0</v>
      </c>
      <c r="I340" s="7">
        <f t="shared" si="14"/>
        <v>0</v>
      </c>
    </row>
    <row r="341" spans="1:9" x14ac:dyDescent="0.35">
      <c r="A341" t="s">
        <v>61</v>
      </c>
      <c r="B341" t="s">
        <v>62</v>
      </c>
      <c r="C341" t="s">
        <v>30</v>
      </c>
      <c r="D341" t="s">
        <v>155</v>
      </c>
      <c r="E341" t="s">
        <v>41</v>
      </c>
      <c r="F341" s="4">
        <v>167.8577344</v>
      </c>
      <c r="G341" s="4">
        <f>IFERROR(F341-alt_Blanks!$I$26,F341)</f>
        <v>167.27755809999999</v>
      </c>
      <c r="H341" s="7">
        <f t="shared" si="15"/>
        <v>167.27755809999999</v>
      </c>
      <c r="I341" s="7">
        <f t="shared" si="14"/>
        <v>208.52350797806031</v>
      </c>
    </row>
    <row r="342" spans="1:9" x14ac:dyDescent="0.35">
      <c r="A342" t="s">
        <v>61</v>
      </c>
      <c r="B342" t="s">
        <v>62</v>
      </c>
      <c r="C342" t="s">
        <v>31</v>
      </c>
      <c r="D342" t="s">
        <v>155</v>
      </c>
      <c r="E342" t="s">
        <v>41</v>
      </c>
      <c r="F342" s="4">
        <v>10.570113600000001</v>
      </c>
      <c r="G342" s="4">
        <f>IFERROR(F342-alt_Blanks!$I$27,F342)</f>
        <v>10.570113600000001</v>
      </c>
      <c r="H342" s="7">
        <f t="shared" si="15"/>
        <v>10.570113600000001</v>
      </c>
      <c r="I342" s="7">
        <f t="shared" si="14"/>
        <v>13.176406881077039</v>
      </c>
    </row>
    <row r="343" spans="1:9" x14ac:dyDescent="0.35">
      <c r="A343" t="s">
        <v>61</v>
      </c>
      <c r="B343" t="s">
        <v>62</v>
      </c>
      <c r="C343" t="s">
        <v>32</v>
      </c>
      <c r="D343" t="s">
        <v>153</v>
      </c>
      <c r="E343" t="s">
        <v>41</v>
      </c>
      <c r="F343" s="4">
        <v>0</v>
      </c>
      <c r="G343" s="4">
        <f>IFERROR(F343-alt_Blanks!$I$28,F343)</f>
        <v>0</v>
      </c>
      <c r="H343" s="7">
        <f t="shared" si="15"/>
        <v>0</v>
      </c>
      <c r="I343" s="7">
        <f t="shared" si="14"/>
        <v>0</v>
      </c>
    </row>
    <row r="344" spans="1:9" x14ac:dyDescent="0.35">
      <c r="A344" t="s">
        <v>61</v>
      </c>
      <c r="B344" t="s">
        <v>62</v>
      </c>
      <c r="C344" t="s">
        <v>33</v>
      </c>
      <c r="D344" t="s">
        <v>155</v>
      </c>
      <c r="E344" t="s">
        <v>41</v>
      </c>
      <c r="F344" s="4">
        <v>164.65718109999997</v>
      </c>
      <c r="G344" s="4">
        <f>IFERROR(F344-alt_Blanks!$I$29,F344)</f>
        <v>164.04556009999996</v>
      </c>
      <c r="H344" s="7">
        <f t="shared" si="15"/>
        <v>164.04556009999996</v>
      </c>
      <c r="I344" s="7">
        <f t="shared" si="14"/>
        <v>204.49459000249308</v>
      </c>
    </row>
    <row r="345" spans="1:9" x14ac:dyDescent="0.35">
      <c r="A345" t="s">
        <v>61</v>
      </c>
      <c r="B345" t="s">
        <v>62</v>
      </c>
      <c r="C345" t="s">
        <v>34</v>
      </c>
      <c r="D345" t="s">
        <v>153</v>
      </c>
      <c r="E345" t="s">
        <v>41</v>
      </c>
      <c r="F345" s="4">
        <v>0</v>
      </c>
      <c r="G345" s="4">
        <f>IFERROR(F345-alt_Blanks!$I$30,F345)</f>
        <v>0</v>
      </c>
      <c r="H345" s="7">
        <f t="shared" si="15"/>
        <v>0</v>
      </c>
      <c r="I345" s="7">
        <f t="shared" si="14"/>
        <v>0</v>
      </c>
    </row>
    <row r="346" spans="1:9" x14ac:dyDescent="0.35">
      <c r="A346" t="s">
        <v>61</v>
      </c>
      <c r="B346" t="s">
        <v>62</v>
      </c>
      <c r="C346" t="s">
        <v>35</v>
      </c>
      <c r="D346" t="s">
        <v>154</v>
      </c>
      <c r="E346" t="s">
        <v>41</v>
      </c>
      <c r="F346" s="4">
        <v>57.276931499999996</v>
      </c>
      <c r="G346" s="4">
        <f>IFERROR(F346-alt_Blanks!$I$31,F346)</f>
        <v>-45.177702099999998</v>
      </c>
      <c r="H346" s="7">
        <f t="shared" si="15"/>
        <v>0</v>
      </c>
      <c r="I346" s="7">
        <f t="shared" si="14"/>
        <v>0</v>
      </c>
    </row>
    <row r="347" spans="1:9" x14ac:dyDescent="0.35">
      <c r="A347" t="s">
        <v>61</v>
      </c>
      <c r="B347" t="s">
        <v>62</v>
      </c>
      <c r="C347" t="s">
        <v>36</v>
      </c>
      <c r="D347" t="s">
        <v>155</v>
      </c>
      <c r="E347" t="s">
        <v>41</v>
      </c>
      <c r="F347" s="4">
        <v>1.9027575999999999</v>
      </c>
      <c r="G347" s="4">
        <f>IFERROR(F347-alt_Blanks!$I$32,F347)</f>
        <v>-2.481090000000008E-2</v>
      </c>
      <c r="H347" s="7">
        <f t="shared" si="15"/>
        <v>0</v>
      </c>
      <c r="I347" s="7">
        <f t="shared" si="14"/>
        <v>0</v>
      </c>
    </row>
    <row r="348" spans="1:9" x14ac:dyDescent="0.35">
      <c r="A348" t="s">
        <v>61</v>
      </c>
      <c r="B348" t="s">
        <v>62</v>
      </c>
      <c r="C348" t="s">
        <v>37</v>
      </c>
      <c r="D348" t="s">
        <v>155</v>
      </c>
      <c r="E348" t="s">
        <v>41</v>
      </c>
      <c r="F348" s="4">
        <v>5.3429677</v>
      </c>
      <c r="G348" s="4">
        <f>IFERROR(F348-alt_Blanks!$I$33,F348)</f>
        <v>5.3429677</v>
      </c>
      <c r="H348" s="7">
        <f t="shared" si="15"/>
        <v>5.3429677</v>
      </c>
      <c r="I348" s="7">
        <f t="shared" si="14"/>
        <v>6.6603935427574168</v>
      </c>
    </row>
    <row r="349" spans="1:9" x14ac:dyDescent="0.35">
      <c r="A349" t="s">
        <v>61</v>
      </c>
      <c r="B349" t="s">
        <v>62</v>
      </c>
      <c r="C349" t="s">
        <v>38</v>
      </c>
      <c r="D349" t="s">
        <v>155</v>
      </c>
      <c r="E349" t="s">
        <v>41</v>
      </c>
      <c r="F349" s="4">
        <v>6.3393357999999997</v>
      </c>
      <c r="G349" s="4">
        <f>IFERROR(F349-alt_Blanks!$I$34,F349)</f>
        <v>6.3393357999999997</v>
      </c>
      <c r="H349" s="7">
        <f t="shared" si="15"/>
        <v>6.3393357999999997</v>
      </c>
      <c r="I349" s="7">
        <f t="shared" si="14"/>
        <v>7.9024380453752174</v>
      </c>
    </row>
    <row r="350" spans="1:9" x14ac:dyDescent="0.35">
      <c r="A350" t="s">
        <v>61</v>
      </c>
      <c r="B350" t="s">
        <v>62</v>
      </c>
      <c r="C350" t="s">
        <v>39</v>
      </c>
      <c r="D350" t="s">
        <v>153</v>
      </c>
      <c r="E350" t="s">
        <v>41</v>
      </c>
      <c r="F350" s="4">
        <v>0</v>
      </c>
      <c r="G350" s="4">
        <f>IFERROR(F350-alt_Blanks!$I$35,F350)</f>
        <v>0</v>
      </c>
      <c r="H350" s="7">
        <f t="shared" si="15"/>
        <v>0</v>
      </c>
      <c r="I350" s="7">
        <f t="shared" si="14"/>
        <v>0</v>
      </c>
    </row>
    <row r="351" spans="1:9" x14ac:dyDescent="0.35">
      <c r="A351" t="s">
        <v>61</v>
      </c>
      <c r="B351" t="s">
        <v>62</v>
      </c>
      <c r="C351" t="s">
        <v>40</v>
      </c>
      <c r="D351" t="s">
        <v>154</v>
      </c>
      <c r="E351" t="s">
        <v>41</v>
      </c>
      <c r="F351" s="4">
        <v>0</v>
      </c>
      <c r="G351" s="4">
        <f>IFERROR(F351-alt_Blanks!$I$36,F351)</f>
        <v>0</v>
      </c>
      <c r="H351" s="7">
        <f t="shared" si="15"/>
        <v>0</v>
      </c>
      <c r="I351" s="7">
        <f t="shared" si="14"/>
        <v>0</v>
      </c>
    </row>
    <row r="352" spans="1:9" x14ac:dyDescent="0.35">
      <c r="A352" t="s">
        <v>63</v>
      </c>
      <c r="B352" t="s">
        <v>64</v>
      </c>
      <c r="C352" t="s">
        <v>6</v>
      </c>
      <c r="D352" t="s">
        <v>153</v>
      </c>
      <c r="E352" t="s">
        <v>65</v>
      </c>
      <c r="F352" s="4">
        <v>6.8369263</v>
      </c>
      <c r="G352" s="4">
        <f>IFERROR(F352-alt_Blanks!$I$2,F352)</f>
        <v>0.1303851999999992</v>
      </c>
      <c r="H352" s="7">
        <f t="shared" si="15"/>
        <v>0.1303851999999992</v>
      </c>
      <c r="I352" s="7">
        <f>H352/0.5899</f>
        <v>0.2210293270045757</v>
      </c>
    </row>
    <row r="353" spans="1:9" x14ac:dyDescent="0.35">
      <c r="A353" t="s">
        <v>63</v>
      </c>
      <c r="B353" t="s">
        <v>64</v>
      </c>
      <c r="C353" t="s">
        <v>7</v>
      </c>
      <c r="D353" t="s">
        <v>153</v>
      </c>
      <c r="E353" t="s">
        <v>65</v>
      </c>
      <c r="F353" s="4">
        <v>0</v>
      </c>
      <c r="G353" s="4">
        <f>IFERROR(F353-alt_Blanks!$I$3,F353)</f>
        <v>0</v>
      </c>
      <c r="H353" s="7">
        <f t="shared" si="15"/>
        <v>0</v>
      </c>
      <c r="I353" s="7">
        <f t="shared" ref="I353:I386" si="16">H353/0.5899</f>
        <v>0</v>
      </c>
    </row>
    <row r="354" spans="1:9" x14ac:dyDescent="0.35">
      <c r="A354" t="s">
        <v>63</v>
      </c>
      <c r="B354" t="s">
        <v>64</v>
      </c>
      <c r="C354" t="s">
        <v>8</v>
      </c>
      <c r="D354" t="s">
        <v>153</v>
      </c>
      <c r="E354" t="s">
        <v>65</v>
      </c>
      <c r="F354" s="4">
        <v>0</v>
      </c>
      <c r="G354" s="4">
        <f>IFERROR(F354-alt_Blanks!$I$4,F354)</f>
        <v>0</v>
      </c>
      <c r="H354" s="7">
        <f t="shared" si="15"/>
        <v>0</v>
      </c>
      <c r="I354" s="7">
        <f t="shared" si="16"/>
        <v>0</v>
      </c>
    </row>
    <row r="355" spans="1:9" x14ac:dyDescent="0.35">
      <c r="A355" t="s">
        <v>63</v>
      </c>
      <c r="B355" t="s">
        <v>64</v>
      </c>
      <c r="C355" t="s">
        <v>9</v>
      </c>
      <c r="D355" t="s">
        <v>153</v>
      </c>
      <c r="E355" t="s">
        <v>65</v>
      </c>
      <c r="F355" s="4">
        <v>0</v>
      </c>
      <c r="G355" s="4">
        <f>IFERROR(F355-alt_Blanks!$I$5,F355)</f>
        <v>0</v>
      </c>
      <c r="H355" s="7">
        <f t="shared" si="15"/>
        <v>0</v>
      </c>
      <c r="I355" s="7">
        <f t="shared" si="16"/>
        <v>0</v>
      </c>
    </row>
    <row r="356" spans="1:9" x14ac:dyDescent="0.35">
      <c r="A356" t="s">
        <v>63</v>
      </c>
      <c r="B356" t="s">
        <v>64</v>
      </c>
      <c r="C356" t="s">
        <v>10</v>
      </c>
      <c r="D356" t="s">
        <v>153</v>
      </c>
      <c r="E356" t="s">
        <v>65</v>
      </c>
      <c r="F356" s="4">
        <v>0</v>
      </c>
      <c r="G356" s="4">
        <f>IFERROR(F356-alt_Blanks!$I$6,F356)</f>
        <v>0</v>
      </c>
      <c r="H356" s="7">
        <f t="shared" si="15"/>
        <v>0</v>
      </c>
      <c r="I356" s="7">
        <f t="shared" si="16"/>
        <v>0</v>
      </c>
    </row>
    <row r="357" spans="1:9" x14ac:dyDescent="0.35">
      <c r="A357" t="s">
        <v>63</v>
      </c>
      <c r="B357" t="s">
        <v>64</v>
      </c>
      <c r="C357" t="s">
        <v>11</v>
      </c>
      <c r="D357" t="s">
        <v>153</v>
      </c>
      <c r="E357" t="s">
        <v>65</v>
      </c>
      <c r="F357" s="4">
        <v>49.808790200000004</v>
      </c>
      <c r="G357" s="4">
        <f>IFERROR(F357-alt_Blanks!$I$7,F357)</f>
        <v>49.808790200000004</v>
      </c>
      <c r="H357" s="7">
        <f t="shared" si="15"/>
        <v>49.808790200000004</v>
      </c>
      <c r="I357" s="7">
        <f t="shared" si="16"/>
        <v>84.435989489744031</v>
      </c>
    </row>
    <row r="358" spans="1:9" x14ac:dyDescent="0.35">
      <c r="A358" t="s">
        <v>63</v>
      </c>
      <c r="B358" t="s">
        <v>64</v>
      </c>
      <c r="C358" t="s">
        <v>12</v>
      </c>
      <c r="D358" t="s">
        <v>154</v>
      </c>
      <c r="E358" t="s">
        <v>65</v>
      </c>
      <c r="F358" s="4">
        <v>0</v>
      </c>
      <c r="G358" s="4">
        <f>IFERROR(F358-alt_Blanks!$I$8,F358)</f>
        <v>0</v>
      </c>
      <c r="H358" s="7">
        <f t="shared" si="15"/>
        <v>0</v>
      </c>
      <c r="I358" s="7">
        <f t="shared" si="16"/>
        <v>0</v>
      </c>
    </row>
    <row r="359" spans="1:9" x14ac:dyDescent="0.35">
      <c r="A359" t="s">
        <v>63</v>
      </c>
      <c r="B359" t="s">
        <v>64</v>
      </c>
      <c r="C359" t="s">
        <v>13</v>
      </c>
      <c r="D359" t="s">
        <v>153</v>
      </c>
      <c r="E359" t="s">
        <v>65</v>
      </c>
      <c r="F359" s="4">
        <v>9.6523758999999991</v>
      </c>
      <c r="G359" s="4">
        <f>IFERROR(F359-alt_Blanks!$I$9,F359)</f>
        <v>9.6523758999999991</v>
      </c>
      <c r="H359" s="7">
        <f t="shared" si="15"/>
        <v>9.6523758999999991</v>
      </c>
      <c r="I359" s="7">
        <f t="shared" si="16"/>
        <v>16.362732497033395</v>
      </c>
    </row>
    <row r="360" spans="1:9" x14ac:dyDescent="0.35">
      <c r="A360" t="s">
        <v>63</v>
      </c>
      <c r="B360" t="s">
        <v>64</v>
      </c>
      <c r="C360" t="s">
        <v>14</v>
      </c>
      <c r="D360" t="s">
        <v>154</v>
      </c>
      <c r="E360" t="s">
        <v>65</v>
      </c>
      <c r="F360" s="4">
        <v>0</v>
      </c>
      <c r="G360" s="4">
        <f>IFERROR(F360-alt_Blanks!$I$10,F360)</f>
        <v>0</v>
      </c>
      <c r="H360" s="7">
        <f t="shared" si="15"/>
        <v>0</v>
      </c>
      <c r="I360" s="7">
        <f t="shared" si="16"/>
        <v>0</v>
      </c>
    </row>
    <row r="361" spans="1:9" x14ac:dyDescent="0.35">
      <c r="A361" t="s">
        <v>63</v>
      </c>
      <c r="B361" t="s">
        <v>64</v>
      </c>
      <c r="C361" t="s">
        <v>15</v>
      </c>
      <c r="D361" t="s">
        <v>153</v>
      </c>
      <c r="E361" t="s">
        <v>65</v>
      </c>
      <c r="F361" s="4">
        <v>2609.5015984000001</v>
      </c>
      <c r="G361" s="4">
        <f>IFERROR(F361-alt_Blanks!$I$11,F361)</f>
        <v>1804.2849087000002</v>
      </c>
      <c r="H361" s="7">
        <f t="shared" si="15"/>
        <v>1804.2849087000002</v>
      </c>
      <c r="I361" s="7">
        <f t="shared" si="16"/>
        <v>3058.6284263434486</v>
      </c>
    </row>
    <row r="362" spans="1:9" x14ac:dyDescent="0.35">
      <c r="A362" t="s">
        <v>63</v>
      </c>
      <c r="B362" t="s">
        <v>64</v>
      </c>
      <c r="C362" t="s">
        <v>16</v>
      </c>
      <c r="D362" t="s">
        <v>154</v>
      </c>
      <c r="E362" t="s">
        <v>65</v>
      </c>
      <c r="F362" s="4">
        <v>532.54410270000005</v>
      </c>
      <c r="G362" s="4">
        <f>IFERROR(F362-alt_Blanks!$I$12,F362)</f>
        <v>532.54410270000005</v>
      </c>
      <c r="H362" s="7">
        <f t="shared" si="15"/>
        <v>532.54410270000005</v>
      </c>
      <c r="I362" s="7">
        <f t="shared" si="16"/>
        <v>902.7701351076455</v>
      </c>
    </row>
    <row r="363" spans="1:9" x14ac:dyDescent="0.35">
      <c r="A363" t="s">
        <v>63</v>
      </c>
      <c r="B363" t="s">
        <v>64</v>
      </c>
      <c r="C363" t="s">
        <v>17</v>
      </c>
      <c r="D363" t="s">
        <v>153</v>
      </c>
      <c r="E363" t="s">
        <v>65</v>
      </c>
      <c r="F363" s="4">
        <v>20.5731091</v>
      </c>
      <c r="G363" s="4">
        <f>IFERROR(F363-alt_Blanks!$I$13,F363)</f>
        <v>19.7203956</v>
      </c>
      <c r="H363" s="7">
        <f t="shared" si="15"/>
        <v>19.7203956</v>
      </c>
      <c r="I363" s="7">
        <f t="shared" si="16"/>
        <v>33.430065434819461</v>
      </c>
    </row>
    <row r="364" spans="1:9" x14ac:dyDescent="0.35">
      <c r="A364" t="s">
        <v>63</v>
      </c>
      <c r="B364" t="s">
        <v>64</v>
      </c>
      <c r="C364" t="s">
        <v>18</v>
      </c>
      <c r="D364" t="s">
        <v>154</v>
      </c>
      <c r="E364" t="s">
        <v>65</v>
      </c>
      <c r="F364" s="4">
        <v>0</v>
      </c>
      <c r="G364" s="4">
        <f>IFERROR(F364-alt_Blanks!$I$14,F364)</f>
        <v>0</v>
      </c>
      <c r="H364" s="7">
        <f t="shared" si="15"/>
        <v>0</v>
      </c>
      <c r="I364" s="7">
        <f t="shared" si="16"/>
        <v>0</v>
      </c>
    </row>
    <row r="365" spans="1:9" x14ac:dyDescent="0.35">
      <c r="A365" t="s">
        <v>63</v>
      </c>
      <c r="B365" t="s">
        <v>64</v>
      </c>
      <c r="C365" t="s">
        <v>19</v>
      </c>
      <c r="D365" t="s">
        <v>153</v>
      </c>
      <c r="E365" t="s">
        <v>65</v>
      </c>
      <c r="F365" s="4">
        <v>428.16907470000001</v>
      </c>
      <c r="G365" s="4">
        <f>IFERROR(F365-alt_Blanks!$I$15,F365)</f>
        <v>159.54567760000003</v>
      </c>
      <c r="H365" s="7">
        <f t="shared" si="15"/>
        <v>159.54567760000003</v>
      </c>
      <c r="I365" s="7">
        <f t="shared" si="16"/>
        <v>270.46224377013061</v>
      </c>
    </row>
    <row r="366" spans="1:9" x14ac:dyDescent="0.35">
      <c r="A366" t="s">
        <v>63</v>
      </c>
      <c r="B366" t="s">
        <v>64</v>
      </c>
      <c r="C366" t="s">
        <v>20</v>
      </c>
      <c r="D366" t="s">
        <v>154</v>
      </c>
      <c r="E366" t="s">
        <v>65</v>
      </c>
      <c r="F366" s="4">
        <v>509.54525160000003</v>
      </c>
      <c r="G366" s="4">
        <f>IFERROR(F366-alt_Blanks!$I$16,F366)</f>
        <v>491.07933840000004</v>
      </c>
      <c r="H366" s="7">
        <f t="shared" si="15"/>
        <v>491.07933840000004</v>
      </c>
      <c r="I366" s="7">
        <f t="shared" si="16"/>
        <v>832.47895982369903</v>
      </c>
    </row>
    <row r="367" spans="1:9" x14ac:dyDescent="0.35">
      <c r="A367" t="s">
        <v>63</v>
      </c>
      <c r="B367" t="s">
        <v>64</v>
      </c>
      <c r="C367" t="s">
        <v>21</v>
      </c>
      <c r="D367" t="s">
        <v>155</v>
      </c>
      <c r="E367" t="s">
        <v>65</v>
      </c>
      <c r="F367" s="4">
        <v>0.34385579999999999</v>
      </c>
      <c r="G367" s="4">
        <f>IFERROR(F367-alt_Blanks!$I$17,F367)</f>
        <v>1.190239999999998E-2</v>
      </c>
      <c r="H367" s="7">
        <f t="shared" si="15"/>
        <v>1.190239999999998E-2</v>
      </c>
      <c r="I367" s="7">
        <f t="shared" si="16"/>
        <v>2.0176979149008272E-2</v>
      </c>
    </row>
    <row r="368" spans="1:9" x14ac:dyDescent="0.35">
      <c r="A368" t="s">
        <v>63</v>
      </c>
      <c r="B368" t="s">
        <v>64</v>
      </c>
      <c r="C368" t="s">
        <v>22</v>
      </c>
      <c r="D368" t="s">
        <v>155</v>
      </c>
      <c r="E368" t="s">
        <v>65</v>
      </c>
      <c r="F368" s="4">
        <v>246.9809296</v>
      </c>
      <c r="G368" s="4">
        <f>IFERROR(F368-alt_Blanks!$I$18,F368)</f>
        <v>240.97746999999998</v>
      </c>
      <c r="H368" s="7">
        <f t="shared" si="15"/>
        <v>240.97746999999998</v>
      </c>
      <c r="I368" s="7">
        <f t="shared" si="16"/>
        <v>408.50562807255466</v>
      </c>
    </row>
    <row r="369" spans="1:9" x14ac:dyDescent="0.35">
      <c r="A369" t="s">
        <v>63</v>
      </c>
      <c r="B369" t="s">
        <v>64</v>
      </c>
      <c r="C369" t="s">
        <v>23</v>
      </c>
      <c r="D369" t="s">
        <v>155</v>
      </c>
      <c r="E369" t="s">
        <v>65</v>
      </c>
      <c r="F369" s="4">
        <v>0</v>
      </c>
      <c r="G369" s="4">
        <f>IFERROR(F369-alt_Blanks!$I$19,F369)</f>
        <v>0</v>
      </c>
      <c r="H369" s="7">
        <f t="shared" si="15"/>
        <v>0</v>
      </c>
      <c r="I369" s="7">
        <f t="shared" si="16"/>
        <v>0</v>
      </c>
    </row>
    <row r="370" spans="1:9" x14ac:dyDescent="0.35">
      <c r="A370" t="s">
        <v>63</v>
      </c>
      <c r="B370" t="s">
        <v>64</v>
      </c>
      <c r="C370" t="s">
        <v>24</v>
      </c>
      <c r="D370" t="s">
        <v>155</v>
      </c>
      <c r="E370" t="s">
        <v>65</v>
      </c>
      <c r="F370" s="4">
        <v>190.10266000000001</v>
      </c>
      <c r="G370" s="4">
        <f>IFERROR(F370-alt_Blanks!$I$20,F370)</f>
        <v>188.16468460000002</v>
      </c>
      <c r="H370" s="7">
        <f t="shared" si="15"/>
        <v>188.16468460000002</v>
      </c>
      <c r="I370" s="7">
        <f t="shared" si="16"/>
        <v>318.97725817935248</v>
      </c>
    </row>
    <row r="371" spans="1:9" x14ac:dyDescent="0.35">
      <c r="A371" t="s">
        <v>63</v>
      </c>
      <c r="B371" t="s">
        <v>64</v>
      </c>
      <c r="C371" t="s">
        <v>25</v>
      </c>
      <c r="D371" t="s">
        <v>155</v>
      </c>
      <c r="E371" t="s">
        <v>65</v>
      </c>
      <c r="F371" s="4">
        <v>13.8245661</v>
      </c>
      <c r="G371" s="4">
        <f>IFERROR(F371-alt_Blanks!$I$21,F371)</f>
        <v>13.610056999999999</v>
      </c>
      <c r="H371" s="7">
        <f t="shared" si="15"/>
        <v>13.610056999999999</v>
      </c>
      <c r="I371" s="7">
        <f t="shared" si="16"/>
        <v>23.071803695541618</v>
      </c>
    </row>
    <row r="372" spans="1:9" x14ac:dyDescent="0.35">
      <c r="A372" t="s">
        <v>63</v>
      </c>
      <c r="B372" t="s">
        <v>64</v>
      </c>
      <c r="C372" t="s">
        <v>26</v>
      </c>
      <c r="D372" t="s">
        <v>153</v>
      </c>
      <c r="E372" t="s">
        <v>65</v>
      </c>
      <c r="F372" s="4">
        <v>1.6491342</v>
      </c>
      <c r="G372" s="4">
        <f>IFERROR(F372-alt_Blanks!$I$22,F372)</f>
        <v>5.441280000000015E-2</v>
      </c>
      <c r="H372" s="7">
        <f t="shared" si="15"/>
        <v>5.441280000000015E-2</v>
      </c>
      <c r="I372" s="7">
        <f t="shared" si="16"/>
        <v>9.2240718765892779E-2</v>
      </c>
    </row>
    <row r="373" spans="1:9" x14ac:dyDescent="0.35">
      <c r="A373" t="s">
        <v>63</v>
      </c>
      <c r="B373" t="s">
        <v>64</v>
      </c>
      <c r="C373" t="s">
        <v>27</v>
      </c>
      <c r="D373" t="s">
        <v>154</v>
      </c>
      <c r="E373" t="s">
        <v>65</v>
      </c>
      <c r="F373" s="4">
        <v>20.722164599999999</v>
      </c>
      <c r="G373" s="4">
        <f>IFERROR(F373-alt_Blanks!$I$23,F373)</f>
        <v>20.6014272</v>
      </c>
      <c r="H373" s="7">
        <f t="shared" si="15"/>
        <v>20.6014272</v>
      </c>
      <c r="I373" s="7">
        <f t="shared" si="16"/>
        <v>34.923592473300559</v>
      </c>
    </row>
    <row r="374" spans="1:9" x14ac:dyDescent="0.35">
      <c r="A374" t="s">
        <v>63</v>
      </c>
      <c r="B374" t="s">
        <v>64</v>
      </c>
      <c r="C374" t="s">
        <v>28</v>
      </c>
      <c r="D374" t="s">
        <v>155</v>
      </c>
      <c r="E374" t="s">
        <v>65</v>
      </c>
      <c r="F374" s="4">
        <v>42.873951999999996</v>
      </c>
      <c r="G374" s="4">
        <f>IFERROR(F374-alt_Blanks!$I$24,F374)</f>
        <v>42.626782399999996</v>
      </c>
      <c r="H374" s="7">
        <f t="shared" si="15"/>
        <v>42.626782399999996</v>
      </c>
      <c r="I374" s="7">
        <f t="shared" si="16"/>
        <v>72.26103136124766</v>
      </c>
    </row>
    <row r="375" spans="1:9" x14ac:dyDescent="0.35">
      <c r="A375" t="s">
        <v>63</v>
      </c>
      <c r="B375" t="s">
        <v>64</v>
      </c>
      <c r="C375" t="s">
        <v>29</v>
      </c>
      <c r="D375" t="s">
        <v>155</v>
      </c>
      <c r="E375" t="s">
        <v>65</v>
      </c>
      <c r="F375" s="4">
        <v>0.4206048</v>
      </c>
      <c r="G375" s="4">
        <f>IFERROR(F375-alt_Blanks!$I$25,F375)</f>
        <v>-5.163599999999996E-2</v>
      </c>
      <c r="H375" s="7">
        <f t="shared" si="15"/>
        <v>0</v>
      </c>
      <c r="I375" s="7">
        <f t="shared" si="16"/>
        <v>0</v>
      </c>
    </row>
    <row r="376" spans="1:9" x14ac:dyDescent="0.35">
      <c r="A376" t="s">
        <v>63</v>
      </c>
      <c r="B376" t="s">
        <v>64</v>
      </c>
      <c r="C376" t="s">
        <v>30</v>
      </c>
      <c r="D376" t="s">
        <v>155</v>
      </c>
      <c r="E376" t="s">
        <v>65</v>
      </c>
      <c r="F376" s="4">
        <v>187.9765735</v>
      </c>
      <c r="G376" s="4">
        <f>IFERROR(F376-alt_Blanks!$I$26,F376)</f>
        <v>187.3963972</v>
      </c>
      <c r="H376" s="7">
        <f t="shared" si="15"/>
        <v>187.3963972</v>
      </c>
      <c r="I376" s="7">
        <f t="shared" si="16"/>
        <v>317.67485539922023</v>
      </c>
    </row>
    <row r="377" spans="1:9" x14ac:dyDescent="0.35">
      <c r="A377" t="s">
        <v>63</v>
      </c>
      <c r="B377" t="s">
        <v>64</v>
      </c>
      <c r="C377" t="s">
        <v>31</v>
      </c>
      <c r="D377" t="s">
        <v>155</v>
      </c>
      <c r="E377" t="s">
        <v>65</v>
      </c>
      <c r="F377" s="4" t="e">
        <v>#N/A</v>
      </c>
      <c r="G377" s="4" t="e">
        <f>IFERROR(F377-alt_Blanks!$I$27,F377)</f>
        <v>#N/A</v>
      </c>
      <c r="H377" s="7" t="e">
        <f t="shared" si="15"/>
        <v>#N/A</v>
      </c>
      <c r="I377" s="7" t="e">
        <f t="shared" si="16"/>
        <v>#N/A</v>
      </c>
    </row>
    <row r="378" spans="1:9" x14ac:dyDescent="0.35">
      <c r="A378" t="s">
        <v>63</v>
      </c>
      <c r="B378" t="s">
        <v>64</v>
      </c>
      <c r="C378" t="s">
        <v>32</v>
      </c>
      <c r="D378" t="s">
        <v>153</v>
      </c>
      <c r="E378" t="s">
        <v>65</v>
      </c>
      <c r="F378" s="4">
        <v>0</v>
      </c>
      <c r="G378" s="4">
        <f>IFERROR(F378-alt_Blanks!$I$28,F378)</f>
        <v>0</v>
      </c>
      <c r="H378" s="7">
        <f t="shared" si="15"/>
        <v>0</v>
      </c>
      <c r="I378" s="7">
        <f t="shared" si="16"/>
        <v>0</v>
      </c>
    </row>
    <row r="379" spans="1:9" x14ac:dyDescent="0.35">
      <c r="A379" t="s">
        <v>63</v>
      </c>
      <c r="B379" t="s">
        <v>64</v>
      </c>
      <c r="C379" t="s">
        <v>33</v>
      </c>
      <c r="D379" t="s">
        <v>155</v>
      </c>
      <c r="E379" t="s">
        <v>65</v>
      </c>
      <c r="F379" s="4">
        <v>186.53658679999998</v>
      </c>
      <c r="G379" s="4">
        <f>IFERROR(F379-alt_Blanks!$I$29,F379)</f>
        <v>185.92496579999997</v>
      </c>
      <c r="H379" s="7">
        <f t="shared" si="15"/>
        <v>185.92496579999997</v>
      </c>
      <c r="I379" s="7">
        <f t="shared" si="16"/>
        <v>315.18048109849121</v>
      </c>
    </row>
    <row r="380" spans="1:9" x14ac:dyDescent="0.35">
      <c r="A380" t="s">
        <v>63</v>
      </c>
      <c r="B380" t="s">
        <v>64</v>
      </c>
      <c r="C380" t="s">
        <v>34</v>
      </c>
      <c r="D380" t="s">
        <v>153</v>
      </c>
      <c r="E380" t="s">
        <v>65</v>
      </c>
      <c r="F380" s="4">
        <v>0</v>
      </c>
      <c r="G380" s="4">
        <f>IFERROR(F380-alt_Blanks!$I$30,F380)</f>
        <v>0</v>
      </c>
      <c r="H380" s="7">
        <f t="shared" si="15"/>
        <v>0</v>
      </c>
      <c r="I380" s="7">
        <f t="shared" si="16"/>
        <v>0</v>
      </c>
    </row>
    <row r="381" spans="1:9" x14ac:dyDescent="0.35">
      <c r="A381" t="s">
        <v>63</v>
      </c>
      <c r="B381" t="s">
        <v>64</v>
      </c>
      <c r="C381" t="s">
        <v>35</v>
      </c>
      <c r="D381" t="s">
        <v>154</v>
      </c>
      <c r="E381" t="s">
        <v>65</v>
      </c>
      <c r="F381" s="4">
        <v>54.794600599999995</v>
      </c>
      <c r="G381" s="4">
        <f>IFERROR(F381-alt_Blanks!$I$31,F381)</f>
        <v>-47.660032999999999</v>
      </c>
      <c r="H381" s="7">
        <f t="shared" si="15"/>
        <v>0</v>
      </c>
      <c r="I381" s="7">
        <f t="shared" si="16"/>
        <v>0</v>
      </c>
    </row>
    <row r="382" spans="1:9" x14ac:dyDescent="0.35">
      <c r="A382" t="s">
        <v>63</v>
      </c>
      <c r="B382" t="s">
        <v>64</v>
      </c>
      <c r="C382" t="s">
        <v>36</v>
      </c>
      <c r="D382" t="s">
        <v>155</v>
      </c>
      <c r="E382" t="s">
        <v>65</v>
      </c>
      <c r="F382" s="4">
        <v>1.8069760000000001</v>
      </c>
      <c r="G382" s="4">
        <f>IFERROR(F382-alt_Blanks!$I$32,F382)</f>
        <v>-0.12059249999999988</v>
      </c>
      <c r="H382" s="7">
        <f t="shared" si="15"/>
        <v>0</v>
      </c>
      <c r="I382" s="7">
        <f t="shared" si="16"/>
        <v>0</v>
      </c>
    </row>
    <row r="383" spans="1:9" x14ac:dyDescent="0.35">
      <c r="A383" t="s">
        <v>63</v>
      </c>
      <c r="B383" t="s">
        <v>64</v>
      </c>
      <c r="C383" t="s">
        <v>37</v>
      </c>
      <c r="D383" t="s">
        <v>155</v>
      </c>
      <c r="E383" t="s">
        <v>65</v>
      </c>
      <c r="F383" s="4">
        <v>5.7247960000000004</v>
      </c>
      <c r="G383" s="4">
        <f>IFERROR(F383-alt_Blanks!$I$33,F383)</f>
        <v>5.7247960000000004</v>
      </c>
      <c r="H383" s="7">
        <f t="shared" si="15"/>
        <v>5.7247960000000004</v>
      </c>
      <c r="I383" s="7">
        <f t="shared" si="16"/>
        <v>9.7046889303271744</v>
      </c>
    </row>
    <row r="384" spans="1:9" x14ac:dyDescent="0.35">
      <c r="A384" t="s">
        <v>63</v>
      </c>
      <c r="B384" t="s">
        <v>64</v>
      </c>
      <c r="C384" t="s">
        <v>38</v>
      </c>
      <c r="D384" t="s">
        <v>155</v>
      </c>
      <c r="E384" t="s">
        <v>65</v>
      </c>
      <c r="F384" s="4">
        <v>4.3243431000000001</v>
      </c>
      <c r="G384" s="4">
        <f>IFERROR(F384-alt_Blanks!$I$34,F384)</f>
        <v>4.3243431000000001</v>
      </c>
      <c r="H384" s="7">
        <f t="shared" si="15"/>
        <v>4.3243431000000001</v>
      </c>
      <c r="I384" s="7">
        <f t="shared" si="16"/>
        <v>7.3306375656891003</v>
      </c>
    </row>
    <row r="385" spans="1:9" x14ac:dyDescent="0.35">
      <c r="A385" t="s">
        <v>63</v>
      </c>
      <c r="B385" t="s">
        <v>64</v>
      </c>
      <c r="C385" t="s">
        <v>39</v>
      </c>
      <c r="D385" t="s">
        <v>153</v>
      </c>
      <c r="E385" t="s">
        <v>65</v>
      </c>
      <c r="F385" s="4">
        <v>12.9481156</v>
      </c>
      <c r="G385" s="4">
        <f>IFERROR(F385-alt_Blanks!$I$35,F385)</f>
        <v>12.9481156</v>
      </c>
      <c r="H385" s="7">
        <f t="shared" si="15"/>
        <v>12.9481156</v>
      </c>
      <c r="I385" s="7">
        <f t="shared" si="16"/>
        <v>21.949678928631972</v>
      </c>
    </row>
    <row r="386" spans="1:9" x14ac:dyDescent="0.35">
      <c r="A386" t="s">
        <v>63</v>
      </c>
      <c r="B386" t="s">
        <v>64</v>
      </c>
      <c r="C386" t="s">
        <v>40</v>
      </c>
      <c r="D386" t="s">
        <v>154</v>
      </c>
      <c r="E386" t="s">
        <v>65</v>
      </c>
      <c r="F386" s="4">
        <v>0</v>
      </c>
      <c r="G386" s="4">
        <f>IFERROR(F386-alt_Blanks!$I$36,F386)</f>
        <v>0</v>
      </c>
      <c r="H386" s="7">
        <f t="shared" si="15"/>
        <v>0</v>
      </c>
      <c r="I386" s="7">
        <f t="shared" si="16"/>
        <v>0</v>
      </c>
    </row>
    <row r="387" spans="1:9" x14ac:dyDescent="0.35">
      <c r="A387" t="s">
        <v>66</v>
      </c>
      <c r="B387" t="s">
        <v>67</v>
      </c>
      <c r="C387" t="s">
        <v>6</v>
      </c>
      <c r="D387" t="s">
        <v>153</v>
      </c>
      <c r="E387" t="s">
        <v>65</v>
      </c>
      <c r="F387" s="4">
        <v>6.6635892999999999</v>
      </c>
      <c r="G387" s="4">
        <f>IFERROR(F387-alt_Blanks!$I$2,F387)</f>
        <v>-4.2951800000000873E-2</v>
      </c>
      <c r="H387" s="7">
        <f t="shared" si="15"/>
        <v>0</v>
      </c>
      <c r="I387" s="7">
        <f>H387/0.4238</f>
        <v>0</v>
      </c>
    </row>
    <row r="388" spans="1:9" x14ac:dyDescent="0.35">
      <c r="A388" t="s">
        <v>66</v>
      </c>
      <c r="B388" t="s">
        <v>67</v>
      </c>
      <c r="C388" t="s">
        <v>7</v>
      </c>
      <c r="D388" t="s">
        <v>153</v>
      </c>
      <c r="E388" t="s">
        <v>65</v>
      </c>
      <c r="F388" s="4">
        <v>0</v>
      </c>
      <c r="G388" s="4">
        <f>IFERROR(F388-alt_Blanks!$I$3,F388)</f>
        <v>0</v>
      </c>
      <c r="H388" s="7">
        <f t="shared" si="15"/>
        <v>0</v>
      </c>
      <c r="I388" s="7">
        <f t="shared" ref="I388:I421" si="17">H388/0.4238</f>
        <v>0</v>
      </c>
    </row>
    <row r="389" spans="1:9" x14ac:dyDescent="0.35">
      <c r="A389" t="s">
        <v>66</v>
      </c>
      <c r="B389" t="s">
        <v>67</v>
      </c>
      <c r="C389" t="s">
        <v>8</v>
      </c>
      <c r="D389" t="s">
        <v>153</v>
      </c>
      <c r="E389" t="s">
        <v>65</v>
      </c>
      <c r="F389" s="4">
        <v>0</v>
      </c>
      <c r="G389" s="4">
        <f>IFERROR(F389-alt_Blanks!$I$4,F389)</f>
        <v>0</v>
      </c>
      <c r="H389" s="7">
        <f t="shared" si="15"/>
        <v>0</v>
      </c>
      <c r="I389" s="7">
        <f t="shared" si="17"/>
        <v>0</v>
      </c>
    </row>
    <row r="390" spans="1:9" x14ac:dyDescent="0.35">
      <c r="A390" t="s">
        <v>66</v>
      </c>
      <c r="B390" t="s">
        <v>67</v>
      </c>
      <c r="C390" t="s">
        <v>9</v>
      </c>
      <c r="D390" t="s">
        <v>153</v>
      </c>
      <c r="E390" t="s">
        <v>65</v>
      </c>
      <c r="F390" s="4">
        <v>0</v>
      </c>
      <c r="G390" s="4">
        <f>IFERROR(F390-alt_Blanks!$I$5,F390)</f>
        <v>0</v>
      </c>
      <c r="H390" s="7">
        <f t="shared" ref="H390:H453" si="18">IF(G390&lt;0,0,G390)</f>
        <v>0</v>
      </c>
      <c r="I390" s="7">
        <f t="shared" si="17"/>
        <v>0</v>
      </c>
    </row>
    <row r="391" spans="1:9" x14ac:dyDescent="0.35">
      <c r="A391" t="s">
        <v>66</v>
      </c>
      <c r="B391" t="s">
        <v>67</v>
      </c>
      <c r="C391" t="s">
        <v>10</v>
      </c>
      <c r="D391" t="s">
        <v>153</v>
      </c>
      <c r="E391" t="s">
        <v>65</v>
      </c>
      <c r="F391" s="4">
        <v>0</v>
      </c>
      <c r="G391" s="4">
        <f>IFERROR(F391-alt_Blanks!$I$6,F391)</f>
        <v>0</v>
      </c>
      <c r="H391" s="7">
        <f t="shared" si="18"/>
        <v>0</v>
      </c>
      <c r="I391" s="7">
        <f t="shared" si="17"/>
        <v>0</v>
      </c>
    </row>
    <row r="392" spans="1:9" x14ac:dyDescent="0.35">
      <c r="A392" t="s">
        <v>66</v>
      </c>
      <c r="B392" t="s">
        <v>67</v>
      </c>
      <c r="C392" t="s">
        <v>11</v>
      </c>
      <c r="D392" t="s">
        <v>153</v>
      </c>
      <c r="E392" t="s">
        <v>65</v>
      </c>
      <c r="F392" s="4">
        <v>7.0520523000000006</v>
      </c>
      <c r="G392" s="4">
        <f>IFERROR(F392-alt_Blanks!$I$7,F392)</f>
        <v>7.0520523000000006</v>
      </c>
      <c r="H392" s="7">
        <f t="shared" si="18"/>
        <v>7.0520523000000006</v>
      </c>
      <c r="I392" s="7">
        <f t="shared" si="17"/>
        <v>16.640047899952808</v>
      </c>
    </row>
    <row r="393" spans="1:9" x14ac:dyDescent="0.35">
      <c r="A393" t="s">
        <v>66</v>
      </c>
      <c r="B393" t="s">
        <v>67</v>
      </c>
      <c r="C393" t="s">
        <v>12</v>
      </c>
      <c r="D393" t="s">
        <v>154</v>
      </c>
      <c r="E393" t="s">
        <v>65</v>
      </c>
      <c r="F393" s="4">
        <v>0</v>
      </c>
      <c r="G393" s="4">
        <f>IFERROR(F393-alt_Blanks!$I$8,F393)</f>
        <v>0</v>
      </c>
      <c r="H393" s="7">
        <f t="shared" si="18"/>
        <v>0</v>
      </c>
      <c r="I393" s="7">
        <f t="shared" si="17"/>
        <v>0</v>
      </c>
    </row>
    <row r="394" spans="1:9" x14ac:dyDescent="0.35">
      <c r="A394" t="s">
        <v>66</v>
      </c>
      <c r="B394" t="s">
        <v>67</v>
      </c>
      <c r="C394" t="s">
        <v>13</v>
      </c>
      <c r="D394" t="s">
        <v>153</v>
      </c>
      <c r="E394" t="s">
        <v>65</v>
      </c>
      <c r="F394" s="4">
        <v>4.6443700000000003</v>
      </c>
      <c r="G394" s="4">
        <f>IFERROR(F394-alt_Blanks!$I$9,F394)</f>
        <v>4.6443700000000003</v>
      </c>
      <c r="H394" s="7">
        <f t="shared" si="18"/>
        <v>4.6443700000000003</v>
      </c>
      <c r="I394" s="7">
        <f t="shared" si="17"/>
        <v>10.958872109485608</v>
      </c>
    </row>
    <row r="395" spans="1:9" x14ac:dyDescent="0.35">
      <c r="A395" t="s">
        <v>66</v>
      </c>
      <c r="B395" t="s">
        <v>67</v>
      </c>
      <c r="C395" t="s">
        <v>14</v>
      </c>
      <c r="D395" t="s">
        <v>154</v>
      </c>
      <c r="E395" t="s">
        <v>65</v>
      </c>
      <c r="F395" s="4">
        <v>0</v>
      </c>
      <c r="G395" s="4">
        <f>IFERROR(F395-alt_Blanks!$I$10,F395)</f>
        <v>0</v>
      </c>
      <c r="H395" s="7">
        <f t="shared" si="18"/>
        <v>0</v>
      </c>
      <c r="I395" s="7">
        <f t="shared" si="17"/>
        <v>0</v>
      </c>
    </row>
    <row r="396" spans="1:9" x14ac:dyDescent="0.35">
      <c r="A396" t="s">
        <v>66</v>
      </c>
      <c r="B396" t="s">
        <v>67</v>
      </c>
      <c r="C396" t="s">
        <v>15</v>
      </c>
      <c r="D396" t="s">
        <v>153</v>
      </c>
      <c r="E396" t="s">
        <v>65</v>
      </c>
      <c r="F396" s="4">
        <v>1428.1465542999999</v>
      </c>
      <c r="G396" s="4">
        <f>IFERROR(F396-alt_Blanks!$I$11,F396)</f>
        <v>622.92986459999997</v>
      </c>
      <c r="H396" s="7">
        <f t="shared" si="18"/>
        <v>622.92986459999997</v>
      </c>
      <c r="I396" s="7">
        <f t="shared" si="17"/>
        <v>1469.8675427088249</v>
      </c>
    </row>
    <row r="397" spans="1:9" x14ac:dyDescent="0.35">
      <c r="A397" t="s">
        <v>66</v>
      </c>
      <c r="B397" t="s">
        <v>67</v>
      </c>
      <c r="C397" t="s">
        <v>16</v>
      </c>
      <c r="D397" t="s">
        <v>154</v>
      </c>
      <c r="E397" t="s">
        <v>65</v>
      </c>
      <c r="F397" s="4">
        <v>40.5490584</v>
      </c>
      <c r="G397" s="4">
        <f>IFERROR(F397-alt_Blanks!$I$12,F397)</f>
        <v>40.5490584</v>
      </c>
      <c r="H397" s="7">
        <f t="shared" si="18"/>
        <v>40.5490584</v>
      </c>
      <c r="I397" s="7">
        <f t="shared" si="17"/>
        <v>95.679703633789515</v>
      </c>
    </row>
    <row r="398" spans="1:9" x14ac:dyDescent="0.35">
      <c r="A398" t="s">
        <v>66</v>
      </c>
      <c r="B398" t="s">
        <v>67</v>
      </c>
      <c r="C398" t="s">
        <v>17</v>
      </c>
      <c r="D398" t="s">
        <v>153</v>
      </c>
      <c r="E398" t="s">
        <v>65</v>
      </c>
      <c r="F398" s="4">
        <v>10.731729899999999</v>
      </c>
      <c r="G398" s="4">
        <f>IFERROR(F398-alt_Blanks!$I$13,F398)</f>
        <v>9.8790163999999994</v>
      </c>
      <c r="H398" s="7">
        <f t="shared" si="18"/>
        <v>9.8790163999999994</v>
      </c>
      <c r="I398" s="7">
        <f t="shared" si="17"/>
        <v>23.310562529495044</v>
      </c>
    </row>
    <row r="399" spans="1:9" x14ac:dyDescent="0.35">
      <c r="A399" t="s">
        <v>66</v>
      </c>
      <c r="B399" t="s">
        <v>67</v>
      </c>
      <c r="C399" t="s">
        <v>18</v>
      </c>
      <c r="D399" t="s">
        <v>154</v>
      </c>
      <c r="E399" t="s">
        <v>65</v>
      </c>
      <c r="F399" s="4">
        <v>0</v>
      </c>
      <c r="G399" s="4">
        <f>IFERROR(F399-alt_Blanks!$I$14,F399)</f>
        <v>0</v>
      </c>
      <c r="H399" s="7">
        <f t="shared" si="18"/>
        <v>0</v>
      </c>
      <c r="I399" s="7">
        <f t="shared" si="17"/>
        <v>0</v>
      </c>
    </row>
    <row r="400" spans="1:9" x14ac:dyDescent="0.35">
      <c r="A400" t="s">
        <v>66</v>
      </c>
      <c r="B400" t="s">
        <v>67</v>
      </c>
      <c r="C400" t="s">
        <v>19</v>
      </c>
      <c r="D400" t="s">
        <v>153</v>
      </c>
      <c r="E400" t="s">
        <v>65</v>
      </c>
      <c r="F400" s="4">
        <v>467.87396590000003</v>
      </c>
      <c r="G400" s="4">
        <f>IFERROR(F400-alt_Blanks!$I$15,F400)</f>
        <v>199.25056880000005</v>
      </c>
      <c r="H400" s="7">
        <f t="shared" si="18"/>
        <v>199.25056880000005</v>
      </c>
      <c r="I400" s="7">
        <f t="shared" si="17"/>
        <v>470.15235677206243</v>
      </c>
    </row>
    <row r="401" spans="1:9" x14ac:dyDescent="0.35">
      <c r="A401" t="s">
        <v>66</v>
      </c>
      <c r="B401" t="s">
        <v>67</v>
      </c>
      <c r="C401" t="s">
        <v>20</v>
      </c>
      <c r="D401" t="s">
        <v>154</v>
      </c>
      <c r="E401" t="s">
        <v>65</v>
      </c>
      <c r="F401" s="4">
        <v>20.945730699999999</v>
      </c>
      <c r="G401" s="4">
        <f>IFERROR(F401-alt_Blanks!$I$16,F401)</f>
        <v>2.4798174999999993</v>
      </c>
      <c r="H401" s="7">
        <f t="shared" si="18"/>
        <v>2.4798174999999993</v>
      </c>
      <c r="I401" s="7">
        <f t="shared" si="17"/>
        <v>5.8513862671071246</v>
      </c>
    </row>
    <row r="402" spans="1:9" x14ac:dyDescent="0.35">
      <c r="A402" t="s">
        <v>66</v>
      </c>
      <c r="B402" t="s">
        <v>67</v>
      </c>
      <c r="C402" t="s">
        <v>21</v>
      </c>
      <c r="D402" t="s">
        <v>155</v>
      </c>
      <c r="E402" t="s">
        <v>65</v>
      </c>
      <c r="F402" s="4">
        <v>0.34610000000000002</v>
      </c>
      <c r="G402" s="4">
        <f>IFERROR(F402-alt_Blanks!$I$17,F402)</f>
        <v>1.4146600000000009E-2</v>
      </c>
      <c r="H402" s="7">
        <f t="shared" si="18"/>
        <v>1.4146600000000009E-2</v>
      </c>
      <c r="I402" s="7">
        <f t="shared" si="17"/>
        <v>3.338036809815953E-2</v>
      </c>
    </row>
    <row r="403" spans="1:9" x14ac:dyDescent="0.35">
      <c r="A403" t="s">
        <v>66</v>
      </c>
      <c r="B403" t="s">
        <v>67</v>
      </c>
      <c r="C403" t="s">
        <v>22</v>
      </c>
      <c r="D403" t="s">
        <v>155</v>
      </c>
      <c r="E403" t="s">
        <v>65</v>
      </c>
      <c r="F403" s="4">
        <v>140.34963639999998</v>
      </c>
      <c r="G403" s="4">
        <f>IFERROR(F403-alt_Blanks!$I$18,F403)</f>
        <v>134.34617679999997</v>
      </c>
      <c r="H403" s="7">
        <f t="shared" si="18"/>
        <v>134.34617679999997</v>
      </c>
      <c r="I403" s="7">
        <f t="shared" si="17"/>
        <v>317.00372062293525</v>
      </c>
    </row>
    <row r="404" spans="1:9" x14ac:dyDescent="0.35">
      <c r="A404" t="s">
        <v>66</v>
      </c>
      <c r="B404" t="s">
        <v>67</v>
      </c>
      <c r="C404" t="s">
        <v>23</v>
      </c>
      <c r="D404" t="s">
        <v>155</v>
      </c>
      <c r="E404" t="s">
        <v>65</v>
      </c>
      <c r="F404" s="4">
        <v>0</v>
      </c>
      <c r="G404" s="4">
        <f>IFERROR(F404-alt_Blanks!$I$19,F404)</f>
        <v>0</v>
      </c>
      <c r="H404" s="7">
        <f t="shared" si="18"/>
        <v>0</v>
      </c>
      <c r="I404" s="7">
        <f t="shared" si="17"/>
        <v>0</v>
      </c>
    </row>
    <row r="405" spans="1:9" x14ac:dyDescent="0.35">
      <c r="A405" t="s">
        <v>66</v>
      </c>
      <c r="B405" t="s">
        <v>67</v>
      </c>
      <c r="C405" t="s">
        <v>24</v>
      </c>
      <c r="D405" t="s">
        <v>155</v>
      </c>
      <c r="E405" t="s">
        <v>65</v>
      </c>
      <c r="F405" s="4">
        <v>84.144924799999998</v>
      </c>
      <c r="G405" s="4">
        <f>IFERROR(F405-alt_Blanks!$I$20,F405)</f>
        <v>82.206949399999999</v>
      </c>
      <c r="H405" s="7">
        <f t="shared" si="18"/>
        <v>82.206949399999999</v>
      </c>
      <c r="I405" s="7">
        <f t="shared" si="17"/>
        <v>193.97581264747521</v>
      </c>
    </row>
    <row r="406" spans="1:9" x14ac:dyDescent="0.35">
      <c r="A406" t="s">
        <v>66</v>
      </c>
      <c r="B406" t="s">
        <v>67</v>
      </c>
      <c r="C406" t="s">
        <v>25</v>
      </c>
      <c r="D406" t="s">
        <v>155</v>
      </c>
      <c r="E406" t="s">
        <v>65</v>
      </c>
      <c r="F406" s="4">
        <v>4.1711580999999995</v>
      </c>
      <c r="G406" s="4">
        <f>IFERROR(F406-alt_Blanks!$I$21,F406)</f>
        <v>3.9566489999999996</v>
      </c>
      <c r="H406" s="7">
        <f t="shared" si="18"/>
        <v>3.9566489999999996</v>
      </c>
      <c r="I406" s="7">
        <f t="shared" si="17"/>
        <v>9.3361231713072197</v>
      </c>
    </row>
    <row r="407" spans="1:9" x14ac:dyDescent="0.35">
      <c r="A407" t="s">
        <v>66</v>
      </c>
      <c r="B407" t="s">
        <v>67</v>
      </c>
      <c r="C407" t="s">
        <v>26</v>
      </c>
      <c r="D407" t="s">
        <v>153</v>
      </c>
      <c r="E407" t="s">
        <v>65</v>
      </c>
      <c r="F407" s="4">
        <v>1.5488088</v>
      </c>
      <c r="G407" s="4">
        <f>IFERROR(F407-alt_Blanks!$I$22,F407)</f>
        <v>-4.5912599999999859E-2</v>
      </c>
      <c r="H407" s="7">
        <f t="shared" si="18"/>
        <v>0</v>
      </c>
      <c r="I407" s="7">
        <f t="shared" si="17"/>
        <v>0</v>
      </c>
    </row>
    <row r="408" spans="1:9" x14ac:dyDescent="0.35">
      <c r="A408" t="s">
        <v>66</v>
      </c>
      <c r="B408" t="s">
        <v>67</v>
      </c>
      <c r="C408" t="s">
        <v>27</v>
      </c>
      <c r="D408" t="s">
        <v>154</v>
      </c>
      <c r="E408" t="s">
        <v>65</v>
      </c>
      <c r="F408" s="4">
        <v>24.433719700000001</v>
      </c>
      <c r="G408" s="4">
        <f>IFERROR(F408-alt_Blanks!$I$23,F408)</f>
        <v>24.312982300000002</v>
      </c>
      <c r="H408" s="7">
        <f t="shared" si="18"/>
        <v>24.312982300000002</v>
      </c>
      <c r="I408" s="7">
        <f t="shared" si="17"/>
        <v>57.369000235960364</v>
      </c>
    </row>
    <row r="409" spans="1:9" x14ac:dyDescent="0.35">
      <c r="A409" t="s">
        <v>66</v>
      </c>
      <c r="B409" t="s">
        <v>67</v>
      </c>
      <c r="C409" t="s">
        <v>28</v>
      </c>
      <c r="D409" t="s">
        <v>155</v>
      </c>
      <c r="E409" t="s">
        <v>65</v>
      </c>
      <c r="F409" s="4">
        <v>16.347606200000001</v>
      </c>
      <c r="G409" s="4">
        <f>IFERROR(F409-alt_Blanks!$I$24,F409)</f>
        <v>16.100436600000002</v>
      </c>
      <c r="H409" s="7">
        <f t="shared" si="18"/>
        <v>16.100436600000002</v>
      </c>
      <c r="I409" s="7">
        <f t="shared" si="17"/>
        <v>37.990647947144886</v>
      </c>
    </row>
    <row r="410" spans="1:9" x14ac:dyDescent="0.35">
      <c r="A410" t="s">
        <v>66</v>
      </c>
      <c r="B410" t="s">
        <v>67</v>
      </c>
      <c r="C410" t="s">
        <v>29</v>
      </c>
      <c r="D410" t="s">
        <v>155</v>
      </c>
      <c r="E410" t="s">
        <v>65</v>
      </c>
      <c r="F410" s="4">
        <v>23.291743299999997</v>
      </c>
      <c r="G410" s="4">
        <f>IFERROR(F410-alt_Blanks!$I$25,F410)</f>
        <v>22.819502499999995</v>
      </c>
      <c r="H410" s="7">
        <f t="shared" si="18"/>
        <v>22.819502499999995</v>
      </c>
      <c r="I410" s="7">
        <f t="shared" si="17"/>
        <v>53.844979943369502</v>
      </c>
    </row>
    <row r="411" spans="1:9" x14ac:dyDescent="0.35">
      <c r="A411" t="s">
        <v>66</v>
      </c>
      <c r="B411" t="s">
        <v>67</v>
      </c>
      <c r="C411" t="s">
        <v>30</v>
      </c>
      <c r="D411" t="s">
        <v>155</v>
      </c>
      <c r="E411" t="s">
        <v>65</v>
      </c>
      <c r="F411" s="4">
        <v>154.5991832</v>
      </c>
      <c r="G411" s="4">
        <f>IFERROR(F411-alt_Blanks!$I$26,F411)</f>
        <v>154.01900689999999</v>
      </c>
      <c r="H411" s="7">
        <f t="shared" si="18"/>
        <v>154.01900689999999</v>
      </c>
      <c r="I411" s="7">
        <f t="shared" si="17"/>
        <v>363.42380108541761</v>
      </c>
    </row>
    <row r="412" spans="1:9" x14ac:dyDescent="0.35">
      <c r="A412" t="s">
        <v>66</v>
      </c>
      <c r="B412" t="s">
        <v>67</v>
      </c>
      <c r="C412" t="s">
        <v>31</v>
      </c>
      <c r="D412" t="s">
        <v>155</v>
      </c>
      <c r="E412" t="s">
        <v>65</v>
      </c>
      <c r="F412" s="4" t="e">
        <v>#N/A</v>
      </c>
      <c r="G412" s="4" t="e">
        <f>IFERROR(F412-alt_Blanks!$I$27,F412)</f>
        <v>#N/A</v>
      </c>
      <c r="H412" s="7" t="e">
        <f t="shared" si="18"/>
        <v>#N/A</v>
      </c>
      <c r="I412" s="7" t="e">
        <f t="shared" si="17"/>
        <v>#N/A</v>
      </c>
    </row>
    <row r="413" spans="1:9" x14ac:dyDescent="0.35">
      <c r="A413" t="s">
        <v>66</v>
      </c>
      <c r="B413" t="s">
        <v>67</v>
      </c>
      <c r="C413" t="s">
        <v>32</v>
      </c>
      <c r="D413" t="s">
        <v>153</v>
      </c>
      <c r="E413" t="s">
        <v>65</v>
      </c>
      <c r="F413" s="4">
        <v>0</v>
      </c>
      <c r="G413" s="4">
        <f>IFERROR(F413-alt_Blanks!$I$28,F413)</f>
        <v>0</v>
      </c>
      <c r="H413" s="7">
        <f t="shared" si="18"/>
        <v>0</v>
      </c>
      <c r="I413" s="7">
        <f t="shared" si="17"/>
        <v>0</v>
      </c>
    </row>
    <row r="414" spans="1:9" x14ac:dyDescent="0.35">
      <c r="A414" t="s">
        <v>66</v>
      </c>
      <c r="B414" t="s">
        <v>67</v>
      </c>
      <c r="C414" t="s">
        <v>33</v>
      </c>
      <c r="D414" t="s">
        <v>155</v>
      </c>
      <c r="E414" t="s">
        <v>65</v>
      </c>
      <c r="F414" s="4">
        <v>106.3748452</v>
      </c>
      <c r="G414" s="4">
        <f>IFERROR(F414-alt_Blanks!$I$29,F414)</f>
        <v>105.7632242</v>
      </c>
      <c r="H414" s="7">
        <f t="shared" si="18"/>
        <v>105.7632242</v>
      </c>
      <c r="I414" s="7">
        <f t="shared" si="17"/>
        <v>249.55928315243037</v>
      </c>
    </row>
    <row r="415" spans="1:9" x14ac:dyDescent="0.35">
      <c r="A415" t="s">
        <v>66</v>
      </c>
      <c r="B415" t="s">
        <v>67</v>
      </c>
      <c r="C415" t="s">
        <v>34</v>
      </c>
      <c r="D415" t="s">
        <v>153</v>
      </c>
      <c r="E415" t="s">
        <v>65</v>
      </c>
      <c r="F415" s="4">
        <v>0</v>
      </c>
      <c r="G415" s="4">
        <f>IFERROR(F415-alt_Blanks!$I$30,F415)</f>
        <v>0</v>
      </c>
      <c r="H415" s="7">
        <f t="shared" si="18"/>
        <v>0</v>
      </c>
      <c r="I415" s="7">
        <f t="shared" si="17"/>
        <v>0</v>
      </c>
    </row>
    <row r="416" spans="1:9" x14ac:dyDescent="0.35">
      <c r="A416" t="s">
        <v>66</v>
      </c>
      <c r="B416" t="s">
        <v>67</v>
      </c>
      <c r="C416" t="s">
        <v>35</v>
      </c>
      <c r="D416" t="s">
        <v>154</v>
      </c>
      <c r="E416" t="s">
        <v>65</v>
      </c>
      <c r="F416" s="4">
        <v>58.359669000000004</v>
      </c>
      <c r="G416" s="4">
        <f>IFERROR(F416-alt_Blanks!$I$31,F416)</f>
        <v>-44.09496459999999</v>
      </c>
      <c r="H416" s="7">
        <f t="shared" si="18"/>
        <v>0</v>
      </c>
      <c r="I416" s="7">
        <f t="shared" si="17"/>
        <v>0</v>
      </c>
    </row>
    <row r="417" spans="1:9" x14ac:dyDescent="0.35">
      <c r="A417" t="s">
        <v>66</v>
      </c>
      <c r="B417" t="s">
        <v>67</v>
      </c>
      <c r="C417" t="s">
        <v>36</v>
      </c>
      <c r="D417" t="s">
        <v>155</v>
      </c>
      <c r="E417" t="s">
        <v>65</v>
      </c>
      <c r="F417" s="4">
        <v>1.9237337999999999</v>
      </c>
      <c r="G417" s="4">
        <f>IFERROR(F417-alt_Blanks!$I$32,F417)</f>
        <v>-3.8347000000000797E-3</v>
      </c>
      <c r="H417" s="7">
        <f t="shared" si="18"/>
        <v>0</v>
      </c>
      <c r="I417" s="7">
        <f t="shared" si="17"/>
        <v>0</v>
      </c>
    </row>
    <row r="418" spans="1:9" x14ac:dyDescent="0.35">
      <c r="A418" t="s">
        <v>66</v>
      </c>
      <c r="B418" t="s">
        <v>67</v>
      </c>
      <c r="C418" t="s">
        <v>37</v>
      </c>
      <c r="D418" t="s">
        <v>155</v>
      </c>
      <c r="E418" t="s">
        <v>65</v>
      </c>
      <c r="F418" s="4">
        <v>3.6180725000000002</v>
      </c>
      <c r="G418" s="4">
        <f>IFERROR(F418-alt_Blanks!$I$33,F418)</f>
        <v>3.6180725000000002</v>
      </c>
      <c r="H418" s="7">
        <f t="shared" si="18"/>
        <v>3.6180725000000002</v>
      </c>
      <c r="I418" s="7">
        <f t="shared" si="17"/>
        <v>8.5372168475696082</v>
      </c>
    </row>
    <row r="419" spans="1:9" x14ac:dyDescent="0.35">
      <c r="A419" t="s">
        <v>66</v>
      </c>
      <c r="B419" t="s">
        <v>67</v>
      </c>
      <c r="C419" t="s">
        <v>38</v>
      </c>
      <c r="D419" t="s">
        <v>155</v>
      </c>
      <c r="E419" t="s">
        <v>65</v>
      </c>
      <c r="F419" s="4">
        <v>1.3568966</v>
      </c>
      <c r="G419" s="4">
        <f>IFERROR(F419-alt_Blanks!$I$34,F419)</f>
        <v>1.3568966</v>
      </c>
      <c r="H419" s="7">
        <f t="shared" si="18"/>
        <v>1.3568966</v>
      </c>
      <c r="I419" s="7">
        <f t="shared" si="17"/>
        <v>3.2017380840018874</v>
      </c>
    </row>
    <row r="420" spans="1:9" x14ac:dyDescent="0.35">
      <c r="A420" t="s">
        <v>66</v>
      </c>
      <c r="B420" t="s">
        <v>67</v>
      </c>
      <c r="C420" t="s">
        <v>39</v>
      </c>
      <c r="D420" t="s">
        <v>153</v>
      </c>
      <c r="E420" t="s">
        <v>65</v>
      </c>
      <c r="F420" s="4">
        <v>9.4936729</v>
      </c>
      <c r="G420" s="4">
        <f>IFERROR(F420-alt_Blanks!$I$35,F420)</f>
        <v>9.4936729</v>
      </c>
      <c r="H420" s="7">
        <f t="shared" si="18"/>
        <v>9.4936729</v>
      </c>
      <c r="I420" s="7">
        <f t="shared" si="17"/>
        <v>22.40130462482303</v>
      </c>
    </row>
    <row r="421" spans="1:9" x14ac:dyDescent="0.35">
      <c r="A421" t="s">
        <v>66</v>
      </c>
      <c r="B421" t="s">
        <v>67</v>
      </c>
      <c r="C421" t="s">
        <v>40</v>
      </c>
      <c r="D421" t="s">
        <v>154</v>
      </c>
      <c r="E421" t="s">
        <v>65</v>
      </c>
      <c r="F421" s="4">
        <v>0</v>
      </c>
      <c r="G421" s="4">
        <f>IFERROR(F421-alt_Blanks!$I$36,F421)</f>
        <v>0</v>
      </c>
      <c r="H421" s="7">
        <f t="shared" si="18"/>
        <v>0</v>
      </c>
      <c r="I421" s="7">
        <f t="shared" si="17"/>
        <v>0</v>
      </c>
    </row>
    <row r="422" spans="1:9" x14ac:dyDescent="0.35">
      <c r="A422" t="s">
        <v>68</v>
      </c>
      <c r="B422" t="s">
        <v>69</v>
      </c>
      <c r="C422" t="s">
        <v>6</v>
      </c>
      <c r="D422" t="s">
        <v>153</v>
      </c>
      <c r="E422" t="s">
        <v>65</v>
      </c>
      <c r="F422" s="4">
        <v>6.8845140000000002</v>
      </c>
      <c r="G422" s="4">
        <f>IFERROR(F422-alt_Blanks!$I$2,F422)</f>
        <v>0.17797289999999943</v>
      </c>
      <c r="H422" s="7">
        <f t="shared" si="18"/>
        <v>0.17797289999999943</v>
      </c>
      <c r="I422" s="7">
        <f>H422/0.5537</f>
        <v>0.32142477876106096</v>
      </c>
    </row>
    <row r="423" spans="1:9" x14ac:dyDescent="0.35">
      <c r="A423" t="s">
        <v>68</v>
      </c>
      <c r="B423" t="s">
        <v>69</v>
      </c>
      <c r="C423" t="s">
        <v>7</v>
      </c>
      <c r="D423" t="s">
        <v>153</v>
      </c>
      <c r="E423" t="s">
        <v>65</v>
      </c>
      <c r="F423" s="4">
        <v>4.1247161999999999</v>
      </c>
      <c r="G423" s="4">
        <f>IFERROR(F423-alt_Blanks!$I$3,F423)</f>
        <v>4.1247161999999999</v>
      </c>
      <c r="H423" s="7">
        <f t="shared" si="18"/>
        <v>4.1247161999999999</v>
      </c>
      <c r="I423" s="7">
        <f t="shared" ref="I423:I456" si="19">H423/0.5537</f>
        <v>7.4493700559869973</v>
      </c>
    </row>
    <row r="424" spans="1:9" x14ac:dyDescent="0.35">
      <c r="A424" t="s">
        <v>68</v>
      </c>
      <c r="B424" t="s">
        <v>69</v>
      </c>
      <c r="C424" t="s">
        <v>8</v>
      </c>
      <c r="D424" t="s">
        <v>153</v>
      </c>
      <c r="E424" t="s">
        <v>65</v>
      </c>
      <c r="F424" s="4" t="e">
        <v>#N/A</v>
      </c>
      <c r="G424" s="4" t="e">
        <f>IFERROR(F424-alt_Blanks!$I$4,F424)</f>
        <v>#N/A</v>
      </c>
      <c r="H424" s="7" t="e">
        <f t="shared" si="18"/>
        <v>#N/A</v>
      </c>
      <c r="I424" s="7" t="e">
        <f t="shared" si="19"/>
        <v>#N/A</v>
      </c>
    </row>
    <row r="425" spans="1:9" x14ac:dyDescent="0.35">
      <c r="A425" t="s">
        <v>68</v>
      </c>
      <c r="B425" t="s">
        <v>69</v>
      </c>
      <c r="C425" t="s">
        <v>9</v>
      </c>
      <c r="D425" t="s">
        <v>153</v>
      </c>
      <c r="E425" t="s">
        <v>65</v>
      </c>
      <c r="F425" s="4">
        <v>14.241061499999999</v>
      </c>
      <c r="G425" s="4">
        <f>IFERROR(F425-alt_Blanks!$I$5,F425)</f>
        <v>14.241061499999999</v>
      </c>
      <c r="H425" s="7">
        <f t="shared" si="18"/>
        <v>14.241061499999999</v>
      </c>
      <c r="I425" s="7">
        <f t="shared" si="19"/>
        <v>25.719814881704895</v>
      </c>
    </row>
    <row r="426" spans="1:9" x14ac:dyDescent="0.35">
      <c r="A426" t="s">
        <v>68</v>
      </c>
      <c r="B426" t="s">
        <v>69</v>
      </c>
      <c r="C426" t="s">
        <v>10</v>
      </c>
      <c r="D426" t="s">
        <v>153</v>
      </c>
      <c r="E426" t="s">
        <v>65</v>
      </c>
      <c r="F426" s="4">
        <v>116.72914280000001</v>
      </c>
      <c r="G426" s="4">
        <f>IFERROR(F426-alt_Blanks!$I$6,F426)</f>
        <v>116.72914280000001</v>
      </c>
      <c r="H426" s="7">
        <f t="shared" si="18"/>
        <v>116.72914280000001</v>
      </c>
      <c r="I426" s="7">
        <f t="shared" si="19"/>
        <v>210.81658443200291</v>
      </c>
    </row>
    <row r="427" spans="1:9" x14ac:dyDescent="0.35">
      <c r="A427" t="s">
        <v>68</v>
      </c>
      <c r="B427" t="s">
        <v>69</v>
      </c>
      <c r="C427" t="s">
        <v>11</v>
      </c>
      <c r="D427" t="s">
        <v>153</v>
      </c>
      <c r="E427" t="s">
        <v>65</v>
      </c>
      <c r="F427" s="4">
        <v>307.1489722</v>
      </c>
      <c r="G427" s="4">
        <f>IFERROR(F427-alt_Blanks!$I$7,F427)</f>
        <v>307.1489722</v>
      </c>
      <c r="H427" s="7">
        <f t="shared" si="18"/>
        <v>307.1489722</v>
      </c>
      <c r="I427" s="7">
        <f t="shared" si="19"/>
        <v>554.7209178255373</v>
      </c>
    </row>
    <row r="428" spans="1:9" x14ac:dyDescent="0.35">
      <c r="A428" t="s">
        <v>68</v>
      </c>
      <c r="B428" t="s">
        <v>69</v>
      </c>
      <c r="C428" t="s">
        <v>12</v>
      </c>
      <c r="D428" t="s">
        <v>154</v>
      </c>
      <c r="E428" t="s">
        <v>65</v>
      </c>
      <c r="F428" s="4">
        <v>0</v>
      </c>
      <c r="G428" s="4">
        <f>IFERROR(F428-alt_Blanks!$I$8,F428)</f>
        <v>0</v>
      </c>
      <c r="H428" s="7">
        <f t="shared" si="18"/>
        <v>0</v>
      </c>
      <c r="I428" s="7">
        <f t="shared" si="19"/>
        <v>0</v>
      </c>
    </row>
    <row r="429" spans="1:9" x14ac:dyDescent="0.35">
      <c r="A429" t="s">
        <v>68</v>
      </c>
      <c r="B429" t="s">
        <v>69</v>
      </c>
      <c r="C429" t="s">
        <v>13</v>
      </c>
      <c r="D429" t="s">
        <v>153</v>
      </c>
      <c r="E429" t="s">
        <v>65</v>
      </c>
      <c r="F429" s="4">
        <v>15.8769372</v>
      </c>
      <c r="G429" s="4">
        <f>IFERROR(F429-alt_Blanks!$I$9,F429)</f>
        <v>15.8769372</v>
      </c>
      <c r="H429" s="7">
        <f t="shared" si="18"/>
        <v>15.8769372</v>
      </c>
      <c r="I429" s="7">
        <f t="shared" si="19"/>
        <v>28.674258985009935</v>
      </c>
    </row>
    <row r="430" spans="1:9" x14ac:dyDescent="0.35">
      <c r="A430" t="s">
        <v>68</v>
      </c>
      <c r="B430" t="s">
        <v>69</v>
      </c>
      <c r="C430" t="s">
        <v>14</v>
      </c>
      <c r="D430" t="s">
        <v>154</v>
      </c>
      <c r="E430" t="s">
        <v>65</v>
      </c>
      <c r="F430" s="4">
        <v>0</v>
      </c>
      <c r="G430" s="4">
        <f>IFERROR(F430-alt_Blanks!$I$10,F430)</f>
        <v>0</v>
      </c>
      <c r="H430" s="7">
        <f t="shared" si="18"/>
        <v>0</v>
      </c>
      <c r="I430" s="7">
        <f t="shared" si="19"/>
        <v>0</v>
      </c>
    </row>
    <row r="431" spans="1:9" x14ac:dyDescent="0.35">
      <c r="A431" t="s">
        <v>68</v>
      </c>
      <c r="B431" t="s">
        <v>69</v>
      </c>
      <c r="C431" t="s">
        <v>15</v>
      </c>
      <c r="D431" t="s">
        <v>153</v>
      </c>
      <c r="E431" t="s">
        <v>65</v>
      </c>
      <c r="F431" s="4">
        <v>5408.4226508000002</v>
      </c>
      <c r="G431" s="4">
        <f>IFERROR(F431-alt_Blanks!$I$11,F431)</f>
        <v>4603.2059611000004</v>
      </c>
      <c r="H431" s="7">
        <f t="shared" si="18"/>
        <v>4603.2059611000004</v>
      </c>
      <c r="I431" s="7">
        <f t="shared" si="19"/>
        <v>8313.5379467220537</v>
      </c>
    </row>
    <row r="432" spans="1:9" x14ac:dyDescent="0.35">
      <c r="A432" t="s">
        <v>68</v>
      </c>
      <c r="B432" t="s">
        <v>69</v>
      </c>
      <c r="C432" t="s">
        <v>16</v>
      </c>
      <c r="D432" t="s">
        <v>154</v>
      </c>
      <c r="E432" t="s">
        <v>65</v>
      </c>
      <c r="F432" s="4">
        <v>949.72924750000004</v>
      </c>
      <c r="G432" s="4">
        <f>IFERROR(F432-alt_Blanks!$I$12,F432)</f>
        <v>949.72924750000004</v>
      </c>
      <c r="H432" s="7">
        <f t="shared" si="18"/>
        <v>949.72924750000004</v>
      </c>
      <c r="I432" s="7">
        <f t="shared" si="19"/>
        <v>1715.2415522846309</v>
      </c>
    </row>
    <row r="433" spans="1:9" x14ac:dyDescent="0.35">
      <c r="A433" t="s">
        <v>68</v>
      </c>
      <c r="B433" t="s">
        <v>69</v>
      </c>
      <c r="C433" t="s">
        <v>17</v>
      </c>
      <c r="D433" t="s">
        <v>153</v>
      </c>
      <c r="E433" t="s">
        <v>65</v>
      </c>
      <c r="F433" s="4">
        <v>17.226615800000001</v>
      </c>
      <c r="G433" s="4">
        <f>IFERROR(F433-alt_Blanks!$I$13,F433)</f>
        <v>16.373902300000001</v>
      </c>
      <c r="H433" s="7">
        <f t="shared" si="18"/>
        <v>16.373902300000001</v>
      </c>
      <c r="I433" s="7">
        <f t="shared" si="19"/>
        <v>29.571793931731989</v>
      </c>
    </row>
    <row r="434" spans="1:9" x14ac:dyDescent="0.35">
      <c r="A434" t="s">
        <v>68</v>
      </c>
      <c r="B434" t="s">
        <v>69</v>
      </c>
      <c r="C434" t="s">
        <v>18</v>
      </c>
      <c r="D434" t="s">
        <v>154</v>
      </c>
      <c r="E434" t="s">
        <v>65</v>
      </c>
      <c r="F434" s="4">
        <v>20.971489000000002</v>
      </c>
      <c r="G434" s="4">
        <f>IFERROR(F434-alt_Blanks!$I$14,F434)</f>
        <v>20.971489000000002</v>
      </c>
      <c r="H434" s="7">
        <f t="shared" si="18"/>
        <v>20.971489000000002</v>
      </c>
      <c r="I434" s="7">
        <f t="shared" si="19"/>
        <v>37.875183312262962</v>
      </c>
    </row>
    <row r="435" spans="1:9" x14ac:dyDescent="0.35">
      <c r="A435" t="s">
        <v>68</v>
      </c>
      <c r="B435" t="s">
        <v>69</v>
      </c>
      <c r="C435" t="s">
        <v>19</v>
      </c>
      <c r="D435" t="s">
        <v>153</v>
      </c>
      <c r="E435" t="s">
        <v>65</v>
      </c>
      <c r="F435" s="4">
        <v>543.79471709999996</v>
      </c>
      <c r="G435" s="4">
        <f>IFERROR(F435-alt_Blanks!$I$15,F435)</f>
        <v>275.17131999999998</v>
      </c>
      <c r="H435" s="7">
        <f t="shared" si="18"/>
        <v>275.17131999999998</v>
      </c>
      <c r="I435" s="7">
        <f t="shared" si="19"/>
        <v>496.96824995484917</v>
      </c>
    </row>
    <row r="436" spans="1:9" x14ac:dyDescent="0.35">
      <c r="A436" t="s">
        <v>68</v>
      </c>
      <c r="B436" t="s">
        <v>69</v>
      </c>
      <c r="C436" t="s">
        <v>20</v>
      </c>
      <c r="D436" t="s">
        <v>154</v>
      </c>
      <c r="E436" t="s">
        <v>65</v>
      </c>
      <c r="F436" s="4">
        <v>1955.7332535999999</v>
      </c>
      <c r="G436" s="4">
        <f>IFERROR(F436-alt_Blanks!$I$16,F436)</f>
        <v>1937.2673404</v>
      </c>
      <c r="H436" s="7">
        <f t="shared" si="18"/>
        <v>1937.2673404</v>
      </c>
      <c r="I436" s="7">
        <f t="shared" si="19"/>
        <v>3498.7670948166879</v>
      </c>
    </row>
    <row r="437" spans="1:9" x14ac:dyDescent="0.35">
      <c r="A437" t="s">
        <v>68</v>
      </c>
      <c r="B437" t="s">
        <v>69</v>
      </c>
      <c r="C437" t="s">
        <v>21</v>
      </c>
      <c r="D437" t="s">
        <v>155</v>
      </c>
      <c r="E437" t="s">
        <v>65</v>
      </c>
      <c r="F437" s="4">
        <v>0</v>
      </c>
      <c r="G437" s="4">
        <f>IFERROR(F437-alt_Blanks!$I$17,F437)</f>
        <v>-0.33195340000000001</v>
      </c>
      <c r="H437" s="7">
        <f t="shared" si="18"/>
        <v>0</v>
      </c>
      <c r="I437" s="7">
        <f t="shared" si="19"/>
        <v>0</v>
      </c>
    </row>
    <row r="438" spans="1:9" x14ac:dyDescent="0.35">
      <c r="A438" t="s">
        <v>68</v>
      </c>
      <c r="B438" t="s">
        <v>69</v>
      </c>
      <c r="C438" t="s">
        <v>22</v>
      </c>
      <c r="D438" t="s">
        <v>155</v>
      </c>
      <c r="E438" t="s">
        <v>65</v>
      </c>
      <c r="F438" s="4">
        <v>1913.5384208</v>
      </c>
      <c r="G438" s="4">
        <f>IFERROR(F438-alt_Blanks!$I$18,F438)</f>
        <v>1907.5349612</v>
      </c>
      <c r="H438" s="7">
        <f t="shared" si="18"/>
        <v>1907.5349612</v>
      </c>
      <c r="I438" s="7">
        <f t="shared" si="19"/>
        <v>3445.0694621636267</v>
      </c>
    </row>
    <row r="439" spans="1:9" x14ac:dyDescent="0.35">
      <c r="A439" t="s">
        <v>68</v>
      </c>
      <c r="B439" t="s">
        <v>69</v>
      </c>
      <c r="C439" t="s">
        <v>23</v>
      </c>
      <c r="D439" t="s">
        <v>155</v>
      </c>
      <c r="E439" t="s">
        <v>65</v>
      </c>
      <c r="F439" s="4">
        <v>157.53268119999998</v>
      </c>
      <c r="G439" s="4">
        <f>IFERROR(F439-alt_Blanks!$I$19,F439)</f>
        <v>157.53268119999998</v>
      </c>
      <c r="H439" s="7">
        <f t="shared" si="18"/>
        <v>157.53268119999998</v>
      </c>
      <c r="I439" s="7">
        <f t="shared" si="19"/>
        <v>284.50908650893984</v>
      </c>
    </row>
    <row r="440" spans="1:9" x14ac:dyDescent="0.35">
      <c r="A440" t="s">
        <v>68</v>
      </c>
      <c r="B440" t="s">
        <v>69</v>
      </c>
      <c r="C440" t="s">
        <v>24</v>
      </c>
      <c r="D440" t="s">
        <v>155</v>
      </c>
      <c r="E440" t="s">
        <v>65</v>
      </c>
      <c r="F440" s="4">
        <v>3321.1106480999997</v>
      </c>
      <c r="G440" s="4">
        <f>IFERROR(F440-alt_Blanks!$I$20,F440)</f>
        <v>3319.1726726999996</v>
      </c>
      <c r="H440" s="7">
        <f t="shared" si="18"/>
        <v>3319.1726726999996</v>
      </c>
      <c r="I440" s="7">
        <f t="shared" si="19"/>
        <v>5994.5325495755824</v>
      </c>
    </row>
    <row r="441" spans="1:9" x14ac:dyDescent="0.35">
      <c r="A441" t="s">
        <v>68</v>
      </c>
      <c r="B441" t="s">
        <v>69</v>
      </c>
      <c r="C441" t="s">
        <v>25</v>
      </c>
      <c r="D441" t="s">
        <v>155</v>
      </c>
      <c r="E441" t="s">
        <v>65</v>
      </c>
      <c r="F441" s="4">
        <v>322.12129700000003</v>
      </c>
      <c r="G441" s="4">
        <f>IFERROR(F441-alt_Blanks!$I$21,F441)</f>
        <v>321.90678790000004</v>
      </c>
      <c r="H441" s="7">
        <f t="shared" si="18"/>
        <v>321.90678790000004</v>
      </c>
      <c r="I441" s="7">
        <f t="shared" si="19"/>
        <v>581.37400740473186</v>
      </c>
    </row>
    <row r="442" spans="1:9" x14ac:dyDescent="0.35">
      <c r="A442" t="s">
        <v>68</v>
      </c>
      <c r="B442" t="s">
        <v>69</v>
      </c>
      <c r="C442" t="s">
        <v>26</v>
      </c>
      <c r="D442" t="s">
        <v>153</v>
      </c>
      <c r="E442" t="s">
        <v>65</v>
      </c>
      <c r="F442" s="4">
        <v>28.789515399999999</v>
      </c>
      <c r="G442" s="4">
        <f>IFERROR(F442-alt_Blanks!$I$22,F442)</f>
        <v>27.194793999999998</v>
      </c>
      <c r="H442" s="7">
        <f t="shared" si="18"/>
        <v>27.194793999999998</v>
      </c>
      <c r="I442" s="7">
        <f t="shared" si="19"/>
        <v>49.114672205165249</v>
      </c>
    </row>
    <row r="443" spans="1:9" x14ac:dyDescent="0.35">
      <c r="A443" t="s">
        <v>68</v>
      </c>
      <c r="B443" t="s">
        <v>69</v>
      </c>
      <c r="C443" t="s">
        <v>27</v>
      </c>
      <c r="D443" t="s">
        <v>154</v>
      </c>
      <c r="E443" t="s">
        <v>65</v>
      </c>
      <c r="F443" s="4">
        <v>29.8003447</v>
      </c>
      <c r="G443" s="4">
        <f>IFERROR(F443-alt_Blanks!$I$23,F443)</f>
        <v>29.679607300000001</v>
      </c>
      <c r="H443" s="7">
        <f t="shared" si="18"/>
        <v>29.679607300000001</v>
      </c>
      <c r="I443" s="7">
        <f t="shared" si="19"/>
        <v>53.602324905183316</v>
      </c>
    </row>
    <row r="444" spans="1:9" x14ac:dyDescent="0.35">
      <c r="A444" t="s">
        <v>68</v>
      </c>
      <c r="B444" t="s">
        <v>69</v>
      </c>
      <c r="C444" t="s">
        <v>28</v>
      </c>
      <c r="D444" t="s">
        <v>155</v>
      </c>
      <c r="E444" t="s">
        <v>65</v>
      </c>
      <c r="F444" s="4">
        <v>19.8518626</v>
      </c>
      <c r="G444" s="4">
        <f>IFERROR(F444-alt_Blanks!$I$24,F444)</f>
        <v>19.604693000000001</v>
      </c>
      <c r="H444" s="7">
        <f t="shared" si="18"/>
        <v>19.604693000000001</v>
      </c>
      <c r="I444" s="7">
        <f t="shared" si="19"/>
        <v>35.406705797363195</v>
      </c>
    </row>
    <row r="445" spans="1:9" x14ac:dyDescent="0.35">
      <c r="A445" t="s">
        <v>68</v>
      </c>
      <c r="B445" t="s">
        <v>69</v>
      </c>
      <c r="C445" t="s">
        <v>29</v>
      </c>
      <c r="D445" t="s">
        <v>155</v>
      </c>
      <c r="E445" t="s">
        <v>65</v>
      </c>
      <c r="F445" s="4">
        <v>4.6745024000000006</v>
      </c>
      <c r="G445" s="4">
        <f>IFERROR(F445-alt_Blanks!$I$25,F445)</f>
        <v>4.2022616000000008</v>
      </c>
      <c r="H445" s="7">
        <f t="shared" si="18"/>
        <v>4.2022616000000008</v>
      </c>
      <c r="I445" s="7">
        <f t="shared" si="19"/>
        <v>7.5894195412678362</v>
      </c>
    </row>
    <row r="446" spans="1:9" x14ac:dyDescent="0.35">
      <c r="A446" t="s">
        <v>68</v>
      </c>
      <c r="B446" t="s">
        <v>69</v>
      </c>
      <c r="C446" t="s">
        <v>30</v>
      </c>
      <c r="D446" t="s">
        <v>155</v>
      </c>
      <c r="E446" t="s">
        <v>65</v>
      </c>
      <c r="F446" s="4">
        <v>112.97919229999999</v>
      </c>
      <c r="G446" s="4">
        <f>IFERROR(F446-alt_Blanks!$I$26,F446)</f>
        <v>112.39901599999999</v>
      </c>
      <c r="H446" s="7">
        <f t="shared" si="18"/>
        <v>112.39901599999999</v>
      </c>
      <c r="I446" s="7">
        <f t="shared" si="19"/>
        <v>202.99623622900486</v>
      </c>
    </row>
    <row r="447" spans="1:9" x14ac:dyDescent="0.35">
      <c r="A447" t="s">
        <v>68</v>
      </c>
      <c r="B447" t="s">
        <v>69</v>
      </c>
      <c r="C447" t="s">
        <v>31</v>
      </c>
      <c r="D447" t="s">
        <v>155</v>
      </c>
      <c r="E447" t="s">
        <v>65</v>
      </c>
      <c r="F447" s="4" t="e">
        <v>#N/A</v>
      </c>
      <c r="G447" s="4" t="e">
        <f>IFERROR(F447-alt_Blanks!$I$27,F447)</f>
        <v>#N/A</v>
      </c>
      <c r="H447" s="7" t="e">
        <f t="shared" si="18"/>
        <v>#N/A</v>
      </c>
      <c r="I447" s="7" t="e">
        <f t="shared" si="19"/>
        <v>#N/A</v>
      </c>
    </row>
    <row r="448" spans="1:9" x14ac:dyDescent="0.35">
      <c r="A448" t="s">
        <v>68</v>
      </c>
      <c r="B448" t="s">
        <v>69</v>
      </c>
      <c r="C448" t="s">
        <v>32</v>
      </c>
      <c r="D448" t="s">
        <v>153</v>
      </c>
      <c r="E448" t="s">
        <v>65</v>
      </c>
      <c r="F448" s="4">
        <v>0</v>
      </c>
      <c r="G448" s="4">
        <f>IFERROR(F448-alt_Blanks!$I$28,F448)</f>
        <v>0</v>
      </c>
      <c r="H448" s="7">
        <f t="shared" si="18"/>
        <v>0</v>
      </c>
      <c r="I448" s="7">
        <f t="shared" si="19"/>
        <v>0</v>
      </c>
    </row>
    <row r="449" spans="1:9" x14ac:dyDescent="0.35">
      <c r="A449" t="s">
        <v>68</v>
      </c>
      <c r="B449" t="s">
        <v>69</v>
      </c>
      <c r="C449" t="s">
        <v>33</v>
      </c>
      <c r="D449" t="s">
        <v>155</v>
      </c>
      <c r="E449" t="s">
        <v>65</v>
      </c>
      <c r="F449" s="4">
        <v>294.62663040000001</v>
      </c>
      <c r="G449" s="4">
        <f>IFERROR(F449-alt_Blanks!$I$29,F449)</f>
        <v>294.0150094</v>
      </c>
      <c r="H449" s="7">
        <f t="shared" si="18"/>
        <v>294.0150094</v>
      </c>
      <c r="I449" s="7">
        <f t="shared" si="19"/>
        <v>531.00055878634646</v>
      </c>
    </row>
    <row r="450" spans="1:9" x14ac:dyDescent="0.35">
      <c r="A450" t="s">
        <v>68</v>
      </c>
      <c r="B450" t="s">
        <v>69</v>
      </c>
      <c r="C450" t="s">
        <v>34</v>
      </c>
      <c r="D450" t="s">
        <v>153</v>
      </c>
      <c r="E450" t="s">
        <v>65</v>
      </c>
      <c r="F450" s="4">
        <v>1.5882030999999999</v>
      </c>
      <c r="G450" s="4">
        <f>IFERROR(F450-alt_Blanks!$I$30,F450)</f>
        <v>1.5882030999999999</v>
      </c>
      <c r="H450" s="7">
        <f t="shared" si="18"/>
        <v>1.5882030999999999</v>
      </c>
      <c r="I450" s="7">
        <f t="shared" si="19"/>
        <v>2.8683458551562215</v>
      </c>
    </row>
    <row r="451" spans="1:9" x14ac:dyDescent="0.35">
      <c r="A451" t="s">
        <v>68</v>
      </c>
      <c r="B451" t="s">
        <v>69</v>
      </c>
      <c r="C451" t="s">
        <v>35</v>
      </c>
      <c r="D451" t="s">
        <v>154</v>
      </c>
      <c r="E451" t="s">
        <v>65</v>
      </c>
      <c r="F451" s="4">
        <v>94.496069500000004</v>
      </c>
      <c r="G451" s="4">
        <f>IFERROR(F451-alt_Blanks!$I$31,F451)</f>
        <v>-7.9585640999999896</v>
      </c>
      <c r="H451" s="7">
        <f t="shared" si="18"/>
        <v>0</v>
      </c>
      <c r="I451" s="7">
        <f t="shared" si="19"/>
        <v>0</v>
      </c>
    </row>
    <row r="452" spans="1:9" x14ac:dyDescent="0.35">
      <c r="A452" t="s">
        <v>68</v>
      </c>
      <c r="B452" t="s">
        <v>69</v>
      </c>
      <c r="C452" t="s">
        <v>36</v>
      </c>
      <c r="D452" t="s">
        <v>155</v>
      </c>
      <c r="E452" t="s">
        <v>65</v>
      </c>
      <c r="F452" s="4">
        <v>1.9322348</v>
      </c>
      <c r="G452" s="4">
        <f>IFERROR(F452-alt_Blanks!$I$32,F452)</f>
        <v>4.6663000000000121E-3</v>
      </c>
      <c r="H452" s="7">
        <f t="shared" si="18"/>
        <v>4.6663000000000121E-3</v>
      </c>
      <c r="I452" s="7">
        <f t="shared" si="19"/>
        <v>8.4274878092830269E-3</v>
      </c>
    </row>
    <row r="453" spans="1:9" x14ac:dyDescent="0.35">
      <c r="A453" t="s">
        <v>68</v>
      </c>
      <c r="B453" t="s">
        <v>69</v>
      </c>
      <c r="C453" t="s">
        <v>37</v>
      </c>
      <c r="D453" t="s">
        <v>155</v>
      </c>
      <c r="E453" t="s">
        <v>65</v>
      </c>
      <c r="F453" s="4">
        <v>0.79633739999999997</v>
      </c>
      <c r="G453" s="4">
        <f>IFERROR(F453-alt_Blanks!$I$33,F453)</f>
        <v>0.79633739999999997</v>
      </c>
      <c r="H453" s="7">
        <f t="shared" si="18"/>
        <v>0.79633739999999997</v>
      </c>
      <c r="I453" s="7">
        <f t="shared" si="19"/>
        <v>1.438210944554813</v>
      </c>
    </row>
    <row r="454" spans="1:9" x14ac:dyDescent="0.35">
      <c r="A454" t="s">
        <v>68</v>
      </c>
      <c r="B454" t="s">
        <v>69</v>
      </c>
      <c r="C454" t="s">
        <v>38</v>
      </c>
      <c r="D454" t="s">
        <v>155</v>
      </c>
      <c r="E454" t="s">
        <v>65</v>
      </c>
      <c r="F454" s="4">
        <v>17.029594799999998</v>
      </c>
      <c r="G454" s="4">
        <f>IFERROR(F454-alt_Blanks!$I$34,F454)</f>
        <v>17.029594799999998</v>
      </c>
      <c r="H454" s="7">
        <f t="shared" ref="H454:H517" si="20">IF(G454&lt;0,0,G454)</f>
        <v>17.029594799999998</v>
      </c>
      <c r="I454" s="7">
        <f t="shared" si="19"/>
        <v>30.755995665522846</v>
      </c>
    </row>
    <row r="455" spans="1:9" x14ac:dyDescent="0.35">
      <c r="A455" t="s">
        <v>68</v>
      </c>
      <c r="B455" t="s">
        <v>69</v>
      </c>
      <c r="C455" t="s">
        <v>39</v>
      </c>
      <c r="D455" t="s">
        <v>153</v>
      </c>
      <c r="E455" t="s">
        <v>65</v>
      </c>
      <c r="F455" s="4">
        <v>108.88772870000001</v>
      </c>
      <c r="G455" s="4">
        <f>IFERROR(F455-alt_Blanks!$I$35,F455)</f>
        <v>108.88772870000001</v>
      </c>
      <c r="H455" s="7">
        <f t="shared" si="20"/>
        <v>108.88772870000001</v>
      </c>
      <c r="I455" s="7">
        <f t="shared" si="19"/>
        <v>196.65473848654509</v>
      </c>
    </row>
    <row r="456" spans="1:9" x14ac:dyDescent="0.35">
      <c r="A456" t="s">
        <v>68</v>
      </c>
      <c r="B456" t="s">
        <v>69</v>
      </c>
      <c r="C456" t="s">
        <v>40</v>
      </c>
      <c r="D456" t="s">
        <v>154</v>
      </c>
      <c r="E456" t="s">
        <v>65</v>
      </c>
      <c r="F456" s="4">
        <v>0</v>
      </c>
      <c r="G456" s="4">
        <f>IFERROR(F456-alt_Blanks!$I$36,F456)</f>
        <v>0</v>
      </c>
      <c r="H456" s="7">
        <f t="shared" si="20"/>
        <v>0</v>
      </c>
      <c r="I456" s="7">
        <f t="shared" si="19"/>
        <v>0</v>
      </c>
    </row>
    <row r="457" spans="1:9" x14ac:dyDescent="0.35">
      <c r="A457" t="s">
        <v>70</v>
      </c>
      <c r="B457" t="s">
        <v>71</v>
      </c>
      <c r="C457" t="s">
        <v>6</v>
      </c>
      <c r="D457" t="s">
        <v>153</v>
      </c>
      <c r="E457" t="s">
        <v>65</v>
      </c>
      <c r="F457" s="4">
        <v>7.0170779000000003</v>
      </c>
      <c r="G457" s="4">
        <f>IFERROR(F457-alt_Blanks!$I$2,F457)</f>
        <v>0.3105367999999995</v>
      </c>
      <c r="H457" s="7">
        <f t="shared" si="20"/>
        <v>0.3105367999999995</v>
      </c>
      <c r="I457" s="7">
        <f>H457/0.5887</f>
        <v>0.52749583828775182</v>
      </c>
    </row>
    <row r="458" spans="1:9" x14ac:dyDescent="0.35">
      <c r="A458" t="s">
        <v>70</v>
      </c>
      <c r="B458" t="s">
        <v>71</v>
      </c>
      <c r="C458" t="s">
        <v>7</v>
      </c>
      <c r="D458" t="s">
        <v>153</v>
      </c>
      <c r="E458" t="s">
        <v>65</v>
      </c>
      <c r="F458" s="4">
        <v>0</v>
      </c>
      <c r="G458" s="4">
        <f>IFERROR(F458-alt_Blanks!$I$3,F458)</f>
        <v>0</v>
      </c>
      <c r="H458" s="7">
        <f t="shared" si="20"/>
        <v>0</v>
      </c>
      <c r="I458" s="7">
        <f t="shared" ref="I458:I491" si="21">H458/0.5887</f>
        <v>0</v>
      </c>
    </row>
    <row r="459" spans="1:9" x14ac:dyDescent="0.35">
      <c r="A459" t="s">
        <v>70</v>
      </c>
      <c r="B459" t="s">
        <v>71</v>
      </c>
      <c r="C459" t="s">
        <v>8</v>
      </c>
      <c r="D459" t="s">
        <v>153</v>
      </c>
      <c r="E459" t="s">
        <v>65</v>
      </c>
      <c r="F459" s="4" t="e">
        <v>#N/A</v>
      </c>
      <c r="G459" s="4" t="e">
        <f>IFERROR(F459-alt_Blanks!$I$4,F459)</f>
        <v>#N/A</v>
      </c>
      <c r="H459" s="7" t="e">
        <f t="shared" si="20"/>
        <v>#N/A</v>
      </c>
      <c r="I459" s="7" t="e">
        <f t="shared" si="21"/>
        <v>#N/A</v>
      </c>
    </row>
    <row r="460" spans="1:9" x14ac:dyDescent="0.35">
      <c r="A460" t="s">
        <v>70</v>
      </c>
      <c r="B460" t="s">
        <v>71</v>
      </c>
      <c r="C460" t="s">
        <v>9</v>
      </c>
      <c r="D460" t="s">
        <v>153</v>
      </c>
      <c r="E460" t="s">
        <v>65</v>
      </c>
      <c r="F460" s="4">
        <v>14.0620326</v>
      </c>
      <c r="G460" s="4">
        <f>IFERROR(F460-alt_Blanks!$I$5,F460)</f>
        <v>14.0620326</v>
      </c>
      <c r="H460" s="7">
        <f t="shared" si="20"/>
        <v>14.0620326</v>
      </c>
      <c r="I460" s="7">
        <f t="shared" si="21"/>
        <v>23.886585017835909</v>
      </c>
    </row>
    <row r="461" spans="1:9" x14ac:dyDescent="0.35">
      <c r="A461" t="s">
        <v>70</v>
      </c>
      <c r="B461" t="s">
        <v>71</v>
      </c>
      <c r="C461" t="s">
        <v>10</v>
      </c>
      <c r="D461" t="s">
        <v>153</v>
      </c>
      <c r="E461" t="s">
        <v>65</v>
      </c>
      <c r="F461" s="4">
        <v>104.6600483</v>
      </c>
      <c r="G461" s="4">
        <f>IFERROR(F461-alt_Blanks!$I$6,F461)</f>
        <v>104.6600483</v>
      </c>
      <c r="H461" s="7">
        <f t="shared" si="20"/>
        <v>104.6600483</v>
      </c>
      <c r="I461" s="7">
        <f t="shared" si="21"/>
        <v>177.78163461865125</v>
      </c>
    </row>
    <row r="462" spans="1:9" x14ac:dyDescent="0.35">
      <c r="A462" t="s">
        <v>70</v>
      </c>
      <c r="B462" t="s">
        <v>71</v>
      </c>
      <c r="C462" t="s">
        <v>11</v>
      </c>
      <c r="D462" t="s">
        <v>153</v>
      </c>
      <c r="E462" t="s">
        <v>65</v>
      </c>
      <c r="F462" s="4">
        <v>228.45541059999999</v>
      </c>
      <c r="G462" s="4">
        <f>IFERROR(F462-alt_Blanks!$I$7,F462)</f>
        <v>228.45541059999999</v>
      </c>
      <c r="H462" s="7">
        <f t="shared" si="20"/>
        <v>228.45541059999999</v>
      </c>
      <c r="I462" s="7">
        <f t="shared" si="21"/>
        <v>388.06762459656869</v>
      </c>
    </row>
    <row r="463" spans="1:9" x14ac:dyDescent="0.35">
      <c r="A463" t="s">
        <v>70</v>
      </c>
      <c r="B463" t="s">
        <v>71</v>
      </c>
      <c r="C463" t="s">
        <v>12</v>
      </c>
      <c r="D463" t="s">
        <v>154</v>
      </c>
      <c r="E463" t="s">
        <v>65</v>
      </c>
      <c r="F463" s="4">
        <v>0</v>
      </c>
      <c r="G463" s="4">
        <f>IFERROR(F463-alt_Blanks!$I$8,F463)</f>
        <v>0</v>
      </c>
      <c r="H463" s="7">
        <f t="shared" si="20"/>
        <v>0</v>
      </c>
      <c r="I463" s="7">
        <f t="shared" si="21"/>
        <v>0</v>
      </c>
    </row>
    <row r="464" spans="1:9" x14ac:dyDescent="0.35">
      <c r="A464" t="s">
        <v>70</v>
      </c>
      <c r="B464" t="s">
        <v>71</v>
      </c>
      <c r="C464" t="s">
        <v>13</v>
      </c>
      <c r="D464" t="s">
        <v>153</v>
      </c>
      <c r="E464" t="s">
        <v>65</v>
      </c>
      <c r="F464" s="4">
        <v>18.218656800000002</v>
      </c>
      <c r="G464" s="4">
        <f>IFERROR(F464-alt_Blanks!$I$9,F464)</f>
        <v>18.218656800000002</v>
      </c>
      <c r="H464" s="7">
        <f t="shared" si="20"/>
        <v>18.218656800000002</v>
      </c>
      <c r="I464" s="7">
        <f t="shared" si="21"/>
        <v>30.947268218107698</v>
      </c>
    </row>
    <row r="465" spans="1:9" x14ac:dyDescent="0.35">
      <c r="A465" t="s">
        <v>70</v>
      </c>
      <c r="B465" t="s">
        <v>71</v>
      </c>
      <c r="C465" t="s">
        <v>14</v>
      </c>
      <c r="D465" t="s">
        <v>154</v>
      </c>
      <c r="E465" t="s">
        <v>65</v>
      </c>
      <c r="F465" s="4">
        <v>3.6164394999999998</v>
      </c>
      <c r="G465" s="4">
        <f>IFERROR(F465-alt_Blanks!$I$10,F465)</f>
        <v>3.6164394999999998</v>
      </c>
      <c r="H465" s="7">
        <f t="shared" si="20"/>
        <v>3.6164394999999998</v>
      </c>
      <c r="I465" s="7">
        <f t="shared" si="21"/>
        <v>6.1430941056565311</v>
      </c>
    </row>
    <row r="466" spans="1:9" x14ac:dyDescent="0.35">
      <c r="A466" t="s">
        <v>70</v>
      </c>
      <c r="B466" t="s">
        <v>71</v>
      </c>
      <c r="C466" t="s">
        <v>15</v>
      </c>
      <c r="D466" t="s">
        <v>153</v>
      </c>
      <c r="E466" t="s">
        <v>65</v>
      </c>
      <c r="F466" s="4">
        <v>7135.8008605000005</v>
      </c>
      <c r="G466" s="4">
        <f>IFERROR(F466-alt_Blanks!$I$11,F466)</f>
        <v>6330.5841708000007</v>
      </c>
      <c r="H466" s="7">
        <f t="shared" si="20"/>
        <v>6330.5841708000007</v>
      </c>
      <c r="I466" s="7">
        <f t="shared" si="21"/>
        <v>10753.497827076611</v>
      </c>
    </row>
    <row r="467" spans="1:9" x14ac:dyDescent="0.35">
      <c r="A467" t="s">
        <v>70</v>
      </c>
      <c r="B467" t="s">
        <v>71</v>
      </c>
      <c r="C467" t="s">
        <v>16</v>
      </c>
      <c r="D467" t="s">
        <v>154</v>
      </c>
      <c r="E467" t="s">
        <v>65</v>
      </c>
      <c r="F467" s="4">
        <v>672.0782676</v>
      </c>
      <c r="G467" s="4">
        <f>IFERROR(F467-alt_Blanks!$I$12,F467)</f>
        <v>672.0782676</v>
      </c>
      <c r="H467" s="7">
        <f t="shared" si="20"/>
        <v>672.0782676</v>
      </c>
      <c r="I467" s="7">
        <f t="shared" si="21"/>
        <v>1141.6311662986241</v>
      </c>
    </row>
    <row r="468" spans="1:9" x14ac:dyDescent="0.35">
      <c r="A468" t="s">
        <v>70</v>
      </c>
      <c r="B468" t="s">
        <v>71</v>
      </c>
      <c r="C468" t="s">
        <v>17</v>
      </c>
      <c r="D468" t="s">
        <v>153</v>
      </c>
      <c r="E468" t="s">
        <v>65</v>
      </c>
      <c r="F468" s="4">
        <v>34.639676899999998</v>
      </c>
      <c r="G468" s="4">
        <f>IFERROR(F468-alt_Blanks!$I$13,F468)</f>
        <v>33.786963399999998</v>
      </c>
      <c r="H468" s="7">
        <f t="shared" si="20"/>
        <v>33.786963399999998</v>
      </c>
      <c r="I468" s="7">
        <f t="shared" si="21"/>
        <v>57.392497706811618</v>
      </c>
    </row>
    <row r="469" spans="1:9" x14ac:dyDescent="0.35">
      <c r="A469" t="s">
        <v>70</v>
      </c>
      <c r="B469" t="s">
        <v>71</v>
      </c>
      <c r="C469" t="s">
        <v>18</v>
      </c>
      <c r="D469" t="s">
        <v>154</v>
      </c>
      <c r="E469" t="s">
        <v>65</v>
      </c>
      <c r="F469" s="4">
        <v>35.866234600000006</v>
      </c>
      <c r="G469" s="4">
        <f>IFERROR(F469-alt_Blanks!$I$14,F469)</f>
        <v>35.866234600000006</v>
      </c>
      <c r="H469" s="7">
        <f t="shared" si="20"/>
        <v>35.866234600000006</v>
      </c>
      <c r="I469" s="7">
        <f t="shared" si="21"/>
        <v>60.924468489892995</v>
      </c>
    </row>
    <row r="470" spans="1:9" x14ac:dyDescent="0.35">
      <c r="A470" t="s">
        <v>70</v>
      </c>
      <c r="B470" t="s">
        <v>71</v>
      </c>
      <c r="C470" t="s">
        <v>19</v>
      </c>
      <c r="D470" t="s">
        <v>153</v>
      </c>
      <c r="E470" t="s">
        <v>65</v>
      </c>
      <c r="F470" s="4">
        <v>645.73956529999998</v>
      </c>
      <c r="G470" s="4">
        <f>IFERROR(F470-alt_Blanks!$I$15,F470)</f>
        <v>377.1161682</v>
      </c>
      <c r="H470" s="7">
        <f t="shared" si="20"/>
        <v>377.1161682</v>
      </c>
      <c r="I470" s="7">
        <f t="shared" si="21"/>
        <v>640.59141871921179</v>
      </c>
    </row>
    <row r="471" spans="1:9" x14ac:dyDescent="0.35">
      <c r="A471" t="s">
        <v>70</v>
      </c>
      <c r="B471" t="s">
        <v>71</v>
      </c>
      <c r="C471" t="s">
        <v>20</v>
      </c>
      <c r="D471" t="s">
        <v>154</v>
      </c>
      <c r="E471" t="s">
        <v>65</v>
      </c>
      <c r="F471" s="4">
        <v>2472.5267080999997</v>
      </c>
      <c r="G471" s="4">
        <f>IFERROR(F471-alt_Blanks!$I$16,F471)</f>
        <v>2454.0607948999996</v>
      </c>
      <c r="H471" s="7">
        <f t="shared" si="20"/>
        <v>2454.0607948999996</v>
      </c>
      <c r="I471" s="7">
        <f t="shared" si="21"/>
        <v>4168.6101493120432</v>
      </c>
    </row>
    <row r="472" spans="1:9" x14ac:dyDescent="0.35">
      <c r="A472" t="s">
        <v>70</v>
      </c>
      <c r="B472" t="s">
        <v>71</v>
      </c>
      <c r="C472" t="s">
        <v>21</v>
      </c>
      <c r="D472" t="s">
        <v>155</v>
      </c>
      <c r="E472" t="s">
        <v>65</v>
      </c>
      <c r="F472" s="4">
        <v>3.7790925000000004</v>
      </c>
      <c r="G472" s="4">
        <f>IFERROR(F472-alt_Blanks!$I$17,F472)</f>
        <v>3.4471391000000002</v>
      </c>
      <c r="H472" s="7">
        <f t="shared" si="20"/>
        <v>3.4471391000000002</v>
      </c>
      <c r="I472" s="7">
        <f t="shared" si="21"/>
        <v>5.8555106166128761</v>
      </c>
    </row>
    <row r="473" spans="1:9" x14ac:dyDescent="0.35">
      <c r="A473" t="s">
        <v>70</v>
      </c>
      <c r="B473" t="s">
        <v>71</v>
      </c>
      <c r="C473" t="s">
        <v>22</v>
      </c>
      <c r="D473" t="s">
        <v>155</v>
      </c>
      <c r="E473" t="s">
        <v>65</v>
      </c>
      <c r="F473" s="4">
        <v>2318.1243254000001</v>
      </c>
      <c r="G473" s="4">
        <f>IFERROR(F473-alt_Blanks!$I$18,F473)</f>
        <v>2312.1208658</v>
      </c>
      <c r="H473" s="7">
        <f t="shared" si="20"/>
        <v>2312.1208658</v>
      </c>
      <c r="I473" s="7">
        <f t="shared" si="21"/>
        <v>3927.5027446916938</v>
      </c>
    </row>
    <row r="474" spans="1:9" x14ac:dyDescent="0.35">
      <c r="A474" t="s">
        <v>70</v>
      </c>
      <c r="B474" t="s">
        <v>71</v>
      </c>
      <c r="C474" t="s">
        <v>23</v>
      </c>
      <c r="D474" t="s">
        <v>155</v>
      </c>
      <c r="E474" t="s">
        <v>65</v>
      </c>
      <c r="F474" s="4">
        <v>0</v>
      </c>
      <c r="G474" s="4">
        <f>IFERROR(F474-alt_Blanks!$I$19,F474)</f>
        <v>0</v>
      </c>
      <c r="H474" s="7">
        <f t="shared" si="20"/>
        <v>0</v>
      </c>
      <c r="I474" s="7">
        <f t="shared" si="21"/>
        <v>0</v>
      </c>
    </row>
    <row r="475" spans="1:9" x14ac:dyDescent="0.35">
      <c r="A475" t="s">
        <v>70</v>
      </c>
      <c r="B475" t="s">
        <v>71</v>
      </c>
      <c r="C475" t="s">
        <v>24</v>
      </c>
      <c r="D475" t="s">
        <v>155</v>
      </c>
      <c r="E475" t="s">
        <v>65</v>
      </c>
      <c r="F475" s="4">
        <v>4662.2390374999995</v>
      </c>
      <c r="G475" s="4">
        <f>IFERROR(F475-alt_Blanks!$I$20,F475)</f>
        <v>4660.3010620999994</v>
      </c>
      <c r="H475" s="7">
        <f t="shared" si="20"/>
        <v>4660.3010620999994</v>
      </c>
      <c r="I475" s="7">
        <f t="shared" si="21"/>
        <v>7916.257961780193</v>
      </c>
    </row>
    <row r="476" spans="1:9" x14ac:dyDescent="0.35">
      <c r="A476" t="s">
        <v>70</v>
      </c>
      <c r="B476" t="s">
        <v>71</v>
      </c>
      <c r="C476" t="s">
        <v>25</v>
      </c>
      <c r="D476" t="s">
        <v>155</v>
      </c>
      <c r="E476" t="s">
        <v>65</v>
      </c>
      <c r="F476" s="4">
        <v>435.78198220000002</v>
      </c>
      <c r="G476" s="4">
        <f>IFERROR(F476-alt_Blanks!$I$21,F476)</f>
        <v>435.56747310000003</v>
      </c>
      <c r="H476" s="7">
        <f t="shared" si="20"/>
        <v>435.56747310000003</v>
      </c>
      <c r="I476" s="7">
        <f t="shared" si="21"/>
        <v>739.88019891285887</v>
      </c>
    </row>
    <row r="477" spans="1:9" x14ac:dyDescent="0.35">
      <c r="A477" t="s">
        <v>70</v>
      </c>
      <c r="B477" t="s">
        <v>71</v>
      </c>
      <c r="C477" t="s">
        <v>26</v>
      </c>
      <c r="D477" t="s">
        <v>153</v>
      </c>
      <c r="E477" t="s">
        <v>65</v>
      </c>
      <c r="F477" s="4">
        <v>27.809502299999998</v>
      </c>
      <c r="G477" s="4">
        <f>IFERROR(F477-alt_Blanks!$I$22,F477)</f>
        <v>26.214780899999997</v>
      </c>
      <c r="H477" s="7">
        <f t="shared" si="20"/>
        <v>26.214780899999997</v>
      </c>
      <c r="I477" s="7">
        <f t="shared" si="21"/>
        <v>44.529948870392388</v>
      </c>
    </row>
    <row r="478" spans="1:9" x14ac:dyDescent="0.35">
      <c r="A478" t="s">
        <v>70</v>
      </c>
      <c r="B478" t="s">
        <v>71</v>
      </c>
      <c r="C478" t="s">
        <v>27</v>
      </c>
      <c r="D478" t="s">
        <v>154</v>
      </c>
      <c r="E478" t="s">
        <v>65</v>
      </c>
      <c r="F478" s="4">
        <v>40.9244567</v>
      </c>
      <c r="G478" s="4">
        <f>IFERROR(F478-alt_Blanks!$I$23,F478)</f>
        <v>40.803719299999997</v>
      </c>
      <c r="H478" s="7">
        <f t="shared" si="20"/>
        <v>40.803719299999997</v>
      </c>
      <c r="I478" s="7">
        <f t="shared" si="21"/>
        <v>69.311566672328851</v>
      </c>
    </row>
    <row r="479" spans="1:9" x14ac:dyDescent="0.35">
      <c r="A479" t="s">
        <v>70</v>
      </c>
      <c r="B479" t="s">
        <v>71</v>
      </c>
      <c r="C479" t="s">
        <v>28</v>
      </c>
      <c r="D479" t="s">
        <v>155</v>
      </c>
      <c r="E479" t="s">
        <v>65</v>
      </c>
      <c r="F479" s="4">
        <v>11.014297500000001</v>
      </c>
      <c r="G479" s="4">
        <f>IFERROR(F479-alt_Blanks!$I$24,F479)</f>
        <v>10.767127900000002</v>
      </c>
      <c r="H479" s="7">
        <f t="shared" si="20"/>
        <v>10.767127900000002</v>
      </c>
      <c r="I479" s="7">
        <f t="shared" si="21"/>
        <v>18.289668591812472</v>
      </c>
    </row>
    <row r="480" spans="1:9" x14ac:dyDescent="0.35">
      <c r="A480" t="s">
        <v>70</v>
      </c>
      <c r="B480" t="s">
        <v>71</v>
      </c>
      <c r="C480" t="s">
        <v>29</v>
      </c>
      <c r="D480" t="s">
        <v>155</v>
      </c>
      <c r="E480" t="s">
        <v>65</v>
      </c>
      <c r="F480" s="4">
        <v>0.42648540000000001</v>
      </c>
      <c r="G480" s="4">
        <f>IFERROR(F480-alt_Blanks!$I$25,F480)</f>
        <v>-4.5755399999999946E-2</v>
      </c>
      <c r="H480" s="7">
        <f t="shared" si="20"/>
        <v>0</v>
      </c>
      <c r="I480" s="7">
        <f t="shared" si="21"/>
        <v>0</v>
      </c>
    </row>
    <row r="481" spans="1:9" x14ac:dyDescent="0.35">
      <c r="A481" t="s">
        <v>70</v>
      </c>
      <c r="B481" t="s">
        <v>71</v>
      </c>
      <c r="C481" t="s">
        <v>30</v>
      </c>
      <c r="D481" t="s">
        <v>155</v>
      </c>
      <c r="E481" t="s">
        <v>65</v>
      </c>
      <c r="F481" s="4">
        <v>70.756970100000004</v>
      </c>
      <c r="G481" s="4">
        <f>IFERROR(F481-alt_Blanks!$I$26,F481)</f>
        <v>70.176793799999999</v>
      </c>
      <c r="H481" s="7">
        <f t="shared" si="20"/>
        <v>70.176793799999999</v>
      </c>
      <c r="I481" s="7">
        <f t="shared" si="21"/>
        <v>119.20637642262612</v>
      </c>
    </row>
    <row r="482" spans="1:9" x14ac:dyDescent="0.35">
      <c r="A482" t="s">
        <v>70</v>
      </c>
      <c r="B482" t="s">
        <v>71</v>
      </c>
      <c r="C482" t="s">
        <v>31</v>
      </c>
      <c r="D482" t="s">
        <v>155</v>
      </c>
      <c r="E482" t="s">
        <v>65</v>
      </c>
      <c r="F482" s="4">
        <v>3.9305621999999998</v>
      </c>
      <c r="G482" s="4">
        <f>IFERROR(F482-alt_Blanks!$I$27,F482)</f>
        <v>3.9305621999999998</v>
      </c>
      <c r="H482" s="7">
        <f t="shared" si="20"/>
        <v>3.9305621999999998</v>
      </c>
      <c r="I482" s="7">
        <f t="shared" si="21"/>
        <v>6.6766811618821125</v>
      </c>
    </row>
    <row r="483" spans="1:9" x14ac:dyDescent="0.35">
      <c r="A483" t="s">
        <v>70</v>
      </c>
      <c r="B483" t="s">
        <v>71</v>
      </c>
      <c r="C483" t="s">
        <v>32</v>
      </c>
      <c r="D483" t="s">
        <v>153</v>
      </c>
      <c r="E483" t="s">
        <v>65</v>
      </c>
      <c r="F483" s="4">
        <v>0</v>
      </c>
      <c r="G483" s="4">
        <f>IFERROR(F483-alt_Blanks!$I$28,F483)</f>
        <v>0</v>
      </c>
      <c r="H483" s="7">
        <f t="shared" si="20"/>
        <v>0</v>
      </c>
      <c r="I483" s="7">
        <f t="shared" si="21"/>
        <v>0</v>
      </c>
    </row>
    <row r="484" spans="1:9" x14ac:dyDescent="0.35">
      <c r="A484" t="s">
        <v>70</v>
      </c>
      <c r="B484" t="s">
        <v>71</v>
      </c>
      <c r="C484" t="s">
        <v>33</v>
      </c>
      <c r="D484" t="s">
        <v>155</v>
      </c>
      <c r="E484" t="s">
        <v>65</v>
      </c>
      <c r="F484" s="4">
        <v>245.7771328</v>
      </c>
      <c r="G484" s="4">
        <f>IFERROR(F484-alt_Blanks!$I$29,F484)</f>
        <v>245.16551179999999</v>
      </c>
      <c r="H484" s="7">
        <f t="shared" si="20"/>
        <v>245.16551179999999</v>
      </c>
      <c r="I484" s="7">
        <f t="shared" si="21"/>
        <v>416.45237268557838</v>
      </c>
    </row>
    <row r="485" spans="1:9" x14ac:dyDescent="0.35">
      <c r="A485" t="s">
        <v>70</v>
      </c>
      <c r="B485" t="s">
        <v>71</v>
      </c>
      <c r="C485" t="s">
        <v>34</v>
      </c>
      <c r="D485" t="s">
        <v>153</v>
      </c>
      <c r="E485" t="s">
        <v>65</v>
      </c>
      <c r="F485" s="4">
        <v>8.0548824000000003</v>
      </c>
      <c r="G485" s="4">
        <f>IFERROR(F485-alt_Blanks!$I$30,F485)</f>
        <v>8.0548824000000003</v>
      </c>
      <c r="H485" s="7">
        <f t="shared" si="20"/>
        <v>8.0548824000000003</v>
      </c>
      <c r="I485" s="7">
        <f t="shared" si="21"/>
        <v>13.682490912179379</v>
      </c>
    </row>
    <row r="486" spans="1:9" x14ac:dyDescent="0.35">
      <c r="A486" t="s">
        <v>70</v>
      </c>
      <c r="B486" t="s">
        <v>71</v>
      </c>
      <c r="C486" t="s">
        <v>35</v>
      </c>
      <c r="D486" t="s">
        <v>154</v>
      </c>
      <c r="E486" t="s">
        <v>65</v>
      </c>
      <c r="F486" s="4">
        <v>156.79440289999999</v>
      </c>
      <c r="G486" s="4">
        <f>IFERROR(F486-alt_Blanks!$I$31,F486)</f>
        <v>54.3397693</v>
      </c>
      <c r="H486" s="7">
        <f t="shared" si="20"/>
        <v>54.3397693</v>
      </c>
      <c r="I486" s="7">
        <f t="shared" si="21"/>
        <v>92.30468710718533</v>
      </c>
    </row>
    <row r="487" spans="1:9" x14ac:dyDescent="0.35">
      <c r="A487" t="s">
        <v>70</v>
      </c>
      <c r="B487" t="s">
        <v>71</v>
      </c>
      <c r="C487" t="s">
        <v>36</v>
      </c>
      <c r="D487" t="s">
        <v>155</v>
      </c>
      <c r="E487" t="s">
        <v>65</v>
      </c>
      <c r="F487" s="4">
        <v>1.9360178000000001</v>
      </c>
      <c r="G487" s="4">
        <f>IFERROR(F487-alt_Blanks!$I$32,F487)</f>
        <v>8.4493000000001039E-3</v>
      </c>
      <c r="H487" s="7">
        <f t="shared" si="20"/>
        <v>8.4493000000001039E-3</v>
      </c>
      <c r="I487" s="7">
        <f t="shared" si="21"/>
        <v>1.4352471547477669E-2</v>
      </c>
    </row>
    <row r="488" spans="1:9" x14ac:dyDescent="0.35">
      <c r="A488" t="s">
        <v>70</v>
      </c>
      <c r="B488" t="s">
        <v>71</v>
      </c>
      <c r="C488" t="s">
        <v>37</v>
      </c>
      <c r="D488" t="s">
        <v>155</v>
      </c>
      <c r="E488" t="s">
        <v>65</v>
      </c>
      <c r="F488" s="4">
        <v>0.1548988</v>
      </c>
      <c r="G488" s="4">
        <f>IFERROR(F488-alt_Blanks!$I$33,F488)</f>
        <v>0.1548988</v>
      </c>
      <c r="H488" s="7">
        <f t="shared" si="20"/>
        <v>0.1548988</v>
      </c>
      <c r="I488" s="7">
        <f t="shared" si="21"/>
        <v>0.26312009512485135</v>
      </c>
    </row>
    <row r="489" spans="1:9" x14ac:dyDescent="0.35">
      <c r="A489" t="s">
        <v>70</v>
      </c>
      <c r="B489" t="s">
        <v>71</v>
      </c>
      <c r="C489" t="s">
        <v>38</v>
      </c>
      <c r="D489" t="s">
        <v>155</v>
      </c>
      <c r="E489" t="s">
        <v>65</v>
      </c>
      <c r="F489" s="4">
        <v>12.651214099999999</v>
      </c>
      <c r="G489" s="4">
        <f>IFERROR(F489-alt_Blanks!$I$34,F489)</f>
        <v>12.651214099999999</v>
      </c>
      <c r="H489" s="7">
        <f t="shared" si="20"/>
        <v>12.651214099999999</v>
      </c>
      <c r="I489" s="7">
        <f t="shared" si="21"/>
        <v>21.49008680142687</v>
      </c>
    </row>
    <row r="490" spans="1:9" x14ac:dyDescent="0.35">
      <c r="A490" t="s">
        <v>70</v>
      </c>
      <c r="B490" t="s">
        <v>71</v>
      </c>
      <c r="C490" t="s">
        <v>39</v>
      </c>
      <c r="D490" t="s">
        <v>153</v>
      </c>
      <c r="E490" t="s">
        <v>65</v>
      </c>
      <c r="F490" s="4">
        <v>151.0980055</v>
      </c>
      <c r="G490" s="4">
        <f>IFERROR(F490-alt_Blanks!$I$35,F490)</f>
        <v>151.0980055</v>
      </c>
      <c r="H490" s="7">
        <f t="shared" si="20"/>
        <v>151.0980055</v>
      </c>
      <c r="I490" s="7">
        <f t="shared" si="21"/>
        <v>256.6638449125191</v>
      </c>
    </row>
    <row r="491" spans="1:9" x14ac:dyDescent="0.35">
      <c r="A491" t="s">
        <v>70</v>
      </c>
      <c r="B491" t="s">
        <v>71</v>
      </c>
      <c r="C491" t="s">
        <v>40</v>
      </c>
      <c r="D491" t="s">
        <v>154</v>
      </c>
      <c r="E491" t="s">
        <v>65</v>
      </c>
      <c r="F491" s="4">
        <v>0</v>
      </c>
      <c r="G491" s="4">
        <f>IFERROR(F491-alt_Blanks!$I$36,F491)</f>
        <v>0</v>
      </c>
      <c r="H491" s="7">
        <f t="shared" si="20"/>
        <v>0</v>
      </c>
      <c r="I491" s="7">
        <f t="shared" si="21"/>
        <v>0</v>
      </c>
    </row>
    <row r="492" spans="1:9" x14ac:dyDescent="0.35">
      <c r="A492" t="s">
        <v>72</v>
      </c>
      <c r="B492" t="s">
        <v>73</v>
      </c>
      <c r="C492" t="s">
        <v>6</v>
      </c>
      <c r="D492" t="s">
        <v>153</v>
      </c>
      <c r="E492" t="s">
        <v>65</v>
      </c>
      <c r="F492" s="4">
        <v>6.6740167000000001</v>
      </c>
      <c r="G492" s="4">
        <f>IFERROR(F492-alt_Blanks!$I$2,F492)</f>
        <v>-3.2524400000000675E-2</v>
      </c>
      <c r="H492" s="7">
        <f t="shared" si="20"/>
        <v>0</v>
      </c>
      <c r="I492" s="7">
        <f>H492/0.6675</f>
        <v>0</v>
      </c>
    </row>
    <row r="493" spans="1:9" x14ac:dyDescent="0.35">
      <c r="A493" t="s">
        <v>72</v>
      </c>
      <c r="B493" t="s">
        <v>73</v>
      </c>
      <c r="C493" t="s">
        <v>7</v>
      </c>
      <c r="D493" t="s">
        <v>153</v>
      </c>
      <c r="E493" t="s">
        <v>65</v>
      </c>
      <c r="F493" s="4">
        <v>0</v>
      </c>
      <c r="G493" s="4">
        <f>IFERROR(F493-alt_Blanks!$I$3,F493)</f>
        <v>0</v>
      </c>
      <c r="H493" s="7">
        <f t="shared" si="20"/>
        <v>0</v>
      </c>
      <c r="I493" s="7">
        <f t="shared" ref="I493:I526" si="22">H493/0.6675</f>
        <v>0</v>
      </c>
    </row>
    <row r="494" spans="1:9" x14ac:dyDescent="0.35">
      <c r="A494" t="s">
        <v>72</v>
      </c>
      <c r="B494" t="s">
        <v>73</v>
      </c>
      <c r="C494" t="s">
        <v>8</v>
      </c>
      <c r="D494" t="s">
        <v>153</v>
      </c>
      <c r="E494" t="s">
        <v>65</v>
      </c>
      <c r="F494" s="4" t="e">
        <v>#N/A</v>
      </c>
      <c r="G494" s="4" t="e">
        <f>IFERROR(F494-alt_Blanks!$I$4,F494)</f>
        <v>#N/A</v>
      </c>
      <c r="H494" s="7" t="e">
        <f t="shared" si="20"/>
        <v>#N/A</v>
      </c>
      <c r="I494" s="7" t="e">
        <f t="shared" si="22"/>
        <v>#N/A</v>
      </c>
    </row>
    <row r="495" spans="1:9" x14ac:dyDescent="0.35">
      <c r="A495" t="s">
        <v>72</v>
      </c>
      <c r="B495" t="s">
        <v>73</v>
      </c>
      <c r="C495" t="s">
        <v>9</v>
      </c>
      <c r="D495" t="s">
        <v>153</v>
      </c>
      <c r="E495" t="s">
        <v>65</v>
      </c>
      <c r="F495" s="4">
        <v>3.9211511999999997</v>
      </c>
      <c r="G495" s="4">
        <f>IFERROR(F495-alt_Blanks!$I$5,F495)</f>
        <v>3.9211511999999997</v>
      </c>
      <c r="H495" s="7">
        <f t="shared" si="20"/>
        <v>3.9211511999999997</v>
      </c>
      <c r="I495" s="7">
        <f t="shared" si="22"/>
        <v>5.8743838202247192</v>
      </c>
    </row>
    <row r="496" spans="1:9" x14ac:dyDescent="0.35">
      <c r="A496" t="s">
        <v>72</v>
      </c>
      <c r="B496" t="s">
        <v>73</v>
      </c>
      <c r="C496" t="s">
        <v>10</v>
      </c>
      <c r="D496" t="s">
        <v>153</v>
      </c>
      <c r="E496" t="s">
        <v>65</v>
      </c>
      <c r="F496" s="4">
        <v>76.050122700000003</v>
      </c>
      <c r="G496" s="4">
        <f>IFERROR(F496-alt_Blanks!$I$6,F496)</f>
        <v>76.050122700000003</v>
      </c>
      <c r="H496" s="7">
        <f t="shared" si="20"/>
        <v>76.050122700000003</v>
      </c>
      <c r="I496" s="7">
        <f t="shared" si="22"/>
        <v>113.93276808988765</v>
      </c>
    </row>
    <row r="497" spans="1:9" x14ac:dyDescent="0.35">
      <c r="A497" t="s">
        <v>72</v>
      </c>
      <c r="B497" t="s">
        <v>73</v>
      </c>
      <c r="C497" t="s">
        <v>11</v>
      </c>
      <c r="D497" t="s">
        <v>153</v>
      </c>
      <c r="E497" t="s">
        <v>65</v>
      </c>
      <c r="F497" s="4">
        <v>79.314416100000003</v>
      </c>
      <c r="G497" s="4">
        <f>IFERROR(F497-alt_Blanks!$I$7,F497)</f>
        <v>79.314416100000003</v>
      </c>
      <c r="H497" s="7">
        <f t="shared" si="20"/>
        <v>79.314416100000003</v>
      </c>
      <c r="I497" s="7">
        <f t="shared" si="22"/>
        <v>118.82309528089888</v>
      </c>
    </row>
    <row r="498" spans="1:9" x14ac:dyDescent="0.35">
      <c r="A498" t="s">
        <v>72</v>
      </c>
      <c r="B498" t="s">
        <v>73</v>
      </c>
      <c r="C498" t="s">
        <v>12</v>
      </c>
      <c r="D498" t="s">
        <v>154</v>
      </c>
      <c r="E498" t="s">
        <v>65</v>
      </c>
      <c r="F498" s="4">
        <v>0</v>
      </c>
      <c r="G498" s="4">
        <f>IFERROR(F498-alt_Blanks!$I$8,F498)</f>
        <v>0</v>
      </c>
      <c r="H498" s="7">
        <f t="shared" si="20"/>
        <v>0</v>
      </c>
      <c r="I498" s="7">
        <f t="shared" si="22"/>
        <v>0</v>
      </c>
    </row>
    <row r="499" spans="1:9" x14ac:dyDescent="0.35">
      <c r="A499" t="s">
        <v>72</v>
      </c>
      <c r="B499" t="s">
        <v>73</v>
      </c>
      <c r="C499" t="s">
        <v>13</v>
      </c>
      <c r="D499" t="s">
        <v>153</v>
      </c>
      <c r="E499" t="s">
        <v>65</v>
      </c>
      <c r="F499" s="4">
        <v>14.3998428</v>
      </c>
      <c r="G499" s="4">
        <f>IFERROR(F499-alt_Blanks!$I$9,F499)</f>
        <v>14.3998428</v>
      </c>
      <c r="H499" s="7">
        <f t="shared" si="20"/>
        <v>14.3998428</v>
      </c>
      <c r="I499" s="7">
        <f t="shared" si="22"/>
        <v>21.572798202247192</v>
      </c>
    </row>
    <row r="500" spans="1:9" x14ac:dyDescent="0.35">
      <c r="A500" t="s">
        <v>72</v>
      </c>
      <c r="B500" t="s">
        <v>73</v>
      </c>
      <c r="C500" t="s">
        <v>14</v>
      </c>
      <c r="D500" t="s">
        <v>154</v>
      </c>
      <c r="E500" t="s">
        <v>65</v>
      </c>
      <c r="F500" s="4">
        <v>0</v>
      </c>
      <c r="G500" s="4">
        <f>IFERROR(F500-alt_Blanks!$I$10,F500)</f>
        <v>0</v>
      </c>
      <c r="H500" s="7">
        <f t="shared" si="20"/>
        <v>0</v>
      </c>
      <c r="I500" s="7">
        <f t="shared" si="22"/>
        <v>0</v>
      </c>
    </row>
    <row r="501" spans="1:9" x14ac:dyDescent="0.35">
      <c r="A501" t="s">
        <v>72</v>
      </c>
      <c r="B501" t="s">
        <v>73</v>
      </c>
      <c r="C501" t="s">
        <v>15</v>
      </c>
      <c r="D501" t="s">
        <v>153</v>
      </c>
      <c r="E501" t="s">
        <v>65</v>
      </c>
      <c r="F501" s="4">
        <v>2314.9183994</v>
      </c>
      <c r="G501" s="4">
        <f>IFERROR(F501-alt_Blanks!$I$11,F501)</f>
        <v>1509.7017097</v>
      </c>
      <c r="H501" s="7">
        <f t="shared" si="20"/>
        <v>1509.7017097</v>
      </c>
      <c r="I501" s="7">
        <f t="shared" si="22"/>
        <v>2261.7254077902621</v>
      </c>
    </row>
    <row r="502" spans="1:9" x14ac:dyDescent="0.35">
      <c r="A502" t="s">
        <v>72</v>
      </c>
      <c r="B502" t="s">
        <v>73</v>
      </c>
      <c r="C502" t="s">
        <v>16</v>
      </c>
      <c r="D502" t="s">
        <v>154</v>
      </c>
      <c r="E502" t="s">
        <v>65</v>
      </c>
      <c r="F502" s="4">
        <v>267.76593310000004</v>
      </c>
      <c r="G502" s="4">
        <f>IFERROR(F502-alt_Blanks!$I$12,F502)</f>
        <v>267.76593310000004</v>
      </c>
      <c r="H502" s="7">
        <f t="shared" si="20"/>
        <v>267.76593310000004</v>
      </c>
      <c r="I502" s="7">
        <f t="shared" si="22"/>
        <v>401.14746531835215</v>
      </c>
    </row>
    <row r="503" spans="1:9" x14ac:dyDescent="0.35">
      <c r="A503" t="s">
        <v>72</v>
      </c>
      <c r="B503" t="s">
        <v>73</v>
      </c>
      <c r="C503" t="s">
        <v>17</v>
      </c>
      <c r="D503" t="s">
        <v>153</v>
      </c>
      <c r="E503" t="s">
        <v>65</v>
      </c>
      <c r="F503" s="4">
        <v>20.2711404</v>
      </c>
      <c r="G503" s="4">
        <f>IFERROR(F503-alt_Blanks!$I$13,F503)</f>
        <v>19.4184269</v>
      </c>
      <c r="H503" s="7">
        <f t="shared" si="20"/>
        <v>19.4184269</v>
      </c>
      <c r="I503" s="7">
        <f t="shared" si="22"/>
        <v>29.091276254681649</v>
      </c>
    </row>
    <row r="504" spans="1:9" x14ac:dyDescent="0.35">
      <c r="A504" t="s">
        <v>72</v>
      </c>
      <c r="B504" t="s">
        <v>73</v>
      </c>
      <c r="C504" t="s">
        <v>18</v>
      </c>
      <c r="D504" t="s">
        <v>154</v>
      </c>
      <c r="E504" t="s">
        <v>65</v>
      </c>
      <c r="F504" s="4">
        <v>0</v>
      </c>
      <c r="G504" s="4">
        <f>IFERROR(F504-alt_Blanks!$I$14,F504)</f>
        <v>0</v>
      </c>
      <c r="H504" s="7">
        <f t="shared" si="20"/>
        <v>0</v>
      </c>
      <c r="I504" s="7">
        <f t="shared" si="22"/>
        <v>0</v>
      </c>
    </row>
    <row r="505" spans="1:9" x14ac:dyDescent="0.35">
      <c r="A505" t="s">
        <v>72</v>
      </c>
      <c r="B505" t="s">
        <v>73</v>
      </c>
      <c r="C505" t="s">
        <v>19</v>
      </c>
      <c r="D505" t="s">
        <v>153</v>
      </c>
      <c r="E505" t="s">
        <v>65</v>
      </c>
      <c r="F505" s="4">
        <v>479.38030459999999</v>
      </c>
      <c r="G505" s="4">
        <f>IFERROR(F505-alt_Blanks!$I$15,F505)</f>
        <v>210.75690750000001</v>
      </c>
      <c r="H505" s="7">
        <f t="shared" si="20"/>
        <v>210.75690750000001</v>
      </c>
      <c r="I505" s="7">
        <f t="shared" si="22"/>
        <v>315.74068539325845</v>
      </c>
    </row>
    <row r="506" spans="1:9" x14ac:dyDescent="0.35">
      <c r="A506" t="s">
        <v>72</v>
      </c>
      <c r="B506" t="s">
        <v>73</v>
      </c>
      <c r="C506" t="s">
        <v>20</v>
      </c>
      <c r="D506" t="s">
        <v>154</v>
      </c>
      <c r="E506" t="s">
        <v>65</v>
      </c>
      <c r="F506" s="4">
        <v>410.53133990000003</v>
      </c>
      <c r="G506" s="4">
        <f>IFERROR(F506-alt_Blanks!$I$16,F506)</f>
        <v>392.06542670000005</v>
      </c>
      <c r="H506" s="7">
        <f t="shared" si="20"/>
        <v>392.06542670000005</v>
      </c>
      <c r="I506" s="7">
        <f t="shared" si="22"/>
        <v>587.36393513108624</v>
      </c>
    </row>
    <row r="507" spans="1:9" x14ac:dyDescent="0.35">
      <c r="A507" t="s">
        <v>72</v>
      </c>
      <c r="B507" t="s">
        <v>73</v>
      </c>
      <c r="C507" t="s">
        <v>21</v>
      </c>
      <c r="D507" t="s">
        <v>155</v>
      </c>
      <c r="E507" t="s">
        <v>65</v>
      </c>
      <c r="F507" s="4">
        <v>1.4892816</v>
      </c>
      <c r="G507" s="4">
        <f>IFERROR(F507-alt_Blanks!$I$17,F507)</f>
        <v>1.1573282</v>
      </c>
      <c r="H507" s="7">
        <f t="shared" si="20"/>
        <v>1.1573282</v>
      </c>
      <c r="I507" s="7">
        <f t="shared" si="22"/>
        <v>1.7338250187265918</v>
      </c>
    </row>
    <row r="508" spans="1:9" x14ac:dyDescent="0.35">
      <c r="A508" t="s">
        <v>72</v>
      </c>
      <c r="B508" t="s">
        <v>73</v>
      </c>
      <c r="C508" t="s">
        <v>22</v>
      </c>
      <c r="D508" t="s">
        <v>155</v>
      </c>
      <c r="E508" t="s">
        <v>65</v>
      </c>
      <c r="F508" s="4">
        <v>196.64121510000001</v>
      </c>
      <c r="G508" s="4">
        <f>IFERROR(F508-alt_Blanks!$I$18,F508)</f>
        <v>190.6377555</v>
      </c>
      <c r="H508" s="7">
        <f t="shared" si="20"/>
        <v>190.6377555</v>
      </c>
      <c r="I508" s="7">
        <f t="shared" si="22"/>
        <v>285.59963370786517</v>
      </c>
    </row>
    <row r="509" spans="1:9" x14ac:dyDescent="0.35">
      <c r="A509" t="s">
        <v>72</v>
      </c>
      <c r="B509" t="s">
        <v>73</v>
      </c>
      <c r="C509" t="s">
        <v>23</v>
      </c>
      <c r="D509" t="s">
        <v>155</v>
      </c>
      <c r="E509" t="s">
        <v>65</v>
      </c>
      <c r="F509" s="4">
        <v>0.48720429999999998</v>
      </c>
      <c r="G509" s="4">
        <f>IFERROR(F509-alt_Blanks!$I$19,F509)</f>
        <v>0.48720429999999998</v>
      </c>
      <c r="H509" s="7">
        <f t="shared" si="20"/>
        <v>0.48720429999999998</v>
      </c>
      <c r="I509" s="7">
        <f t="shared" si="22"/>
        <v>0.72989408239700371</v>
      </c>
    </row>
    <row r="510" spans="1:9" x14ac:dyDescent="0.35">
      <c r="A510" t="s">
        <v>72</v>
      </c>
      <c r="B510" t="s">
        <v>73</v>
      </c>
      <c r="C510" t="s">
        <v>24</v>
      </c>
      <c r="D510" t="s">
        <v>155</v>
      </c>
      <c r="E510" t="s">
        <v>65</v>
      </c>
      <c r="F510" s="4">
        <v>171.92456200000001</v>
      </c>
      <c r="G510" s="4">
        <f>IFERROR(F510-alt_Blanks!$I$20,F510)</f>
        <v>169.98658660000001</v>
      </c>
      <c r="H510" s="7">
        <f t="shared" si="20"/>
        <v>169.98658660000001</v>
      </c>
      <c r="I510" s="7">
        <f t="shared" si="22"/>
        <v>254.66155295880151</v>
      </c>
    </row>
    <row r="511" spans="1:9" x14ac:dyDescent="0.35">
      <c r="A511" t="s">
        <v>72</v>
      </c>
      <c r="B511" t="s">
        <v>73</v>
      </c>
      <c r="C511" t="s">
        <v>25</v>
      </c>
      <c r="D511" t="s">
        <v>155</v>
      </c>
      <c r="E511" t="s">
        <v>65</v>
      </c>
      <c r="F511" s="4">
        <v>7.9447387000000003</v>
      </c>
      <c r="G511" s="4">
        <f>IFERROR(F511-alt_Blanks!$I$21,F511)</f>
        <v>7.7302296000000004</v>
      </c>
      <c r="H511" s="7">
        <f t="shared" si="20"/>
        <v>7.7302296000000004</v>
      </c>
      <c r="I511" s="7">
        <f t="shared" si="22"/>
        <v>11.580868314606743</v>
      </c>
    </row>
    <row r="512" spans="1:9" x14ac:dyDescent="0.35">
      <c r="A512" t="s">
        <v>72</v>
      </c>
      <c r="B512" t="s">
        <v>73</v>
      </c>
      <c r="C512" t="s">
        <v>26</v>
      </c>
      <c r="D512" t="s">
        <v>153</v>
      </c>
      <c r="E512" t="s">
        <v>65</v>
      </c>
      <c r="F512" s="4">
        <v>1.3960406000000001</v>
      </c>
      <c r="G512" s="4">
        <f>IFERROR(F512-alt_Blanks!$I$22,F512)</f>
        <v>-0.19868079999999977</v>
      </c>
      <c r="H512" s="7">
        <f t="shared" si="20"/>
        <v>0</v>
      </c>
      <c r="I512" s="7">
        <f t="shared" si="22"/>
        <v>0</v>
      </c>
    </row>
    <row r="513" spans="1:9" x14ac:dyDescent="0.35">
      <c r="A513" t="s">
        <v>72</v>
      </c>
      <c r="B513" t="s">
        <v>73</v>
      </c>
      <c r="C513" t="s">
        <v>27</v>
      </c>
      <c r="D513" t="s">
        <v>154</v>
      </c>
      <c r="E513" t="s">
        <v>65</v>
      </c>
      <c r="F513" s="4">
        <v>10.1013825</v>
      </c>
      <c r="G513" s="4">
        <f>IFERROR(F513-alt_Blanks!$I$23,F513)</f>
        <v>9.9806451000000003</v>
      </c>
      <c r="H513" s="7">
        <f t="shared" si="20"/>
        <v>9.9806451000000003</v>
      </c>
      <c r="I513" s="7">
        <f t="shared" si="22"/>
        <v>14.952277303370787</v>
      </c>
    </row>
    <row r="514" spans="1:9" x14ac:dyDescent="0.35">
      <c r="A514" t="s">
        <v>72</v>
      </c>
      <c r="B514" t="s">
        <v>73</v>
      </c>
      <c r="C514" t="s">
        <v>28</v>
      </c>
      <c r="D514" t="s">
        <v>155</v>
      </c>
      <c r="E514" t="s">
        <v>65</v>
      </c>
      <c r="F514" s="4">
        <v>29.1996331</v>
      </c>
      <c r="G514" s="4">
        <f>IFERROR(F514-alt_Blanks!$I$24,F514)</f>
        <v>28.9524635</v>
      </c>
      <c r="H514" s="7">
        <f t="shared" si="20"/>
        <v>28.9524635</v>
      </c>
      <c r="I514" s="7">
        <f t="shared" si="22"/>
        <v>43.374477153558054</v>
      </c>
    </row>
    <row r="515" spans="1:9" x14ac:dyDescent="0.35">
      <c r="A515" t="s">
        <v>72</v>
      </c>
      <c r="B515" t="s">
        <v>73</v>
      </c>
      <c r="C515" t="s">
        <v>29</v>
      </c>
      <c r="D515" t="s">
        <v>155</v>
      </c>
      <c r="E515" t="s">
        <v>65</v>
      </c>
      <c r="F515" s="4">
        <v>0.65354269999999992</v>
      </c>
      <c r="G515" s="4">
        <f>IFERROR(F515-alt_Blanks!$I$25,F515)</f>
        <v>0.18130189999999996</v>
      </c>
      <c r="H515" s="7">
        <f t="shared" si="20"/>
        <v>0.18130189999999996</v>
      </c>
      <c r="I515" s="7">
        <f t="shared" si="22"/>
        <v>0.27161333333333326</v>
      </c>
    </row>
    <row r="516" spans="1:9" x14ac:dyDescent="0.35">
      <c r="A516" t="s">
        <v>72</v>
      </c>
      <c r="B516" t="s">
        <v>73</v>
      </c>
      <c r="C516" t="s">
        <v>30</v>
      </c>
      <c r="D516" t="s">
        <v>155</v>
      </c>
      <c r="E516" t="s">
        <v>65</v>
      </c>
      <c r="F516" s="4">
        <v>205.3323513</v>
      </c>
      <c r="G516" s="4">
        <f>IFERROR(F516-alt_Blanks!$I$26,F516)</f>
        <v>204.75217499999999</v>
      </c>
      <c r="H516" s="7">
        <f t="shared" si="20"/>
        <v>204.75217499999999</v>
      </c>
      <c r="I516" s="7">
        <f t="shared" si="22"/>
        <v>306.74483146067416</v>
      </c>
    </row>
    <row r="517" spans="1:9" x14ac:dyDescent="0.35">
      <c r="A517" t="s">
        <v>72</v>
      </c>
      <c r="B517" t="s">
        <v>73</v>
      </c>
      <c r="C517" t="s">
        <v>31</v>
      </c>
      <c r="D517" t="s">
        <v>155</v>
      </c>
      <c r="E517" t="s">
        <v>65</v>
      </c>
      <c r="F517" s="4" t="e">
        <v>#N/A</v>
      </c>
      <c r="G517" s="4" t="e">
        <f>IFERROR(F517-alt_Blanks!$I$27,F517)</f>
        <v>#N/A</v>
      </c>
      <c r="H517" s="7" t="e">
        <f t="shared" si="20"/>
        <v>#N/A</v>
      </c>
      <c r="I517" s="7" t="e">
        <f t="shared" si="22"/>
        <v>#N/A</v>
      </c>
    </row>
    <row r="518" spans="1:9" x14ac:dyDescent="0.35">
      <c r="A518" t="s">
        <v>72</v>
      </c>
      <c r="B518" t="s">
        <v>73</v>
      </c>
      <c r="C518" t="s">
        <v>32</v>
      </c>
      <c r="D518" t="s">
        <v>153</v>
      </c>
      <c r="E518" t="s">
        <v>65</v>
      </c>
      <c r="F518" s="4">
        <v>0</v>
      </c>
      <c r="G518" s="4">
        <f>IFERROR(F518-alt_Blanks!$I$28,F518)</f>
        <v>0</v>
      </c>
      <c r="H518" s="7">
        <f t="shared" ref="H518:H581" si="23">IF(G518&lt;0,0,G518)</f>
        <v>0</v>
      </c>
      <c r="I518" s="7">
        <f t="shared" si="22"/>
        <v>0</v>
      </c>
    </row>
    <row r="519" spans="1:9" x14ac:dyDescent="0.35">
      <c r="A519" t="s">
        <v>72</v>
      </c>
      <c r="B519" t="s">
        <v>73</v>
      </c>
      <c r="C519" t="s">
        <v>33</v>
      </c>
      <c r="D519" t="s">
        <v>155</v>
      </c>
      <c r="E519" t="s">
        <v>65</v>
      </c>
      <c r="F519" s="4">
        <v>176.332233</v>
      </c>
      <c r="G519" s="4">
        <f>IFERROR(F519-alt_Blanks!$I$29,F519)</f>
        <v>175.72061199999999</v>
      </c>
      <c r="H519" s="7">
        <f t="shared" si="23"/>
        <v>175.72061199999999</v>
      </c>
      <c r="I519" s="7">
        <f t="shared" si="22"/>
        <v>263.25185318352061</v>
      </c>
    </row>
    <row r="520" spans="1:9" x14ac:dyDescent="0.35">
      <c r="A520" t="s">
        <v>72</v>
      </c>
      <c r="B520" t="s">
        <v>73</v>
      </c>
      <c r="C520" t="s">
        <v>34</v>
      </c>
      <c r="D520" t="s">
        <v>153</v>
      </c>
      <c r="E520" t="s">
        <v>65</v>
      </c>
      <c r="F520" s="4">
        <v>0</v>
      </c>
      <c r="G520" s="4">
        <f>IFERROR(F520-alt_Blanks!$I$30,F520)</f>
        <v>0</v>
      </c>
      <c r="H520" s="7">
        <f t="shared" si="23"/>
        <v>0</v>
      </c>
      <c r="I520" s="7">
        <f t="shared" si="22"/>
        <v>0</v>
      </c>
    </row>
    <row r="521" spans="1:9" x14ac:dyDescent="0.35">
      <c r="A521" t="s">
        <v>72</v>
      </c>
      <c r="B521" t="s">
        <v>73</v>
      </c>
      <c r="C521" t="s">
        <v>35</v>
      </c>
      <c r="D521" t="s">
        <v>154</v>
      </c>
      <c r="E521" t="s">
        <v>65</v>
      </c>
      <c r="F521" s="4">
        <v>121.65280560000001</v>
      </c>
      <c r="G521" s="4">
        <f>IFERROR(F521-alt_Blanks!$I$31,F521)</f>
        <v>19.198172000000014</v>
      </c>
      <c r="H521" s="7">
        <f t="shared" si="23"/>
        <v>19.198172000000014</v>
      </c>
      <c r="I521" s="7">
        <f t="shared" si="22"/>
        <v>28.761306367041222</v>
      </c>
    </row>
    <row r="522" spans="1:9" x14ac:dyDescent="0.35">
      <c r="A522" t="s">
        <v>72</v>
      </c>
      <c r="B522" t="s">
        <v>73</v>
      </c>
      <c r="C522" t="s">
        <v>36</v>
      </c>
      <c r="D522" t="s">
        <v>155</v>
      </c>
      <c r="E522" t="s">
        <v>65</v>
      </c>
      <c r="F522" s="4">
        <v>1.9353707</v>
      </c>
      <c r="G522" s="4">
        <f>IFERROR(F522-alt_Blanks!$I$32,F522)</f>
        <v>7.8021999999999814E-3</v>
      </c>
      <c r="H522" s="7">
        <f t="shared" si="23"/>
        <v>7.8021999999999814E-3</v>
      </c>
      <c r="I522" s="7">
        <f t="shared" si="22"/>
        <v>1.1688689138576751E-2</v>
      </c>
    </row>
    <row r="523" spans="1:9" x14ac:dyDescent="0.35">
      <c r="A523" t="s">
        <v>72</v>
      </c>
      <c r="B523" t="s">
        <v>73</v>
      </c>
      <c r="C523" t="s">
        <v>37</v>
      </c>
      <c r="D523" t="s">
        <v>155</v>
      </c>
      <c r="E523" t="s">
        <v>65</v>
      </c>
      <c r="F523" s="4">
        <v>6.9613172999999993</v>
      </c>
      <c r="G523" s="4">
        <f>IFERROR(F523-alt_Blanks!$I$33,F523)</f>
        <v>6.9613172999999993</v>
      </c>
      <c r="H523" s="7">
        <f t="shared" si="23"/>
        <v>6.9613172999999993</v>
      </c>
      <c r="I523" s="7">
        <f t="shared" si="22"/>
        <v>10.428939775280899</v>
      </c>
    </row>
    <row r="524" spans="1:9" x14ac:dyDescent="0.35">
      <c r="A524" t="s">
        <v>72</v>
      </c>
      <c r="B524" t="s">
        <v>73</v>
      </c>
      <c r="C524" t="s">
        <v>38</v>
      </c>
      <c r="D524" t="s">
        <v>155</v>
      </c>
      <c r="E524" t="s">
        <v>65</v>
      </c>
      <c r="F524" s="4">
        <v>6.4502670999999996</v>
      </c>
      <c r="G524" s="4">
        <f>IFERROR(F524-alt_Blanks!$I$34,F524)</f>
        <v>6.4502670999999996</v>
      </c>
      <c r="H524" s="7">
        <f t="shared" si="23"/>
        <v>6.4502670999999996</v>
      </c>
      <c r="I524" s="7">
        <f t="shared" si="22"/>
        <v>9.6633214981273401</v>
      </c>
    </row>
    <row r="525" spans="1:9" x14ac:dyDescent="0.35">
      <c r="A525" t="s">
        <v>72</v>
      </c>
      <c r="B525" t="s">
        <v>73</v>
      </c>
      <c r="C525" t="s">
        <v>39</v>
      </c>
      <c r="D525" t="s">
        <v>153</v>
      </c>
      <c r="E525" t="s">
        <v>65</v>
      </c>
      <c r="F525" s="4">
        <v>12.6469337</v>
      </c>
      <c r="G525" s="4">
        <f>IFERROR(F525-alt_Blanks!$I$35,F525)</f>
        <v>12.6469337</v>
      </c>
      <c r="H525" s="7">
        <f t="shared" si="23"/>
        <v>12.6469337</v>
      </c>
      <c r="I525" s="7">
        <f t="shared" si="22"/>
        <v>18.946717153558051</v>
      </c>
    </row>
    <row r="526" spans="1:9" x14ac:dyDescent="0.35">
      <c r="A526" t="s">
        <v>72</v>
      </c>
      <c r="B526" t="s">
        <v>73</v>
      </c>
      <c r="C526" t="s">
        <v>40</v>
      </c>
      <c r="D526" t="s">
        <v>154</v>
      </c>
      <c r="E526" t="s">
        <v>65</v>
      </c>
      <c r="F526" s="4">
        <v>0</v>
      </c>
      <c r="G526" s="4">
        <f>IFERROR(F526-alt_Blanks!$I$36,F526)</f>
        <v>0</v>
      </c>
      <c r="H526" s="7">
        <f t="shared" si="23"/>
        <v>0</v>
      </c>
      <c r="I526" s="7">
        <f t="shared" si="22"/>
        <v>0</v>
      </c>
    </row>
    <row r="527" spans="1:9" x14ac:dyDescent="0.35">
      <c r="A527" t="s">
        <v>74</v>
      </c>
      <c r="B527" t="s">
        <v>75</v>
      </c>
      <c r="C527" t="s">
        <v>6</v>
      </c>
      <c r="D527" t="s">
        <v>153</v>
      </c>
      <c r="E527" t="s">
        <v>65</v>
      </c>
      <c r="F527" s="4">
        <v>6.7009607999999998</v>
      </c>
      <c r="G527" s="4">
        <f>IFERROR(F527-alt_Blanks!$I$2,F527)</f>
        <v>-5.5803000000009817E-3</v>
      </c>
      <c r="H527" s="7">
        <f t="shared" si="23"/>
        <v>0</v>
      </c>
      <c r="I527" s="7">
        <f>H527/0.4536</f>
        <v>0</v>
      </c>
    </row>
    <row r="528" spans="1:9" x14ac:dyDescent="0.35">
      <c r="A528" t="s">
        <v>74</v>
      </c>
      <c r="B528" t="s">
        <v>75</v>
      </c>
      <c r="C528" t="s">
        <v>7</v>
      </c>
      <c r="D528" t="s">
        <v>153</v>
      </c>
      <c r="E528" t="s">
        <v>65</v>
      </c>
      <c r="F528" s="4">
        <v>0</v>
      </c>
      <c r="G528" s="4">
        <f>IFERROR(F528-alt_Blanks!$I$3,F528)</f>
        <v>0</v>
      </c>
      <c r="H528" s="7">
        <f t="shared" si="23"/>
        <v>0</v>
      </c>
      <c r="I528" s="7">
        <f t="shared" ref="I528:I561" si="24">H528/0.4536</f>
        <v>0</v>
      </c>
    </row>
    <row r="529" spans="1:9" x14ac:dyDescent="0.35">
      <c r="A529" t="s">
        <v>74</v>
      </c>
      <c r="B529" t="s">
        <v>75</v>
      </c>
      <c r="C529" t="s">
        <v>8</v>
      </c>
      <c r="D529" t="s">
        <v>153</v>
      </c>
      <c r="E529" t="s">
        <v>65</v>
      </c>
      <c r="F529" s="4" t="e">
        <v>#N/A</v>
      </c>
      <c r="G529" s="4" t="e">
        <f>IFERROR(F529-alt_Blanks!$I$4,F529)</f>
        <v>#N/A</v>
      </c>
      <c r="H529" s="7" t="e">
        <f t="shared" si="23"/>
        <v>#N/A</v>
      </c>
      <c r="I529" s="7" t="e">
        <f t="shared" si="24"/>
        <v>#N/A</v>
      </c>
    </row>
    <row r="530" spans="1:9" x14ac:dyDescent="0.35">
      <c r="A530" t="s">
        <v>74</v>
      </c>
      <c r="B530" t="s">
        <v>75</v>
      </c>
      <c r="C530" t="s">
        <v>9</v>
      </c>
      <c r="D530" t="s">
        <v>153</v>
      </c>
      <c r="E530" t="s">
        <v>65</v>
      </c>
      <c r="F530" s="4">
        <v>1.8041423000000001</v>
      </c>
      <c r="G530" s="4">
        <f>IFERROR(F530-alt_Blanks!$I$5,F530)</f>
        <v>1.8041423000000001</v>
      </c>
      <c r="H530" s="7">
        <f t="shared" si="23"/>
        <v>1.8041423000000001</v>
      </c>
      <c r="I530" s="7">
        <f t="shared" si="24"/>
        <v>3.9773860229276896</v>
      </c>
    </row>
    <row r="531" spans="1:9" x14ac:dyDescent="0.35">
      <c r="A531" t="s">
        <v>74</v>
      </c>
      <c r="B531" t="s">
        <v>75</v>
      </c>
      <c r="C531" t="s">
        <v>10</v>
      </c>
      <c r="D531" t="s">
        <v>153</v>
      </c>
      <c r="E531" t="s">
        <v>65</v>
      </c>
      <c r="F531" s="4">
        <v>71.632268400000001</v>
      </c>
      <c r="G531" s="4">
        <f>IFERROR(F531-alt_Blanks!$I$6,F531)</f>
        <v>71.632268400000001</v>
      </c>
      <c r="H531" s="7">
        <f t="shared" si="23"/>
        <v>71.632268400000001</v>
      </c>
      <c r="I531" s="7">
        <f t="shared" si="24"/>
        <v>157.91946296296297</v>
      </c>
    </row>
    <row r="532" spans="1:9" x14ac:dyDescent="0.35">
      <c r="A532" t="s">
        <v>74</v>
      </c>
      <c r="B532" t="s">
        <v>75</v>
      </c>
      <c r="C532" t="s">
        <v>11</v>
      </c>
      <c r="D532" t="s">
        <v>153</v>
      </c>
      <c r="E532" t="s">
        <v>65</v>
      </c>
      <c r="F532" s="4">
        <v>44.227004299999997</v>
      </c>
      <c r="G532" s="4">
        <f>IFERROR(F532-alt_Blanks!$I$7,F532)</f>
        <v>44.227004299999997</v>
      </c>
      <c r="H532" s="7">
        <f t="shared" si="23"/>
        <v>44.227004299999997</v>
      </c>
      <c r="I532" s="7">
        <f t="shared" si="24"/>
        <v>97.502214065255728</v>
      </c>
    </row>
    <row r="533" spans="1:9" x14ac:dyDescent="0.35">
      <c r="A533" t="s">
        <v>74</v>
      </c>
      <c r="B533" t="s">
        <v>75</v>
      </c>
      <c r="C533" t="s">
        <v>12</v>
      </c>
      <c r="D533" t="s">
        <v>154</v>
      </c>
      <c r="E533" t="s">
        <v>65</v>
      </c>
      <c r="F533" s="4">
        <v>0</v>
      </c>
      <c r="G533" s="4">
        <f>IFERROR(F533-alt_Blanks!$I$8,F533)</f>
        <v>0</v>
      </c>
      <c r="H533" s="7">
        <f t="shared" si="23"/>
        <v>0</v>
      </c>
      <c r="I533" s="7">
        <f t="shared" si="24"/>
        <v>0</v>
      </c>
    </row>
    <row r="534" spans="1:9" x14ac:dyDescent="0.35">
      <c r="A534" t="s">
        <v>74</v>
      </c>
      <c r="B534" t="s">
        <v>75</v>
      </c>
      <c r="C534" t="s">
        <v>13</v>
      </c>
      <c r="D534" t="s">
        <v>153</v>
      </c>
      <c r="E534" t="s">
        <v>65</v>
      </c>
      <c r="F534" s="4">
        <v>11.7503709</v>
      </c>
      <c r="G534" s="4">
        <f>IFERROR(F534-alt_Blanks!$I$9,F534)</f>
        <v>11.7503709</v>
      </c>
      <c r="H534" s="7">
        <f t="shared" si="23"/>
        <v>11.7503709</v>
      </c>
      <c r="I534" s="7">
        <f t="shared" si="24"/>
        <v>25.90469775132275</v>
      </c>
    </row>
    <row r="535" spans="1:9" x14ac:dyDescent="0.35">
      <c r="A535" t="s">
        <v>74</v>
      </c>
      <c r="B535" t="s">
        <v>75</v>
      </c>
      <c r="C535" t="s">
        <v>14</v>
      </c>
      <c r="D535" t="s">
        <v>154</v>
      </c>
      <c r="E535" t="s">
        <v>65</v>
      </c>
      <c r="F535" s="4">
        <v>0</v>
      </c>
      <c r="G535" s="4">
        <f>IFERROR(F535-alt_Blanks!$I$10,F535)</f>
        <v>0</v>
      </c>
      <c r="H535" s="7">
        <f t="shared" si="23"/>
        <v>0</v>
      </c>
      <c r="I535" s="7">
        <f t="shared" si="24"/>
        <v>0</v>
      </c>
    </row>
    <row r="536" spans="1:9" x14ac:dyDescent="0.35">
      <c r="A536" t="s">
        <v>74</v>
      </c>
      <c r="B536" t="s">
        <v>75</v>
      </c>
      <c r="C536" t="s">
        <v>15</v>
      </c>
      <c r="D536" t="s">
        <v>153</v>
      </c>
      <c r="E536" t="s">
        <v>65</v>
      </c>
      <c r="F536" s="4">
        <v>1889.5194114000001</v>
      </c>
      <c r="G536" s="4">
        <f>IFERROR(F536-alt_Blanks!$I$11,F536)</f>
        <v>1084.3027217000001</v>
      </c>
      <c r="H536" s="7">
        <f t="shared" si="23"/>
        <v>1084.3027217000001</v>
      </c>
      <c r="I536" s="7">
        <f t="shared" si="24"/>
        <v>2390.438098985891</v>
      </c>
    </row>
    <row r="537" spans="1:9" x14ac:dyDescent="0.35">
      <c r="A537" t="s">
        <v>74</v>
      </c>
      <c r="B537" t="s">
        <v>75</v>
      </c>
      <c r="C537" t="s">
        <v>16</v>
      </c>
      <c r="D537" t="s">
        <v>154</v>
      </c>
      <c r="E537" t="s">
        <v>65</v>
      </c>
      <c r="F537" s="4">
        <v>76.218546000000003</v>
      </c>
      <c r="G537" s="4">
        <f>IFERROR(F537-alt_Blanks!$I$12,F537)</f>
        <v>76.218546000000003</v>
      </c>
      <c r="H537" s="7">
        <f t="shared" si="23"/>
        <v>76.218546000000003</v>
      </c>
      <c r="I537" s="7">
        <f t="shared" si="24"/>
        <v>168.03030423280424</v>
      </c>
    </row>
    <row r="538" spans="1:9" x14ac:dyDescent="0.35">
      <c r="A538" t="s">
        <v>74</v>
      </c>
      <c r="B538" t="s">
        <v>75</v>
      </c>
      <c r="C538" t="s">
        <v>17</v>
      </c>
      <c r="D538" t="s">
        <v>153</v>
      </c>
      <c r="E538" t="s">
        <v>65</v>
      </c>
      <c r="F538" s="4">
        <v>14.5516846</v>
      </c>
      <c r="G538" s="4">
        <f>IFERROR(F538-alt_Blanks!$I$13,F538)</f>
        <v>13.6989711</v>
      </c>
      <c r="H538" s="7">
        <f t="shared" si="23"/>
        <v>13.6989711</v>
      </c>
      <c r="I538" s="7">
        <f t="shared" si="24"/>
        <v>30.200553571428571</v>
      </c>
    </row>
    <row r="539" spans="1:9" x14ac:dyDescent="0.35">
      <c r="A539" t="s">
        <v>74</v>
      </c>
      <c r="B539" t="s">
        <v>75</v>
      </c>
      <c r="C539" t="s">
        <v>18</v>
      </c>
      <c r="D539" t="s">
        <v>154</v>
      </c>
      <c r="E539" t="s">
        <v>65</v>
      </c>
      <c r="F539" s="4">
        <v>0</v>
      </c>
      <c r="G539" s="4">
        <f>IFERROR(F539-alt_Blanks!$I$14,F539)</f>
        <v>0</v>
      </c>
      <c r="H539" s="7">
        <f t="shared" si="23"/>
        <v>0</v>
      </c>
      <c r="I539" s="7">
        <f t="shared" si="24"/>
        <v>0</v>
      </c>
    </row>
    <row r="540" spans="1:9" x14ac:dyDescent="0.35">
      <c r="A540" t="s">
        <v>74</v>
      </c>
      <c r="B540" t="s">
        <v>75</v>
      </c>
      <c r="C540" t="s">
        <v>19</v>
      </c>
      <c r="D540" t="s">
        <v>153</v>
      </c>
      <c r="E540" t="s">
        <v>65</v>
      </c>
      <c r="F540" s="4">
        <v>426.28469280000002</v>
      </c>
      <c r="G540" s="4">
        <f>IFERROR(F540-alt_Blanks!$I$15,F540)</f>
        <v>157.66129570000004</v>
      </c>
      <c r="H540" s="7">
        <f t="shared" si="23"/>
        <v>157.66129570000004</v>
      </c>
      <c r="I540" s="7">
        <f t="shared" si="24"/>
        <v>347.57781238977083</v>
      </c>
    </row>
    <row r="541" spans="1:9" x14ac:dyDescent="0.35">
      <c r="A541" t="s">
        <v>74</v>
      </c>
      <c r="B541" t="s">
        <v>75</v>
      </c>
      <c r="C541" t="s">
        <v>20</v>
      </c>
      <c r="D541" t="s">
        <v>154</v>
      </c>
      <c r="E541" t="s">
        <v>65</v>
      </c>
      <c r="F541" s="4">
        <v>285.97256809999999</v>
      </c>
      <c r="G541" s="4">
        <f>IFERROR(F541-alt_Blanks!$I$16,F541)</f>
        <v>267.5066549</v>
      </c>
      <c r="H541" s="7">
        <f t="shared" si="23"/>
        <v>267.5066549</v>
      </c>
      <c r="I541" s="7">
        <f t="shared" si="24"/>
        <v>589.74130268959436</v>
      </c>
    </row>
    <row r="542" spans="1:9" x14ac:dyDescent="0.35">
      <c r="A542" t="s">
        <v>74</v>
      </c>
      <c r="B542" t="s">
        <v>75</v>
      </c>
      <c r="C542" t="s">
        <v>21</v>
      </c>
      <c r="D542" t="s">
        <v>155</v>
      </c>
      <c r="E542" t="s">
        <v>65</v>
      </c>
      <c r="F542" s="4">
        <v>0.34854680000000005</v>
      </c>
      <c r="G542" s="4">
        <f>IFERROR(F542-alt_Blanks!$I$17,F542)</f>
        <v>1.6593400000000036E-2</v>
      </c>
      <c r="H542" s="7">
        <f t="shared" si="23"/>
        <v>1.6593400000000036E-2</v>
      </c>
      <c r="I542" s="7">
        <f t="shared" si="24"/>
        <v>3.6581569664903078E-2</v>
      </c>
    </row>
    <row r="543" spans="1:9" x14ac:dyDescent="0.35">
      <c r="A543" t="s">
        <v>74</v>
      </c>
      <c r="B543" t="s">
        <v>75</v>
      </c>
      <c r="C543" t="s">
        <v>22</v>
      </c>
      <c r="D543" t="s">
        <v>155</v>
      </c>
      <c r="E543" t="s">
        <v>65</v>
      </c>
      <c r="F543" s="4">
        <v>112.635541</v>
      </c>
      <c r="G543" s="4">
        <f>IFERROR(F543-alt_Blanks!$I$18,F543)</f>
        <v>106.6320814</v>
      </c>
      <c r="H543" s="7">
        <f t="shared" si="23"/>
        <v>106.6320814</v>
      </c>
      <c r="I543" s="7">
        <f t="shared" si="24"/>
        <v>235.07954453262786</v>
      </c>
    </row>
    <row r="544" spans="1:9" x14ac:dyDescent="0.35">
      <c r="A544" t="s">
        <v>74</v>
      </c>
      <c r="B544" t="s">
        <v>75</v>
      </c>
      <c r="C544" t="s">
        <v>23</v>
      </c>
      <c r="D544" t="s">
        <v>155</v>
      </c>
      <c r="E544" t="s">
        <v>65</v>
      </c>
      <c r="F544" s="4">
        <v>0.24932679999999999</v>
      </c>
      <c r="G544" s="4">
        <f>IFERROR(F544-alt_Blanks!$I$19,F544)</f>
        <v>0.24932679999999999</v>
      </c>
      <c r="H544" s="7">
        <f t="shared" si="23"/>
        <v>0.24932679999999999</v>
      </c>
      <c r="I544" s="7">
        <f t="shared" si="24"/>
        <v>0.54966225749559083</v>
      </c>
    </row>
    <row r="545" spans="1:9" x14ac:dyDescent="0.35">
      <c r="A545" t="s">
        <v>74</v>
      </c>
      <c r="B545" t="s">
        <v>75</v>
      </c>
      <c r="C545" t="s">
        <v>24</v>
      </c>
      <c r="D545" t="s">
        <v>155</v>
      </c>
      <c r="E545" t="s">
        <v>65</v>
      </c>
      <c r="F545" s="4">
        <v>81.385994499999995</v>
      </c>
      <c r="G545" s="4">
        <f>IFERROR(F545-alt_Blanks!$I$20,F545)</f>
        <v>79.448019099999996</v>
      </c>
      <c r="H545" s="7">
        <f t="shared" si="23"/>
        <v>79.448019099999996</v>
      </c>
      <c r="I545" s="7">
        <f t="shared" si="24"/>
        <v>175.14995392416225</v>
      </c>
    </row>
    <row r="546" spans="1:9" x14ac:dyDescent="0.35">
      <c r="A546" t="s">
        <v>74</v>
      </c>
      <c r="B546" t="s">
        <v>75</v>
      </c>
      <c r="C546" t="s">
        <v>25</v>
      </c>
      <c r="D546" t="s">
        <v>155</v>
      </c>
      <c r="E546" t="s">
        <v>65</v>
      </c>
      <c r="F546" s="4">
        <v>0.47865540000000001</v>
      </c>
      <c r="G546" s="4">
        <f>IFERROR(F546-alt_Blanks!$I$21,F546)</f>
        <v>0.26414630000000006</v>
      </c>
      <c r="H546" s="7">
        <f t="shared" si="23"/>
        <v>0.26414630000000006</v>
      </c>
      <c r="I546" s="7">
        <f t="shared" si="24"/>
        <v>0.58233311287477962</v>
      </c>
    </row>
    <row r="547" spans="1:9" x14ac:dyDescent="0.35">
      <c r="A547" t="s">
        <v>74</v>
      </c>
      <c r="B547" t="s">
        <v>75</v>
      </c>
      <c r="C547" t="s">
        <v>26</v>
      </c>
      <c r="D547" t="s">
        <v>153</v>
      </c>
      <c r="E547" t="s">
        <v>65</v>
      </c>
      <c r="F547" s="4">
        <v>1.8113054</v>
      </c>
      <c r="G547" s="4">
        <f>IFERROR(F547-alt_Blanks!$I$22,F547)</f>
        <v>0.21658400000000011</v>
      </c>
      <c r="H547" s="7">
        <f t="shared" si="23"/>
        <v>0.21658400000000011</v>
      </c>
      <c r="I547" s="7">
        <f t="shared" si="24"/>
        <v>0.47747795414462108</v>
      </c>
    </row>
    <row r="548" spans="1:9" x14ac:dyDescent="0.35">
      <c r="A548" t="s">
        <v>74</v>
      </c>
      <c r="B548" t="s">
        <v>75</v>
      </c>
      <c r="C548" t="s">
        <v>27</v>
      </c>
      <c r="D548" t="s">
        <v>154</v>
      </c>
      <c r="E548" t="s">
        <v>65</v>
      </c>
      <c r="F548" s="4">
        <v>7.4938226999999999</v>
      </c>
      <c r="G548" s="4">
        <f>IFERROR(F548-alt_Blanks!$I$23,F548)</f>
        <v>7.3730852999999996</v>
      </c>
      <c r="H548" s="7">
        <f t="shared" si="23"/>
        <v>7.3730852999999996</v>
      </c>
      <c r="I548" s="7">
        <f t="shared" si="24"/>
        <v>16.25459722222222</v>
      </c>
    </row>
    <row r="549" spans="1:9" x14ac:dyDescent="0.35">
      <c r="A549" t="s">
        <v>74</v>
      </c>
      <c r="B549" t="s">
        <v>75</v>
      </c>
      <c r="C549" t="s">
        <v>28</v>
      </c>
      <c r="D549" t="s">
        <v>155</v>
      </c>
      <c r="E549" t="s">
        <v>65</v>
      </c>
      <c r="F549" s="4">
        <v>14.9099658</v>
      </c>
      <c r="G549" s="4">
        <f>IFERROR(F549-alt_Blanks!$I$24,F549)</f>
        <v>14.662796200000001</v>
      </c>
      <c r="H549" s="7">
        <f t="shared" si="23"/>
        <v>14.662796200000001</v>
      </c>
      <c r="I549" s="7">
        <f t="shared" si="24"/>
        <v>32.325388447971783</v>
      </c>
    </row>
    <row r="550" spans="1:9" x14ac:dyDescent="0.35">
      <c r="A550" t="s">
        <v>74</v>
      </c>
      <c r="B550" t="s">
        <v>75</v>
      </c>
      <c r="C550" t="s">
        <v>29</v>
      </c>
      <c r="D550" t="s">
        <v>155</v>
      </c>
      <c r="E550" t="s">
        <v>65</v>
      </c>
      <c r="F550" s="4">
        <v>0.43153140000000001</v>
      </c>
      <c r="G550" s="4">
        <f>IFERROR(F550-alt_Blanks!$I$25,F550)</f>
        <v>-4.0709399999999951E-2</v>
      </c>
      <c r="H550" s="7">
        <f t="shared" si="23"/>
        <v>0</v>
      </c>
      <c r="I550" s="7">
        <f t="shared" si="24"/>
        <v>0</v>
      </c>
    </row>
    <row r="551" spans="1:9" x14ac:dyDescent="0.35">
      <c r="A551" t="s">
        <v>74</v>
      </c>
      <c r="B551" t="s">
        <v>75</v>
      </c>
      <c r="C551" t="s">
        <v>30</v>
      </c>
      <c r="D551" t="s">
        <v>155</v>
      </c>
      <c r="E551" t="s">
        <v>65</v>
      </c>
      <c r="F551" s="4">
        <v>114.3989926</v>
      </c>
      <c r="G551" s="4">
        <f>IFERROR(F551-alt_Blanks!$I$26,F551)</f>
        <v>113.81881629999999</v>
      </c>
      <c r="H551" s="7">
        <f t="shared" si="23"/>
        <v>113.81881629999999</v>
      </c>
      <c r="I551" s="7">
        <f t="shared" si="24"/>
        <v>250.92331635802466</v>
      </c>
    </row>
    <row r="552" spans="1:9" x14ac:dyDescent="0.35">
      <c r="A552" t="s">
        <v>74</v>
      </c>
      <c r="B552" t="s">
        <v>75</v>
      </c>
      <c r="C552" t="s">
        <v>31</v>
      </c>
      <c r="D552" t="s">
        <v>155</v>
      </c>
      <c r="E552" t="s">
        <v>65</v>
      </c>
      <c r="F552" s="4" t="e">
        <v>#N/A</v>
      </c>
      <c r="G552" s="4" t="e">
        <f>IFERROR(F552-alt_Blanks!$I$27,F552)</f>
        <v>#N/A</v>
      </c>
      <c r="H552" s="7" t="e">
        <f t="shared" si="23"/>
        <v>#N/A</v>
      </c>
      <c r="I552" s="7" t="e">
        <f t="shared" si="24"/>
        <v>#N/A</v>
      </c>
    </row>
    <row r="553" spans="1:9" x14ac:dyDescent="0.35">
      <c r="A553" t="s">
        <v>74</v>
      </c>
      <c r="B553" t="s">
        <v>75</v>
      </c>
      <c r="C553" t="s">
        <v>32</v>
      </c>
      <c r="D553" t="s">
        <v>153</v>
      </c>
      <c r="E553" t="s">
        <v>65</v>
      </c>
      <c r="F553" s="4">
        <v>0</v>
      </c>
      <c r="G553" s="4">
        <f>IFERROR(F553-alt_Blanks!$I$28,F553)</f>
        <v>0</v>
      </c>
      <c r="H553" s="7">
        <f t="shared" si="23"/>
        <v>0</v>
      </c>
      <c r="I553" s="7">
        <f t="shared" si="24"/>
        <v>0</v>
      </c>
    </row>
    <row r="554" spans="1:9" x14ac:dyDescent="0.35">
      <c r="A554" t="s">
        <v>74</v>
      </c>
      <c r="B554" t="s">
        <v>75</v>
      </c>
      <c r="C554" t="s">
        <v>33</v>
      </c>
      <c r="D554" t="s">
        <v>155</v>
      </c>
      <c r="E554" t="s">
        <v>65</v>
      </c>
      <c r="F554" s="4">
        <v>102.3994093</v>
      </c>
      <c r="G554" s="4">
        <f>IFERROR(F554-alt_Blanks!$I$29,F554)</f>
        <v>101.7877883</v>
      </c>
      <c r="H554" s="7">
        <f t="shared" si="23"/>
        <v>101.7877883</v>
      </c>
      <c r="I554" s="7">
        <f t="shared" si="24"/>
        <v>224.39988602292769</v>
      </c>
    </row>
    <row r="555" spans="1:9" x14ac:dyDescent="0.35">
      <c r="A555" t="s">
        <v>74</v>
      </c>
      <c r="B555" t="s">
        <v>75</v>
      </c>
      <c r="C555" t="s">
        <v>34</v>
      </c>
      <c r="D555" t="s">
        <v>153</v>
      </c>
      <c r="E555" t="s">
        <v>65</v>
      </c>
      <c r="F555" s="4">
        <v>0</v>
      </c>
      <c r="G555" s="4">
        <f>IFERROR(F555-alt_Blanks!$I$30,F555)</f>
        <v>0</v>
      </c>
      <c r="H555" s="7">
        <f t="shared" si="23"/>
        <v>0</v>
      </c>
      <c r="I555" s="7">
        <f t="shared" si="24"/>
        <v>0</v>
      </c>
    </row>
    <row r="556" spans="1:9" x14ac:dyDescent="0.35">
      <c r="A556" t="s">
        <v>74</v>
      </c>
      <c r="B556" t="s">
        <v>75</v>
      </c>
      <c r="C556" t="s">
        <v>35</v>
      </c>
      <c r="D556" t="s">
        <v>154</v>
      </c>
      <c r="E556" t="s">
        <v>65</v>
      </c>
      <c r="F556" s="4">
        <v>109.0391614</v>
      </c>
      <c r="G556" s="4">
        <f>IFERROR(F556-alt_Blanks!$I$31,F556)</f>
        <v>6.5845278000000036</v>
      </c>
      <c r="H556" s="7">
        <f t="shared" si="23"/>
        <v>6.5845278000000036</v>
      </c>
      <c r="I556" s="7">
        <f t="shared" si="24"/>
        <v>14.516154761904771</v>
      </c>
    </row>
    <row r="557" spans="1:9" x14ac:dyDescent="0.35">
      <c r="A557" t="s">
        <v>74</v>
      </c>
      <c r="B557" t="s">
        <v>75</v>
      </c>
      <c r="C557" t="s">
        <v>36</v>
      </c>
      <c r="D557" t="s">
        <v>155</v>
      </c>
      <c r="E557" t="s">
        <v>65</v>
      </c>
      <c r="F557" s="4">
        <v>1.9337981</v>
      </c>
      <c r="G557" s="4">
        <f>IFERROR(F557-alt_Blanks!$I$32,F557)</f>
        <v>6.2295999999999463E-3</v>
      </c>
      <c r="H557" s="7">
        <f t="shared" si="23"/>
        <v>6.2295999999999463E-3</v>
      </c>
      <c r="I557" s="7">
        <f t="shared" si="24"/>
        <v>1.3733686067019283E-2</v>
      </c>
    </row>
    <row r="558" spans="1:9" x14ac:dyDescent="0.35">
      <c r="A558" t="s">
        <v>74</v>
      </c>
      <c r="B558" t="s">
        <v>75</v>
      </c>
      <c r="C558" t="s">
        <v>37</v>
      </c>
      <c r="D558" t="s">
        <v>155</v>
      </c>
      <c r="E558" t="s">
        <v>65</v>
      </c>
      <c r="F558" s="4">
        <v>2.3408259999999999</v>
      </c>
      <c r="G558" s="4">
        <f>IFERROR(F558-alt_Blanks!$I$33,F558)</f>
        <v>2.3408259999999999</v>
      </c>
      <c r="H558" s="7">
        <f t="shared" si="23"/>
        <v>2.3408259999999999</v>
      </c>
      <c r="I558" s="7">
        <f t="shared" si="24"/>
        <v>5.1605511463844795</v>
      </c>
    </row>
    <row r="559" spans="1:9" x14ac:dyDescent="0.35">
      <c r="A559" t="s">
        <v>74</v>
      </c>
      <c r="B559" t="s">
        <v>75</v>
      </c>
      <c r="C559" t="s">
        <v>38</v>
      </c>
      <c r="D559" t="s">
        <v>155</v>
      </c>
      <c r="E559" t="s">
        <v>65</v>
      </c>
      <c r="F559" s="4">
        <v>1.0731941999999999</v>
      </c>
      <c r="G559" s="4">
        <f>IFERROR(F559-alt_Blanks!$I$34,F559)</f>
        <v>1.0731941999999999</v>
      </c>
      <c r="H559" s="7">
        <f t="shared" si="23"/>
        <v>1.0731941999999999</v>
      </c>
      <c r="I559" s="7">
        <f t="shared" si="24"/>
        <v>2.3659484126984123</v>
      </c>
    </row>
    <row r="560" spans="1:9" x14ac:dyDescent="0.35">
      <c r="A560" t="s">
        <v>74</v>
      </c>
      <c r="B560" t="s">
        <v>75</v>
      </c>
      <c r="C560" t="s">
        <v>39</v>
      </c>
      <c r="D560" t="s">
        <v>153</v>
      </c>
      <c r="E560" t="s">
        <v>65</v>
      </c>
      <c r="F560" s="4">
        <v>9.0722939</v>
      </c>
      <c r="G560" s="4">
        <f>IFERROR(F560-alt_Blanks!$I$35,F560)</f>
        <v>9.0722939</v>
      </c>
      <c r="H560" s="7">
        <f t="shared" si="23"/>
        <v>9.0722939</v>
      </c>
      <c r="I560" s="7">
        <f t="shared" si="24"/>
        <v>20.000647927689595</v>
      </c>
    </row>
    <row r="561" spans="1:9" x14ac:dyDescent="0.35">
      <c r="A561" t="s">
        <v>74</v>
      </c>
      <c r="B561" t="s">
        <v>75</v>
      </c>
      <c r="C561" t="s">
        <v>40</v>
      </c>
      <c r="D561" t="s">
        <v>154</v>
      </c>
      <c r="E561" t="s">
        <v>65</v>
      </c>
      <c r="F561" s="4">
        <v>0</v>
      </c>
      <c r="G561" s="4">
        <f>IFERROR(F561-alt_Blanks!$I$36,F561)</f>
        <v>0</v>
      </c>
      <c r="H561" s="7">
        <f t="shared" si="23"/>
        <v>0</v>
      </c>
      <c r="I561" s="7">
        <f t="shared" si="24"/>
        <v>0</v>
      </c>
    </row>
    <row r="562" spans="1:9" x14ac:dyDescent="0.35">
      <c r="A562" t="s">
        <v>76</v>
      </c>
      <c r="B562" t="s">
        <v>77</v>
      </c>
      <c r="C562" t="s">
        <v>6</v>
      </c>
      <c r="D562" t="s">
        <v>153</v>
      </c>
      <c r="E562" t="s">
        <v>65</v>
      </c>
      <c r="F562" s="4">
        <v>6.9302637000000002</v>
      </c>
      <c r="G562" s="4">
        <f>IFERROR(F562-alt_Blanks!$I$2,F562)</f>
        <v>0.22372259999999944</v>
      </c>
      <c r="H562" s="7">
        <f t="shared" si="23"/>
        <v>0.22372259999999944</v>
      </c>
      <c r="I562" s="7">
        <f>H562/0.5635</f>
        <v>0.39702324755989254</v>
      </c>
    </row>
    <row r="563" spans="1:9" x14ac:dyDescent="0.35">
      <c r="A563" t="s">
        <v>76</v>
      </c>
      <c r="B563" t="s">
        <v>77</v>
      </c>
      <c r="C563" t="s">
        <v>7</v>
      </c>
      <c r="D563" t="s">
        <v>153</v>
      </c>
      <c r="E563" t="s">
        <v>65</v>
      </c>
      <c r="F563" s="4">
        <v>0</v>
      </c>
      <c r="G563" s="4">
        <f>IFERROR(F563-alt_Blanks!$I$3,F563)</f>
        <v>0</v>
      </c>
      <c r="H563" s="7">
        <f t="shared" si="23"/>
        <v>0</v>
      </c>
      <c r="I563" s="7">
        <f t="shared" ref="I563:I596" si="25">H563/0.5635</f>
        <v>0</v>
      </c>
    </row>
    <row r="564" spans="1:9" x14ac:dyDescent="0.35">
      <c r="A564" t="s">
        <v>76</v>
      </c>
      <c r="B564" t="s">
        <v>77</v>
      </c>
      <c r="C564" t="s">
        <v>8</v>
      </c>
      <c r="D564" t="s">
        <v>153</v>
      </c>
      <c r="E564" t="s">
        <v>65</v>
      </c>
      <c r="F564" s="4" t="e">
        <v>#N/A</v>
      </c>
      <c r="G564" s="4" t="e">
        <f>IFERROR(F564-alt_Blanks!$I$4,F564)</f>
        <v>#N/A</v>
      </c>
      <c r="H564" s="7" t="e">
        <f t="shared" si="23"/>
        <v>#N/A</v>
      </c>
      <c r="I564" s="7" t="e">
        <f t="shared" si="25"/>
        <v>#N/A</v>
      </c>
    </row>
    <row r="565" spans="1:9" x14ac:dyDescent="0.35">
      <c r="A565" t="s">
        <v>76</v>
      </c>
      <c r="B565" t="s">
        <v>77</v>
      </c>
      <c r="C565" t="s">
        <v>9</v>
      </c>
      <c r="D565" t="s">
        <v>153</v>
      </c>
      <c r="E565" t="s">
        <v>65</v>
      </c>
      <c r="F565" s="4">
        <v>0</v>
      </c>
      <c r="G565" s="4">
        <f>IFERROR(F565-alt_Blanks!$I$5,F565)</f>
        <v>0</v>
      </c>
      <c r="H565" s="7">
        <f t="shared" si="23"/>
        <v>0</v>
      </c>
      <c r="I565" s="7">
        <f t="shared" si="25"/>
        <v>0</v>
      </c>
    </row>
    <row r="566" spans="1:9" x14ac:dyDescent="0.35">
      <c r="A566" t="s">
        <v>76</v>
      </c>
      <c r="B566" t="s">
        <v>77</v>
      </c>
      <c r="C566" t="s">
        <v>10</v>
      </c>
      <c r="D566" t="s">
        <v>153</v>
      </c>
      <c r="E566" t="s">
        <v>65</v>
      </c>
      <c r="F566" s="4">
        <v>58.130237000000001</v>
      </c>
      <c r="G566" s="4">
        <f>IFERROR(F566-alt_Blanks!$I$6,F566)</f>
        <v>58.130237000000001</v>
      </c>
      <c r="H566" s="7">
        <f t="shared" si="23"/>
        <v>58.130237000000001</v>
      </c>
      <c r="I566" s="7">
        <f t="shared" si="25"/>
        <v>103.15924933451642</v>
      </c>
    </row>
    <row r="567" spans="1:9" x14ac:dyDescent="0.35">
      <c r="A567" t="s">
        <v>76</v>
      </c>
      <c r="B567" t="s">
        <v>77</v>
      </c>
      <c r="C567" t="s">
        <v>11</v>
      </c>
      <c r="D567" t="s">
        <v>153</v>
      </c>
      <c r="E567" t="s">
        <v>65</v>
      </c>
      <c r="F567" s="4">
        <v>66.694819499999994</v>
      </c>
      <c r="G567" s="4">
        <f>IFERROR(F567-alt_Blanks!$I$7,F567)</f>
        <v>66.694819499999994</v>
      </c>
      <c r="H567" s="7">
        <f t="shared" si="23"/>
        <v>66.694819499999994</v>
      </c>
      <c r="I567" s="7">
        <f t="shared" si="25"/>
        <v>118.35815350488021</v>
      </c>
    </row>
    <row r="568" spans="1:9" x14ac:dyDescent="0.35">
      <c r="A568" t="s">
        <v>76</v>
      </c>
      <c r="B568" t="s">
        <v>77</v>
      </c>
      <c r="C568" t="s">
        <v>12</v>
      </c>
      <c r="D568" t="s">
        <v>154</v>
      </c>
      <c r="E568" t="s">
        <v>65</v>
      </c>
      <c r="F568" s="4">
        <v>0</v>
      </c>
      <c r="G568" s="4">
        <f>IFERROR(F568-alt_Blanks!$I$8,F568)</f>
        <v>0</v>
      </c>
      <c r="H568" s="7">
        <f t="shared" si="23"/>
        <v>0</v>
      </c>
      <c r="I568" s="7">
        <f t="shared" si="25"/>
        <v>0</v>
      </c>
    </row>
    <row r="569" spans="1:9" x14ac:dyDescent="0.35">
      <c r="A569" t="s">
        <v>76</v>
      </c>
      <c r="B569" t="s">
        <v>77</v>
      </c>
      <c r="C569" t="s">
        <v>13</v>
      </c>
      <c r="D569" t="s">
        <v>153</v>
      </c>
      <c r="E569" t="s">
        <v>65</v>
      </c>
      <c r="F569" s="4">
        <v>12.7353331</v>
      </c>
      <c r="G569" s="4">
        <f>IFERROR(F569-alt_Blanks!$I$9,F569)</f>
        <v>12.7353331</v>
      </c>
      <c r="H569" s="7">
        <f t="shared" si="23"/>
        <v>12.7353331</v>
      </c>
      <c r="I569" s="7">
        <f t="shared" si="25"/>
        <v>22.600413664596275</v>
      </c>
    </row>
    <row r="570" spans="1:9" x14ac:dyDescent="0.35">
      <c r="A570" t="s">
        <v>76</v>
      </c>
      <c r="B570" t="s">
        <v>77</v>
      </c>
      <c r="C570" t="s">
        <v>14</v>
      </c>
      <c r="D570" t="s">
        <v>154</v>
      </c>
      <c r="E570" t="s">
        <v>65</v>
      </c>
      <c r="F570" s="4">
        <v>0</v>
      </c>
      <c r="G570" s="4">
        <f>IFERROR(F570-alt_Blanks!$I$10,F570)</f>
        <v>0</v>
      </c>
      <c r="H570" s="7">
        <f t="shared" si="23"/>
        <v>0</v>
      </c>
      <c r="I570" s="7">
        <f t="shared" si="25"/>
        <v>0</v>
      </c>
    </row>
    <row r="571" spans="1:9" x14ac:dyDescent="0.35">
      <c r="A571" t="s">
        <v>76</v>
      </c>
      <c r="B571" t="s">
        <v>77</v>
      </c>
      <c r="C571" t="s">
        <v>15</v>
      </c>
      <c r="D571" t="s">
        <v>153</v>
      </c>
      <c r="E571" t="s">
        <v>65</v>
      </c>
      <c r="F571" s="4">
        <v>2400.2797278999997</v>
      </c>
      <c r="G571" s="4">
        <f>IFERROR(F571-alt_Blanks!$I$11,F571)</f>
        <v>1595.0630381999997</v>
      </c>
      <c r="H571" s="7">
        <f t="shared" si="23"/>
        <v>1595.0630381999997</v>
      </c>
      <c r="I571" s="7">
        <f t="shared" si="25"/>
        <v>2830.6353827861576</v>
      </c>
    </row>
    <row r="572" spans="1:9" x14ac:dyDescent="0.35">
      <c r="A572" t="s">
        <v>76</v>
      </c>
      <c r="B572" t="s">
        <v>77</v>
      </c>
      <c r="C572" t="s">
        <v>16</v>
      </c>
      <c r="D572" t="s">
        <v>154</v>
      </c>
      <c r="E572" t="s">
        <v>65</v>
      </c>
      <c r="F572" s="4">
        <v>235.98604349999999</v>
      </c>
      <c r="G572" s="4">
        <f>IFERROR(F572-alt_Blanks!$I$12,F572)</f>
        <v>235.98604349999999</v>
      </c>
      <c r="H572" s="7">
        <f t="shared" si="23"/>
        <v>235.98604349999999</v>
      </c>
      <c r="I572" s="7">
        <f t="shared" si="25"/>
        <v>418.78623513753325</v>
      </c>
    </row>
    <row r="573" spans="1:9" x14ac:dyDescent="0.35">
      <c r="A573" t="s">
        <v>76</v>
      </c>
      <c r="B573" t="s">
        <v>77</v>
      </c>
      <c r="C573" t="s">
        <v>17</v>
      </c>
      <c r="D573" t="s">
        <v>153</v>
      </c>
      <c r="E573" t="s">
        <v>65</v>
      </c>
      <c r="F573" s="4">
        <v>19.930199200000001</v>
      </c>
      <c r="G573" s="4">
        <f>IFERROR(F573-alt_Blanks!$I$13,F573)</f>
        <v>19.0774857</v>
      </c>
      <c r="H573" s="7">
        <f t="shared" si="23"/>
        <v>19.0774857</v>
      </c>
      <c r="I573" s="7">
        <f t="shared" si="25"/>
        <v>33.855342857142858</v>
      </c>
    </row>
    <row r="574" spans="1:9" x14ac:dyDescent="0.35">
      <c r="A574" t="s">
        <v>76</v>
      </c>
      <c r="B574" t="s">
        <v>77</v>
      </c>
      <c r="C574" t="s">
        <v>18</v>
      </c>
      <c r="D574" t="s">
        <v>154</v>
      </c>
      <c r="E574" t="s">
        <v>65</v>
      </c>
      <c r="F574" s="4">
        <v>0</v>
      </c>
      <c r="G574" s="4">
        <f>IFERROR(F574-alt_Blanks!$I$14,F574)</f>
        <v>0</v>
      </c>
      <c r="H574" s="7">
        <f t="shared" si="23"/>
        <v>0</v>
      </c>
      <c r="I574" s="7">
        <f t="shared" si="25"/>
        <v>0</v>
      </c>
    </row>
    <row r="575" spans="1:9" x14ac:dyDescent="0.35">
      <c r="A575" t="s">
        <v>76</v>
      </c>
      <c r="B575" t="s">
        <v>77</v>
      </c>
      <c r="C575" t="s">
        <v>19</v>
      </c>
      <c r="D575" t="s">
        <v>153</v>
      </c>
      <c r="E575" t="s">
        <v>65</v>
      </c>
      <c r="F575" s="4">
        <v>508.78927429999999</v>
      </c>
      <c r="G575" s="4">
        <f>IFERROR(F575-alt_Blanks!$I$15,F575)</f>
        <v>240.16587720000001</v>
      </c>
      <c r="H575" s="7">
        <f t="shared" si="23"/>
        <v>240.16587720000001</v>
      </c>
      <c r="I575" s="7">
        <f t="shared" si="25"/>
        <v>426.20386370896188</v>
      </c>
    </row>
    <row r="576" spans="1:9" x14ac:dyDescent="0.35">
      <c r="A576" t="s">
        <v>76</v>
      </c>
      <c r="B576" t="s">
        <v>77</v>
      </c>
      <c r="C576" t="s">
        <v>20</v>
      </c>
      <c r="D576" t="s">
        <v>154</v>
      </c>
      <c r="E576" t="s">
        <v>65</v>
      </c>
      <c r="F576" s="4">
        <v>398.91752480000002</v>
      </c>
      <c r="G576" s="4">
        <f>IFERROR(F576-alt_Blanks!$I$16,F576)</f>
        <v>380.45161160000004</v>
      </c>
      <c r="H576" s="7">
        <f t="shared" si="23"/>
        <v>380.45161160000004</v>
      </c>
      <c r="I576" s="7">
        <f t="shared" si="25"/>
        <v>675.15813948535947</v>
      </c>
    </row>
    <row r="577" spans="1:9" x14ac:dyDescent="0.35">
      <c r="A577" t="s">
        <v>76</v>
      </c>
      <c r="B577" t="s">
        <v>77</v>
      </c>
      <c r="C577" t="s">
        <v>21</v>
      </c>
      <c r="D577" t="s">
        <v>155</v>
      </c>
      <c r="E577" t="s">
        <v>65</v>
      </c>
      <c r="F577" s="4">
        <v>0.34857530000000003</v>
      </c>
      <c r="G577" s="4">
        <f>IFERROR(F577-alt_Blanks!$I$17,F577)</f>
        <v>1.6621900000000023E-2</v>
      </c>
      <c r="H577" s="7">
        <f t="shared" si="23"/>
        <v>1.6621900000000023E-2</v>
      </c>
      <c r="I577" s="7">
        <f t="shared" si="25"/>
        <v>2.9497604259094982E-2</v>
      </c>
    </row>
    <row r="578" spans="1:9" x14ac:dyDescent="0.35">
      <c r="A578" t="s">
        <v>76</v>
      </c>
      <c r="B578" t="s">
        <v>77</v>
      </c>
      <c r="C578" t="s">
        <v>22</v>
      </c>
      <c r="D578" t="s">
        <v>155</v>
      </c>
      <c r="E578" t="s">
        <v>65</v>
      </c>
      <c r="F578" s="4">
        <v>201.41716920000002</v>
      </c>
      <c r="G578" s="4">
        <f>IFERROR(F578-alt_Blanks!$I$18,F578)</f>
        <v>195.4137096</v>
      </c>
      <c r="H578" s="7">
        <f t="shared" si="23"/>
        <v>195.4137096</v>
      </c>
      <c r="I578" s="7">
        <f t="shared" si="25"/>
        <v>346.78564259094941</v>
      </c>
    </row>
    <row r="579" spans="1:9" x14ac:dyDescent="0.35">
      <c r="A579" t="s">
        <v>76</v>
      </c>
      <c r="B579" t="s">
        <v>77</v>
      </c>
      <c r="C579" t="s">
        <v>23</v>
      </c>
      <c r="D579" t="s">
        <v>155</v>
      </c>
      <c r="E579" t="s">
        <v>65</v>
      </c>
      <c r="F579" s="4" t="e">
        <v>#N/A</v>
      </c>
      <c r="G579" s="4" t="e">
        <f>IFERROR(F579-alt_Blanks!$I$19,F579)</f>
        <v>#N/A</v>
      </c>
      <c r="H579" s="7" t="e">
        <f t="shared" si="23"/>
        <v>#N/A</v>
      </c>
      <c r="I579" s="7" t="e">
        <f t="shared" si="25"/>
        <v>#N/A</v>
      </c>
    </row>
    <row r="580" spans="1:9" x14ac:dyDescent="0.35">
      <c r="A580" t="s">
        <v>76</v>
      </c>
      <c r="B580" t="s">
        <v>77</v>
      </c>
      <c r="C580" t="s">
        <v>24</v>
      </c>
      <c r="D580" t="s">
        <v>155</v>
      </c>
      <c r="E580" t="s">
        <v>65</v>
      </c>
      <c r="F580" s="4">
        <v>177.0767367</v>
      </c>
      <c r="G580" s="4">
        <f>IFERROR(F580-alt_Blanks!$I$20,F580)</f>
        <v>175.1387613</v>
      </c>
      <c r="H580" s="7">
        <f t="shared" si="23"/>
        <v>175.1387613</v>
      </c>
      <c r="I580" s="7">
        <f t="shared" si="25"/>
        <v>310.80525519077196</v>
      </c>
    </row>
    <row r="581" spans="1:9" x14ac:dyDescent="0.35">
      <c r="A581" t="s">
        <v>76</v>
      </c>
      <c r="B581" t="s">
        <v>77</v>
      </c>
      <c r="C581" t="s">
        <v>25</v>
      </c>
      <c r="D581" t="s">
        <v>155</v>
      </c>
      <c r="E581" t="s">
        <v>65</v>
      </c>
      <c r="F581" s="4">
        <v>9.7597837999999992</v>
      </c>
      <c r="G581" s="4">
        <f>IFERROR(F581-alt_Blanks!$I$21,F581)</f>
        <v>9.5452746999999984</v>
      </c>
      <c r="H581" s="7">
        <f t="shared" si="23"/>
        <v>9.5452746999999984</v>
      </c>
      <c r="I581" s="7">
        <f t="shared" si="25"/>
        <v>16.939262999112685</v>
      </c>
    </row>
    <row r="582" spans="1:9" x14ac:dyDescent="0.35">
      <c r="A582" t="s">
        <v>76</v>
      </c>
      <c r="B582" t="s">
        <v>77</v>
      </c>
      <c r="C582" t="s">
        <v>26</v>
      </c>
      <c r="D582" t="s">
        <v>153</v>
      </c>
      <c r="E582" t="s">
        <v>65</v>
      </c>
      <c r="F582" s="4">
        <v>6.3919606999999994</v>
      </c>
      <c r="G582" s="4">
        <f>IFERROR(F582-alt_Blanks!$I$22,F582)</f>
        <v>4.7972392999999993</v>
      </c>
      <c r="H582" s="7">
        <f t="shared" ref="H582:H645" si="26">IF(G582&lt;0,0,G582)</f>
        <v>4.7972392999999993</v>
      </c>
      <c r="I582" s="7">
        <f t="shared" si="25"/>
        <v>8.5132906832298119</v>
      </c>
    </row>
    <row r="583" spans="1:9" x14ac:dyDescent="0.35">
      <c r="A583" t="s">
        <v>76</v>
      </c>
      <c r="B583" t="s">
        <v>77</v>
      </c>
      <c r="C583" t="s">
        <v>27</v>
      </c>
      <c r="D583" t="s">
        <v>154</v>
      </c>
      <c r="E583" t="s">
        <v>65</v>
      </c>
      <c r="F583" s="4">
        <v>8.7549446</v>
      </c>
      <c r="G583" s="4">
        <f>IFERROR(F583-alt_Blanks!$I$23,F583)</f>
        <v>8.6342072000000005</v>
      </c>
      <c r="H583" s="7">
        <f t="shared" si="26"/>
        <v>8.6342072000000005</v>
      </c>
      <c r="I583" s="7">
        <f t="shared" si="25"/>
        <v>15.322461756876665</v>
      </c>
    </row>
    <row r="584" spans="1:9" x14ac:dyDescent="0.35">
      <c r="A584" t="s">
        <v>76</v>
      </c>
      <c r="B584" t="s">
        <v>77</v>
      </c>
      <c r="C584" t="s">
        <v>28</v>
      </c>
      <c r="D584" t="s">
        <v>155</v>
      </c>
      <c r="E584" t="s">
        <v>65</v>
      </c>
      <c r="F584" s="4">
        <v>26.735094799999999</v>
      </c>
      <c r="G584" s="4">
        <f>IFERROR(F584-alt_Blanks!$I$24,F584)</f>
        <v>26.487925199999999</v>
      </c>
      <c r="H584" s="7">
        <f t="shared" si="26"/>
        <v>26.487925199999999</v>
      </c>
      <c r="I584" s="7">
        <f t="shared" si="25"/>
        <v>47.006078438331855</v>
      </c>
    </row>
    <row r="585" spans="1:9" x14ac:dyDescent="0.35">
      <c r="A585" t="s">
        <v>76</v>
      </c>
      <c r="B585" t="s">
        <v>77</v>
      </c>
      <c r="C585" t="s">
        <v>29</v>
      </c>
      <c r="D585" t="s">
        <v>155</v>
      </c>
      <c r="E585" t="s">
        <v>65</v>
      </c>
      <c r="F585" s="4" t="e">
        <v>#N/A</v>
      </c>
      <c r="G585" s="4" t="e">
        <f>IFERROR(F585-alt_Blanks!$I$25,F585)</f>
        <v>#N/A</v>
      </c>
      <c r="H585" s="7" t="e">
        <f t="shared" si="26"/>
        <v>#N/A</v>
      </c>
      <c r="I585" s="7" t="e">
        <f t="shared" si="25"/>
        <v>#N/A</v>
      </c>
    </row>
    <row r="586" spans="1:9" x14ac:dyDescent="0.35">
      <c r="A586" t="s">
        <v>76</v>
      </c>
      <c r="B586" t="s">
        <v>77</v>
      </c>
      <c r="C586" t="s">
        <v>30</v>
      </c>
      <c r="D586" t="s">
        <v>155</v>
      </c>
      <c r="E586" t="s">
        <v>65</v>
      </c>
      <c r="F586" s="4">
        <v>201.34779139999998</v>
      </c>
      <c r="G586" s="4">
        <f>IFERROR(F586-alt_Blanks!$I$26,F586)</f>
        <v>200.76761509999997</v>
      </c>
      <c r="H586" s="7">
        <f t="shared" si="26"/>
        <v>200.76761509999997</v>
      </c>
      <c r="I586" s="7">
        <f t="shared" si="25"/>
        <v>356.28680585625551</v>
      </c>
    </row>
    <row r="587" spans="1:9" x14ac:dyDescent="0.35">
      <c r="A587" t="s">
        <v>76</v>
      </c>
      <c r="B587" t="s">
        <v>77</v>
      </c>
      <c r="C587" t="s">
        <v>31</v>
      </c>
      <c r="D587" t="s">
        <v>155</v>
      </c>
      <c r="E587" t="s">
        <v>65</v>
      </c>
      <c r="F587" s="4" t="e">
        <v>#N/A</v>
      </c>
      <c r="G587" s="4" t="e">
        <f>IFERROR(F587-alt_Blanks!$I$27,F587)</f>
        <v>#N/A</v>
      </c>
      <c r="H587" s="7" t="e">
        <f t="shared" si="26"/>
        <v>#N/A</v>
      </c>
      <c r="I587" s="7" t="e">
        <f t="shared" si="25"/>
        <v>#N/A</v>
      </c>
    </row>
    <row r="588" spans="1:9" x14ac:dyDescent="0.35">
      <c r="A588" t="s">
        <v>76</v>
      </c>
      <c r="B588" t="s">
        <v>77</v>
      </c>
      <c r="C588" t="s">
        <v>32</v>
      </c>
      <c r="D588" t="s">
        <v>153</v>
      </c>
      <c r="E588" t="s">
        <v>65</v>
      </c>
      <c r="F588" s="4">
        <v>0</v>
      </c>
      <c r="G588" s="4">
        <f>IFERROR(F588-alt_Blanks!$I$28,F588)</f>
        <v>0</v>
      </c>
      <c r="H588" s="7">
        <f t="shared" si="26"/>
        <v>0</v>
      </c>
      <c r="I588" s="7">
        <f t="shared" si="25"/>
        <v>0</v>
      </c>
    </row>
    <row r="589" spans="1:9" x14ac:dyDescent="0.35">
      <c r="A589" t="s">
        <v>76</v>
      </c>
      <c r="B589" t="s">
        <v>77</v>
      </c>
      <c r="C589" t="s">
        <v>33</v>
      </c>
      <c r="D589" t="s">
        <v>155</v>
      </c>
      <c r="E589" t="s">
        <v>65</v>
      </c>
      <c r="F589" s="4">
        <v>178.7790397</v>
      </c>
      <c r="G589" s="4">
        <f>IFERROR(F589-alt_Blanks!$I$29,F589)</f>
        <v>178.16741869999998</v>
      </c>
      <c r="H589" s="7">
        <f t="shared" si="26"/>
        <v>178.16741869999998</v>
      </c>
      <c r="I589" s="7">
        <f t="shared" si="25"/>
        <v>316.17997994676131</v>
      </c>
    </row>
    <row r="590" spans="1:9" x14ac:dyDescent="0.35">
      <c r="A590" t="s">
        <v>76</v>
      </c>
      <c r="B590" t="s">
        <v>77</v>
      </c>
      <c r="C590" t="s">
        <v>34</v>
      </c>
      <c r="D590" t="s">
        <v>153</v>
      </c>
      <c r="E590" t="s">
        <v>65</v>
      </c>
      <c r="F590" s="4">
        <v>0</v>
      </c>
      <c r="G590" s="4">
        <f>IFERROR(F590-alt_Blanks!$I$30,F590)</f>
        <v>0</v>
      </c>
      <c r="H590" s="7">
        <f t="shared" si="26"/>
        <v>0</v>
      </c>
      <c r="I590" s="7">
        <f t="shared" si="25"/>
        <v>0</v>
      </c>
    </row>
    <row r="591" spans="1:9" x14ac:dyDescent="0.35">
      <c r="A591" t="s">
        <v>76</v>
      </c>
      <c r="B591" t="s">
        <v>77</v>
      </c>
      <c r="C591" t="s">
        <v>35</v>
      </c>
      <c r="D591" t="s">
        <v>154</v>
      </c>
      <c r="E591" t="s">
        <v>65</v>
      </c>
      <c r="F591" s="4">
        <v>122.6897874</v>
      </c>
      <c r="G591" s="4">
        <f>IFERROR(F591-alt_Blanks!$I$31,F591)</f>
        <v>20.235153800000006</v>
      </c>
      <c r="H591" s="7">
        <f t="shared" si="26"/>
        <v>20.235153800000006</v>
      </c>
      <c r="I591" s="7">
        <f t="shared" si="25"/>
        <v>35.909767169476495</v>
      </c>
    </row>
    <row r="592" spans="1:9" x14ac:dyDescent="0.35">
      <c r="A592" t="s">
        <v>76</v>
      </c>
      <c r="B592" t="s">
        <v>77</v>
      </c>
      <c r="C592" t="s">
        <v>36</v>
      </c>
      <c r="D592" t="s">
        <v>155</v>
      </c>
      <c r="E592" t="s">
        <v>65</v>
      </c>
      <c r="F592" s="4">
        <v>1.9588975</v>
      </c>
      <c r="G592" s="4">
        <f>IFERROR(F592-alt_Blanks!$I$32,F592)</f>
        <v>3.132899999999994E-2</v>
      </c>
      <c r="H592" s="7">
        <f t="shared" si="26"/>
        <v>3.132899999999994E-2</v>
      </c>
      <c r="I592" s="7">
        <f t="shared" si="25"/>
        <v>5.5597160603371679E-2</v>
      </c>
    </row>
    <row r="593" spans="1:9" x14ac:dyDescent="0.35">
      <c r="A593" t="s">
        <v>76</v>
      </c>
      <c r="B593" t="s">
        <v>77</v>
      </c>
      <c r="C593" t="s">
        <v>37</v>
      </c>
      <c r="D593" t="s">
        <v>155</v>
      </c>
      <c r="E593" t="s">
        <v>65</v>
      </c>
      <c r="F593" s="4">
        <v>5.0671295000000001</v>
      </c>
      <c r="G593" s="4">
        <f>IFERROR(F593-alt_Blanks!$I$33,F593)</f>
        <v>5.0671295000000001</v>
      </c>
      <c r="H593" s="7">
        <f t="shared" si="26"/>
        <v>5.0671295000000001</v>
      </c>
      <c r="I593" s="7">
        <f t="shared" si="25"/>
        <v>8.9922440106477382</v>
      </c>
    </row>
    <row r="594" spans="1:9" x14ac:dyDescent="0.35">
      <c r="A594" t="s">
        <v>76</v>
      </c>
      <c r="B594" t="s">
        <v>77</v>
      </c>
      <c r="C594" t="s">
        <v>38</v>
      </c>
      <c r="D594" t="s">
        <v>155</v>
      </c>
      <c r="E594" t="s">
        <v>65</v>
      </c>
      <c r="F594" s="4">
        <v>4.9528833000000008</v>
      </c>
      <c r="G594" s="4">
        <f>IFERROR(F594-alt_Blanks!$I$34,F594)</f>
        <v>4.9528833000000008</v>
      </c>
      <c r="H594" s="7">
        <f t="shared" si="26"/>
        <v>4.9528833000000008</v>
      </c>
      <c r="I594" s="7">
        <f t="shared" si="25"/>
        <v>8.7895000887311454</v>
      </c>
    </row>
    <row r="595" spans="1:9" x14ac:dyDescent="0.35">
      <c r="A595" t="s">
        <v>76</v>
      </c>
      <c r="B595" t="s">
        <v>77</v>
      </c>
      <c r="C595" t="s">
        <v>39</v>
      </c>
      <c r="D595" t="s">
        <v>153</v>
      </c>
      <c r="E595" t="s">
        <v>65</v>
      </c>
      <c r="F595" s="4">
        <v>13.239547</v>
      </c>
      <c r="G595" s="4">
        <f>IFERROR(F595-alt_Blanks!$I$35,F595)</f>
        <v>13.239547</v>
      </c>
      <c r="H595" s="7">
        <f t="shared" si="26"/>
        <v>13.239547</v>
      </c>
      <c r="I595" s="7">
        <f t="shared" si="25"/>
        <v>23.495203194321206</v>
      </c>
    </row>
    <row r="596" spans="1:9" x14ac:dyDescent="0.35">
      <c r="A596" t="s">
        <v>76</v>
      </c>
      <c r="B596" t="s">
        <v>77</v>
      </c>
      <c r="C596" t="s">
        <v>40</v>
      </c>
      <c r="D596" t="s">
        <v>154</v>
      </c>
      <c r="E596" t="s">
        <v>65</v>
      </c>
      <c r="F596" s="4">
        <v>0</v>
      </c>
      <c r="G596" s="4">
        <f>IFERROR(F596-alt_Blanks!$I$36,F596)</f>
        <v>0</v>
      </c>
      <c r="H596" s="7">
        <f t="shared" si="26"/>
        <v>0</v>
      </c>
      <c r="I596" s="7">
        <f t="shared" si="25"/>
        <v>0</v>
      </c>
    </row>
    <row r="597" spans="1:9" x14ac:dyDescent="0.35">
      <c r="A597" t="s">
        <v>78</v>
      </c>
      <c r="B597" t="s">
        <v>79</v>
      </c>
      <c r="C597" t="s">
        <v>6</v>
      </c>
      <c r="D597" t="s">
        <v>153</v>
      </c>
      <c r="E597" t="s">
        <v>65</v>
      </c>
      <c r="F597" s="4">
        <v>7.0599457000000001</v>
      </c>
      <c r="G597" s="4">
        <f>IFERROR(F597-alt_Blanks!$I$2,F597)</f>
        <v>0.35340459999999929</v>
      </c>
      <c r="H597" s="7">
        <f t="shared" si="26"/>
        <v>0.35340459999999929</v>
      </c>
      <c r="I597" s="7">
        <f>H597/0.73</f>
        <v>0.48411589041095793</v>
      </c>
    </row>
    <row r="598" spans="1:9" x14ac:dyDescent="0.35">
      <c r="A598" t="s">
        <v>78</v>
      </c>
      <c r="B598" t="s">
        <v>79</v>
      </c>
      <c r="C598" t="s">
        <v>7</v>
      </c>
      <c r="D598" t="s">
        <v>153</v>
      </c>
      <c r="E598" t="s">
        <v>65</v>
      </c>
      <c r="F598" s="4">
        <v>0</v>
      </c>
      <c r="G598" s="4">
        <f>IFERROR(F598-alt_Blanks!$I$3,F598)</f>
        <v>0</v>
      </c>
      <c r="H598" s="7">
        <f t="shared" si="26"/>
        <v>0</v>
      </c>
      <c r="I598" s="7">
        <f t="shared" ref="I598:I631" si="27">H598/0.73</f>
        <v>0</v>
      </c>
    </row>
    <row r="599" spans="1:9" x14ac:dyDescent="0.35">
      <c r="A599" t="s">
        <v>78</v>
      </c>
      <c r="B599" t="s">
        <v>79</v>
      </c>
      <c r="C599" t="s">
        <v>8</v>
      </c>
      <c r="D599" t="s">
        <v>153</v>
      </c>
      <c r="E599" t="s">
        <v>65</v>
      </c>
      <c r="F599" s="4" t="e">
        <v>#N/A</v>
      </c>
      <c r="G599" s="4" t="e">
        <f>IFERROR(F599-alt_Blanks!$I$4,F599)</f>
        <v>#N/A</v>
      </c>
      <c r="H599" s="7" t="e">
        <f t="shared" si="26"/>
        <v>#N/A</v>
      </c>
      <c r="I599" s="7" t="e">
        <f t="shared" si="27"/>
        <v>#N/A</v>
      </c>
    </row>
    <row r="600" spans="1:9" x14ac:dyDescent="0.35">
      <c r="A600" t="s">
        <v>78</v>
      </c>
      <c r="B600" t="s">
        <v>79</v>
      </c>
      <c r="C600" t="s">
        <v>9</v>
      </c>
      <c r="D600" t="s">
        <v>153</v>
      </c>
      <c r="E600" t="s">
        <v>65</v>
      </c>
      <c r="F600" s="4">
        <v>2.4583841000000004</v>
      </c>
      <c r="G600" s="4">
        <f>IFERROR(F600-alt_Blanks!$I$5,F600)</f>
        <v>2.4583841000000004</v>
      </c>
      <c r="H600" s="7">
        <f t="shared" si="26"/>
        <v>2.4583841000000004</v>
      </c>
      <c r="I600" s="7">
        <f t="shared" si="27"/>
        <v>3.367649452054795</v>
      </c>
    </row>
    <row r="601" spans="1:9" x14ac:dyDescent="0.35">
      <c r="A601" t="s">
        <v>78</v>
      </c>
      <c r="B601" t="s">
        <v>79</v>
      </c>
      <c r="C601" t="s">
        <v>10</v>
      </c>
      <c r="D601" t="s">
        <v>153</v>
      </c>
      <c r="E601" t="s">
        <v>65</v>
      </c>
      <c r="F601" s="4">
        <v>74.712324900000013</v>
      </c>
      <c r="G601" s="4">
        <f>IFERROR(F601-alt_Blanks!$I$6,F601)</f>
        <v>74.712324900000013</v>
      </c>
      <c r="H601" s="7">
        <f t="shared" si="26"/>
        <v>74.712324900000013</v>
      </c>
      <c r="I601" s="7">
        <f t="shared" si="27"/>
        <v>102.34565054794523</v>
      </c>
    </row>
    <row r="602" spans="1:9" x14ac:dyDescent="0.35">
      <c r="A602" t="s">
        <v>78</v>
      </c>
      <c r="B602" t="s">
        <v>79</v>
      </c>
      <c r="C602" t="s">
        <v>11</v>
      </c>
      <c r="D602" t="s">
        <v>153</v>
      </c>
      <c r="E602" t="s">
        <v>65</v>
      </c>
      <c r="F602" s="4">
        <v>54.893558499999997</v>
      </c>
      <c r="G602" s="4">
        <f>IFERROR(F602-alt_Blanks!$I$7,F602)</f>
        <v>54.893558499999997</v>
      </c>
      <c r="H602" s="7">
        <f t="shared" si="26"/>
        <v>54.893558499999997</v>
      </c>
      <c r="I602" s="7">
        <f t="shared" si="27"/>
        <v>75.196655479452048</v>
      </c>
    </row>
    <row r="603" spans="1:9" x14ac:dyDescent="0.35">
      <c r="A603" t="s">
        <v>78</v>
      </c>
      <c r="B603" t="s">
        <v>79</v>
      </c>
      <c r="C603" t="s">
        <v>12</v>
      </c>
      <c r="D603" t="s">
        <v>154</v>
      </c>
      <c r="E603" t="s">
        <v>65</v>
      </c>
      <c r="F603" s="4">
        <v>0</v>
      </c>
      <c r="G603" s="4">
        <f>IFERROR(F603-alt_Blanks!$I$8,F603)</f>
        <v>0</v>
      </c>
      <c r="H603" s="7">
        <f t="shared" si="26"/>
        <v>0</v>
      </c>
      <c r="I603" s="7">
        <f t="shared" si="27"/>
        <v>0</v>
      </c>
    </row>
    <row r="604" spans="1:9" x14ac:dyDescent="0.35">
      <c r="A604" t="s">
        <v>78</v>
      </c>
      <c r="B604" t="s">
        <v>79</v>
      </c>
      <c r="C604" t="s">
        <v>13</v>
      </c>
      <c r="D604" t="s">
        <v>153</v>
      </c>
      <c r="E604" t="s">
        <v>65</v>
      </c>
      <c r="F604" s="4">
        <v>6.449668</v>
      </c>
      <c r="G604" s="4">
        <f>IFERROR(F604-alt_Blanks!$I$9,F604)</f>
        <v>6.449668</v>
      </c>
      <c r="H604" s="7">
        <f t="shared" si="26"/>
        <v>6.449668</v>
      </c>
      <c r="I604" s="7">
        <f t="shared" si="27"/>
        <v>8.8351616438356171</v>
      </c>
    </row>
    <row r="605" spans="1:9" x14ac:dyDescent="0.35">
      <c r="A605" t="s">
        <v>78</v>
      </c>
      <c r="B605" t="s">
        <v>79</v>
      </c>
      <c r="C605" t="s">
        <v>14</v>
      </c>
      <c r="D605" t="s">
        <v>154</v>
      </c>
      <c r="E605" t="s">
        <v>65</v>
      </c>
      <c r="F605" s="4">
        <v>0</v>
      </c>
      <c r="G605" s="4">
        <f>IFERROR(F605-alt_Blanks!$I$10,F605)</f>
        <v>0</v>
      </c>
      <c r="H605" s="7">
        <f t="shared" si="26"/>
        <v>0</v>
      </c>
      <c r="I605" s="7">
        <f t="shared" si="27"/>
        <v>0</v>
      </c>
    </row>
    <row r="606" spans="1:9" x14ac:dyDescent="0.35">
      <c r="A606" t="s">
        <v>78</v>
      </c>
      <c r="B606" t="s">
        <v>79</v>
      </c>
      <c r="C606" t="s">
        <v>15</v>
      </c>
      <c r="D606" t="s">
        <v>153</v>
      </c>
      <c r="E606" t="s">
        <v>65</v>
      </c>
      <c r="F606" s="4">
        <v>2264.3087267000001</v>
      </c>
      <c r="G606" s="4">
        <f>IFERROR(F606-alt_Blanks!$I$11,F606)</f>
        <v>1459.0920370000001</v>
      </c>
      <c r="H606" s="7">
        <f t="shared" si="26"/>
        <v>1459.0920370000001</v>
      </c>
      <c r="I606" s="7">
        <f t="shared" si="27"/>
        <v>1998.7562150684935</v>
      </c>
    </row>
    <row r="607" spans="1:9" x14ac:dyDescent="0.35">
      <c r="A607" t="s">
        <v>78</v>
      </c>
      <c r="B607" t="s">
        <v>79</v>
      </c>
      <c r="C607" t="s">
        <v>16</v>
      </c>
      <c r="D607" t="s">
        <v>154</v>
      </c>
      <c r="E607" t="s">
        <v>65</v>
      </c>
      <c r="F607" s="4">
        <v>264.58078869999997</v>
      </c>
      <c r="G607" s="4">
        <f>IFERROR(F607-alt_Blanks!$I$12,F607)</f>
        <v>264.58078869999997</v>
      </c>
      <c r="H607" s="7">
        <f t="shared" si="26"/>
        <v>264.58078869999997</v>
      </c>
      <c r="I607" s="7">
        <f t="shared" si="27"/>
        <v>362.43943657534243</v>
      </c>
    </row>
    <row r="608" spans="1:9" x14ac:dyDescent="0.35">
      <c r="A608" t="s">
        <v>78</v>
      </c>
      <c r="B608" t="s">
        <v>79</v>
      </c>
      <c r="C608" t="s">
        <v>17</v>
      </c>
      <c r="D608" t="s">
        <v>153</v>
      </c>
      <c r="E608" t="s">
        <v>65</v>
      </c>
      <c r="F608" s="4">
        <v>15.7115499</v>
      </c>
      <c r="G608" s="4">
        <f>IFERROR(F608-alt_Blanks!$I$13,F608)</f>
        <v>14.8588364</v>
      </c>
      <c r="H608" s="7">
        <f t="shared" si="26"/>
        <v>14.8588364</v>
      </c>
      <c r="I608" s="7">
        <f t="shared" si="27"/>
        <v>20.354570410958903</v>
      </c>
    </row>
    <row r="609" spans="1:9" x14ac:dyDescent="0.35">
      <c r="A609" t="s">
        <v>78</v>
      </c>
      <c r="B609" t="s">
        <v>79</v>
      </c>
      <c r="C609" t="s">
        <v>18</v>
      </c>
      <c r="D609" t="s">
        <v>154</v>
      </c>
      <c r="E609" t="s">
        <v>65</v>
      </c>
      <c r="F609" s="4">
        <v>0</v>
      </c>
      <c r="G609" s="4">
        <f>IFERROR(F609-alt_Blanks!$I$14,F609)</f>
        <v>0</v>
      </c>
      <c r="H609" s="7">
        <f t="shared" si="26"/>
        <v>0</v>
      </c>
      <c r="I609" s="7">
        <f t="shared" si="27"/>
        <v>0</v>
      </c>
    </row>
    <row r="610" spans="1:9" x14ac:dyDescent="0.35">
      <c r="A610" t="s">
        <v>78</v>
      </c>
      <c r="B610" t="s">
        <v>79</v>
      </c>
      <c r="C610" t="s">
        <v>19</v>
      </c>
      <c r="D610" t="s">
        <v>153</v>
      </c>
      <c r="E610" t="s">
        <v>65</v>
      </c>
      <c r="F610" s="4">
        <v>466.23439809999996</v>
      </c>
      <c r="G610" s="4">
        <f>IFERROR(F610-alt_Blanks!$I$15,F610)</f>
        <v>197.61100099999999</v>
      </c>
      <c r="H610" s="7">
        <f t="shared" si="26"/>
        <v>197.61100099999999</v>
      </c>
      <c r="I610" s="7">
        <f t="shared" si="27"/>
        <v>270.700001369863</v>
      </c>
    </row>
    <row r="611" spans="1:9" x14ac:dyDescent="0.35">
      <c r="A611" t="s">
        <v>78</v>
      </c>
      <c r="B611" t="s">
        <v>79</v>
      </c>
      <c r="C611" t="s">
        <v>20</v>
      </c>
      <c r="D611" t="s">
        <v>154</v>
      </c>
      <c r="E611" t="s">
        <v>65</v>
      </c>
      <c r="F611" s="4">
        <v>323.44556969999996</v>
      </c>
      <c r="G611" s="4">
        <f>IFERROR(F611-alt_Blanks!$I$16,F611)</f>
        <v>304.97965649999998</v>
      </c>
      <c r="H611" s="7">
        <f t="shared" si="26"/>
        <v>304.97965649999998</v>
      </c>
      <c r="I611" s="7">
        <f t="shared" si="27"/>
        <v>417.78035136986301</v>
      </c>
    </row>
    <row r="612" spans="1:9" x14ac:dyDescent="0.35">
      <c r="A612" t="s">
        <v>78</v>
      </c>
      <c r="B612" t="s">
        <v>79</v>
      </c>
      <c r="C612" t="s">
        <v>21</v>
      </c>
      <c r="D612" t="s">
        <v>155</v>
      </c>
      <c r="E612" t="s">
        <v>65</v>
      </c>
      <c r="F612" s="4">
        <v>0.24411289999999999</v>
      </c>
      <c r="G612" s="4">
        <f>IFERROR(F612-alt_Blanks!$I$17,F612)</f>
        <v>-8.7840500000000016E-2</v>
      </c>
      <c r="H612" s="7">
        <f t="shared" si="26"/>
        <v>0</v>
      </c>
      <c r="I612" s="7">
        <f t="shared" si="27"/>
        <v>0</v>
      </c>
    </row>
    <row r="613" spans="1:9" x14ac:dyDescent="0.35">
      <c r="A613" t="s">
        <v>78</v>
      </c>
      <c r="B613" t="s">
        <v>79</v>
      </c>
      <c r="C613" t="s">
        <v>22</v>
      </c>
      <c r="D613" t="s">
        <v>155</v>
      </c>
      <c r="E613" t="s">
        <v>65</v>
      </c>
      <c r="F613" s="4">
        <v>174.77678969999999</v>
      </c>
      <c r="G613" s="4">
        <f>IFERROR(F613-alt_Blanks!$I$18,F613)</f>
        <v>168.77333009999998</v>
      </c>
      <c r="H613" s="7">
        <f t="shared" si="26"/>
        <v>168.77333009999998</v>
      </c>
      <c r="I613" s="7">
        <f t="shared" si="27"/>
        <v>231.19634260273972</v>
      </c>
    </row>
    <row r="614" spans="1:9" x14ac:dyDescent="0.35">
      <c r="A614" t="s">
        <v>78</v>
      </c>
      <c r="B614" t="s">
        <v>79</v>
      </c>
      <c r="C614" t="s">
        <v>23</v>
      </c>
      <c r="D614" t="s">
        <v>155</v>
      </c>
      <c r="E614" t="s">
        <v>65</v>
      </c>
      <c r="F614" s="4">
        <v>0.23757639999999999</v>
      </c>
      <c r="G614" s="4">
        <f>IFERROR(F614-alt_Blanks!$I$19,F614)</f>
        <v>0.23757639999999999</v>
      </c>
      <c r="H614" s="7">
        <f t="shared" si="26"/>
        <v>0.23757639999999999</v>
      </c>
      <c r="I614" s="7">
        <f t="shared" si="27"/>
        <v>0.32544712328767123</v>
      </c>
    </row>
    <row r="615" spans="1:9" x14ac:dyDescent="0.35">
      <c r="A615" t="s">
        <v>78</v>
      </c>
      <c r="B615" t="s">
        <v>79</v>
      </c>
      <c r="C615" t="s">
        <v>24</v>
      </c>
      <c r="D615" t="s">
        <v>155</v>
      </c>
      <c r="E615" t="s">
        <v>65</v>
      </c>
      <c r="F615" s="4">
        <v>108.2591523</v>
      </c>
      <c r="G615" s="4">
        <f>IFERROR(F615-alt_Blanks!$I$20,F615)</f>
        <v>106.3211769</v>
      </c>
      <c r="H615" s="7">
        <f t="shared" si="26"/>
        <v>106.3211769</v>
      </c>
      <c r="I615" s="7">
        <f t="shared" si="27"/>
        <v>145.64544780821919</v>
      </c>
    </row>
    <row r="616" spans="1:9" x14ac:dyDescent="0.35">
      <c r="A616" t="s">
        <v>78</v>
      </c>
      <c r="B616" t="s">
        <v>79</v>
      </c>
      <c r="C616" t="s">
        <v>25</v>
      </c>
      <c r="D616" t="s">
        <v>155</v>
      </c>
      <c r="E616" t="s">
        <v>65</v>
      </c>
      <c r="F616" s="4">
        <v>0.29718720000000004</v>
      </c>
      <c r="G616" s="4">
        <f>IFERROR(F616-alt_Blanks!$I$21,F616)</f>
        <v>8.267810000000006E-2</v>
      </c>
      <c r="H616" s="7">
        <f t="shared" si="26"/>
        <v>8.267810000000006E-2</v>
      </c>
      <c r="I616" s="7">
        <f t="shared" si="27"/>
        <v>0.11325767123287679</v>
      </c>
    </row>
    <row r="617" spans="1:9" x14ac:dyDescent="0.35">
      <c r="A617" t="s">
        <v>78</v>
      </c>
      <c r="B617" t="s">
        <v>79</v>
      </c>
      <c r="C617" t="s">
        <v>26</v>
      </c>
      <c r="D617" t="s">
        <v>153</v>
      </c>
      <c r="E617" t="s">
        <v>65</v>
      </c>
      <c r="F617" s="4">
        <v>1.6299003000000001</v>
      </c>
      <c r="G617" s="4">
        <f>IFERROR(F617-alt_Blanks!$I$22,F617)</f>
        <v>3.5178900000000235E-2</v>
      </c>
      <c r="H617" s="7">
        <f t="shared" si="26"/>
        <v>3.5178900000000235E-2</v>
      </c>
      <c r="I617" s="7">
        <f t="shared" si="27"/>
        <v>4.8190273972603059E-2</v>
      </c>
    </row>
    <row r="618" spans="1:9" x14ac:dyDescent="0.35">
      <c r="A618" t="s">
        <v>78</v>
      </c>
      <c r="B618" t="s">
        <v>79</v>
      </c>
      <c r="C618" t="s">
        <v>27</v>
      </c>
      <c r="D618" t="s">
        <v>154</v>
      </c>
      <c r="E618" t="s">
        <v>65</v>
      </c>
      <c r="F618" s="4">
        <v>9.4087100000000007E-2</v>
      </c>
      <c r="G618" s="4">
        <f>IFERROR(F618-alt_Blanks!$I$23,F618)</f>
        <v>-2.6650299999999988E-2</v>
      </c>
      <c r="H618" s="7">
        <f t="shared" si="26"/>
        <v>0</v>
      </c>
      <c r="I618" s="7">
        <f t="shared" si="27"/>
        <v>0</v>
      </c>
    </row>
    <row r="619" spans="1:9" x14ac:dyDescent="0.35">
      <c r="A619" t="s">
        <v>78</v>
      </c>
      <c r="B619" t="s">
        <v>79</v>
      </c>
      <c r="C619" t="s">
        <v>28</v>
      </c>
      <c r="D619" t="s">
        <v>155</v>
      </c>
      <c r="E619" t="s">
        <v>65</v>
      </c>
      <c r="F619" s="4">
        <v>33.724539499999999</v>
      </c>
      <c r="G619" s="4">
        <f>IFERROR(F619-alt_Blanks!$I$24,F619)</f>
        <v>33.477369899999999</v>
      </c>
      <c r="H619" s="7">
        <f t="shared" si="26"/>
        <v>33.477369899999999</v>
      </c>
      <c r="I619" s="7">
        <f t="shared" si="27"/>
        <v>45.859410821917805</v>
      </c>
    </row>
    <row r="620" spans="1:9" x14ac:dyDescent="0.35">
      <c r="A620" t="s">
        <v>78</v>
      </c>
      <c r="B620" t="s">
        <v>79</v>
      </c>
      <c r="C620" t="s">
        <v>29</v>
      </c>
      <c r="D620" t="s">
        <v>155</v>
      </c>
      <c r="E620" t="s">
        <v>65</v>
      </c>
      <c r="F620" s="4">
        <v>0.41930090000000003</v>
      </c>
      <c r="G620" s="4">
        <f>IFERROR(F620-alt_Blanks!$I$25,F620)</f>
        <v>-5.2939899999999929E-2</v>
      </c>
      <c r="H620" s="7">
        <f t="shared" si="26"/>
        <v>0</v>
      </c>
      <c r="I620" s="7">
        <f t="shared" si="27"/>
        <v>0</v>
      </c>
    </row>
    <row r="621" spans="1:9" x14ac:dyDescent="0.35">
      <c r="A621" t="s">
        <v>78</v>
      </c>
      <c r="B621" t="s">
        <v>79</v>
      </c>
      <c r="C621" t="s">
        <v>30</v>
      </c>
      <c r="D621" t="s">
        <v>155</v>
      </c>
      <c r="E621" t="s">
        <v>65</v>
      </c>
      <c r="F621" s="4">
        <v>210.168442</v>
      </c>
      <c r="G621" s="4">
        <f>IFERROR(F621-alt_Blanks!$I$26,F621)</f>
        <v>209.58826569999999</v>
      </c>
      <c r="H621" s="7">
        <f t="shared" si="26"/>
        <v>209.58826569999999</v>
      </c>
      <c r="I621" s="7">
        <f t="shared" si="27"/>
        <v>287.10721328767124</v>
      </c>
    </row>
    <row r="622" spans="1:9" x14ac:dyDescent="0.35">
      <c r="A622" t="s">
        <v>78</v>
      </c>
      <c r="B622" t="s">
        <v>79</v>
      </c>
      <c r="C622" t="s">
        <v>31</v>
      </c>
      <c r="D622" t="s">
        <v>155</v>
      </c>
      <c r="E622" t="s">
        <v>65</v>
      </c>
      <c r="F622" s="4" t="e">
        <v>#N/A</v>
      </c>
      <c r="G622" s="4" t="e">
        <f>IFERROR(F622-alt_Blanks!$I$27,F622)</f>
        <v>#N/A</v>
      </c>
      <c r="H622" s="7" t="e">
        <f t="shared" si="26"/>
        <v>#N/A</v>
      </c>
      <c r="I622" s="7" t="e">
        <f t="shared" si="27"/>
        <v>#N/A</v>
      </c>
    </row>
    <row r="623" spans="1:9" x14ac:dyDescent="0.35">
      <c r="A623" t="s">
        <v>78</v>
      </c>
      <c r="B623" t="s">
        <v>79</v>
      </c>
      <c r="C623" t="s">
        <v>32</v>
      </c>
      <c r="D623" t="s">
        <v>153</v>
      </c>
      <c r="E623" t="s">
        <v>65</v>
      </c>
      <c r="F623" s="4">
        <v>0</v>
      </c>
      <c r="G623" s="4">
        <f>IFERROR(F623-alt_Blanks!$I$28,F623)</f>
        <v>0</v>
      </c>
      <c r="H623" s="7">
        <f t="shared" si="26"/>
        <v>0</v>
      </c>
      <c r="I623" s="7">
        <f t="shared" si="27"/>
        <v>0</v>
      </c>
    </row>
    <row r="624" spans="1:9" x14ac:dyDescent="0.35">
      <c r="A624" t="s">
        <v>78</v>
      </c>
      <c r="B624" t="s">
        <v>79</v>
      </c>
      <c r="C624" t="s">
        <v>33</v>
      </c>
      <c r="D624" t="s">
        <v>155</v>
      </c>
      <c r="E624" t="s">
        <v>65</v>
      </c>
      <c r="F624" s="4">
        <v>175.02227770000002</v>
      </c>
      <c r="G624" s="4">
        <f>IFERROR(F624-alt_Blanks!$I$29,F624)</f>
        <v>174.4106567</v>
      </c>
      <c r="H624" s="7">
        <f t="shared" si="26"/>
        <v>174.4106567</v>
      </c>
      <c r="I624" s="7">
        <f t="shared" si="27"/>
        <v>238.91870780821918</v>
      </c>
    </row>
    <row r="625" spans="1:9" x14ac:dyDescent="0.35">
      <c r="A625" t="s">
        <v>78</v>
      </c>
      <c r="B625" t="s">
        <v>79</v>
      </c>
      <c r="C625" t="s">
        <v>34</v>
      </c>
      <c r="D625" t="s">
        <v>153</v>
      </c>
      <c r="E625" t="s">
        <v>65</v>
      </c>
      <c r="F625" s="4">
        <v>0</v>
      </c>
      <c r="G625" s="4">
        <f>IFERROR(F625-alt_Blanks!$I$30,F625)</f>
        <v>0</v>
      </c>
      <c r="H625" s="7">
        <f t="shared" si="26"/>
        <v>0</v>
      </c>
      <c r="I625" s="7">
        <f t="shared" si="27"/>
        <v>0</v>
      </c>
    </row>
    <row r="626" spans="1:9" x14ac:dyDescent="0.35">
      <c r="A626" t="s">
        <v>78</v>
      </c>
      <c r="B626" t="s">
        <v>79</v>
      </c>
      <c r="C626" t="s">
        <v>35</v>
      </c>
      <c r="D626" t="s">
        <v>154</v>
      </c>
      <c r="E626" t="s">
        <v>65</v>
      </c>
      <c r="F626" s="4">
        <v>99.914845900000003</v>
      </c>
      <c r="G626" s="4">
        <f>IFERROR(F626-alt_Blanks!$I$31,F626)</f>
        <v>-2.5397876999999909</v>
      </c>
      <c r="H626" s="7">
        <f t="shared" si="26"/>
        <v>0</v>
      </c>
      <c r="I626" s="7">
        <f t="shared" si="27"/>
        <v>0</v>
      </c>
    </row>
    <row r="627" spans="1:9" x14ac:dyDescent="0.35">
      <c r="A627" t="s">
        <v>78</v>
      </c>
      <c r="B627" t="s">
        <v>79</v>
      </c>
      <c r="C627" t="s">
        <v>36</v>
      </c>
      <c r="D627" t="s">
        <v>155</v>
      </c>
      <c r="E627" t="s">
        <v>65</v>
      </c>
      <c r="F627" s="4">
        <v>1.9156862000000001</v>
      </c>
      <c r="G627" s="4">
        <f>IFERROR(F627-alt_Blanks!$I$32,F627)</f>
        <v>-1.1882299999999901E-2</v>
      </c>
      <c r="H627" s="7">
        <f t="shared" si="26"/>
        <v>0</v>
      </c>
      <c r="I627" s="7">
        <f t="shared" si="27"/>
        <v>0</v>
      </c>
    </row>
    <row r="628" spans="1:9" x14ac:dyDescent="0.35">
      <c r="A628" t="s">
        <v>78</v>
      </c>
      <c r="B628" t="s">
        <v>79</v>
      </c>
      <c r="C628" t="s">
        <v>37</v>
      </c>
      <c r="D628" t="s">
        <v>155</v>
      </c>
      <c r="E628" t="s">
        <v>65</v>
      </c>
      <c r="F628" s="4">
        <v>5.3807232999999997</v>
      </c>
      <c r="G628" s="4">
        <f>IFERROR(F628-alt_Blanks!$I$33,F628)</f>
        <v>5.3807232999999997</v>
      </c>
      <c r="H628" s="7">
        <f t="shared" si="26"/>
        <v>5.3807232999999997</v>
      </c>
      <c r="I628" s="7">
        <f t="shared" si="27"/>
        <v>7.3708538356164377</v>
      </c>
    </row>
    <row r="629" spans="1:9" x14ac:dyDescent="0.35">
      <c r="A629" t="s">
        <v>78</v>
      </c>
      <c r="B629" t="s">
        <v>79</v>
      </c>
      <c r="C629" t="s">
        <v>38</v>
      </c>
      <c r="D629" t="s">
        <v>155</v>
      </c>
      <c r="E629" t="s">
        <v>65</v>
      </c>
      <c r="F629" s="4">
        <v>5.8417789000000004</v>
      </c>
      <c r="G629" s="4">
        <f>IFERROR(F629-alt_Blanks!$I$34,F629)</f>
        <v>5.8417789000000004</v>
      </c>
      <c r="H629" s="7">
        <f t="shared" si="26"/>
        <v>5.8417789000000004</v>
      </c>
      <c r="I629" s="7">
        <f t="shared" si="27"/>
        <v>8.0024368493150693</v>
      </c>
    </row>
    <row r="630" spans="1:9" x14ac:dyDescent="0.35">
      <c r="A630" t="s">
        <v>78</v>
      </c>
      <c r="B630" t="s">
        <v>79</v>
      </c>
      <c r="C630" t="s">
        <v>39</v>
      </c>
      <c r="D630" t="s">
        <v>153</v>
      </c>
      <c r="E630" t="s">
        <v>65</v>
      </c>
      <c r="F630" s="4">
        <v>0</v>
      </c>
      <c r="G630" s="4">
        <f>IFERROR(F630-alt_Blanks!$I$35,F630)</f>
        <v>0</v>
      </c>
      <c r="H630" s="7">
        <f t="shared" si="26"/>
        <v>0</v>
      </c>
      <c r="I630" s="7">
        <f t="shared" si="27"/>
        <v>0</v>
      </c>
    </row>
    <row r="631" spans="1:9" x14ac:dyDescent="0.35">
      <c r="A631" t="s">
        <v>78</v>
      </c>
      <c r="B631" t="s">
        <v>79</v>
      </c>
      <c r="C631" t="s">
        <v>40</v>
      </c>
      <c r="D631" t="s">
        <v>154</v>
      </c>
      <c r="E631" t="s">
        <v>65</v>
      </c>
      <c r="F631" s="4">
        <v>0</v>
      </c>
      <c r="G631" s="4">
        <f>IFERROR(F631-alt_Blanks!$I$36,F631)</f>
        <v>0</v>
      </c>
      <c r="H631" s="7">
        <f t="shared" si="26"/>
        <v>0</v>
      </c>
      <c r="I631" s="7">
        <f t="shared" si="27"/>
        <v>0</v>
      </c>
    </row>
    <row r="632" spans="1:9" x14ac:dyDescent="0.35">
      <c r="A632" t="s">
        <v>80</v>
      </c>
      <c r="B632" t="s">
        <v>81</v>
      </c>
      <c r="C632" t="s">
        <v>6</v>
      </c>
      <c r="D632" t="s">
        <v>153</v>
      </c>
      <c r="E632" t="s">
        <v>65</v>
      </c>
      <c r="F632" s="4">
        <v>6.7010839999999998</v>
      </c>
      <c r="G632" s="4">
        <f>IFERROR(F632-alt_Blanks!$I$2,F632)</f>
        <v>-5.4571000000009917E-3</v>
      </c>
      <c r="H632" s="7">
        <f t="shared" si="26"/>
        <v>0</v>
      </c>
      <c r="I632" s="7">
        <f>H632/0.4519</f>
        <v>0</v>
      </c>
    </row>
    <row r="633" spans="1:9" x14ac:dyDescent="0.35">
      <c r="A633" t="s">
        <v>80</v>
      </c>
      <c r="B633" t="s">
        <v>81</v>
      </c>
      <c r="C633" t="s">
        <v>7</v>
      </c>
      <c r="D633" t="s">
        <v>153</v>
      </c>
      <c r="E633" t="s">
        <v>65</v>
      </c>
      <c r="F633" s="4">
        <v>0</v>
      </c>
      <c r="G633" s="4">
        <f>IFERROR(F633-alt_Blanks!$I$3,F633)</f>
        <v>0</v>
      </c>
      <c r="H633" s="7">
        <f t="shared" si="26"/>
        <v>0</v>
      </c>
      <c r="I633" s="7">
        <f t="shared" ref="I633:I666" si="28">H633/0.4519</f>
        <v>0</v>
      </c>
    </row>
    <row r="634" spans="1:9" x14ac:dyDescent="0.35">
      <c r="A634" t="s">
        <v>80</v>
      </c>
      <c r="B634" t="s">
        <v>81</v>
      </c>
      <c r="C634" t="s">
        <v>8</v>
      </c>
      <c r="D634" t="s">
        <v>153</v>
      </c>
      <c r="E634" t="s">
        <v>65</v>
      </c>
      <c r="F634" s="4" t="e">
        <v>#N/A</v>
      </c>
      <c r="G634" s="4" t="e">
        <f>IFERROR(F634-alt_Blanks!$I$4,F634)</f>
        <v>#N/A</v>
      </c>
      <c r="H634" s="7" t="e">
        <f t="shared" si="26"/>
        <v>#N/A</v>
      </c>
      <c r="I634" s="7" t="e">
        <f t="shared" si="28"/>
        <v>#N/A</v>
      </c>
    </row>
    <row r="635" spans="1:9" x14ac:dyDescent="0.35">
      <c r="A635" t="s">
        <v>80</v>
      </c>
      <c r="B635" t="s">
        <v>81</v>
      </c>
      <c r="C635" t="s">
        <v>9</v>
      </c>
      <c r="D635" t="s">
        <v>153</v>
      </c>
      <c r="E635" t="s">
        <v>65</v>
      </c>
      <c r="F635" s="4">
        <v>1.1361460999999999</v>
      </c>
      <c r="G635" s="4">
        <f>IFERROR(F635-alt_Blanks!$I$5,F635)</f>
        <v>1.1361460999999999</v>
      </c>
      <c r="H635" s="7">
        <f t="shared" si="26"/>
        <v>1.1361460999999999</v>
      </c>
      <c r="I635" s="7">
        <f t="shared" si="28"/>
        <v>2.5141537950874087</v>
      </c>
    </row>
    <row r="636" spans="1:9" x14ac:dyDescent="0.35">
      <c r="A636" t="s">
        <v>80</v>
      </c>
      <c r="B636" t="s">
        <v>81</v>
      </c>
      <c r="C636" t="s">
        <v>10</v>
      </c>
      <c r="D636" t="s">
        <v>153</v>
      </c>
      <c r="E636" t="s">
        <v>65</v>
      </c>
      <c r="F636" s="4">
        <v>71.046942200000004</v>
      </c>
      <c r="G636" s="4">
        <f>IFERROR(F636-alt_Blanks!$I$6,F636)</f>
        <v>71.046942200000004</v>
      </c>
      <c r="H636" s="7">
        <f t="shared" si="26"/>
        <v>71.046942200000004</v>
      </c>
      <c r="I636" s="7">
        <f t="shared" si="28"/>
        <v>157.21828324850631</v>
      </c>
    </row>
    <row r="637" spans="1:9" x14ac:dyDescent="0.35">
      <c r="A637" t="s">
        <v>80</v>
      </c>
      <c r="B637" t="s">
        <v>81</v>
      </c>
      <c r="C637" t="s">
        <v>11</v>
      </c>
      <c r="D637" t="s">
        <v>153</v>
      </c>
      <c r="E637" t="s">
        <v>65</v>
      </c>
      <c r="F637" s="4">
        <v>66.590006799999998</v>
      </c>
      <c r="G637" s="4">
        <f>IFERROR(F637-alt_Blanks!$I$7,F637)</f>
        <v>66.590006799999998</v>
      </c>
      <c r="H637" s="7">
        <f t="shared" si="26"/>
        <v>66.590006799999998</v>
      </c>
      <c r="I637" s="7">
        <f t="shared" si="28"/>
        <v>147.35562469572912</v>
      </c>
    </row>
    <row r="638" spans="1:9" x14ac:dyDescent="0.35">
      <c r="A638" t="s">
        <v>80</v>
      </c>
      <c r="B638" t="s">
        <v>81</v>
      </c>
      <c r="C638" t="s">
        <v>12</v>
      </c>
      <c r="D638" t="s">
        <v>154</v>
      </c>
      <c r="E638" t="s">
        <v>65</v>
      </c>
      <c r="F638" s="4">
        <v>1.2378943</v>
      </c>
      <c r="G638" s="4">
        <f>IFERROR(F638-alt_Blanks!$I$8,F638)</f>
        <v>1.2378943</v>
      </c>
      <c r="H638" s="7">
        <f t="shared" si="26"/>
        <v>1.2378943</v>
      </c>
      <c r="I638" s="7">
        <f t="shared" si="28"/>
        <v>2.7393102456295639</v>
      </c>
    </row>
    <row r="639" spans="1:9" x14ac:dyDescent="0.35">
      <c r="A639" t="s">
        <v>80</v>
      </c>
      <c r="B639" t="s">
        <v>81</v>
      </c>
      <c r="C639" t="s">
        <v>13</v>
      </c>
      <c r="D639" t="s">
        <v>153</v>
      </c>
      <c r="E639" t="s">
        <v>65</v>
      </c>
      <c r="F639" s="4">
        <v>10.521297500000001</v>
      </c>
      <c r="G639" s="4">
        <f>IFERROR(F639-alt_Blanks!$I$9,F639)</f>
        <v>10.521297500000001</v>
      </c>
      <c r="H639" s="7">
        <f t="shared" si="26"/>
        <v>10.521297500000001</v>
      </c>
      <c r="I639" s="7">
        <f t="shared" si="28"/>
        <v>23.282357822527111</v>
      </c>
    </row>
    <row r="640" spans="1:9" x14ac:dyDescent="0.35">
      <c r="A640" t="s">
        <v>80</v>
      </c>
      <c r="B640" t="s">
        <v>81</v>
      </c>
      <c r="C640" t="s">
        <v>14</v>
      </c>
      <c r="D640" t="s">
        <v>154</v>
      </c>
      <c r="E640" t="s">
        <v>65</v>
      </c>
      <c r="F640" s="4">
        <v>0</v>
      </c>
      <c r="G640" s="4">
        <f>IFERROR(F640-alt_Blanks!$I$10,F640)</f>
        <v>0</v>
      </c>
      <c r="H640" s="7">
        <f t="shared" si="26"/>
        <v>0</v>
      </c>
      <c r="I640" s="7">
        <f t="shared" si="28"/>
        <v>0</v>
      </c>
    </row>
    <row r="641" spans="1:9" x14ac:dyDescent="0.35">
      <c r="A641" t="s">
        <v>80</v>
      </c>
      <c r="B641" t="s">
        <v>81</v>
      </c>
      <c r="C641" t="s">
        <v>15</v>
      </c>
      <c r="D641" t="s">
        <v>153</v>
      </c>
      <c r="E641" t="s">
        <v>65</v>
      </c>
      <c r="F641" s="4">
        <v>2176.9346734999999</v>
      </c>
      <c r="G641" s="4">
        <f>IFERROR(F641-alt_Blanks!$I$11,F641)</f>
        <v>1371.7179838</v>
      </c>
      <c r="H641" s="7">
        <f t="shared" si="26"/>
        <v>1371.7179838</v>
      </c>
      <c r="I641" s="7">
        <f t="shared" si="28"/>
        <v>3035.445859260898</v>
      </c>
    </row>
    <row r="642" spans="1:9" x14ac:dyDescent="0.35">
      <c r="A642" t="s">
        <v>80</v>
      </c>
      <c r="B642" t="s">
        <v>81</v>
      </c>
      <c r="C642" t="s">
        <v>16</v>
      </c>
      <c r="D642" t="s">
        <v>154</v>
      </c>
      <c r="E642" t="s">
        <v>65</v>
      </c>
      <c r="F642" s="4">
        <v>206.1811222</v>
      </c>
      <c r="G642" s="4">
        <f>IFERROR(F642-alt_Blanks!$I$12,F642)</f>
        <v>206.1811222</v>
      </c>
      <c r="H642" s="7">
        <f t="shared" si="26"/>
        <v>206.1811222</v>
      </c>
      <c r="I642" s="7">
        <f t="shared" si="28"/>
        <v>456.25386634211105</v>
      </c>
    </row>
    <row r="643" spans="1:9" x14ac:dyDescent="0.35">
      <c r="A643" t="s">
        <v>80</v>
      </c>
      <c r="B643" t="s">
        <v>81</v>
      </c>
      <c r="C643" t="s">
        <v>17</v>
      </c>
      <c r="D643" t="s">
        <v>153</v>
      </c>
      <c r="E643" t="s">
        <v>65</v>
      </c>
      <c r="F643" s="4">
        <v>16.219138300000001</v>
      </c>
      <c r="G643" s="4">
        <f>IFERROR(F643-alt_Blanks!$I$13,F643)</f>
        <v>15.366424800000001</v>
      </c>
      <c r="H643" s="7">
        <f t="shared" si="26"/>
        <v>15.366424800000001</v>
      </c>
      <c r="I643" s="7">
        <f t="shared" si="28"/>
        <v>34.004038061518038</v>
      </c>
    </row>
    <row r="644" spans="1:9" x14ac:dyDescent="0.35">
      <c r="A644" t="s">
        <v>80</v>
      </c>
      <c r="B644" t="s">
        <v>81</v>
      </c>
      <c r="C644" t="s">
        <v>18</v>
      </c>
      <c r="D644" t="s">
        <v>154</v>
      </c>
      <c r="E644" t="s">
        <v>65</v>
      </c>
      <c r="F644" s="4" t="e">
        <v>#N/A</v>
      </c>
      <c r="G644" s="4" t="e">
        <f>IFERROR(F644-alt_Blanks!$I$14,F644)</f>
        <v>#N/A</v>
      </c>
      <c r="H644" s="7" t="e">
        <f t="shared" si="26"/>
        <v>#N/A</v>
      </c>
      <c r="I644" s="7" t="e">
        <f t="shared" si="28"/>
        <v>#N/A</v>
      </c>
    </row>
    <row r="645" spans="1:9" x14ac:dyDescent="0.35">
      <c r="A645" t="s">
        <v>80</v>
      </c>
      <c r="B645" t="s">
        <v>81</v>
      </c>
      <c r="C645" t="s">
        <v>19</v>
      </c>
      <c r="D645" t="s">
        <v>153</v>
      </c>
      <c r="E645" t="s">
        <v>65</v>
      </c>
      <c r="F645" s="4">
        <v>464.6292072</v>
      </c>
      <c r="G645" s="4">
        <f>IFERROR(F645-alt_Blanks!$I$15,F645)</f>
        <v>196.00581010000002</v>
      </c>
      <c r="H645" s="7">
        <f t="shared" si="26"/>
        <v>196.00581010000002</v>
      </c>
      <c r="I645" s="7">
        <f t="shared" si="28"/>
        <v>433.73713233016156</v>
      </c>
    </row>
    <row r="646" spans="1:9" x14ac:dyDescent="0.35">
      <c r="A646" t="s">
        <v>80</v>
      </c>
      <c r="B646" t="s">
        <v>81</v>
      </c>
      <c r="C646" t="s">
        <v>20</v>
      </c>
      <c r="D646" t="s">
        <v>154</v>
      </c>
      <c r="E646" t="s">
        <v>65</v>
      </c>
      <c r="F646" s="4">
        <v>393.180453</v>
      </c>
      <c r="G646" s="4">
        <f>IFERROR(F646-alt_Blanks!$I$16,F646)</f>
        <v>374.71453980000001</v>
      </c>
      <c r="H646" s="7">
        <f t="shared" ref="H646:H709" si="29">IF(G646&lt;0,0,G646)</f>
        <v>374.71453980000001</v>
      </c>
      <c r="I646" s="7">
        <f t="shared" si="28"/>
        <v>829.19791945120596</v>
      </c>
    </row>
    <row r="647" spans="1:9" x14ac:dyDescent="0.35">
      <c r="A647" t="s">
        <v>80</v>
      </c>
      <c r="B647" t="s">
        <v>81</v>
      </c>
      <c r="C647" t="s">
        <v>21</v>
      </c>
      <c r="D647" t="s">
        <v>155</v>
      </c>
      <c r="E647" t="s">
        <v>65</v>
      </c>
      <c r="F647" s="4">
        <v>0.55528319999999998</v>
      </c>
      <c r="G647" s="4">
        <f>IFERROR(F647-alt_Blanks!$I$17,F647)</f>
        <v>0.22332979999999997</v>
      </c>
      <c r="H647" s="7">
        <f t="shared" si="29"/>
        <v>0.22332979999999997</v>
      </c>
      <c r="I647" s="7">
        <f t="shared" si="28"/>
        <v>0.49420181456074341</v>
      </c>
    </row>
    <row r="648" spans="1:9" x14ac:dyDescent="0.35">
      <c r="A648" t="s">
        <v>80</v>
      </c>
      <c r="B648" t="s">
        <v>81</v>
      </c>
      <c r="C648" t="s">
        <v>22</v>
      </c>
      <c r="D648" t="s">
        <v>155</v>
      </c>
      <c r="E648" t="s">
        <v>65</v>
      </c>
      <c r="F648" s="4">
        <v>147.4145571</v>
      </c>
      <c r="G648" s="4">
        <f>IFERROR(F648-alt_Blanks!$I$18,F648)</f>
        <v>141.41109749999998</v>
      </c>
      <c r="H648" s="7">
        <f t="shared" si="29"/>
        <v>141.41109749999998</v>
      </c>
      <c r="I648" s="7">
        <f t="shared" si="28"/>
        <v>312.92564173489706</v>
      </c>
    </row>
    <row r="649" spans="1:9" x14ac:dyDescent="0.35">
      <c r="A649" t="s">
        <v>80</v>
      </c>
      <c r="B649" t="s">
        <v>81</v>
      </c>
      <c r="C649" t="s">
        <v>23</v>
      </c>
      <c r="D649" t="s">
        <v>155</v>
      </c>
      <c r="E649" t="s">
        <v>65</v>
      </c>
      <c r="F649" s="4">
        <v>0.10090449999999999</v>
      </c>
      <c r="G649" s="4">
        <f>IFERROR(F649-alt_Blanks!$I$19,F649)</f>
        <v>0.10090449999999999</v>
      </c>
      <c r="H649" s="7">
        <f t="shared" si="29"/>
        <v>0.10090449999999999</v>
      </c>
      <c r="I649" s="7">
        <f t="shared" si="28"/>
        <v>0.22328944456738214</v>
      </c>
    </row>
    <row r="650" spans="1:9" x14ac:dyDescent="0.35">
      <c r="A650" t="s">
        <v>80</v>
      </c>
      <c r="B650" t="s">
        <v>81</v>
      </c>
      <c r="C650" t="s">
        <v>24</v>
      </c>
      <c r="D650" t="s">
        <v>155</v>
      </c>
      <c r="E650" t="s">
        <v>65</v>
      </c>
      <c r="F650" s="4">
        <v>108.1641024</v>
      </c>
      <c r="G650" s="4">
        <f>IFERROR(F650-alt_Blanks!$I$20,F650)</f>
        <v>106.22612700000001</v>
      </c>
      <c r="H650" s="7">
        <f t="shared" si="29"/>
        <v>106.22612700000001</v>
      </c>
      <c r="I650" s="7">
        <f t="shared" si="28"/>
        <v>235.06556096481523</v>
      </c>
    </row>
    <row r="651" spans="1:9" x14ac:dyDescent="0.35">
      <c r="A651" t="s">
        <v>80</v>
      </c>
      <c r="B651" t="s">
        <v>81</v>
      </c>
      <c r="C651" t="s">
        <v>25</v>
      </c>
      <c r="D651" t="s">
        <v>155</v>
      </c>
      <c r="E651" t="s">
        <v>65</v>
      </c>
      <c r="F651" s="4">
        <v>0.66443730000000001</v>
      </c>
      <c r="G651" s="4">
        <f>IFERROR(F651-alt_Blanks!$I$21,F651)</f>
        <v>0.4499282</v>
      </c>
      <c r="H651" s="7">
        <f t="shared" si="29"/>
        <v>0.4499282</v>
      </c>
      <c r="I651" s="7">
        <f t="shared" si="28"/>
        <v>0.99563664527550333</v>
      </c>
    </row>
    <row r="652" spans="1:9" x14ac:dyDescent="0.35">
      <c r="A652" t="s">
        <v>80</v>
      </c>
      <c r="B652" t="s">
        <v>81</v>
      </c>
      <c r="C652" t="s">
        <v>26</v>
      </c>
      <c r="D652" t="s">
        <v>153</v>
      </c>
      <c r="E652" t="s">
        <v>65</v>
      </c>
      <c r="F652" s="4">
        <v>1.6217752000000001</v>
      </c>
      <c r="G652" s="4">
        <f>IFERROR(F652-alt_Blanks!$I$22,F652)</f>
        <v>2.7053800000000239E-2</v>
      </c>
      <c r="H652" s="7">
        <f t="shared" si="29"/>
        <v>2.7053800000000239E-2</v>
      </c>
      <c r="I652" s="7">
        <f t="shared" si="28"/>
        <v>5.9866784686878151E-2</v>
      </c>
    </row>
    <row r="653" spans="1:9" x14ac:dyDescent="0.35">
      <c r="A653" t="s">
        <v>80</v>
      </c>
      <c r="B653" t="s">
        <v>81</v>
      </c>
      <c r="C653" t="s">
        <v>27</v>
      </c>
      <c r="D653" t="s">
        <v>154</v>
      </c>
      <c r="E653" t="s">
        <v>65</v>
      </c>
      <c r="F653" s="4">
        <v>10.371822</v>
      </c>
      <c r="G653" s="4">
        <f>IFERROR(F653-alt_Blanks!$I$23,F653)</f>
        <v>10.2510846</v>
      </c>
      <c r="H653" s="7">
        <f t="shared" si="29"/>
        <v>10.2510846</v>
      </c>
      <c r="I653" s="7">
        <f t="shared" si="28"/>
        <v>22.68440938260677</v>
      </c>
    </row>
    <row r="654" spans="1:9" x14ac:dyDescent="0.35">
      <c r="A654" t="s">
        <v>80</v>
      </c>
      <c r="B654" t="s">
        <v>81</v>
      </c>
      <c r="C654" t="s">
        <v>28</v>
      </c>
      <c r="D654" t="s">
        <v>155</v>
      </c>
      <c r="E654" t="s">
        <v>65</v>
      </c>
      <c r="F654" s="4">
        <v>13.381612199999999</v>
      </c>
      <c r="G654" s="4">
        <f>IFERROR(F654-alt_Blanks!$I$24,F654)</f>
        <v>13.1344426</v>
      </c>
      <c r="H654" s="7">
        <f t="shared" si="29"/>
        <v>13.1344426</v>
      </c>
      <c r="I654" s="7">
        <f t="shared" si="28"/>
        <v>29.064931622040273</v>
      </c>
    </row>
    <row r="655" spans="1:9" x14ac:dyDescent="0.35">
      <c r="A655" t="s">
        <v>80</v>
      </c>
      <c r="B655" t="s">
        <v>81</v>
      </c>
      <c r="C655" t="s">
        <v>29</v>
      </c>
      <c r="D655" t="s">
        <v>155</v>
      </c>
      <c r="E655" t="s">
        <v>65</v>
      </c>
      <c r="F655" s="4">
        <v>0.41200680000000001</v>
      </c>
      <c r="G655" s="4">
        <f>IFERROR(F655-alt_Blanks!$I$25,F655)</f>
        <v>-6.0233999999999954E-2</v>
      </c>
      <c r="H655" s="7">
        <f t="shared" si="29"/>
        <v>0</v>
      </c>
      <c r="I655" s="7">
        <f t="shared" si="28"/>
        <v>0</v>
      </c>
    </row>
    <row r="656" spans="1:9" x14ac:dyDescent="0.35">
      <c r="A656" t="s">
        <v>80</v>
      </c>
      <c r="B656" t="s">
        <v>81</v>
      </c>
      <c r="C656" t="s">
        <v>30</v>
      </c>
      <c r="D656" t="s">
        <v>155</v>
      </c>
      <c r="E656" t="s">
        <v>65</v>
      </c>
      <c r="F656" s="4">
        <v>101.86172789999999</v>
      </c>
      <c r="G656" s="4">
        <f>IFERROR(F656-alt_Blanks!$I$26,F656)</f>
        <v>101.28155159999999</v>
      </c>
      <c r="H656" s="7">
        <f t="shared" si="29"/>
        <v>101.28155159999999</v>
      </c>
      <c r="I656" s="7">
        <f t="shared" si="28"/>
        <v>224.1238141181677</v>
      </c>
    </row>
    <row r="657" spans="1:9" x14ac:dyDescent="0.35">
      <c r="A657" t="s">
        <v>80</v>
      </c>
      <c r="B657" t="s">
        <v>81</v>
      </c>
      <c r="C657" t="s">
        <v>31</v>
      </c>
      <c r="D657" t="s">
        <v>155</v>
      </c>
      <c r="E657" t="s">
        <v>65</v>
      </c>
      <c r="F657" s="4" t="e">
        <v>#N/A</v>
      </c>
      <c r="G657" s="4" t="e">
        <f>IFERROR(F657-alt_Blanks!$I$27,F657)</f>
        <v>#N/A</v>
      </c>
      <c r="H657" s="7" t="e">
        <f t="shared" si="29"/>
        <v>#N/A</v>
      </c>
      <c r="I657" s="7" t="e">
        <f t="shared" si="28"/>
        <v>#N/A</v>
      </c>
    </row>
    <row r="658" spans="1:9" x14ac:dyDescent="0.35">
      <c r="A658" t="s">
        <v>80</v>
      </c>
      <c r="B658" t="s">
        <v>81</v>
      </c>
      <c r="C658" t="s">
        <v>32</v>
      </c>
      <c r="D658" t="s">
        <v>153</v>
      </c>
      <c r="E658" t="s">
        <v>65</v>
      </c>
      <c r="F658" s="4">
        <v>0</v>
      </c>
      <c r="G658" s="4">
        <f>IFERROR(F658-alt_Blanks!$I$28,F658)</f>
        <v>0</v>
      </c>
      <c r="H658" s="7">
        <f t="shared" si="29"/>
        <v>0</v>
      </c>
      <c r="I658" s="7">
        <f t="shared" si="28"/>
        <v>0</v>
      </c>
    </row>
    <row r="659" spans="1:9" x14ac:dyDescent="0.35">
      <c r="A659" t="s">
        <v>80</v>
      </c>
      <c r="B659" t="s">
        <v>81</v>
      </c>
      <c r="C659" t="s">
        <v>33</v>
      </c>
      <c r="D659" t="s">
        <v>155</v>
      </c>
      <c r="E659" t="s">
        <v>65</v>
      </c>
      <c r="F659" s="4">
        <v>109.0812284</v>
      </c>
      <c r="G659" s="4">
        <f>IFERROR(F659-alt_Blanks!$I$29,F659)</f>
        <v>108.4696074</v>
      </c>
      <c r="H659" s="7">
        <f t="shared" si="29"/>
        <v>108.4696074</v>
      </c>
      <c r="I659" s="7">
        <f t="shared" si="28"/>
        <v>240.03011152909934</v>
      </c>
    </row>
    <row r="660" spans="1:9" x14ac:dyDescent="0.35">
      <c r="A660" t="s">
        <v>80</v>
      </c>
      <c r="B660" t="s">
        <v>81</v>
      </c>
      <c r="C660" t="s">
        <v>34</v>
      </c>
      <c r="D660" t="s">
        <v>153</v>
      </c>
      <c r="E660" t="s">
        <v>65</v>
      </c>
      <c r="F660" s="4">
        <v>0</v>
      </c>
      <c r="G660" s="4">
        <f>IFERROR(F660-alt_Blanks!$I$30,F660)</f>
        <v>0</v>
      </c>
      <c r="H660" s="7">
        <f t="shared" si="29"/>
        <v>0</v>
      </c>
      <c r="I660" s="7">
        <f t="shared" si="28"/>
        <v>0</v>
      </c>
    </row>
    <row r="661" spans="1:9" x14ac:dyDescent="0.35">
      <c r="A661" t="s">
        <v>80</v>
      </c>
      <c r="B661" t="s">
        <v>81</v>
      </c>
      <c r="C661" t="s">
        <v>35</v>
      </c>
      <c r="D661" t="s">
        <v>154</v>
      </c>
      <c r="E661" t="s">
        <v>65</v>
      </c>
      <c r="F661" s="4">
        <v>117.46670810000001</v>
      </c>
      <c r="G661" s="4">
        <f>IFERROR(F661-alt_Blanks!$I$31,F661)</f>
        <v>15.012074500000011</v>
      </c>
      <c r="H661" s="7">
        <f t="shared" si="29"/>
        <v>15.012074500000011</v>
      </c>
      <c r="I661" s="7">
        <f t="shared" si="28"/>
        <v>33.219903739765456</v>
      </c>
    </row>
    <row r="662" spans="1:9" x14ac:dyDescent="0.35">
      <c r="A662" t="s">
        <v>80</v>
      </c>
      <c r="B662" t="s">
        <v>81</v>
      </c>
      <c r="C662" t="s">
        <v>36</v>
      </c>
      <c r="D662" t="s">
        <v>155</v>
      </c>
      <c r="E662" t="s">
        <v>65</v>
      </c>
      <c r="F662" s="4">
        <v>1.8754280000000001</v>
      </c>
      <c r="G662" s="4">
        <f>IFERROR(F662-alt_Blanks!$I$32,F662)</f>
        <v>-5.2140499999999923E-2</v>
      </c>
      <c r="H662" s="7">
        <f t="shared" si="29"/>
        <v>0</v>
      </c>
      <c r="I662" s="7">
        <f t="shared" si="28"/>
        <v>0</v>
      </c>
    </row>
    <row r="663" spans="1:9" x14ac:dyDescent="0.35">
      <c r="A663" t="s">
        <v>80</v>
      </c>
      <c r="B663" t="s">
        <v>81</v>
      </c>
      <c r="C663" t="s">
        <v>37</v>
      </c>
      <c r="D663" t="s">
        <v>155</v>
      </c>
      <c r="E663" t="s">
        <v>65</v>
      </c>
      <c r="F663" s="4">
        <v>2.6542840000000001</v>
      </c>
      <c r="G663" s="4">
        <f>IFERROR(F663-alt_Blanks!$I$33,F663)</f>
        <v>2.6542840000000001</v>
      </c>
      <c r="H663" s="7">
        <f t="shared" si="29"/>
        <v>2.6542840000000001</v>
      </c>
      <c r="I663" s="7">
        <f t="shared" si="28"/>
        <v>5.8736092055764546</v>
      </c>
    </row>
    <row r="664" spans="1:9" x14ac:dyDescent="0.35">
      <c r="A664" t="s">
        <v>80</v>
      </c>
      <c r="B664" t="s">
        <v>81</v>
      </c>
      <c r="C664" t="s">
        <v>38</v>
      </c>
      <c r="D664" t="s">
        <v>155</v>
      </c>
      <c r="E664" t="s">
        <v>65</v>
      </c>
      <c r="F664" s="4">
        <v>1.7200401999999999</v>
      </c>
      <c r="G664" s="4">
        <f>IFERROR(F664-alt_Blanks!$I$34,F664)</f>
        <v>1.7200401999999999</v>
      </c>
      <c r="H664" s="7">
        <f t="shared" si="29"/>
        <v>1.7200401999999999</v>
      </c>
      <c r="I664" s="7">
        <f t="shared" si="28"/>
        <v>3.8062407612303604</v>
      </c>
    </row>
    <row r="665" spans="1:9" x14ac:dyDescent="0.35">
      <c r="A665" t="s">
        <v>80</v>
      </c>
      <c r="B665" t="s">
        <v>81</v>
      </c>
      <c r="C665" t="s">
        <v>39</v>
      </c>
      <c r="D665" t="s">
        <v>153</v>
      </c>
      <c r="E665" t="s">
        <v>65</v>
      </c>
      <c r="F665" s="4">
        <v>0</v>
      </c>
      <c r="G665" s="4">
        <f>IFERROR(F665-alt_Blanks!$I$35,F665)</f>
        <v>0</v>
      </c>
      <c r="H665" s="7">
        <f t="shared" si="29"/>
        <v>0</v>
      </c>
      <c r="I665" s="7">
        <f t="shared" si="28"/>
        <v>0</v>
      </c>
    </row>
    <row r="666" spans="1:9" x14ac:dyDescent="0.35">
      <c r="A666" t="s">
        <v>80</v>
      </c>
      <c r="B666" t="s">
        <v>81</v>
      </c>
      <c r="C666" t="s">
        <v>40</v>
      </c>
      <c r="D666" t="s">
        <v>154</v>
      </c>
      <c r="E666" t="s">
        <v>65</v>
      </c>
      <c r="F666" s="4">
        <v>0</v>
      </c>
      <c r="G666" s="4">
        <f>IFERROR(F666-alt_Blanks!$I$36,F666)</f>
        <v>0</v>
      </c>
      <c r="H666" s="7">
        <f t="shared" si="29"/>
        <v>0</v>
      </c>
      <c r="I666" s="7">
        <f t="shared" si="28"/>
        <v>0</v>
      </c>
    </row>
    <row r="667" spans="1:9" x14ac:dyDescent="0.35">
      <c r="A667" t="s">
        <v>82</v>
      </c>
      <c r="B667" t="s">
        <v>83</v>
      </c>
      <c r="C667" t="s">
        <v>6</v>
      </c>
      <c r="D667" t="s">
        <v>153</v>
      </c>
      <c r="E667" t="s">
        <v>65</v>
      </c>
      <c r="F667" s="4">
        <v>6.7255191000000005</v>
      </c>
      <c r="G667" s="4">
        <f>IFERROR(F667-alt_Blanks!$I$2,F667)</f>
        <v>1.8977999999999717E-2</v>
      </c>
      <c r="H667" s="7">
        <f t="shared" si="29"/>
        <v>1.8977999999999717E-2</v>
      </c>
      <c r="I667" s="7">
        <f>H667/0.5069</f>
        <v>3.7439337147365782E-2</v>
      </c>
    </row>
    <row r="668" spans="1:9" x14ac:dyDescent="0.35">
      <c r="A668" t="s">
        <v>82</v>
      </c>
      <c r="B668" t="s">
        <v>83</v>
      </c>
      <c r="C668" t="s">
        <v>7</v>
      </c>
      <c r="D668" t="s">
        <v>153</v>
      </c>
      <c r="E668" t="s">
        <v>65</v>
      </c>
      <c r="F668" s="4">
        <v>0</v>
      </c>
      <c r="G668" s="4">
        <f>IFERROR(F668-alt_Blanks!$I$3,F668)</f>
        <v>0</v>
      </c>
      <c r="H668" s="7">
        <f t="shared" si="29"/>
        <v>0</v>
      </c>
      <c r="I668" s="7">
        <f t="shared" ref="I668:I701" si="30">H668/0.5069</f>
        <v>0</v>
      </c>
    </row>
    <row r="669" spans="1:9" x14ac:dyDescent="0.35">
      <c r="A669" t="s">
        <v>82</v>
      </c>
      <c r="B669" t="s">
        <v>83</v>
      </c>
      <c r="C669" t="s">
        <v>8</v>
      </c>
      <c r="D669" t="s">
        <v>153</v>
      </c>
      <c r="E669" t="s">
        <v>65</v>
      </c>
      <c r="F669" s="4" t="e">
        <v>#N/A</v>
      </c>
      <c r="G669" s="4" t="e">
        <f>IFERROR(F669-alt_Blanks!$I$4,F669)</f>
        <v>#N/A</v>
      </c>
      <c r="H669" s="7" t="e">
        <f t="shared" si="29"/>
        <v>#N/A</v>
      </c>
      <c r="I669" s="7" t="e">
        <f t="shared" si="30"/>
        <v>#N/A</v>
      </c>
    </row>
    <row r="670" spans="1:9" x14ac:dyDescent="0.35">
      <c r="A670" t="s">
        <v>82</v>
      </c>
      <c r="B670" t="s">
        <v>83</v>
      </c>
      <c r="C670" t="s">
        <v>9</v>
      </c>
      <c r="D670" t="s">
        <v>153</v>
      </c>
      <c r="E670" t="s">
        <v>65</v>
      </c>
      <c r="F670" s="4">
        <v>16.954508499999999</v>
      </c>
      <c r="G670" s="4">
        <f>IFERROR(F670-alt_Blanks!$I$5,F670)</f>
        <v>16.954508499999999</v>
      </c>
      <c r="H670" s="7">
        <f t="shared" si="29"/>
        <v>16.954508499999999</v>
      </c>
      <c r="I670" s="7">
        <f t="shared" si="30"/>
        <v>33.447442296310903</v>
      </c>
    </row>
    <row r="671" spans="1:9" x14ac:dyDescent="0.35">
      <c r="A671" t="s">
        <v>82</v>
      </c>
      <c r="B671" t="s">
        <v>83</v>
      </c>
      <c r="C671" t="s">
        <v>10</v>
      </c>
      <c r="D671" t="s">
        <v>153</v>
      </c>
      <c r="E671" t="s">
        <v>65</v>
      </c>
      <c r="F671" s="4">
        <v>98.337982699999998</v>
      </c>
      <c r="G671" s="4">
        <f>IFERROR(F671-alt_Blanks!$I$6,F671)</f>
        <v>98.337982699999998</v>
      </c>
      <c r="H671" s="7">
        <f t="shared" si="29"/>
        <v>98.337982699999998</v>
      </c>
      <c r="I671" s="7">
        <f t="shared" si="30"/>
        <v>193.9987822055632</v>
      </c>
    </row>
    <row r="672" spans="1:9" x14ac:dyDescent="0.35">
      <c r="A672" t="s">
        <v>82</v>
      </c>
      <c r="B672" t="s">
        <v>83</v>
      </c>
      <c r="C672" t="s">
        <v>11</v>
      </c>
      <c r="D672" t="s">
        <v>153</v>
      </c>
      <c r="E672" t="s">
        <v>65</v>
      </c>
      <c r="F672" s="4">
        <v>111.37034600000001</v>
      </c>
      <c r="G672" s="4">
        <f>IFERROR(F672-alt_Blanks!$I$7,F672)</f>
        <v>111.37034600000001</v>
      </c>
      <c r="H672" s="7">
        <f t="shared" si="29"/>
        <v>111.37034600000001</v>
      </c>
      <c r="I672" s="7">
        <f t="shared" si="30"/>
        <v>219.70871177747091</v>
      </c>
    </row>
    <row r="673" spans="1:9" x14ac:dyDescent="0.35">
      <c r="A673" t="s">
        <v>82</v>
      </c>
      <c r="B673" t="s">
        <v>83</v>
      </c>
      <c r="C673" t="s">
        <v>12</v>
      </c>
      <c r="D673" t="s">
        <v>154</v>
      </c>
      <c r="E673" t="s">
        <v>65</v>
      </c>
      <c r="F673" s="4">
        <v>0</v>
      </c>
      <c r="G673" s="4">
        <f>IFERROR(F673-alt_Blanks!$I$8,F673)</f>
        <v>0</v>
      </c>
      <c r="H673" s="7">
        <f t="shared" si="29"/>
        <v>0</v>
      </c>
      <c r="I673" s="7">
        <f t="shared" si="30"/>
        <v>0</v>
      </c>
    </row>
    <row r="674" spans="1:9" x14ac:dyDescent="0.35">
      <c r="A674" t="s">
        <v>82</v>
      </c>
      <c r="B674" t="s">
        <v>83</v>
      </c>
      <c r="C674" t="s">
        <v>13</v>
      </c>
      <c r="D674" t="s">
        <v>153</v>
      </c>
      <c r="E674" t="s">
        <v>65</v>
      </c>
      <c r="F674" s="4">
        <v>19.481494600000001</v>
      </c>
      <c r="G674" s="4">
        <f>IFERROR(F674-alt_Blanks!$I$9,F674)</f>
        <v>19.481494600000001</v>
      </c>
      <c r="H674" s="7">
        <f t="shared" si="29"/>
        <v>19.481494600000001</v>
      </c>
      <c r="I674" s="7">
        <f t="shared" si="30"/>
        <v>38.43261905701322</v>
      </c>
    </row>
    <row r="675" spans="1:9" x14ac:dyDescent="0.35">
      <c r="A675" t="s">
        <v>82</v>
      </c>
      <c r="B675" t="s">
        <v>83</v>
      </c>
      <c r="C675" t="s">
        <v>14</v>
      </c>
      <c r="D675" t="s">
        <v>154</v>
      </c>
      <c r="E675" t="s">
        <v>65</v>
      </c>
      <c r="F675" s="4">
        <v>0</v>
      </c>
      <c r="G675" s="4">
        <f>IFERROR(F675-alt_Blanks!$I$10,F675)</f>
        <v>0</v>
      </c>
      <c r="H675" s="7">
        <f t="shared" si="29"/>
        <v>0</v>
      </c>
      <c r="I675" s="7">
        <f t="shared" si="30"/>
        <v>0</v>
      </c>
    </row>
    <row r="676" spans="1:9" x14ac:dyDescent="0.35">
      <c r="A676" t="s">
        <v>82</v>
      </c>
      <c r="B676" t="s">
        <v>83</v>
      </c>
      <c r="C676" t="s">
        <v>15</v>
      </c>
      <c r="D676" t="s">
        <v>153</v>
      </c>
      <c r="E676" t="s">
        <v>65</v>
      </c>
      <c r="F676" s="4">
        <v>2738.5680073000003</v>
      </c>
      <c r="G676" s="4">
        <f>IFERROR(F676-alt_Blanks!$I$11,F676)</f>
        <v>1933.3513176000004</v>
      </c>
      <c r="H676" s="7">
        <f t="shared" si="29"/>
        <v>1933.3513176000004</v>
      </c>
      <c r="I676" s="7">
        <f t="shared" si="30"/>
        <v>3814.0684900374831</v>
      </c>
    </row>
    <row r="677" spans="1:9" x14ac:dyDescent="0.35">
      <c r="A677" t="s">
        <v>82</v>
      </c>
      <c r="B677" t="s">
        <v>83</v>
      </c>
      <c r="C677" t="s">
        <v>16</v>
      </c>
      <c r="D677" t="s">
        <v>154</v>
      </c>
      <c r="E677" t="s">
        <v>65</v>
      </c>
      <c r="F677" s="4">
        <v>347.50973759999999</v>
      </c>
      <c r="G677" s="4">
        <f>IFERROR(F677-alt_Blanks!$I$12,F677)</f>
        <v>347.50973759999999</v>
      </c>
      <c r="H677" s="7">
        <f t="shared" si="29"/>
        <v>347.50973759999999</v>
      </c>
      <c r="I677" s="7">
        <f t="shared" si="30"/>
        <v>685.55876425330439</v>
      </c>
    </row>
    <row r="678" spans="1:9" x14ac:dyDescent="0.35">
      <c r="A678" t="s">
        <v>82</v>
      </c>
      <c r="B678" t="s">
        <v>83</v>
      </c>
      <c r="C678" t="s">
        <v>17</v>
      </c>
      <c r="D678" t="s">
        <v>153</v>
      </c>
      <c r="E678" t="s">
        <v>65</v>
      </c>
      <c r="F678" s="4">
        <v>25.551999199999997</v>
      </c>
      <c r="G678" s="4">
        <f>IFERROR(F678-alt_Blanks!$I$13,F678)</f>
        <v>24.699285699999997</v>
      </c>
      <c r="H678" s="7">
        <f t="shared" si="29"/>
        <v>24.699285699999997</v>
      </c>
      <c r="I678" s="7">
        <f t="shared" si="30"/>
        <v>48.726150522785552</v>
      </c>
    </row>
    <row r="679" spans="1:9" x14ac:dyDescent="0.35">
      <c r="A679" t="s">
        <v>82</v>
      </c>
      <c r="B679" t="s">
        <v>83</v>
      </c>
      <c r="C679" t="s">
        <v>18</v>
      </c>
      <c r="D679" t="s">
        <v>154</v>
      </c>
      <c r="E679" t="s">
        <v>65</v>
      </c>
      <c r="F679" s="4">
        <v>0</v>
      </c>
      <c r="G679" s="4">
        <f>IFERROR(F679-alt_Blanks!$I$14,F679)</f>
        <v>0</v>
      </c>
      <c r="H679" s="7">
        <f t="shared" si="29"/>
        <v>0</v>
      </c>
      <c r="I679" s="7">
        <f t="shared" si="30"/>
        <v>0</v>
      </c>
    </row>
    <row r="680" spans="1:9" x14ac:dyDescent="0.35">
      <c r="A680" t="s">
        <v>82</v>
      </c>
      <c r="B680" t="s">
        <v>83</v>
      </c>
      <c r="C680" t="s">
        <v>19</v>
      </c>
      <c r="D680" t="s">
        <v>153</v>
      </c>
      <c r="E680" t="s">
        <v>65</v>
      </c>
      <c r="F680" s="4">
        <v>549.42976870000007</v>
      </c>
      <c r="G680" s="4">
        <f>IFERROR(F680-alt_Blanks!$I$15,F680)</f>
        <v>280.80637160000009</v>
      </c>
      <c r="H680" s="7">
        <f t="shared" si="29"/>
        <v>280.80637160000009</v>
      </c>
      <c r="I680" s="7">
        <f t="shared" si="30"/>
        <v>553.96798500690488</v>
      </c>
    </row>
    <row r="681" spans="1:9" x14ac:dyDescent="0.35">
      <c r="A681" t="s">
        <v>82</v>
      </c>
      <c r="B681" t="s">
        <v>83</v>
      </c>
      <c r="C681" t="s">
        <v>20</v>
      </c>
      <c r="D681" t="s">
        <v>154</v>
      </c>
      <c r="E681" t="s">
        <v>65</v>
      </c>
      <c r="F681" s="4">
        <v>477.99272210000004</v>
      </c>
      <c r="G681" s="4">
        <f>IFERROR(F681-alt_Blanks!$I$16,F681)</f>
        <v>459.52680890000005</v>
      </c>
      <c r="H681" s="7">
        <f t="shared" si="29"/>
        <v>459.52680890000005</v>
      </c>
      <c r="I681" s="7">
        <f t="shared" si="30"/>
        <v>906.54331998421787</v>
      </c>
    </row>
    <row r="682" spans="1:9" x14ac:dyDescent="0.35">
      <c r="A682" t="s">
        <v>82</v>
      </c>
      <c r="B682" t="s">
        <v>83</v>
      </c>
      <c r="C682" t="s">
        <v>21</v>
      </c>
      <c r="D682" t="s">
        <v>155</v>
      </c>
      <c r="E682" t="s">
        <v>65</v>
      </c>
      <c r="F682" s="4">
        <v>1.9112914000000001</v>
      </c>
      <c r="G682" s="4">
        <f>IFERROR(F682-alt_Blanks!$I$17,F682)</f>
        <v>1.5793380000000001</v>
      </c>
      <c r="H682" s="7">
        <f t="shared" si="29"/>
        <v>1.5793380000000001</v>
      </c>
      <c r="I682" s="7">
        <f t="shared" si="30"/>
        <v>3.1156796212270668</v>
      </c>
    </row>
    <row r="683" spans="1:9" x14ac:dyDescent="0.35">
      <c r="A683" t="s">
        <v>82</v>
      </c>
      <c r="B683" t="s">
        <v>83</v>
      </c>
      <c r="C683" t="s">
        <v>22</v>
      </c>
      <c r="D683" t="s">
        <v>155</v>
      </c>
      <c r="E683" t="s">
        <v>65</v>
      </c>
      <c r="F683" s="4">
        <v>286.14591769999998</v>
      </c>
      <c r="G683" s="4">
        <f>IFERROR(F683-alt_Blanks!$I$18,F683)</f>
        <v>280.1424581</v>
      </c>
      <c r="H683" s="7">
        <f t="shared" si="29"/>
        <v>280.1424581</v>
      </c>
      <c r="I683" s="7">
        <f t="shared" si="30"/>
        <v>552.65823259025444</v>
      </c>
    </row>
    <row r="684" spans="1:9" x14ac:dyDescent="0.35">
      <c r="A684" t="s">
        <v>82</v>
      </c>
      <c r="B684" t="s">
        <v>83</v>
      </c>
      <c r="C684" t="s">
        <v>23</v>
      </c>
      <c r="D684" t="s">
        <v>155</v>
      </c>
      <c r="E684" t="s">
        <v>65</v>
      </c>
      <c r="F684" s="4">
        <v>0</v>
      </c>
      <c r="G684" s="4">
        <f>IFERROR(F684-alt_Blanks!$I$19,F684)</f>
        <v>0</v>
      </c>
      <c r="H684" s="7">
        <f t="shared" si="29"/>
        <v>0</v>
      </c>
      <c r="I684" s="7">
        <f t="shared" si="30"/>
        <v>0</v>
      </c>
    </row>
    <row r="685" spans="1:9" x14ac:dyDescent="0.35">
      <c r="A685" t="s">
        <v>82</v>
      </c>
      <c r="B685" t="s">
        <v>83</v>
      </c>
      <c r="C685" t="s">
        <v>24</v>
      </c>
      <c r="D685" t="s">
        <v>155</v>
      </c>
      <c r="E685" t="s">
        <v>65</v>
      </c>
      <c r="F685" s="4">
        <v>274.66328340000001</v>
      </c>
      <c r="G685" s="4">
        <f>IFERROR(F685-alt_Blanks!$I$20,F685)</f>
        <v>272.72530799999998</v>
      </c>
      <c r="H685" s="7">
        <f t="shared" si="29"/>
        <v>272.72530799999998</v>
      </c>
      <c r="I685" s="7">
        <f t="shared" si="30"/>
        <v>538.0258591438153</v>
      </c>
    </row>
    <row r="686" spans="1:9" x14ac:dyDescent="0.35">
      <c r="A686" t="s">
        <v>82</v>
      </c>
      <c r="B686" t="s">
        <v>83</v>
      </c>
      <c r="C686" t="s">
        <v>25</v>
      </c>
      <c r="D686" t="s">
        <v>155</v>
      </c>
      <c r="E686" t="s">
        <v>65</v>
      </c>
      <c r="F686" s="4">
        <v>16.514241900000002</v>
      </c>
      <c r="G686" s="4">
        <f>IFERROR(F686-alt_Blanks!$I$21,F686)</f>
        <v>16.299732800000001</v>
      </c>
      <c r="H686" s="7">
        <f t="shared" si="29"/>
        <v>16.299732800000001</v>
      </c>
      <c r="I686" s="7">
        <f t="shared" si="30"/>
        <v>32.155716709410143</v>
      </c>
    </row>
    <row r="687" spans="1:9" x14ac:dyDescent="0.35">
      <c r="A687" t="s">
        <v>82</v>
      </c>
      <c r="B687" t="s">
        <v>83</v>
      </c>
      <c r="C687" t="s">
        <v>26</v>
      </c>
      <c r="D687" t="s">
        <v>153</v>
      </c>
      <c r="E687" t="s">
        <v>65</v>
      </c>
      <c r="F687" s="4">
        <v>1.69143</v>
      </c>
      <c r="G687" s="4">
        <f>IFERROR(F687-alt_Blanks!$I$22,F687)</f>
        <v>9.6708600000000144E-2</v>
      </c>
      <c r="H687" s="7">
        <f t="shared" si="29"/>
        <v>9.6708600000000144E-2</v>
      </c>
      <c r="I687" s="7">
        <f t="shared" si="30"/>
        <v>0.1907843756164927</v>
      </c>
    </row>
    <row r="688" spans="1:9" x14ac:dyDescent="0.35">
      <c r="A688" t="s">
        <v>82</v>
      </c>
      <c r="B688" t="s">
        <v>83</v>
      </c>
      <c r="C688" t="s">
        <v>27</v>
      </c>
      <c r="D688" t="s">
        <v>154</v>
      </c>
      <c r="E688" t="s">
        <v>65</v>
      </c>
      <c r="F688" s="4">
        <v>16.010990799999998</v>
      </c>
      <c r="G688" s="4">
        <f>IFERROR(F688-alt_Blanks!$I$23,F688)</f>
        <v>15.890253399999999</v>
      </c>
      <c r="H688" s="7">
        <f t="shared" si="29"/>
        <v>15.890253399999999</v>
      </c>
      <c r="I688" s="7">
        <f t="shared" si="30"/>
        <v>31.347905701321757</v>
      </c>
    </row>
    <row r="689" spans="1:9" x14ac:dyDescent="0.35">
      <c r="A689" t="s">
        <v>82</v>
      </c>
      <c r="B689" t="s">
        <v>83</v>
      </c>
      <c r="C689" t="s">
        <v>28</v>
      </c>
      <c r="D689" t="s">
        <v>155</v>
      </c>
      <c r="E689" t="s">
        <v>65</v>
      </c>
      <c r="F689" s="4">
        <v>38.918843699999996</v>
      </c>
      <c r="G689" s="4">
        <f>IFERROR(F689-alt_Blanks!$I$24,F689)</f>
        <v>38.671674099999997</v>
      </c>
      <c r="H689" s="7">
        <f t="shared" si="29"/>
        <v>38.671674099999997</v>
      </c>
      <c r="I689" s="7">
        <f t="shared" si="30"/>
        <v>76.290538765042413</v>
      </c>
    </row>
    <row r="690" spans="1:9" x14ac:dyDescent="0.35">
      <c r="A690" t="s">
        <v>82</v>
      </c>
      <c r="B690" t="s">
        <v>83</v>
      </c>
      <c r="C690" t="s">
        <v>29</v>
      </c>
      <c r="D690" t="s">
        <v>155</v>
      </c>
      <c r="E690" t="s">
        <v>65</v>
      </c>
      <c r="F690" s="4">
        <v>0.91557699999999997</v>
      </c>
      <c r="G690" s="4">
        <f>IFERROR(F690-alt_Blanks!$I$25,F690)</f>
        <v>0.44333620000000001</v>
      </c>
      <c r="H690" s="7">
        <f t="shared" si="29"/>
        <v>0.44333620000000001</v>
      </c>
      <c r="I690" s="7">
        <f t="shared" si="30"/>
        <v>0.87460288025251531</v>
      </c>
    </row>
    <row r="691" spans="1:9" x14ac:dyDescent="0.35">
      <c r="A691" t="s">
        <v>82</v>
      </c>
      <c r="B691" t="s">
        <v>83</v>
      </c>
      <c r="C691" t="s">
        <v>30</v>
      </c>
      <c r="D691" t="s">
        <v>155</v>
      </c>
      <c r="E691" t="s">
        <v>65</v>
      </c>
      <c r="F691" s="4">
        <v>263.19871120000005</v>
      </c>
      <c r="G691" s="4">
        <f>IFERROR(F691-alt_Blanks!$I$26,F691)</f>
        <v>262.61853490000004</v>
      </c>
      <c r="H691" s="7">
        <f t="shared" si="29"/>
        <v>262.61853490000004</v>
      </c>
      <c r="I691" s="7">
        <f t="shared" si="30"/>
        <v>518.08746281317826</v>
      </c>
    </row>
    <row r="692" spans="1:9" x14ac:dyDescent="0.35">
      <c r="A692" t="s">
        <v>82</v>
      </c>
      <c r="B692" t="s">
        <v>83</v>
      </c>
      <c r="C692" t="s">
        <v>31</v>
      </c>
      <c r="D692" t="s">
        <v>155</v>
      </c>
      <c r="E692" t="s">
        <v>65</v>
      </c>
      <c r="F692" s="4">
        <v>9.8058727999999995</v>
      </c>
      <c r="G692" s="4">
        <f>IFERROR(F692-alt_Blanks!$I$27,F692)</f>
        <v>9.8058727999999995</v>
      </c>
      <c r="H692" s="7">
        <f t="shared" si="29"/>
        <v>9.8058727999999995</v>
      </c>
      <c r="I692" s="7">
        <f t="shared" si="30"/>
        <v>19.344787532057602</v>
      </c>
    </row>
    <row r="693" spans="1:9" x14ac:dyDescent="0.35">
      <c r="A693" t="s">
        <v>82</v>
      </c>
      <c r="B693" t="s">
        <v>83</v>
      </c>
      <c r="C693" t="s">
        <v>32</v>
      </c>
      <c r="D693" t="s">
        <v>153</v>
      </c>
      <c r="E693" t="s">
        <v>65</v>
      </c>
      <c r="F693" s="4">
        <v>0</v>
      </c>
      <c r="G693" s="4">
        <f>IFERROR(F693-alt_Blanks!$I$28,F693)</f>
        <v>0</v>
      </c>
      <c r="H693" s="7">
        <f t="shared" si="29"/>
        <v>0</v>
      </c>
      <c r="I693" s="7">
        <f t="shared" si="30"/>
        <v>0</v>
      </c>
    </row>
    <row r="694" spans="1:9" x14ac:dyDescent="0.35">
      <c r="A694" t="s">
        <v>82</v>
      </c>
      <c r="B694" t="s">
        <v>83</v>
      </c>
      <c r="C694" t="s">
        <v>33</v>
      </c>
      <c r="D694" t="s">
        <v>155</v>
      </c>
      <c r="E694" t="s">
        <v>65</v>
      </c>
      <c r="F694" s="4">
        <v>213.88310750000002</v>
      </c>
      <c r="G694" s="4">
        <f>IFERROR(F694-alt_Blanks!$I$29,F694)</f>
        <v>213.27148650000001</v>
      </c>
      <c r="H694" s="7">
        <f t="shared" si="29"/>
        <v>213.27148650000001</v>
      </c>
      <c r="I694" s="7">
        <f t="shared" si="30"/>
        <v>420.73680508976128</v>
      </c>
    </row>
    <row r="695" spans="1:9" x14ac:dyDescent="0.35">
      <c r="A695" t="s">
        <v>82</v>
      </c>
      <c r="B695" t="s">
        <v>83</v>
      </c>
      <c r="C695" t="s">
        <v>34</v>
      </c>
      <c r="D695" t="s">
        <v>153</v>
      </c>
      <c r="E695" t="s">
        <v>65</v>
      </c>
      <c r="F695" s="4">
        <v>0</v>
      </c>
      <c r="G695" s="4">
        <f>IFERROR(F695-alt_Blanks!$I$30,F695)</f>
        <v>0</v>
      </c>
      <c r="H695" s="7">
        <f t="shared" si="29"/>
        <v>0</v>
      </c>
      <c r="I695" s="7">
        <f t="shared" si="30"/>
        <v>0</v>
      </c>
    </row>
    <row r="696" spans="1:9" x14ac:dyDescent="0.35">
      <c r="A696" t="s">
        <v>82</v>
      </c>
      <c r="B696" t="s">
        <v>83</v>
      </c>
      <c r="C696" t="s">
        <v>35</v>
      </c>
      <c r="D696" t="s">
        <v>154</v>
      </c>
      <c r="E696" t="s">
        <v>65</v>
      </c>
      <c r="F696" s="4">
        <v>116.80064160000001</v>
      </c>
      <c r="G696" s="4">
        <f>IFERROR(F696-alt_Blanks!$I$31,F696)</f>
        <v>14.346008000000012</v>
      </c>
      <c r="H696" s="7">
        <f t="shared" si="29"/>
        <v>14.346008000000012</v>
      </c>
      <c r="I696" s="7">
        <f t="shared" si="30"/>
        <v>28.301455908463229</v>
      </c>
    </row>
    <row r="697" spans="1:9" x14ac:dyDescent="0.35">
      <c r="A697" t="s">
        <v>82</v>
      </c>
      <c r="B697" t="s">
        <v>83</v>
      </c>
      <c r="C697" t="s">
        <v>36</v>
      </c>
      <c r="D697" t="s">
        <v>155</v>
      </c>
      <c r="E697" t="s">
        <v>65</v>
      </c>
      <c r="F697" s="4">
        <v>1.9571567000000001</v>
      </c>
      <c r="G697" s="4">
        <f>IFERROR(F697-alt_Blanks!$I$32,F697)</f>
        <v>2.9588200000000064E-2</v>
      </c>
      <c r="H697" s="7">
        <f t="shared" si="29"/>
        <v>2.9588200000000064E-2</v>
      </c>
      <c r="I697" s="7">
        <f t="shared" si="30"/>
        <v>5.8370881830735973E-2</v>
      </c>
    </row>
    <row r="698" spans="1:9" x14ac:dyDescent="0.35">
      <c r="A698" t="s">
        <v>82</v>
      </c>
      <c r="B698" t="s">
        <v>83</v>
      </c>
      <c r="C698" t="s">
        <v>37</v>
      </c>
      <c r="D698" t="s">
        <v>155</v>
      </c>
      <c r="E698" t="s">
        <v>65</v>
      </c>
      <c r="F698" s="4">
        <v>7.7411357000000001</v>
      </c>
      <c r="G698" s="4">
        <f>IFERROR(F698-alt_Blanks!$I$33,F698)</f>
        <v>7.7411357000000001</v>
      </c>
      <c r="H698" s="7">
        <f t="shared" si="29"/>
        <v>7.7411357000000001</v>
      </c>
      <c r="I698" s="7">
        <f t="shared" si="30"/>
        <v>15.271524363779838</v>
      </c>
    </row>
    <row r="699" spans="1:9" x14ac:dyDescent="0.35">
      <c r="A699" t="s">
        <v>82</v>
      </c>
      <c r="B699" t="s">
        <v>83</v>
      </c>
      <c r="C699" t="s">
        <v>38</v>
      </c>
      <c r="D699" t="s">
        <v>155</v>
      </c>
      <c r="E699" t="s">
        <v>65</v>
      </c>
      <c r="F699" s="4">
        <v>8.2331139000000011</v>
      </c>
      <c r="G699" s="4">
        <f>IFERROR(F699-alt_Blanks!$I$34,F699)</f>
        <v>8.2331139000000011</v>
      </c>
      <c r="H699" s="7">
        <f t="shared" si="29"/>
        <v>8.2331139000000011</v>
      </c>
      <c r="I699" s="7">
        <f t="shared" si="30"/>
        <v>16.242086999408169</v>
      </c>
    </row>
    <row r="700" spans="1:9" x14ac:dyDescent="0.35">
      <c r="A700" t="s">
        <v>82</v>
      </c>
      <c r="B700" t="s">
        <v>83</v>
      </c>
      <c r="C700" t="s">
        <v>39</v>
      </c>
      <c r="D700" t="s">
        <v>153</v>
      </c>
      <c r="E700" t="s">
        <v>65</v>
      </c>
      <c r="F700" s="4">
        <v>0</v>
      </c>
      <c r="G700" s="4">
        <f>IFERROR(F700-alt_Blanks!$I$35,F700)</f>
        <v>0</v>
      </c>
      <c r="H700" s="7">
        <f t="shared" si="29"/>
        <v>0</v>
      </c>
      <c r="I700" s="7">
        <f t="shared" si="30"/>
        <v>0</v>
      </c>
    </row>
    <row r="701" spans="1:9" x14ac:dyDescent="0.35">
      <c r="A701" t="s">
        <v>82</v>
      </c>
      <c r="B701" t="s">
        <v>83</v>
      </c>
      <c r="C701" t="s">
        <v>40</v>
      </c>
      <c r="D701" t="s">
        <v>154</v>
      </c>
      <c r="E701" t="s">
        <v>65</v>
      </c>
      <c r="F701" s="4">
        <v>0</v>
      </c>
      <c r="G701" s="4">
        <f>IFERROR(F701-alt_Blanks!$I$36,F701)</f>
        <v>0</v>
      </c>
      <c r="H701" s="7">
        <f t="shared" si="29"/>
        <v>0</v>
      </c>
      <c r="I701" s="7">
        <f t="shared" si="30"/>
        <v>0</v>
      </c>
    </row>
    <row r="702" spans="1:9" x14ac:dyDescent="0.35">
      <c r="A702" t="s">
        <v>84</v>
      </c>
      <c r="B702" t="s">
        <v>85</v>
      </c>
      <c r="C702" t="s">
        <v>6</v>
      </c>
      <c r="D702" t="s">
        <v>153</v>
      </c>
      <c r="E702" t="s">
        <v>86</v>
      </c>
      <c r="F702" s="4">
        <v>6.7232431999999998</v>
      </c>
      <c r="G702" s="4">
        <f>IFERROR(F702-alt_Blanks!$I$2,F702)</f>
        <v>1.6702099999998943E-2</v>
      </c>
      <c r="H702" s="7">
        <f t="shared" si="29"/>
        <v>1.6702099999998943E-2</v>
      </c>
      <c r="I702" s="7">
        <f>H702/0.5409</f>
        <v>3.0878350896651769E-2</v>
      </c>
    </row>
    <row r="703" spans="1:9" x14ac:dyDescent="0.35">
      <c r="A703" t="s">
        <v>84</v>
      </c>
      <c r="B703" t="s">
        <v>85</v>
      </c>
      <c r="C703" t="s">
        <v>7</v>
      </c>
      <c r="D703" t="s">
        <v>153</v>
      </c>
      <c r="E703" t="s">
        <v>86</v>
      </c>
      <c r="F703" s="4">
        <v>0</v>
      </c>
      <c r="G703" s="4">
        <f>IFERROR(F703-alt_Blanks!$I$3,F703)</f>
        <v>0</v>
      </c>
      <c r="H703" s="7">
        <f t="shared" si="29"/>
        <v>0</v>
      </c>
      <c r="I703" s="7">
        <f t="shared" ref="I703:I736" si="31">H703/0.5409</f>
        <v>0</v>
      </c>
    </row>
    <row r="704" spans="1:9" x14ac:dyDescent="0.35">
      <c r="A704" t="s">
        <v>84</v>
      </c>
      <c r="B704" t="s">
        <v>85</v>
      </c>
      <c r="C704" t="s">
        <v>8</v>
      </c>
      <c r="D704" t="s">
        <v>153</v>
      </c>
      <c r="E704" t="s">
        <v>86</v>
      </c>
      <c r="F704" s="4" t="e">
        <v>#N/A</v>
      </c>
      <c r="G704" s="4" t="e">
        <f>IFERROR(F704-alt_Blanks!$I$4,F704)</f>
        <v>#N/A</v>
      </c>
      <c r="H704" s="7" t="e">
        <f t="shared" si="29"/>
        <v>#N/A</v>
      </c>
      <c r="I704" s="7" t="e">
        <f t="shared" si="31"/>
        <v>#N/A</v>
      </c>
    </row>
    <row r="705" spans="1:9" x14ac:dyDescent="0.35">
      <c r="A705" t="s">
        <v>84</v>
      </c>
      <c r="B705" t="s">
        <v>85</v>
      </c>
      <c r="C705" t="s">
        <v>9</v>
      </c>
      <c r="D705" t="s">
        <v>153</v>
      </c>
      <c r="E705" t="s">
        <v>86</v>
      </c>
      <c r="F705" s="4">
        <v>7.1924260000000002</v>
      </c>
      <c r="G705" s="4">
        <f>IFERROR(F705-alt_Blanks!$I$5,F705)</f>
        <v>7.1924260000000002</v>
      </c>
      <c r="H705" s="7">
        <f t="shared" si="29"/>
        <v>7.1924260000000002</v>
      </c>
      <c r="I705" s="7">
        <f t="shared" si="31"/>
        <v>13.297145498243667</v>
      </c>
    </row>
    <row r="706" spans="1:9" x14ac:dyDescent="0.35">
      <c r="A706" t="s">
        <v>84</v>
      </c>
      <c r="B706" t="s">
        <v>85</v>
      </c>
      <c r="C706" t="s">
        <v>10</v>
      </c>
      <c r="D706" t="s">
        <v>153</v>
      </c>
      <c r="E706" t="s">
        <v>86</v>
      </c>
      <c r="F706" s="4">
        <v>89.016080299999999</v>
      </c>
      <c r="G706" s="4">
        <f>IFERROR(F706-alt_Blanks!$I$6,F706)</f>
        <v>89.016080299999999</v>
      </c>
      <c r="H706" s="7">
        <f t="shared" si="29"/>
        <v>89.016080299999999</v>
      </c>
      <c r="I706" s="7">
        <f t="shared" si="31"/>
        <v>164.57030929931594</v>
      </c>
    </row>
    <row r="707" spans="1:9" x14ac:dyDescent="0.35">
      <c r="A707" t="s">
        <v>84</v>
      </c>
      <c r="B707" t="s">
        <v>85</v>
      </c>
      <c r="C707" t="s">
        <v>11</v>
      </c>
      <c r="D707" t="s">
        <v>153</v>
      </c>
      <c r="E707" t="s">
        <v>86</v>
      </c>
      <c r="F707" s="4">
        <v>56.979877600000002</v>
      </c>
      <c r="G707" s="4">
        <f>IFERROR(F707-alt_Blanks!$I$7,F707)</f>
        <v>56.979877600000002</v>
      </c>
      <c r="H707" s="7">
        <f t="shared" si="29"/>
        <v>56.979877600000002</v>
      </c>
      <c r="I707" s="7">
        <f t="shared" si="31"/>
        <v>105.34272065076723</v>
      </c>
    </row>
    <row r="708" spans="1:9" x14ac:dyDescent="0.35">
      <c r="A708" t="s">
        <v>84</v>
      </c>
      <c r="B708" t="s">
        <v>85</v>
      </c>
      <c r="C708" t="s">
        <v>12</v>
      </c>
      <c r="D708" t="s">
        <v>154</v>
      </c>
      <c r="E708" t="s">
        <v>86</v>
      </c>
      <c r="F708" s="4">
        <v>0</v>
      </c>
      <c r="G708" s="4">
        <f>IFERROR(F708-alt_Blanks!$I$8,F708)</f>
        <v>0</v>
      </c>
      <c r="H708" s="7">
        <f t="shared" si="29"/>
        <v>0</v>
      </c>
      <c r="I708" s="7">
        <f t="shared" si="31"/>
        <v>0</v>
      </c>
    </row>
    <row r="709" spans="1:9" x14ac:dyDescent="0.35">
      <c r="A709" t="s">
        <v>84</v>
      </c>
      <c r="B709" t="s">
        <v>85</v>
      </c>
      <c r="C709" t="s">
        <v>13</v>
      </c>
      <c r="D709" t="s">
        <v>153</v>
      </c>
      <c r="E709" t="s">
        <v>86</v>
      </c>
      <c r="F709" s="4">
        <v>9.3105071000000006</v>
      </c>
      <c r="G709" s="4">
        <f>IFERROR(F709-alt_Blanks!$I$9,F709)</f>
        <v>9.3105071000000006</v>
      </c>
      <c r="H709" s="7">
        <f t="shared" si="29"/>
        <v>9.3105071000000006</v>
      </c>
      <c r="I709" s="7">
        <f t="shared" si="31"/>
        <v>17.212991495655388</v>
      </c>
    </row>
    <row r="710" spans="1:9" x14ac:dyDescent="0.35">
      <c r="A710" t="s">
        <v>84</v>
      </c>
      <c r="B710" t="s">
        <v>85</v>
      </c>
      <c r="C710" t="s">
        <v>14</v>
      </c>
      <c r="D710" t="s">
        <v>154</v>
      </c>
      <c r="E710" t="s">
        <v>86</v>
      </c>
      <c r="F710" s="4">
        <v>0</v>
      </c>
      <c r="G710" s="4">
        <f>IFERROR(F710-alt_Blanks!$I$10,F710)</f>
        <v>0</v>
      </c>
      <c r="H710" s="7">
        <f t="shared" ref="H710:H773" si="32">IF(G710&lt;0,0,G710)</f>
        <v>0</v>
      </c>
      <c r="I710" s="7">
        <f t="shared" si="31"/>
        <v>0</v>
      </c>
    </row>
    <row r="711" spans="1:9" x14ac:dyDescent="0.35">
      <c r="A711" t="s">
        <v>84</v>
      </c>
      <c r="B711" t="s">
        <v>85</v>
      </c>
      <c r="C711" t="s">
        <v>15</v>
      </c>
      <c r="D711" t="s">
        <v>153</v>
      </c>
      <c r="E711" t="s">
        <v>86</v>
      </c>
      <c r="F711" s="4">
        <v>1936.7175377999999</v>
      </c>
      <c r="G711" s="4">
        <f>IFERROR(F711-alt_Blanks!$I$11,F711)</f>
        <v>1131.5008481</v>
      </c>
      <c r="H711" s="7">
        <f t="shared" si="32"/>
        <v>1131.5008481</v>
      </c>
      <c r="I711" s="7">
        <f t="shared" si="31"/>
        <v>2091.8854651506745</v>
      </c>
    </row>
    <row r="712" spans="1:9" x14ac:dyDescent="0.35">
      <c r="A712" t="s">
        <v>84</v>
      </c>
      <c r="B712" t="s">
        <v>85</v>
      </c>
      <c r="C712" t="s">
        <v>16</v>
      </c>
      <c r="D712" t="s">
        <v>154</v>
      </c>
      <c r="E712" t="s">
        <v>86</v>
      </c>
      <c r="F712" s="4">
        <v>159.33959250000001</v>
      </c>
      <c r="G712" s="4">
        <f>IFERROR(F712-alt_Blanks!$I$12,F712)</f>
        <v>159.33959250000001</v>
      </c>
      <c r="H712" s="7">
        <f t="shared" si="32"/>
        <v>159.33959250000001</v>
      </c>
      <c r="I712" s="7">
        <f t="shared" si="31"/>
        <v>294.58234886300608</v>
      </c>
    </row>
    <row r="713" spans="1:9" x14ac:dyDescent="0.35">
      <c r="A713" t="s">
        <v>84</v>
      </c>
      <c r="B713" t="s">
        <v>85</v>
      </c>
      <c r="C713" t="s">
        <v>17</v>
      </c>
      <c r="D713" t="s">
        <v>153</v>
      </c>
      <c r="E713" t="s">
        <v>86</v>
      </c>
      <c r="F713" s="4">
        <v>12.3473097</v>
      </c>
      <c r="G713" s="4">
        <f>IFERROR(F713-alt_Blanks!$I$13,F713)</f>
        <v>11.4945962</v>
      </c>
      <c r="H713" s="7">
        <f t="shared" si="32"/>
        <v>11.4945962</v>
      </c>
      <c r="I713" s="7">
        <f t="shared" si="31"/>
        <v>21.250871140691437</v>
      </c>
    </row>
    <row r="714" spans="1:9" x14ac:dyDescent="0.35">
      <c r="A714" t="s">
        <v>84</v>
      </c>
      <c r="B714" t="s">
        <v>85</v>
      </c>
      <c r="C714" t="s">
        <v>18</v>
      </c>
      <c r="D714" t="s">
        <v>154</v>
      </c>
      <c r="E714" t="s">
        <v>86</v>
      </c>
      <c r="F714" s="4">
        <v>0</v>
      </c>
      <c r="G714" s="4">
        <f>IFERROR(F714-alt_Blanks!$I$14,F714)</f>
        <v>0</v>
      </c>
      <c r="H714" s="7">
        <f t="shared" si="32"/>
        <v>0</v>
      </c>
      <c r="I714" s="7">
        <f t="shared" si="31"/>
        <v>0</v>
      </c>
    </row>
    <row r="715" spans="1:9" x14ac:dyDescent="0.35">
      <c r="A715" t="s">
        <v>84</v>
      </c>
      <c r="B715" t="s">
        <v>85</v>
      </c>
      <c r="C715" t="s">
        <v>19</v>
      </c>
      <c r="D715" t="s">
        <v>153</v>
      </c>
      <c r="E715" t="s">
        <v>86</v>
      </c>
      <c r="F715" s="4">
        <v>442.89497649999998</v>
      </c>
      <c r="G715" s="4">
        <f>IFERROR(F715-alt_Blanks!$I$15,F715)</f>
        <v>174.27157940000001</v>
      </c>
      <c r="H715" s="7">
        <f t="shared" si="32"/>
        <v>174.27157940000001</v>
      </c>
      <c r="I715" s="7">
        <f t="shared" si="31"/>
        <v>322.18816675910517</v>
      </c>
    </row>
    <row r="716" spans="1:9" x14ac:dyDescent="0.35">
      <c r="A716" t="s">
        <v>84</v>
      </c>
      <c r="B716" t="s">
        <v>85</v>
      </c>
      <c r="C716" t="s">
        <v>20</v>
      </c>
      <c r="D716" t="s">
        <v>154</v>
      </c>
      <c r="E716" t="s">
        <v>86</v>
      </c>
      <c r="F716" s="4">
        <v>335.34007030000004</v>
      </c>
      <c r="G716" s="4">
        <f>IFERROR(F716-alt_Blanks!$I$16,F716)</f>
        <v>316.87415710000005</v>
      </c>
      <c r="H716" s="7">
        <f t="shared" si="32"/>
        <v>316.87415710000005</v>
      </c>
      <c r="I716" s="7">
        <f t="shared" si="31"/>
        <v>585.82761527084494</v>
      </c>
    </row>
    <row r="717" spans="1:9" x14ac:dyDescent="0.35">
      <c r="A717" t="s">
        <v>84</v>
      </c>
      <c r="B717" t="s">
        <v>85</v>
      </c>
      <c r="C717" t="s">
        <v>21</v>
      </c>
      <c r="D717" t="s">
        <v>155</v>
      </c>
      <c r="E717" t="s">
        <v>86</v>
      </c>
      <c r="F717" s="4">
        <v>0.3407386</v>
      </c>
      <c r="G717" s="4">
        <f>IFERROR(F717-alt_Blanks!$I$17,F717)</f>
        <v>8.785199999999993E-3</v>
      </c>
      <c r="H717" s="7">
        <f t="shared" si="32"/>
        <v>8.785199999999993E-3</v>
      </c>
      <c r="I717" s="7">
        <f t="shared" si="31"/>
        <v>1.6241819190238475E-2</v>
      </c>
    </row>
    <row r="718" spans="1:9" x14ac:dyDescent="0.35">
      <c r="A718" t="s">
        <v>84</v>
      </c>
      <c r="B718" t="s">
        <v>85</v>
      </c>
      <c r="C718" t="s">
        <v>22</v>
      </c>
      <c r="D718" t="s">
        <v>155</v>
      </c>
      <c r="E718" t="s">
        <v>86</v>
      </c>
      <c r="F718" s="4">
        <v>117.20800689999999</v>
      </c>
      <c r="G718" s="4">
        <f>IFERROR(F718-alt_Blanks!$I$18,F718)</f>
        <v>111.20454729999999</v>
      </c>
      <c r="H718" s="7">
        <f t="shared" si="32"/>
        <v>111.20454729999999</v>
      </c>
      <c r="I718" s="7">
        <f t="shared" si="31"/>
        <v>205.59169402847104</v>
      </c>
    </row>
    <row r="719" spans="1:9" x14ac:dyDescent="0.35">
      <c r="A719" t="s">
        <v>84</v>
      </c>
      <c r="B719" t="s">
        <v>85</v>
      </c>
      <c r="C719" t="s">
        <v>23</v>
      </c>
      <c r="D719" t="s">
        <v>155</v>
      </c>
      <c r="E719" t="s">
        <v>86</v>
      </c>
      <c r="F719" s="4">
        <v>0.13098089999999998</v>
      </c>
      <c r="G719" s="4">
        <f>IFERROR(F719-alt_Blanks!$I$19,F719)</f>
        <v>0.13098089999999998</v>
      </c>
      <c r="H719" s="7">
        <f t="shared" si="32"/>
        <v>0.13098089999999998</v>
      </c>
      <c r="I719" s="7">
        <f t="shared" si="31"/>
        <v>0.24215363283416522</v>
      </c>
    </row>
    <row r="720" spans="1:9" x14ac:dyDescent="0.35">
      <c r="A720" t="s">
        <v>84</v>
      </c>
      <c r="B720" t="s">
        <v>85</v>
      </c>
      <c r="C720" t="s">
        <v>24</v>
      </c>
      <c r="D720" t="s">
        <v>155</v>
      </c>
      <c r="E720" t="s">
        <v>86</v>
      </c>
      <c r="F720" s="4">
        <v>88.699407199999996</v>
      </c>
      <c r="G720" s="4">
        <f>IFERROR(F720-alt_Blanks!$I$20,F720)</f>
        <v>86.761431799999997</v>
      </c>
      <c r="H720" s="7">
        <f t="shared" si="32"/>
        <v>86.761431799999997</v>
      </c>
      <c r="I720" s="7">
        <f t="shared" si="31"/>
        <v>160.4019815122943</v>
      </c>
    </row>
    <row r="721" spans="1:9" x14ac:dyDescent="0.35">
      <c r="A721" t="s">
        <v>84</v>
      </c>
      <c r="B721" t="s">
        <v>85</v>
      </c>
      <c r="C721" t="s">
        <v>25</v>
      </c>
      <c r="D721" t="s">
        <v>155</v>
      </c>
      <c r="E721" t="s">
        <v>86</v>
      </c>
      <c r="F721" s="4">
        <v>0.75011329999999998</v>
      </c>
      <c r="G721" s="4">
        <f>IFERROR(F721-alt_Blanks!$I$21,F721)</f>
        <v>0.53560419999999997</v>
      </c>
      <c r="H721" s="7">
        <f t="shared" si="32"/>
        <v>0.53560419999999997</v>
      </c>
      <c r="I721" s="7">
        <f t="shared" si="31"/>
        <v>0.99020928082824911</v>
      </c>
    </row>
    <row r="722" spans="1:9" x14ac:dyDescent="0.35">
      <c r="A722" t="s">
        <v>84</v>
      </c>
      <c r="B722" t="s">
        <v>85</v>
      </c>
      <c r="C722" t="s">
        <v>26</v>
      </c>
      <c r="D722" t="s">
        <v>153</v>
      </c>
      <c r="E722" t="s">
        <v>86</v>
      </c>
      <c r="F722" s="4">
        <v>1.6099726000000001</v>
      </c>
      <c r="G722" s="4">
        <f>IFERROR(F722-alt_Blanks!$I$22,F722)</f>
        <v>1.5251200000000242E-2</v>
      </c>
      <c r="H722" s="7">
        <f t="shared" si="32"/>
        <v>1.5251200000000242E-2</v>
      </c>
      <c r="I722" s="7">
        <f t="shared" si="31"/>
        <v>2.8195969680163139E-2</v>
      </c>
    </row>
    <row r="723" spans="1:9" x14ac:dyDescent="0.35">
      <c r="A723" t="s">
        <v>84</v>
      </c>
      <c r="B723" t="s">
        <v>85</v>
      </c>
      <c r="C723" t="s">
        <v>27</v>
      </c>
      <c r="D723" t="s">
        <v>154</v>
      </c>
      <c r="E723" t="s">
        <v>86</v>
      </c>
      <c r="F723" s="4">
        <v>8.6810985999999986</v>
      </c>
      <c r="G723" s="4">
        <f>IFERROR(F723-alt_Blanks!$I$23,F723)</f>
        <v>8.5603611999999991</v>
      </c>
      <c r="H723" s="7">
        <f t="shared" si="32"/>
        <v>8.5603611999999991</v>
      </c>
      <c r="I723" s="7">
        <f t="shared" si="31"/>
        <v>15.826143834350153</v>
      </c>
    </row>
    <row r="724" spans="1:9" x14ac:dyDescent="0.35">
      <c r="A724" t="s">
        <v>84</v>
      </c>
      <c r="B724" t="s">
        <v>85</v>
      </c>
      <c r="C724" t="s">
        <v>28</v>
      </c>
      <c r="D724" t="s">
        <v>155</v>
      </c>
      <c r="E724" t="s">
        <v>86</v>
      </c>
      <c r="F724" s="4">
        <v>13.280417999999999</v>
      </c>
      <c r="G724" s="4">
        <f>IFERROR(F724-alt_Blanks!$I$24,F724)</f>
        <v>13.0332484</v>
      </c>
      <c r="H724" s="7">
        <f t="shared" si="32"/>
        <v>13.0332484</v>
      </c>
      <c r="I724" s="7">
        <f t="shared" si="31"/>
        <v>24.095486041782213</v>
      </c>
    </row>
    <row r="725" spans="1:9" x14ac:dyDescent="0.35">
      <c r="A725" t="s">
        <v>84</v>
      </c>
      <c r="B725" t="s">
        <v>85</v>
      </c>
      <c r="C725" t="s">
        <v>29</v>
      </c>
      <c r="D725" t="s">
        <v>155</v>
      </c>
      <c r="E725" t="s">
        <v>86</v>
      </c>
      <c r="F725" s="4">
        <v>14.096272900000001</v>
      </c>
      <c r="G725" s="4">
        <f>IFERROR(F725-alt_Blanks!$I$25,F725)</f>
        <v>13.624032100000001</v>
      </c>
      <c r="H725" s="7">
        <f t="shared" si="32"/>
        <v>13.624032100000001</v>
      </c>
      <c r="I725" s="7">
        <f t="shared" si="31"/>
        <v>25.187709558143833</v>
      </c>
    </row>
    <row r="726" spans="1:9" x14ac:dyDescent="0.35">
      <c r="A726" t="s">
        <v>84</v>
      </c>
      <c r="B726" t="s">
        <v>85</v>
      </c>
      <c r="C726" t="s">
        <v>30</v>
      </c>
      <c r="D726" t="s">
        <v>155</v>
      </c>
      <c r="E726" t="s">
        <v>86</v>
      </c>
      <c r="F726" s="4">
        <v>91.994641600000008</v>
      </c>
      <c r="G726" s="4">
        <f>IFERROR(F726-alt_Blanks!$I$26,F726)</f>
        <v>91.414465300000003</v>
      </c>
      <c r="H726" s="7">
        <f t="shared" si="32"/>
        <v>91.414465300000003</v>
      </c>
      <c r="I726" s="7">
        <f t="shared" si="31"/>
        <v>169.00437289702347</v>
      </c>
    </row>
    <row r="727" spans="1:9" x14ac:dyDescent="0.35">
      <c r="A727" t="s">
        <v>84</v>
      </c>
      <c r="B727" t="s">
        <v>85</v>
      </c>
      <c r="C727" t="s">
        <v>31</v>
      </c>
      <c r="D727" t="s">
        <v>155</v>
      </c>
      <c r="E727" t="s">
        <v>86</v>
      </c>
      <c r="F727" s="4" t="e">
        <v>#N/A</v>
      </c>
      <c r="G727" s="4" t="e">
        <f>IFERROR(F727-alt_Blanks!$I$27,F727)</f>
        <v>#N/A</v>
      </c>
      <c r="H727" s="7" t="e">
        <f t="shared" si="32"/>
        <v>#N/A</v>
      </c>
      <c r="I727" s="7" t="e">
        <f t="shared" si="31"/>
        <v>#N/A</v>
      </c>
    </row>
    <row r="728" spans="1:9" x14ac:dyDescent="0.35">
      <c r="A728" t="s">
        <v>84</v>
      </c>
      <c r="B728" t="s">
        <v>85</v>
      </c>
      <c r="C728" t="s">
        <v>32</v>
      </c>
      <c r="D728" t="s">
        <v>153</v>
      </c>
      <c r="E728" t="s">
        <v>86</v>
      </c>
      <c r="F728" s="4">
        <v>0</v>
      </c>
      <c r="G728" s="4">
        <f>IFERROR(F728-alt_Blanks!$I$28,F728)</f>
        <v>0</v>
      </c>
      <c r="H728" s="7">
        <f t="shared" si="32"/>
        <v>0</v>
      </c>
      <c r="I728" s="7">
        <f t="shared" si="31"/>
        <v>0</v>
      </c>
    </row>
    <row r="729" spans="1:9" x14ac:dyDescent="0.35">
      <c r="A729" t="s">
        <v>84</v>
      </c>
      <c r="B729" t="s">
        <v>85</v>
      </c>
      <c r="C729" t="s">
        <v>33</v>
      </c>
      <c r="D729" t="s">
        <v>155</v>
      </c>
      <c r="E729" t="s">
        <v>86</v>
      </c>
      <c r="F729" s="4">
        <v>98.284169699999993</v>
      </c>
      <c r="G729" s="4">
        <f>IFERROR(F729-alt_Blanks!$I$29,F729)</f>
        <v>97.672548699999993</v>
      </c>
      <c r="H729" s="7">
        <f t="shared" si="32"/>
        <v>97.672548699999993</v>
      </c>
      <c r="I729" s="7">
        <f t="shared" si="31"/>
        <v>180.5741332963579</v>
      </c>
    </row>
    <row r="730" spans="1:9" x14ac:dyDescent="0.35">
      <c r="A730" t="s">
        <v>84</v>
      </c>
      <c r="B730" t="s">
        <v>85</v>
      </c>
      <c r="C730" t="s">
        <v>34</v>
      </c>
      <c r="D730" t="s">
        <v>153</v>
      </c>
      <c r="E730" t="s">
        <v>86</v>
      </c>
      <c r="F730" s="4">
        <v>0</v>
      </c>
      <c r="G730" s="4">
        <f>IFERROR(F730-alt_Blanks!$I$30,F730)</f>
        <v>0</v>
      </c>
      <c r="H730" s="7">
        <f t="shared" si="32"/>
        <v>0</v>
      </c>
      <c r="I730" s="7">
        <f t="shared" si="31"/>
        <v>0</v>
      </c>
    </row>
    <row r="731" spans="1:9" x14ac:dyDescent="0.35">
      <c r="A731" t="s">
        <v>84</v>
      </c>
      <c r="B731" t="s">
        <v>85</v>
      </c>
      <c r="C731" t="s">
        <v>35</v>
      </c>
      <c r="D731" t="s">
        <v>154</v>
      </c>
      <c r="E731" t="s">
        <v>86</v>
      </c>
      <c r="F731" s="4">
        <v>119.90831080000001</v>
      </c>
      <c r="G731" s="4">
        <f>IFERROR(F731-alt_Blanks!$I$31,F731)</f>
        <v>17.453677200000016</v>
      </c>
      <c r="H731" s="7">
        <f t="shared" si="32"/>
        <v>17.453677200000016</v>
      </c>
      <c r="I731" s="7">
        <f t="shared" si="31"/>
        <v>32.267844703272353</v>
      </c>
    </row>
    <row r="732" spans="1:9" x14ac:dyDescent="0.35">
      <c r="A732" t="s">
        <v>84</v>
      </c>
      <c r="B732" t="s">
        <v>85</v>
      </c>
      <c r="C732" t="s">
        <v>36</v>
      </c>
      <c r="D732" t="s">
        <v>155</v>
      </c>
      <c r="E732" t="s">
        <v>86</v>
      </c>
      <c r="F732" s="4">
        <v>1.972998</v>
      </c>
      <c r="G732" s="4">
        <f>IFERROR(F732-alt_Blanks!$I$32,F732)</f>
        <v>4.5429500000000012E-2</v>
      </c>
      <c r="H732" s="7">
        <f t="shared" si="32"/>
        <v>4.5429500000000012E-2</v>
      </c>
      <c r="I732" s="7">
        <f t="shared" si="31"/>
        <v>8.3988722499537816E-2</v>
      </c>
    </row>
    <row r="733" spans="1:9" x14ac:dyDescent="0.35">
      <c r="A733" t="s">
        <v>84</v>
      </c>
      <c r="B733" t="s">
        <v>85</v>
      </c>
      <c r="C733" t="s">
        <v>37</v>
      </c>
      <c r="D733" t="s">
        <v>155</v>
      </c>
      <c r="E733" t="s">
        <v>86</v>
      </c>
      <c r="F733" s="4">
        <v>2.6072953000000001</v>
      </c>
      <c r="G733" s="4">
        <f>IFERROR(F733-alt_Blanks!$I$33,F733)</f>
        <v>2.6072953000000001</v>
      </c>
      <c r="H733" s="7">
        <f t="shared" si="32"/>
        <v>2.6072953000000001</v>
      </c>
      <c r="I733" s="7">
        <f t="shared" si="31"/>
        <v>4.8202908116102785</v>
      </c>
    </row>
    <row r="734" spans="1:9" x14ac:dyDescent="0.35">
      <c r="A734" t="s">
        <v>84</v>
      </c>
      <c r="B734" t="s">
        <v>85</v>
      </c>
      <c r="C734" t="s">
        <v>38</v>
      </c>
      <c r="D734" t="s">
        <v>155</v>
      </c>
      <c r="E734" t="s">
        <v>86</v>
      </c>
      <c r="F734" s="4">
        <v>0.49858179999999996</v>
      </c>
      <c r="G734" s="4">
        <f>IFERROR(F734-alt_Blanks!$I$34,F734)</f>
        <v>0.49858179999999996</v>
      </c>
      <c r="H734" s="7">
        <f t="shared" si="32"/>
        <v>0.49858179999999996</v>
      </c>
      <c r="I734" s="7">
        <f t="shared" si="31"/>
        <v>0.9217633573673506</v>
      </c>
    </row>
    <row r="735" spans="1:9" x14ac:dyDescent="0.35">
      <c r="A735" t="s">
        <v>84</v>
      </c>
      <c r="B735" t="s">
        <v>85</v>
      </c>
      <c r="C735" t="s">
        <v>39</v>
      </c>
      <c r="D735" t="s">
        <v>153</v>
      </c>
      <c r="E735" t="s">
        <v>86</v>
      </c>
      <c r="F735" s="4">
        <v>0</v>
      </c>
      <c r="G735" s="4">
        <f>IFERROR(F735-alt_Blanks!$I$35,F735)</f>
        <v>0</v>
      </c>
      <c r="H735" s="7">
        <f t="shared" si="32"/>
        <v>0</v>
      </c>
      <c r="I735" s="7">
        <f t="shared" si="31"/>
        <v>0</v>
      </c>
    </row>
    <row r="736" spans="1:9" x14ac:dyDescent="0.35">
      <c r="A736" t="s">
        <v>84</v>
      </c>
      <c r="B736" t="s">
        <v>85</v>
      </c>
      <c r="C736" t="s">
        <v>40</v>
      </c>
      <c r="D736" t="s">
        <v>154</v>
      </c>
      <c r="E736" t="s">
        <v>86</v>
      </c>
      <c r="F736" s="4">
        <v>0</v>
      </c>
      <c r="G736" s="4">
        <f>IFERROR(F736-alt_Blanks!$I$36,F736)</f>
        <v>0</v>
      </c>
      <c r="H736" s="7">
        <f t="shared" si="32"/>
        <v>0</v>
      </c>
      <c r="I736" s="7">
        <f t="shared" si="31"/>
        <v>0</v>
      </c>
    </row>
    <row r="737" spans="1:9" x14ac:dyDescent="0.35">
      <c r="A737" t="s">
        <v>87</v>
      </c>
      <c r="B737" t="s">
        <v>88</v>
      </c>
      <c r="C737" t="s">
        <v>6</v>
      </c>
      <c r="D737" t="s">
        <v>153</v>
      </c>
      <c r="E737" t="s">
        <v>86</v>
      </c>
      <c r="F737" s="4">
        <v>6.8768636000000001</v>
      </c>
      <c r="G737" s="4">
        <f>IFERROR(F737-alt_Blanks!$I$2,F737)</f>
        <v>0.17032249999999927</v>
      </c>
      <c r="H737" s="7">
        <f t="shared" si="32"/>
        <v>0.17032249999999927</v>
      </c>
      <c r="I737" s="7">
        <f>H737/0.4663</f>
        <v>0.36526377868324955</v>
      </c>
    </row>
    <row r="738" spans="1:9" x14ac:dyDescent="0.35">
      <c r="A738" t="s">
        <v>87</v>
      </c>
      <c r="B738" t="s">
        <v>88</v>
      </c>
      <c r="C738" t="s">
        <v>7</v>
      </c>
      <c r="D738" t="s">
        <v>153</v>
      </c>
      <c r="E738" t="s">
        <v>86</v>
      </c>
      <c r="F738" s="4">
        <v>0</v>
      </c>
      <c r="G738" s="4">
        <f>IFERROR(F738-alt_Blanks!$I$3,F738)</f>
        <v>0</v>
      </c>
      <c r="H738" s="7">
        <f t="shared" si="32"/>
        <v>0</v>
      </c>
      <c r="I738" s="7">
        <f t="shared" ref="I738:I771" si="33">H738/0.4663</f>
        <v>0</v>
      </c>
    </row>
    <row r="739" spans="1:9" x14ac:dyDescent="0.35">
      <c r="A739" t="s">
        <v>87</v>
      </c>
      <c r="B739" t="s">
        <v>88</v>
      </c>
      <c r="C739" t="s">
        <v>8</v>
      </c>
      <c r="D739" t="s">
        <v>153</v>
      </c>
      <c r="E739" t="s">
        <v>86</v>
      </c>
      <c r="F739" s="4" t="e">
        <v>#N/A</v>
      </c>
      <c r="G739" s="4" t="e">
        <f>IFERROR(F739-alt_Blanks!$I$4,F739)</f>
        <v>#N/A</v>
      </c>
      <c r="H739" s="7" t="e">
        <f t="shared" si="32"/>
        <v>#N/A</v>
      </c>
      <c r="I739" s="7" t="e">
        <f t="shared" si="33"/>
        <v>#N/A</v>
      </c>
    </row>
    <row r="740" spans="1:9" x14ac:dyDescent="0.35">
      <c r="A740" t="s">
        <v>87</v>
      </c>
      <c r="B740" t="s">
        <v>88</v>
      </c>
      <c r="C740" t="s">
        <v>9</v>
      </c>
      <c r="D740" t="s">
        <v>153</v>
      </c>
      <c r="E740" t="s">
        <v>86</v>
      </c>
      <c r="F740" s="4">
        <v>5.7644688999999998</v>
      </c>
      <c r="G740" s="4">
        <f>IFERROR(F740-alt_Blanks!$I$5,F740)</f>
        <v>5.7644688999999998</v>
      </c>
      <c r="H740" s="7">
        <f t="shared" si="32"/>
        <v>5.7644688999999998</v>
      </c>
      <c r="I740" s="7">
        <f t="shared" si="33"/>
        <v>12.362146472228179</v>
      </c>
    </row>
    <row r="741" spans="1:9" x14ac:dyDescent="0.35">
      <c r="A741" t="s">
        <v>87</v>
      </c>
      <c r="B741" t="s">
        <v>88</v>
      </c>
      <c r="C741" t="s">
        <v>10</v>
      </c>
      <c r="D741" t="s">
        <v>153</v>
      </c>
      <c r="E741" t="s">
        <v>86</v>
      </c>
      <c r="F741" s="4">
        <v>80.764719700000001</v>
      </c>
      <c r="G741" s="4">
        <f>IFERROR(F741-alt_Blanks!$I$6,F741)</f>
        <v>80.764719700000001</v>
      </c>
      <c r="H741" s="7">
        <f t="shared" si="32"/>
        <v>80.764719700000001</v>
      </c>
      <c r="I741" s="7">
        <f t="shared" si="33"/>
        <v>173.20334484237617</v>
      </c>
    </row>
    <row r="742" spans="1:9" x14ac:dyDescent="0.35">
      <c r="A742" t="s">
        <v>87</v>
      </c>
      <c r="B742" t="s">
        <v>88</v>
      </c>
      <c r="C742" t="s">
        <v>11</v>
      </c>
      <c r="D742" t="s">
        <v>153</v>
      </c>
      <c r="E742" t="s">
        <v>86</v>
      </c>
      <c r="F742" s="4">
        <v>76.653050700000009</v>
      </c>
      <c r="G742" s="4">
        <f>IFERROR(F742-alt_Blanks!$I$7,F742)</f>
        <v>76.653050700000009</v>
      </c>
      <c r="H742" s="7">
        <f t="shared" si="32"/>
        <v>76.653050700000009</v>
      </c>
      <c r="I742" s="7">
        <f t="shared" si="33"/>
        <v>164.38569740510403</v>
      </c>
    </row>
    <row r="743" spans="1:9" x14ac:dyDescent="0.35">
      <c r="A743" t="s">
        <v>87</v>
      </c>
      <c r="B743" t="s">
        <v>88</v>
      </c>
      <c r="C743" t="s">
        <v>12</v>
      </c>
      <c r="D743" t="s">
        <v>154</v>
      </c>
      <c r="E743" t="s">
        <v>86</v>
      </c>
      <c r="F743" s="4">
        <v>0</v>
      </c>
      <c r="G743" s="4">
        <f>IFERROR(F743-alt_Blanks!$I$8,F743)</f>
        <v>0</v>
      </c>
      <c r="H743" s="7">
        <f t="shared" si="32"/>
        <v>0</v>
      </c>
      <c r="I743" s="7">
        <f t="shared" si="33"/>
        <v>0</v>
      </c>
    </row>
    <row r="744" spans="1:9" x14ac:dyDescent="0.35">
      <c r="A744" t="s">
        <v>87</v>
      </c>
      <c r="B744" t="s">
        <v>88</v>
      </c>
      <c r="C744" t="s">
        <v>13</v>
      </c>
      <c r="D744" t="s">
        <v>153</v>
      </c>
      <c r="E744" t="s">
        <v>86</v>
      </c>
      <c r="F744" s="4">
        <v>13.141641600000002</v>
      </c>
      <c r="G744" s="4">
        <f>IFERROR(F744-alt_Blanks!$I$9,F744)</f>
        <v>13.141641600000002</v>
      </c>
      <c r="H744" s="7">
        <f t="shared" si="32"/>
        <v>13.141641600000002</v>
      </c>
      <c r="I744" s="7">
        <f t="shared" si="33"/>
        <v>28.182804203302599</v>
      </c>
    </row>
    <row r="745" spans="1:9" x14ac:dyDescent="0.35">
      <c r="A745" t="s">
        <v>87</v>
      </c>
      <c r="B745" t="s">
        <v>88</v>
      </c>
      <c r="C745" t="s">
        <v>14</v>
      </c>
      <c r="D745" t="s">
        <v>154</v>
      </c>
      <c r="E745" t="s">
        <v>86</v>
      </c>
      <c r="F745" s="4">
        <v>0</v>
      </c>
      <c r="G745" s="4">
        <f>IFERROR(F745-alt_Blanks!$I$10,F745)</f>
        <v>0</v>
      </c>
      <c r="H745" s="7">
        <f t="shared" si="32"/>
        <v>0</v>
      </c>
      <c r="I745" s="7">
        <f t="shared" si="33"/>
        <v>0</v>
      </c>
    </row>
    <row r="746" spans="1:9" x14ac:dyDescent="0.35">
      <c r="A746" t="s">
        <v>87</v>
      </c>
      <c r="B746" t="s">
        <v>88</v>
      </c>
      <c r="C746" t="s">
        <v>15</v>
      </c>
      <c r="D746" t="s">
        <v>153</v>
      </c>
      <c r="E746" t="s">
        <v>86</v>
      </c>
      <c r="F746" s="4">
        <v>2267.1541937000002</v>
      </c>
      <c r="G746" s="4">
        <f>IFERROR(F746-alt_Blanks!$I$11,F746)</f>
        <v>1461.9375040000002</v>
      </c>
      <c r="H746" s="7">
        <f t="shared" si="32"/>
        <v>1461.9375040000002</v>
      </c>
      <c r="I746" s="7">
        <f t="shared" si="33"/>
        <v>3135.1865837443711</v>
      </c>
    </row>
    <row r="747" spans="1:9" x14ac:dyDescent="0.35">
      <c r="A747" t="s">
        <v>87</v>
      </c>
      <c r="B747" t="s">
        <v>88</v>
      </c>
      <c r="C747" t="s">
        <v>16</v>
      </c>
      <c r="D747" t="s">
        <v>154</v>
      </c>
      <c r="E747" t="s">
        <v>86</v>
      </c>
      <c r="F747" s="4">
        <v>292.75304090000003</v>
      </c>
      <c r="G747" s="4">
        <f>IFERROR(F747-alt_Blanks!$I$12,F747)</f>
        <v>292.75304090000003</v>
      </c>
      <c r="H747" s="7">
        <f t="shared" si="32"/>
        <v>292.75304090000003</v>
      </c>
      <c r="I747" s="7">
        <f t="shared" si="33"/>
        <v>627.82123289727656</v>
      </c>
    </row>
    <row r="748" spans="1:9" x14ac:dyDescent="0.35">
      <c r="A748" t="s">
        <v>87</v>
      </c>
      <c r="B748" t="s">
        <v>88</v>
      </c>
      <c r="C748" t="s">
        <v>17</v>
      </c>
      <c r="D748" t="s">
        <v>153</v>
      </c>
      <c r="E748" t="s">
        <v>86</v>
      </c>
      <c r="F748" s="4">
        <v>15.8492145</v>
      </c>
      <c r="G748" s="4">
        <f>IFERROR(F748-alt_Blanks!$I$13,F748)</f>
        <v>14.996501</v>
      </c>
      <c r="H748" s="7">
        <f t="shared" si="32"/>
        <v>14.996501</v>
      </c>
      <c r="I748" s="7">
        <f t="shared" si="33"/>
        <v>32.160628350847098</v>
      </c>
    </row>
    <row r="749" spans="1:9" x14ac:dyDescent="0.35">
      <c r="A749" t="s">
        <v>87</v>
      </c>
      <c r="B749" t="s">
        <v>88</v>
      </c>
      <c r="C749" t="s">
        <v>18</v>
      </c>
      <c r="D749" t="s">
        <v>154</v>
      </c>
      <c r="E749" t="s">
        <v>86</v>
      </c>
      <c r="F749" s="4">
        <v>0.53909699999999994</v>
      </c>
      <c r="G749" s="4">
        <f>IFERROR(F749-alt_Blanks!$I$14,F749)</f>
        <v>0.53909699999999994</v>
      </c>
      <c r="H749" s="7">
        <f t="shared" si="32"/>
        <v>0.53909699999999994</v>
      </c>
      <c r="I749" s="7">
        <f t="shared" si="33"/>
        <v>1.1561162341840017</v>
      </c>
    </row>
    <row r="750" spans="1:9" x14ac:dyDescent="0.35">
      <c r="A750" t="s">
        <v>87</v>
      </c>
      <c r="B750" t="s">
        <v>88</v>
      </c>
      <c r="C750" t="s">
        <v>19</v>
      </c>
      <c r="D750" t="s">
        <v>153</v>
      </c>
      <c r="E750" t="s">
        <v>86</v>
      </c>
      <c r="F750" s="4">
        <v>466.51220490000003</v>
      </c>
      <c r="G750" s="4">
        <f>IFERROR(F750-alt_Blanks!$I$15,F750)</f>
        <v>197.88880780000005</v>
      </c>
      <c r="H750" s="7">
        <f t="shared" si="32"/>
        <v>197.88880780000005</v>
      </c>
      <c r="I750" s="7">
        <f t="shared" si="33"/>
        <v>424.38088741153774</v>
      </c>
    </row>
    <row r="751" spans="1:9" x14ac:dyDescent="0.35">
      <c r="A751" t="s">
        <v>87</v>
      </c>
      <c r="B751" t="s">
        <v>88</v>
      </c>
      <c r="C751" t="s">
        <v>20</v>
      </c>
      <c r="D751" t="s">
        <v>154</v>
      </c>
      <c r="E751" t="s">
        <v>86</v>
      </c>
      <c r="F751" s="4">
        <v>336.1057563</v>
      </c>
      <c r="G751" s="4">
        <f>IFERROR(F751-alt_Blanks!$I$16,F751)</f>
        <v>317.63984310000001</v>
      </c>
      <c r="H751" s="7">
        <f t="shared" si="32"/>
        <v>317.63984310000001</v>
      </c>
      <c r="I751" s="7">
        <f t="shared" si="33"/>
        <v>681.19202895131889</v>
      </c>
    </row>
    <row r="752" spans="1:9" x14ac:dyDescent="0.35">
      <c r="A752" t="s">
        <v>87</v>
      </c>
      <c r="B752" t="s">
        <v>88</v>
      </c>
      <c r="C752" t="s">
        <v>21</v>
      </c>
      <c r="D752" t="s">
        <v>155</v>
      </c>
      <c r="E752" t="s">
        <v>86</v>
      </c>
      <c r="F752" s="4">
        <v>0.29446349999999999</v>
      </c>
      <c r="G752" s="4">
        <f>IFERROR(F752-alt_Blanks!$I$17,F752)</f>
        <v>-3.748990000000002E-2</v>
      </c>
      <c r="H752" s="7">
        <f t="shared" si="32"/>
        <v>0</v>
      </c>
      <c r="I752" s="7">
        <f t="shared" si="33"/>
        <v>0</v>
      </c>
    </row>
    <row r="753" spans="1:9" x14ac:dyDescent="0.35">
      <c r="A753" t="s">
        <v>87</v>
      </c>
      <c r="B753" t="s">
        <v>88</v>
      </c>
      <c r="C753" t="s">
        <v>22</v>
      </c>
      <c r="D753" t="s">
        <v>155</v>
      </c>
      <c r="E753" t="s">
        <v>86</v>
      </c>
      <c r="F753" s="4">
        <v>153.96691179999999</v>
      </c>
      <c r="G753" s="4">
        <f>IFERROR(F753-alt_Blanks!$I$18,F753)</f>
        <v>147.96345219999998</v>
      </c>
      <c r="H753" s="7">
        <f t="shared" si="32"/>
        <v>147.96345219999998</v>
      </c>
      <c r="I753" s="7">
        <f t="shared" si="33"/>
        <v>317.31385846021868</v>
      </c>
    </row>
    <row r="754" spans="1:9" x14ac:dyDescent="0.35">
      <c r="A754" t="s">
        <v>87</v>
      </c>
      <c r="B754" t="s">
        <v>88</v>
      </c>
      <c r="C754" t="s">
        <v>23</v>
      </c>
      <c r="D754" t="s">
        <v>155</v>
      </c>
      <c r="E754" t="s">
        <v>86</v>
      </c>
      <c r="F754" s="4">
        <v>0</v>
      </c>
      <c r="G754" s="4">
        <f>IFERROR(F754-alt_Blanks!$I$19,F754)</f>
        <v>0</v>
      </c>
      <c r="H754" s="7">
        <f t="shared" si="32"/>
        <v>0</v>
      </c>
      <c r="I754" s="7">
        <f t="shared" si="33"/>
        <v>0</v>
      </c>
    </row>
    <row r="755" spans="1:9" x14ac:dyDescent="0.35">
      <c r="A755" t="s">
        <v>87</v>
      </c>
      <c r="B755" t="s">
        <v>88</v>
      </c>
      <c r="C755" t="s">
        <v>24</v>
      </c>
      <c r="D755" t="s">
        <v>155</v>
      </c>
      <c r="E755" t="s">
        <v>86</v>
      </c>
      <c r="F755" s="4">
        <v>117.5720901</v>
      </c>
      <c r="G755" s="4">
        <f>IFERROR(F755-alt_Blanks!$I$20,F755)</f>
        <v>115.6341147</v>
      </c>
      <c r="H755" s="7">
        <f t="shared" si="32"/>
        <v>115.6341147</v>
      </c>
      <c r="I755" s="7">
        <f t="shared" si="33"/>
        <v>247.98223182500536</v>
      </c>
    </row>
    <row r="756" spans="1:9" x14ac:dyDescent="0.35">
      <c r="A756" t="s">
        <v>87</v>
      </c>
      <c r="B756" t="s">
        <v>88</v>
      </c>
      <c r="C756" t="s">
        <v>25</v>
      </c>
      <c r="D756" t="s">
        <v>155</v>
      </c>
      <c r="E756" t="s">
        <v>86</v>
      </c>
      <c r="F756" s="4">
        <v>10.186507799999999</v>
      </c>
      <c r="G756" s="4">
        <f>IFERROR(F756-alt_Blanks!$I$21,F756)</f>
        <v>9.9719986999999985</v>
      </c>
      <c r="H756" s="7">
        <f t="shared" si="32"/>
        <v>9.9719986999999985</v>
      </c>
      <c r="I756" s="7">
        <f t="shared" si="33"/>
        <v>21.385371434698691</v>
      </c>
    </row>
    <row r="757" spans="1:9" x14ac:dyDescent="0.35">
      <c r="A757" t="s">
        <v>87</v>
      </c>
      <c r="B757" t="s">
        <v>88</v>
      </c>
      <c r="C757" t="s">
        <v>26</v>
      </c>
      <c r="D757" t="s">
        <v>153</v>
      </c>
      <c r="E757" t="s">
        <v>86</v>
      </c>
      <c r="F757" s="4">
        <v>2.4318781</v>
      </c>
      <c r="G757" s="4">
        <f>IFERROR(F757-alt_Blanks!$I$22,F757)</f>
        <v>0.8371567000000002</v>
      </c>
      <c r="H757" s="7">
        <f t="shared" si="32"/>
        <v>0.8371567000000002</v>
      </c>
      <c r="I757" s="7">
        <f t="shared" si="33"/>
        <v>1.7953178211451859</v>
      </c>
    </row>
    <row r="758" spans="1:9" x14ac:dyDescent="0.35">
      <c r="A758" t="s">
        <v>87</v>
      </c>
      <c r="B758" t="s">
        <v>88</v>
      </c>
      <c r="C758" t="s">
        <v>27</v>
      </c>
      <c r="D758" t="s">
        <v>154</v>
      </c>
      <c r="E758" t="s">
        <v>86</v>
      </c>
      <c r="F758" s="4">
        <v>0.25653680000000001</v>
      </c>
      <c r="G758" s="4">
        <f>IFERROR(F758-alt_Blanks!$I$23,F758)</f>
        <v>0.13579940000000001</v>
      </c>
      <c r="H758" s="7">
        <f t="shared" si="32"/>
        <v>0.13579940000000001</v>
      </c>
      <c r="I758" s="7">
        <f t="shared" si="33"/>
        <v>0.29122753592108086</v>
      </c>
    </row>
    <row r="759" spans="1:9" x14ac:dyDescent="0.35">
      <c r="A759" t="s">
        <v>87</v>
      </c>
      <c r="B759" t="s">
        <v>88</v>
      </c>
      <c r="C759" t="s">
        <v>28</v>
      </c>
      <c r="D759" t="s">
        <v>155</v>
      </c>
      <c r="E759" t="s">
        <v>86</v>
      </c>
      <c r="F759" s="4">
        <v>16.474373200000002</v>
      </c>
      <c r="G759" s="4">
        <f>IFERROR(F759-alt_Blanks!$I$24,F759)</f>
        <v>16.227203600000003</v>
      </c>
      <c r="H759" s="7">
        <f t="shared" si="32"/>
        <v>16.227203600000003</v>
      </c>
      <c r="I759" s="7">
        <f t="shared" si="33"/>
        <v>34.799921938666103</v>
      </c>
    </row>
    <row r="760" spans="1:9" x14ac:dyDescent="0.35">
      <c r="A760" t="s">
        <v>87</v>
      </c>
      <c r="B760" t="s">
        <v>88</v>
      </c>
      <c r="C760" t="s">
        <v>29</v>
      </c>
      <c r="D760" t="s">
        <v>155</v>
      </c>
      <c r="E760" t="s">
        <v>86</v>
      </c>
      <c r="F760" s="4">
        <v>0.42555770000000004</v>
      </c>
      <c r="G760" s="4">
        <f>IFERROR(F760-alt_Blanks!$I$25,F760)</f>
        <v>-4.6683099999999922E-2</v>
      </c>
      <c r="H760" s="7">
        <f t="shared" si="32"/>
        <v>0</v>
      </c>
      <c r="I760" s="7">
        <f t="shared" si="33"/>
        <v>0</v>
      </c>
    </row>
    <row r="761" spans="1:9" x14ac:dyDescent="0.35">
      <c r="A761" t="s">
        <v>87</v>
      </c>
      <c r="B761" t="s">
        <v>88</v>
      </c>
      <c r="C761" t="s">
        <v>30</v>
      </c>
      <c r="D761" t="s">
        <v>155</v>
      </c>
      <c r="E761" t="s">
        <v>86</v>
      </c>
      <c r="F761" s="4">
        <v>140.12785200000002</v>
      </c>
      <c r="G761" s="4">
        <f>IFERROR(F761-alt_Blanks!$I$26,F761)</f>
        <v>139.54767570000001</v>
      </c>
      <c r="H761" s="7">
        <f t="shared" si="32"/>
        <v>139.54767570000001</v>
      </c>
      <c r="I761" s="7">
        <f t="shared" si="33"/>
        <v>299.2658711130174</v>
      </c>
    </row>
    <row r="762" spans="1:9" x14ac:dyDescent="0.35">
      <c r="A762" t="s">
        <v>87</v>
      </c>
      <c r="B762" t="s">
        <v>88</v>
      </c>
      <c r="C762" t="s">
        <v>31</v>
      </c>
      <c r="D762" t="s">
        <v>155</v>
      </c>
      <c r="E762" t="s">
        <v>86</v>
      </c>
      <c r="F762" s="4" t="e">
        <v>#N/A</v>
      </c>
      <c r="G762" s="4" t="e">
        <f>IFERROR(F762-alt_Blanks!$I$27,F762)</f>
        <v>#N/A</v>
      </c>
      <c r="H762" s="7" t="e">
        <f t="shared" si="32"/>
        <v>#N/A</v>
      </c>
      <c r="I762" s="7" t="e">
        <f t="shared" si="33"/>
        <v>#N/A</v>
      </c>
    </row>
    <row r="763" spans="1:9" x14ac:dyDescent="0.35">
      <c r="A763" t="s">
        <v>87</v>
      </c>
      <c r="B763" t="s">
        <v>88</v>
      </c>
      <c r="C763" t="s">
        <v>32</v>
      </c>
      <c r="D763" t="s">
        <v>153</v>
      </c>
      <c r="E763" t="s">
        <v>86</v>
      </c>
      <c r="F763" s="4">
        <v>0</v>
      </c>
      <c r="G763" s="4">
        <f>IFERROR(F763-alt_Blanks!$I$28,F763)</f>
        <v>0</v>
      </c>
      <c r="H763" s="7">
        <f t="shared" si="32"/>
        <v>0</v>
      </c>
      <c r="I763" s="7">
        <f t="shared" si="33"/>
        <v>0</v>
      </c>
    </row>
    <row r="764" spans="1:9" x14ac:dyDescent="0.35">
      <c r="A764" t="s">
        <v>87</v>
      </c>
      <c r="B764" t="s">
        <v>88</v>
      </c>
      <c r="C764" t="s">
        <v>33</v>
      </c>
      <c r="D764" t="s">
        <v>155</v>
      </c>
      <c r="E764" t="s">
        <v>86</v>
      </c>
      <c r="F764" s="4">
        <v>155.76380570000001</v>
      </c>
      <c r="G764" s="4">
        <f>IFERROR(F764-alt_Blanks!$I$29,F764)</f>
        <v>155.15218469999999</v>
      </c>
      <c r="H764" s="7">
        <f t="shared" si="32"/>
        <v>155.15218469999999</v>
      </c>
      <c r="I764" s="7">
        <f t="shared" si="33"/>
        <v>332.73039824147543</v>
      </c>
    </row>
    <row r="765" spans="1:9" x14ac:dyDescent="0.35">
      <c r="A765" t="s">
        <v>87</v>
      </c>
      <c r="B765" t="s">
        <v>88</v>
      </c>
      <c r="C765" t="s">
        <v>34</v>
      </c>
      <c r="D765" t="s">
        <v>153</v>
      </c>
      <c r="E765" t="s">
        <v>86</v>
      </c>
      <c r="F765" s="4">
        <v>0</v>
      </c>
      <c r="G765" s="4">
        <f>IFERROR(F765-alt_Blanks!$I$30,F765)</f>
        <v>0</v>
      </c>
      <c r="H765" s="7">
        <f t="shared" si="32"/>
        <v>0</v>
      </c>
      <c r="I765" s="7">
        <f t="shared" si="33"/>
        <v>0</v>
      </c>
    </row>
    <row r="766" spans="1:9" x14ac:dyDescent="0.35">
      <c r="A766" t="s">
        <v>87</v>
      </c>
      <c r="B766" t="s">
        <v>88</v>
      </c>
      <c r="C766" t="s">
        <v>35</v>
      </c>
      <c r="D766" t="s">
        <v>154</v>
      </c>
      <c r="E766" t="s">
        <v>86</v>
      </c>
      <c r="F766" s="4">
        <v>118.8679376</v>
      </c>
      <c r="G766" s="4">
        <f>IFERROR(F766-alt_Blanks!$I$31,F766)</f>
        <v>16.413304000000011</v>
      </c>
      <c r="H766" s="7">
        <f t="shared" si="32"/>
        <v>16.413304000000011</v>
      </c>
      <c r="I766" s="7">
        <f t="shared" si="33"/>
        <v>35.199022088784069</v>
      </c>
    </row>
    <row r="767" spans="1:9" x14ac:dyDescent="0.35">
      <c r="A767" t="s">
        <v>87</v>
      </c>
      <c r="B767" t="s">
        <v>88</v>
      </c>
      <c r="C767" t="s">
        <v>36</v>
      </c>
      <c r="D767" t="s">
        <v>155</v>
      </c>
      <c r="E767" t="s">
        <v>86</v>
      </c>
      <c r="F767" s="4">
        <v>1.9537872000000001</v>
      </c>
      <c r="G767" s="4">
        <f>IFERROR(F767-alt_Blanks!$I$32,F767)</f>
        <v>2.6218700000000039E-2</v>
      </c>
      <c r="H767" s="7">
        <f t="shared" si="32"/>
        <v>2.6218700000000039E-2</v>
      </c>
      <c r="I767" s="7">
        <f t="shared" si="33"/>
        <v>5.6227107012652884E-2</v>
      </c>
    </row>
    <row r="768" spans="1:9" x14ac:dyDescent="0.35">
      <c r="A768" t="s">
        <v>87</v>
      </c>
      <c r="B768" t="s">
        <v>88</v>
      </c>
      <c r="C768" t="s">
        <v>37</v>
      </c>
      <c r="D768" t="s">
        <v>155</v>
      </c>
      <c r="E768" t="s">
        <v>86</v>
      </c>
      <c r="F768" s="4">
        <v>4.3420641</v>
      </c>
      <c r="G768" s="4">
        <f>IFERROR(F768-alt_Blanks!$I$33,F768)</f>
        <v>4.3420641</v>
      </c>
      <c r="H768" s="7">
        <f t="shared" si="32"/>
        <v>4.3420641</v>
      </c>
      <c r="I768" s="7">
        <f t="shared" si="33"/>
        <v>9.3117394381299601</v>
      </c>
    </row>
    <row r="769" spans="1:9" x14ac:dyDescent="0.35">
      <c r="A769" t="s">
        <v>87</v>
      </c>
      <c r="B769" t="s">
        <v>88</v>
      </c>
      <c r="C769" t="s">
        <v>38</v>
      </c>
      <c r="D769" t="s">
        <v>155</v>
      </c>
      <c r="E769" t="s">
        <v>86</v>
      </c>
      <c r="F769" s="4">
        <v>2.4813516</v>
      </c>
      <c r="G769" s="4">
        <f>IFERROR(F769-alt_Blanks!$I$34,F769)</f>
        <v>2.4813516</v>
      </c>
      <c r="H769" s="7">
        <f t="shared" si="32"/>
        <v>2.4813516</v>
      </c>
      <c r="I769" s="7">
        <f t="shared" si="33"/>
        <v>5.3213630709843445</v>
      </c>
    </row>
    <row r="770" spans="1:9" x14ac:dyDescent="0.35">
      <c r="A770" t="s">
        <v>87</v>
      </c>
      <c r="B770" t="s">
        <v>88</v>
      </c>
      <c r="C770" t="s">
        <v>39</v>
      </c>
      <c r="D770" t="s">
        <v>153</v>
      </c>
      <c r="E770" t="s">
        <v>86</v>
      </c>
      <c r="F770" s="4">
        <v>14.3991209</v>
      </c>
      <c r="G770" s="4">
        <f>IFERROR(F770-alt_Blanks!$I$35,F770)</f>
        <v>14.3991209</v>
      </c>
      <c r="H770" s="7">
        <f t="shared" si="32"/>
        <v>14.3991209</v>
      </c>
      <c r="I770" s="7">
        <f t="shared" si="33"/>
        <v>30.879521552648509</v>
      </c>
    </row>
    <row r="771" spans="1:9" x14ac:dyDescent="0.35">
      <c r="A771" t="s">
        <v>87</v>
      </c>
      <c r="B771" t="s">
        <v>88</v>
      </c>
      <c r="C771" t="s">
        <v>40</v>
      </c>
      <c r="D771" t="s">
        <v>154</v>
      </c>
      <c r="E771" t="s">
        <v>86</v>
      </c>
      <c r="F771" s="4">
        <v>0</v>
      </c>
      <c r="G771" s="4">
        <f>IFERROR(F771-alt_Blanks!$I$36,F771)</f>
        <v>0</v>
      </c>
      <c r="H771" s="7">
        <f t="shared" si="32"/>
        <v>0</v>
      </c>
      <c r="I771" s="7">
        <f t="shared" si="33"/>
        <v>0</v>
      </c>
    </row>
    <row r="772" spans="1:9" x14ac:dyDescent="0.35">
      <c r="A772" t="s">
        <v>89</v>
      </c>
      <c r="B772" t="s">
        <v>90</v>
      </c>
      <c r="C772" t="s">
        <v>6</v>
      </c>
      <c r="D772" t="s">
        <v>153</v>
      </c>
      <c r="E772" t="s">
        <v>86</v>
      </c>
      <c r="F772" s="4">
        <v>6.7338294999999997</v>
      </c>
      <c r="G772" s="4">
        <f>IFERROR(F772-alt_Blanks!$I$2,F772)</f>
        <v>2.728839999999888E-2</v>
      </c>
      <c r="H772" s="7">
        <f t="shared" si="32"/>
        <v>2.728839999999888E-2</v>
      </c>
      <c r="I772" s="7">
        <f>H772/0.5612</f>
        <v>4.8625089094794863E-2</v>
      </c>
    </row>
    <row r="773" spans="1:9" x14ac:dyDescent="0.35">
      <c r="A773" t="s">
        <v>89</v>
      </c>
      <c r="B773" t="s">
        <v>90</v>
      </c>
      <c r="C773" t="s">
        <v>7</v>
      </c>
      <c r="D773" t="s">
        <v>153</v>
      </c>
      <c r="E773" t="s">
        <v>86</v>
      </c>
      <c r="F773" s="4">
        <v>1.5662897</v>
      </c>
      <c r="G773" s="4">
        <f>IFERROR(F773-alt_Blanks!$I$3,F773)</f>
        <v>1.5662897</v>
      </c>
      <c r="H773" s="7">
        <f t="shared" si="32"/>
        <v>1.5662897</v>
      </c>
      <c r="I773" s="7">
        <f t="shared" ref="I773:I806" si="34">H773/0.5612</f>
        <v>2.7909652530292228</v>
      </c>
    </row>
    <row r="774" spans="1:9" x14ac:dyDescent="0.35">
      <c r="A774" t="s">
        <v>89</v>
      </c>
      <c r="B774" t="s">
        <v>90</v>
      </c>
      <c r="C774" t="s">
        <v>8</v>
      </c>
      <c r="D774" t="s">
        <v>153</v>
      </c>
      <c r="E774" t="s">
        <v>86</v>
      </c>
      <c r="F774" s="4" t="e">
        <v>#N/A</v>
      </c>
      <c r="G774" s="4" t="e">
        <f>IFERROR(F774-alt_Blanks!$I$4,F774)</f>
        <v>#N/A</v>
      </c>
      <c r="H774" s="7" t="e">
        <f t="shared" ref="H774:H837" si="35">IF(G774&lt;0,0,G774)</f>
        <v>#N/A</v>
      </c>
      <c r="I774" s="7" t="e">
        <f t="shared" si="34"/>
        <v>#N/A</v>
      </c>
    </row>
    <row r="775" spans="1:9" x14ac:dyDescent="0.35">
      <c r="A775" t="s">
        <v>89</v>
      </c>
      <c r="B775" t="s">
        <v>90</v>
      </c>
      <c r="C775" t="s">
        <v>9</v>
      </c>
      <c r="D775" t="s">
        <v>153</v>
      </c>
      <c r="E775" t="s">
        <v>86</v>
      </c>
      <c r="F775" s="4">
        <v>15.172462299999999</v>
      </c>
      <c r="G775" s="4">
        <f>IFERROR(F775-alt_Blanks!$I$5,F775)</f>
        <v>15.172462299999999</v>
      </c>
      <c r="H775" s="7">
        <f t="shared" si="35"/>
        <v>15.172462299999999</v>
      </c>
      <c r="I775" s="7">
        <f t="shared" si="34"/>
        <v>27.035748930862436</v>
      </c>
    </row>
    <row r="776" spans="1:9" x14ac:dyDescent="0.35">
      <c r="A776" t="s">
        <v>89</v>
      </c>
      <c r="B776" t="s">
        <v>90</v>
      </c>
      <c r="C776" t="s">
        <v>10</v>
      </c>
      <c r="D776" t="s">
        <v>153</v>
      </c>
      <c r="E776" t="s">
        <v>86</v>
      </c>
      <c r="F776" s="4">
        <v>96.950537999999995</v>
      </c>
      <c r="G776" s="4">
        <f>IFERROR(F776-alt_Blanks!$I$6,F776)</f>
        <v>96.950537999999995</v>
      </c>
      <c r="H776" s="7">
        <f t="shared" si="35"/>
        <v>96.950537999999995</v>
      </c>
      <c r="I776" s="7">
        <f t="shared" si="34"/>
        <v>172.7557697790449</v>
      </c>
    </row>
    <row r="777" spans="1:9" x14ac:dyDescent="0.35">
      <c r="A777" t="s">
        <v>89</v>
      </c>
      <c r="B777" t="s">
        <v>90</v>
      </c>
      <c r="C777" t="s">
        <v>11</v>
      </c>
      <c r="D777" t="s">
        <v>153</v>
      </c>
      <c r="E777" t="s">
        <v>86</v>
      </c>
      <c r="F777" s="4">
        <v>90.808160099999995</v>
      </c>
      <c r="G777" s="4">
        <f>IFERROR(F777-alt_Blanks!$I$7,F777)</f>
        <v>90.808160099999995</v>
      </c>
      <c r="H777" s="7">
        <f t="shared" si="35"/>
        <v>90.808160099999995</v>
      </c>
      <c r="I777" s="7">
        <f t="shared" si="34"/>
        <v>161.81069155381323</v>
      </c>
    </row>
    <row r="778" spans="1:9" x14ac:dyDescent="0.35">
      <c r="A778" t="s">
        <v>89</v>
      </c>
      <c r="B778" t="s">
        <v>90</v>
      </c>
      <c r="C778" t="s">
        <v>12</v>
      </c>
      <c r="D778" t="s">
        <v>154</v>
      </c>
      <c r="E778" t="s">
        <v>86</v>
      </c>
      <c r="F778" s="4">
        <v>0</v>
      </c>
      <c r="G778" s="4">
        <f>IFERROR(F778-alt_Blanks!$I$8,F778)</f>
        <v>0</v>
      </c>
      <c r="H778" s="7">
        <f t="shared" si="35"/>
        <v>0</v>
      </c>
      <c r="I778" s="7">
        <f t="shared" si="34"/>
        <v>0</v>
      </c>
    </row>
    <row r="779" spans="1:9" x14ac:dyDescent="0.35">
      <c r="A779" t="s">
        <v>89</v>
      </c>
      <c r="B779" t="s">
        <v>90</v>
      </c>
      <c r="C779" t="s">
        <v>13</v>
      </c>
      <c r="D779" t="s">
        <v>153</v>
      </c>
      <c r="E779" t="s">
        <v>86</v>
      </c>
      <c r="F779" s="4">
        <v>11.251206399999999</v>
      </c>
      <c r="G779" s="4">
        <f>IFERROR(F779-alt_Blanks!$I$9,F779)</f>
        <v>11.251206399999999</v>
      </c>
      <c r="H779" s="7">
        <f t="shared" si="35"/>
        <v>11.251206399999999</v>
      </c>
      <c r="I779" s="7">
        <f t="shared" si="34"/>
        <v>20.048478973627937</v>
      </c>
    </row>
    <row r="780" spans="1:9" x14ac:dyDescent="0.35">
      <c r="A780" t="s">
        <v>89</v>
      </c>
      <c r="B780" t="s">
        <v>90</v>
      </c>
      <c r="C780" t="s">
        <v>14</v>
      </c>
      <c r="D780" t="s">
        <v>154</v>
      </c>
      <c r="E780" t="s">
        <v>86</v>
      </c>
      <c r="F780" s="4">
        <v>0</v>
      </c>
      <c r="G780" s="4">
        <f>IFERROR(F780-alt_Blanks!$I$10,F780)</f>
        <v>0</v>
      </c>
      <c r="H780" s="7">
        <f t="shared" si="35"/>
        <v>0</v>
      </c>
      <c r="I780" s="7">
        <f t="shared" si="34"/>
        <v>0</v>
      </c>
    </row>
    <row r="781" spans="1:9" x14ac:dyDescent="0.35">
      <c r="A781" t="s">
        <v>89</v>
      </c>
      <c r="B781" t="s">
        <v>90</v>
      </c>
      <c r="C781" t="s">
        <v>15</v>
      </c>
      <c r="D781" t="s">
        <v>153</v>
      </c>
      <c r="E781" t="s">
        <v>86</v>
      </c>
      <c r="F781" s="4">
        <v>2681.8350313000001</v>
      </c>
      <c r="G781" s="4">
        <f>IFERROR(F781-alt_Blanks!$I$11,F781)</f>
        <v>1876.6183416000001</v>
      </c>
      <c r="H781" s="7">
        <f t="shared" si="35"/>
        <v>1876.6183416000001</v>
      </c>
      <c r="I781" s="7">
        <f t="shared" si="34"/>
        <v>3343.9385987170349</v>
      </c>
    </row>
    <row r="782" spans="1:9" x14ac:dyDescent="0.35">
      <c r="A782" t="s">
        <v>89</v>
      </c>
      <c r="B782" t="s">
        <v>90</v>
      </c>
      <c r="C782" t="s">
        <v>16</v>
      </c>
      <c r="D782" t="s">
        <v>154</v>
      </c>
      <c r="E782" t="s">
        <v>86</v>
      </c>
      <c r="F782" s="4">
        <v>418.14089680000001</v>
      </c>
      <c r="G782" s="4">
        <f>IFERROR(F782-alt_Blanks!$I$12,F782)</f>
        <v>418.14089680000001</v>
      </c>
      <c r="H782" s="7">
        <f t="shared" si="35"/>
        <v>418.14089680000001</v>
      </c>
      <c r="I782" s="7">
        <f t="shared" si="34"/>
        <v>745.08356521739131</v>
      </c>
    </row>
    <row r="783" spans="1:9" x14ac:dyDescent="0.35">
      <c r="A783" t="s">
        <v>89</v>
      </c>
      <c r="B783" t="s">
        <v>90</v>
      </c>
      <c r="C783" t="s">
        <v>17</v>
      </c>
      <c r="D783" t="s">
        <v>153</v>
      </c>
      <c r="E783" t="s">
        <v>86</v>
      </c>
      <c r="F783" s="4">
        <v>16.984158799999999</v>
      </c>
      <c r="G783" s="4">
        <f>IFERROR(F783-alt_Blanks!$I$13,F783)</f>
        <v>16.131445299999999</v>
      </c>
      <c r="H783" s="7">
        <f t="shared" si="35"/>
        <v>16.131445299999999</v>
      </c>
      <c r="I783" s="7">
        <f t="shared" si="34"/>
        <v>28.744556842480396</v>
      </c>
    </row>
    <row r="784" spans="1:9" x14ac:dyDescent="0.35">
      <c r="A784" t="s">
        <v>89</v>
      </c>
      <c r="B784" t="s">
        <v>90</v>
      </c>
      <c r="C784" t="s">
        <v>18</v>
      </c>
      <c r="D784" t="s">
        <v>154</v>
      </c>
      <c r="E784" t="s">
        <v>86</v>
      </c>
      <c r="F784" s="4">
        <v>0</v>
      </c>
      <c r="G784" s="4">
        <f>IFERROR(F784-alt_Blanks!$I$14,F784)</f>
        <v>0</v>
      </c>
      <c r="H784" s="7">
        <f t="shared" si="35"/>
        <v>0</v>
      </c>
      <c r="I784" s="7">
        <f t="shared" si="34"/>
        <v>0</v>
      </c>
    </row>
    <row r="785" spans="1:9" x14ac:dyDescent="0.35">
      <c r="A785" t="s">
        <v>89</v>
      </c>
      <c r="B785" t="s">
        <v>90</v>
      </c>
      <c r="C785" t="s">
        <v>19</v>
      </c>
      <c r="D785" t="s">
        <v>153</v>
      </c>
      <c r="E785" t="s">
        <v>86</v>
      </c>
      <c r="F785" s="4">
        <v>510.02374609999998</v>
      </c>
      <c r="G785" s="4">
        <f>IFERROR(F785-alt_Blanks!$I$15,F785)</f>
        <v>241.40034900000001</v>
      </c>
      <c r="H785" s="7">
        <f t="shared" si="35"/>
        <v>241.40034900000001</v>
      </c>
      <c r="I785" s="7">
        <f t="shared" si="34"/>
        <v>430.15030114041338</v>
      </c>
    </row>
    <row r="786" spans="1:9" x14ac:dyDescent="0.35">
      <c r="A786" t="s">
        <v>89</v>
      </c>
      <c r="B786" t="s">
        <v>90</v>
      </c>
      <c r="C786" t="s">
        <v>20</v>
      </c>
      <c r="D786" t="s">
        <v>154</v>
      </c>
      <c r="E786" t="s">
        <v>86</v>
      </c>
      <c r="F786" s="4">
        <v>433.0092123</v>
      </c>
      <c r="G786" s="4">
        <f>IFERROR(F786-alt_Blanks!$I$16,F786)</f>
        <v>414.54329910000001</v>
      </c>
      <c r="H786" s="7">
        <f t="shared" si="35"/>
        <v>414.54329910000001</v>
      </c>
      <c r="I786" s="7">
        <f t="shared" si="34"/>
        <v>738.6730204918033</v>
      </c>
    </row>
    <row r="787" spans="1:9" x14ac:dyDescent="0.35">
      <c r="A787" t="s">
        <v>89</v>
      </c>
      <c r="B787" t="s">
        <v>90</v>
      </c>
      <c r="C787" t="s">
        <v>21</v>
      </c>
      <c r="D787" t="s">
        <v>155</v>
      </c>
      <c r="E787" t="s">
        <v>86</v>
      </c>
      <c r="F787" s="4">
        <v>2.2944054999999999</v>
      </c>
      <c r="G787" s="4">
        <f>IFERROR(F787-alt_Blanks!$I$17,F787)</f>
        <v>1.9624520999999999</v>
      </c>
      <c r="H787" s="7">
        <f t="shared" si="35"/>
        <v>1.9624520999999999</v>
      </c>
      <c r="I787" s="7">
        <f t="shared" si="34"/>
        <v>3.4968854240912326</v>
      </c>
    </row>
    <row r="788" spans="1:9" x14ac:dyDescent="0.35">
      <c r="A788" t="s">
        <v>89</v>
      </c>
      <c r="B788" t="s">
        <v>90</v>
      </c>
      <c r="C788" t="s">
        <v>22</v>
      </c>
      <c r="D788" t="s">
        <v>155</v>
      </c>
      <c r="E788" t="s">
        <v>86</v>
      </c>
      <c r="F788" s="4">
        <v>231.05647769999999</v>
      </c>
      <c r="G788" s="4">
        <f>IFERROR(F788-alt_Blanks!$I$18,F788)</f>
        <v>225.05301809999997</v>
      </c>
      <c r="H788" s="7">
        <f t="shared" si="35"/>
        <v>225.05301809999997</v>
      </c>
      <c r="I788" s="7">
        <f t="shared" si="34"/>
        <v>401.02105862437628</v>
      </c>
    </row>
    <row r="789" spans="1:9" x14ac:dyDescent="0.35">
      <c r="A789" t="s">
        <v>89</v>
      </c>
      <c r="B789" t="s">
        <v>90</v>
      </c>
      <c r="C789" t="s">
        <v>23</v>
      </c>
      <c r="D789" t="s">
        <v>155</v>
      </c>
      <c r="E789" t="s">
        <v>86</v>
      </c>
      <c r="F789" s="4">
        <v>22.888521900000001</v>
      </c>
      <c r="G789" s="4">
        <f>IFERROR(F789-alt_Blanks!$I$19,F789)</f>
        <v>22.888521900000001</v>
      </c>
      <c r="H789" s="7">
        <f t="shared" si="35"/>
        <v>22.888521900000001</v>
      </c>
      <c r="I789" s="7">
        <f t="shared" si="34"/>
        <v>40.78496418389166</v>
      </c>
    </row>
    <row r="790" spans="1:9" x14ac:dyDescent="0.35">
      <c r="A790" t="s">
        <v>89</v>
      </c>
      <c r="B790" t="s">
        <v>90</v>
      </c>
      <c r="C790" t="s">
        <v>24</v>
      </c>
      <c r="D790" t="s">
        <v>155</v>
      </c>
      <c r="E790" t="s">
        <v>86</v>
      </c>
      <c r="F790" s="4">
        <v>225.59529709999998</v>
      </c>
      <c r="G790" s="4">
        <f>IFERROR(F790-alt_Blanks!$I$20,F790)</f>
        <v>223.65732169999998</v>
      </c>
      <c r="H790" s="7">
        <f t="shared" si="35"/>
        <v>223.65732169999998</v>
      </c>
      <c r="I790" s="7">
        <f t="shared" si="34"/>
        <v>398.53407287954377</v>
      </c>
    </row>
    <row r="791" spans="1:9" x14ac:dyDescent="0.35">
      <c r="A791" t="s">
        <v>89</v>
      </c>
      <c r="B791" t="s">
        <v>90</v>
      </c>
      <c r="C791" t="s">
        <v>25</v>
      </c>
      <c r="D791" t="s">
        <v>155</v>
      </c>
      <c r="E791" t="s">
        <v>86</v>
      </c>
      <c r="F791" s="4">
        <v>18.420323400000001</v>
      </c>
      <c r="G791" s="4">
        <f>IFERROR(F791-alt_Blanks!$I$21,F791)</f>
        <v>18.2058143</v>
      </c>
      <c r="H791" s="7">
        <f t="shared" si="35"/>
        <v>18.2058143</v>
      </c>
      <c r="I791" s="7">
        <f t="shared" si="34"/>
        <v>32.440866535994296</v>
      </c>
    </row>
    <row r="792" spans="1:9" x14ac:dyDescent="0.35">
      <c r="A792" t="s">
        <v>89</v>
      </c>
      <c r="B792" t="s">
        <v>90</v>
      </c>
      <c r="C792" t="s">
        <v>26</v>
      </c>
      <c r="D792" t="s">
        <v>153</v>
      </c>
      <c r="E792" t="s">
        <v>86</v>
      </c>
      <c r="F792" s="4">
        <v>1.6016769</v>
      </c>
      <c r="G792" s="4">
        <f>IFERROR(F792-alt_Blanks!$I$22,F792)</f>
        <v>6.9555000000001144E-3</v>
      </c>
      <c r="H792" s="7">
        <f t="shared" si="35"/>
        <v>6.9555000000001144E-3</v>
      </c>
      <c r="I792" s="7">
        <f t="shared" si="34"/>
        <v>1.2393977191732205E-2</v>
      </c>
    </row>
    <row r="793" spans="1:9" x14ac:dyDescent="0.35">
      <c r="A793" t="s">
        <v>89</v>
      </c>
      <c r="B793" t="s">
        <v>90</v>
      </c>
      <c r="C793" t="s">
        <v>27</v>
      </c>
      <c r="D793" t="s">
        <v>154</v>
      </c>
      <c r="E793" t="s">
        <v>86</v>
      </c>
      <c r="F793" s="4">
        <v>7.7440865999999993</v>
      </c>
      <c r="G793" s="4">
        <f>IFERROR(F793-alt_Blanks!$I$23,F793)</f>
        <v>7.6233491999999989</v>
      </c>
      <c r="H793" s="7">
        <f t="shared" si="35"/>
        <v>7.6233491999999989</v>
      </c>
      <c r="I793" s="7">
        <f t="shared" si="34"/>
        <v>13.584014967925871</v>
      </c>
    </row>
    <row r="794" spans="1:9" x14ac:dyDescent="0.35">
      <c r="A794" t="s">
        <v>89</v>
      </c>
      <c r="B794" t="s">
        <v>90</v>
      </c>
      <c r="C794" t="s">
        <v>28</v>
      </c>
      <c r="D794" t="s">
        <v>155</v>
      </c>
      <c r="E794" t="s">
        <v>86</v>
      </c>
      <c r="F794" s="4">
        <v>29.200894599999998</v>
      </c>
      <c r="G794" s="4">
        <f>IFERROR(F794-alt_Blanks!$I$24,F794)</f>
        <v>28.953724999999999</v>
      </c>
      <c r="H794" s="7">
        <f t="shared" si="35"/>
        <v>28.953724999999999</v>
      </c>
      <c r="I794" s="7">
        <f t="shared" si="34"/>
        <v>51.592524946543115</v>
      </c>
    </row>
    <row r="795" spans="1:9" x14ac:dyDescent="0.35">
      <c r="A795" t="s">
        <v>89</v>
      </c>
      <c r="B795" t="s">
        <v>90</v>
      </c>
      <c r="C795" t="s">
        <v>29</v>
      </c>
      <c r="D795" t="s">
        <v>155</v>
      </c>
      <c r="E795" t="s">
        <v>86</v>
      </c>
      <c r="F795" s="4">
        <v>1.2008975</v>
      </c>
      <c r="G795" s="4">
        <f>IFERROR(F795-alt_Blanks!$I$25,F795)</f>
        <v>0.72865669999999994</v>
      </c>
      <c r="H795" s="7">
        <f t="shared" si="35"/>
        <v>0.72865669999999994</v>
      </c>
      <c r="I795" s="7">
        <f t="shared" si="34"/>
        <v>1.2983904133998572</v>
      </c>
    </row>
    <row r="796" spans="1:9" x14ac:dyDescent="0.35">
      <c r="A796" t="s">
        <v>89</v>
      </c>
      <c r="B796" t="s">
        <v>90</v>
      </c>
      <c r="C796" t="s">
        <v>30</v>
      </c>
      <c r="D796" t="s">
        <v>155</v>
      </c>
      <c r="E796" t="s">
        <v>86</v>
      </c>
      <c r="F796" s="4">
        <v>252.48778760000002</v>
      </c>
      <c r="G796" s="4">
        <f>IFERROR(F796-alt_Blanks!$I$26,F796)</f>
        <v>251.90761130000001</v>
      </c>
      <c r="H796" s="7">
        <f t="shared" si="35"/>
        <v>251.90761130000001</v>
      </c>
      <c r="I796" s="7">
        <f t="shared" si="34"/>
        <v>448.87314914468993</v>
      </c>
    </row>
    <row r="797" spans="1:9" x14ac:dyDescent="0.35">
      <c r="A797" t="s">
        <v>89</v>
      </c>
      <c r="B797" t="s">
        <v>90</v>
      </c>
      <c r="C797" t="s">
        <v>31</v>
      </c>
      <c r="D797" t="s">
        <v>155</v>
      </c>
      <c r="E797" t="s">
        <v>86</v>
      </c>
      <c r="F797" s="4">
        <v>8.6348212000000011</v>
      </c>
      <c r="G797" s="4">
        <f>IFERROR(F797-alt_Blanks!$I$27,F797)</f>
        <v>8.6348212000000011</v>
      </c>
      <c r="H797" s="7">
        <f t="shared" si="35"/>
        <v>8.6348212000000011</v>
      </c>
      <c r="I797" s="7">
        <f t="shared" si="34"/>
        <v>15.386352815395583</v>
      </c>
    </row>
    <row r="798" spans="1:9" x14ac:dyDescent="0.35">
      <c r="A798" t="s">
        <v>89</v>
      </c>
      <c r="B798" t="s">
        <v>90</v>
      </c>
      <c r="C798" t="s">
        <v>32</v>
      </c>
      <c r="D798" t="s">
        <v>153</v>
      </c>
      <c r="E798" t="s">
        <v>86</v>
      </c>
      <c r="F798" s="4">
        <v>0</v>
      </c>
      <c r="G798" s="4">
        <f>IFERROR(F798-alt_Blanks!$I$28,F798)</f>
        <v>0</v>
      </c>
      <c r="H798" s="7">
        <f t="shared" si="35"/>
        <v>0</v>
      </c>
      <c r="I798" s="7">
        <f t="shared" si="34"/>
        <v>0</v>
      </c>
    </row>
    <row r="799" spans="1:9" x14ac:dyDescent="0.35">
      <c r="A799" t="s">
        <v>89</v>
      </c>
      <c r="B799" t="s">
        <v>90</v>
      </c>
      <c r="C799" t="s">
        <v>33</v>
      </c>
      <c r="D799" t="s">
        <v>155</v>
      </c>
      <c r="E799" t="s">
        <v>86</v>
      </c>
      <c r="F799" s="4">
        <v>240.54604749999999</v>
      </c>
      <c r="G799" s="4">
        <f>IFERROR(F799-alt_Blanks!$I$29,F799)</f>
        <v>239.93442649999997</v>
      </c>
      <c r="H799" s="7">
        <f t="shared" si="35"/>
        <v>239.93442649999997</v>
      </c>
      <c r="I799" s="7">
        <f t="shared" si="34"/>
        <v>427.5381797933</v>
      </c>
    </row>
    <row r="800" spans="1:9" x14ac:dyDescent="0.35">
      <c r="A800" t="s">
        <v>89</v>
      </c>
      <c r="B800" t="s">
        <v>90</v>
      </c>
      <c r="C800" t="s">
        <v>34</v>
      </c>
      <c r="D800" t="s">
        <v>153</v>
      </c>
      <c r="E800" t="s">
        <v>86</v>
      </c>
      <c r="F800" s="4">
        <v>0</v>
      </c>
      <c r="G800" s="4">
        <f>IFERROR(F800-alt_Blanks!$I$30,F800)</f>
        <v>0</v>
      </c>
      <c r="H800" s="7">
        <f t="shared" si="35"/>
        <v>0</v>
      </c>
      <c r="I800" s="7">
        <f t="shared" si="34"/>
        <v>0</v>
      </c>
    </row>
    <row r="801" spans="1:9" x14ac:dyDescent="0.35">
      <c r="A801" t="s">
        <v>89</v>
      </c>
      <c r="B801" t="s">
        <v>90</v>
      </c>
      <c r="C801" t="s">
        <v>35</v>
      </c>
      <c r="D801" t="s">
        <v>154</v>
      </c>
      <c r="E801" t="s">
        <v>86</v>
      </c>
      <c r="F801" s="4">
        <v>107.9605569</v>
      </c>
      <c r="G801" s="4">
        <f>IFERROR(F801-alt_Blanks!$I$31,F801)</f>
        <v>5.5059233000000063</v>
      </c>
      <c r="H801" s="7">
        <f t="shared" si="35"/>
        <v>5.5059233000000063</v>
      </c>
      <c r="I801" s="7">
        <f t="shared" si="34"/>
        <v>9.8109823592302323</v>
      </c>
    </row>
    <row r="802" spans="1:9" x14ac:dyDescent="0.35">
      <c r="A802" t="s">
        <v>89</v>
      </c>
      <c r="B802" t="s">
        <v>90</v>
      </c>
      <c r="C802" t="s">
        <v>36</v>
      </c>
      <c r="D802" t="s">
        <v>155</v>
      </c>
      <c r="E802" t="s">
        <v>86</v>
      </c>
      <c r="F802" s="4">
        <v>7.4573210999999997</v>
      </c>
      <c r="G802" s="4">
        <f>IFERROR(F802-alt_Blanks!$I$32,F802)</f>
        <v>5.5297526000000001</v>
      </c>
      <c r="H802" s="7">
        <f t="shared" si="35"/>
        <v>5.5297526000000001</v>
      </c>
      <c r="I802" s="7">
        <f t="shared" si="34"/>
        <v>9.8534436920883817</v>
      </c>
    </row>
    <row r="803" spans="1:9" x14ac:dyDescent="0.35">
      <c r="A803" t="s">
        <v>89</v>
      </c>
      <c r="B803" t="s">
        <v>90</v>
      </c>
      <c r="C803" t="s">
        <v>37</v>
      </c>
      <c r="D803" t="s">
        <v>155</v>
      </c>
      <c r="E803" t="s">
        <v>86</v>
      </c>
      <c r="F803" s="4">
        <v>7.6749007000000002</v>
      </c>
      <c r="G803" s="4">
        <f>IFERROR(F803-alt_Blanks!$I$33,F803)</f>
        <v>7.6749007000000002</v>
      </c>
      <c r="H803" s="7">
        <f t="shared" si="35"/>
        <v>7.6749007000000002</v>
      </c>
      <c r="I803" s="7">
        <f t="shared" si="34"/>
        <v>13.675874376336422</v>
      </c>
    </row>
    <row r="804" spans="1:9" x14ac:dyDescent="0.35">
      <c r="A804" t="s">
        <v>89</v>
      </c>
      <c r="B804" t="s">
        <v>90</v>
      </c>
      <c r="C804" t="s">
        <v>38</v>
      </c>
      <c r="D804" t="s">
        <v>155</v>
      </c>
      <c r="E804" t="s">
        <v>86</v>
      </c>
      <c r="F804" s="4">
        <v>6.7180198999999998</v>
      </c>
      <c r="G804" s="4">
        <f>IFERROR(F804-alt_Blanks!$I$34,F804)</f>
        <v>6.7180198999999998</v>
      </c>
      <c r="H804" s="7">
        <f t="shared" si="35"/>
        <v>6.7180198999999998</v>
      </c>
      <c r="I804" s="7">
        <f t="shared" si="34"/>
        <v>11.970812366357803</v>
      </c>
    </row>
    <row r="805" spans="1:9" x14ac:dyDescent="0.35">
      <c r="A805" t="s">
        <v>89</v>
      </c>
      <c r="B805" t="s">
        <v>90</v>
      </c>
      <c r="C805" t="s">
        <v>39</v>
      </c>
      <c r="D805" t="s">
        <v>153</v>
      </c>
      <c r="E805" t="s">
        <v>86</v>
      </c>
      <c r="F805" s="4">
        <v>10.869472999999999</v>
      </c>
      <c r="G805" s="4">
        <f>IFERROR(F805-alt_Blanks!$I$35,F805)</f>
        <v>10.869472999999999</v>
      </c>
      <c r="H805" s="7">
        <f t="shared" si="35"/>
        <v>10.869472999999999</v>
      </c>
      <c r="I805" s="7">
        <f t="shared" si="34"/>
        <v>19.368269779044901</v>
      </c>
    </row>
    <row r="806" spans="1:9" x14ac:dyDescent="0.35">
      <c r="A806" t="s">
        <v>89</v>
      </c>
      <c r="B806" t="s">
        <v>90</v>
      </c>
      <c r="C806" t="s">
        <v>40</v>
      </c>
      <c r="D806" t="s">
        <v>154</v>
      </c>
      <c r="E806" t="s">
        <v>86</v>
      </c>
      <c r="F806" s="4">
        <v>0</v>
      </c>
      <c r="G806" s="4">
        <f>IFERROR(F806-alt_Blanks!$I$36,F806)</f>
        <v>0</v>
      </c>
      <c r="H806" s="7">
        <f t="shared" si="35"/>
        <v>0</v>
      </c>
      <c r="I806" s="7">
        <f t="shared" si="34"/>
        <v>0</v>
      </c>
    </row>
    <row r="807" spans="1:9" x14ac:dyDescent="0.35">
      <c r="A807" t="s">
        <v>91</v>
      </c>
      <c r="B807" t="s">
        <v>92</v>
      </c>
      <c r="C807" t="s">
        <v>6</v>
      </c>
      <c r="D807" t="s">
        <v>153</v>
      </c>
      <c r="E807" t="s">
        <v>86</v>
      </c>
      <c r="F807" s="4">
        <v>6.8677396000000002</v>
      </c>
      <c r="G807" s="4">
        <f>IFERROR(F807-alt_Blanks!$I$2,F807)</f>
        <v>0.16119849999999936</v>
      </c>
      <c r="H807" s="7">
        <f t="shared" si="35"/>
        <v>0.16119849999999936</v>
      </c>
      <c r="I807" s="7">
        <f>H807/0.6193</f>
        <v>0.26029145809785137</v>
      </c>
    </row>
    <row r="808" spans="1:9" x14ac:dyDescent="0.35">
      <c r="A808" t="s">
        <v>91</v>
      </c>
      <c r="B808" t="s">
        <v>92</v>
      </c>
      <c r="C808" t="s">
        <v>7</v>
      </c>
      <c r="D808" t="s">
        <v>153</v>
      </c>
      <c r="E808" t="s">
        <v>86</v>
      </c>
      <c r="F808" s="4">
        <v>1.0888094000000001</v>
      </c>
      <c r="G808" s="4">
        <f>IFERROR(F808-alt_Blanks!$I$3,F808)</f>
        <v>1.0888094000000001</v>
      </c>
      <c r="H808" s="7">
        <f t="shared" si="35"/>
        <v>1.0888094000000001</v>
      </c>
      <c r="I808" s="7">
        <f t="shared" ref="I808:I841" si="36">H808/0.6193</f>
        <v>1.7581291781043116</v>
      </c>
    </row>
    <row r="809" spans="1:9" x14ac:dyDescent="0.35">
      <c r="A809" t="s">
        <v>91</v>
      </c>
      <c r="B809" t="s">
        <v>92</v>
      </c>
      <c r="C809" t="s">
        <v>8</v>
      </c>
      <c r="D809" t="s">
        <v>153</v>
      </c>
      <c r="E809" t="s">
        <v>86</v>
      </c>
      <c r="F809" s="4" t="e">
        <v>#N/A</v>
      </c>
      <c r="G809" s="4" t="e">
        <f>IFERROR(F809-alt_Blanks!$I$4,F809)</f>
        <v>#N/A</v>
      </c>
      <c r="H809" s="7" t="e">
        <f t="shared" si="35"/>
        <v>#N/A</v>
      </c>
      <c r="I809" s="7" t="e">
        <f t="shared" si="36"/>
        <v>#N/A</v>
      </c>
    </row>
    <row r="810" spans="1:9" x14ac:dyDescent="0.35">
      <c r="A810" t="s">
        <v>91</v>
      </c>
      <c r="B810" t="s">
        <v>92</v>
      </c>
      <c r="C810" t="s">
        <v>9</v>
      </c>
      <c r="D810" t="s">
        <v>153</v>
      </c>
      <c r="E810" t="s">
        <v>86</v>
      </c>
      <c r="F810" s="4">
        <v>16.6845298</v>
      </c>
      <c r="G810" s="4">
        <f>IFERROR(F810-alt_Blanks!$I$5,F810)</f>
        <v>16.6845298</v>
      </c>
      <c r="H810" s="7">
        <f t="shared" si="35"/>
        <v>16.6845298</v>
      </c>
      <c r="I810" s="7">
        <f t="shared" si="36"/>
        <v>26.940949136121429</v>
      </c>
    </row>
    <row r="811" spans="1:9" x14ac:dyDescent="0.35">
      <c r="A811" t="s">
        <v>91</v>
      </c>
      <c r="B811" t="s">
        <v>92</v>
      </c>
      <c r="C811" t="s">
        <v>10</v>
      </c>
      <c r="D811" t="s">
        <v>153</v>
      </c>
      <c r="E811" t="s">
        <v>86</v>
      </c>
      <c r="F811" s="4">
        <v>100.9588437</v>
      </c>
      <c r="G811" s="4">
        <f>IFERROR(F811-alt_Blanks!$I$6,F811)</f>
        <v>100.9588437</v>
      </c>
      <c r="H811" s="7">
        <f t="shared" si="35"/>
        <v>100.9588437</v>
      </c>
      <c r="I811" s="7">
        <f t="shared" si="36"/>
        <v>163.02090053285968</v>
      </c>
    </row>
    <row r="812" spans="1:9" x14ac:dyDescent="0.35">
      <c r="A812" t="s">
        <v>91</v>
      </c>
      <c r="B812" t="s">
        <v>92</v>
      </c>
      <c r="C812" t="s">
        <v>11</v>
      </c>
      <c r="D812" t="s">
        <v>153</v>
      </c>
      <c r="E812" t="s">
        <v>86</v>
      </c>
      <c r="F812" s="4">
        <v>84.719422399999999</v>
      </c>
      <c r="G812" s="4">
        <f>IFERROR(F812-alt_Blanks!$I$7,F812)</f>
        <v>84.719422399999999</v>
      </c>
      <c r="H812" s="7">
        <f t="shared" si="35"/>
        <v>84.719422399999999</v>
      </c>
      <c r="I812" s="7">
        <f t="shared" si="36"/>
        <v>136.79867979977394</v>
      </c>
    </row>
    <row r="813" spans="1:9" x14ac:dyDescent="0.35">
      <c r="A813" t="s">
        <v>91</v>
      </c>
      <c r="B813" t="s">
        <v>92</v>
      </c>
      <c r="C813" t="s">
        <v>12</v>
      </c>
      <c r="D813" t="s">
        <v>154</v>
      </c>
      <c r="E813" t="s">
        <v>86</v>
      </c>
      <c r="F813" s="4">
        <v>0</v>
      </c>
      <c r="G813" s="4">
        <f>IFERROR(F813-alt_Blanks!$I$8,F813)</f>
        <v>0</v>
      </c>
      <c r="H813" s="7">
        <f t="shared" si="35"/>
        <v>0</v>
      </c>
      <c r="I813" s="7">
        <f t="shared" si="36"/>
        <v>0</v>
      </c>
    </row>
    <row r="814" spans="1:9" x14ac:dyDescent="0.35">
      <c r="A814" t="s">
        <v>91</v>
      </c>
      <c r="B814" t="s">
        <v>92</v>
      </c>
      <c r="C814" t="s">
        <v>13</v>
      </c>
      <c r="D814" t="s">
        <v>153</v>
      </c>
      <c r="E814" t="s">
        <v>86</v>
      </c>
      <c r="F814" s="4">
        <v>14.5837579</v>
      </c>
      <c r="G814" s="4">
        <f>IFERROR(F814-alt_Blanks!$I$9,F814)</f>
        <v>14.5837579</v>
      </c>
      <c r="H814" s="7">
        <f t="shared" si="35"/>
        <v>14.5837579</v>
      </c>
      <c r="I814" s="7">
        <f t="shared" si="36"/>
        <v>23.548777490715324</v>
      </c>
    </row>
    <row r="815" spans="1:9" x14ac:dyDescent="0.35">
      <c r="A815" t="s">
        <v>91</v>
      </c>
      <c r="B815" t="s">
        <v>92</v>
      </c>
      <c r="C815" t="s">
        <v>14</v>
      </c>
      <c r="D815" t="s">
        <v>154</v>
      </c>
      <c r="E815" t="s">
        <v>86</v>
      </c>
      <c r="F815" s="4">
        <v>0</v>
      </c>
      <c r="G815" s="4">
        <f>IFERROR(F815-alt_Blanks!$I$10,F815)</f>
        <v>0</v>
      </c>
      <c r="H815" s="7">
        <f t="shared" si="35"/>
        <v>0</v>
      </c>
      <c r="I815" s="7">
        <f t="shared" si="36"/>
        <v>0</v>
      </c>
    </row>
    <row r="816" spans="1:9" x14ac:dyDescent="0.35">
      <c r="A816" t="s">
        <v>91</v>
      </c>
      <c r="B816" t="s">
        <v>92</v>
      </c>
      <c r="C816" t="s">
        <v>15</v>
      </c>
      <c r="D816" t="s">
        <v>153</v>
      </c>
      <c r="E816" t="s">
        <v>86</v>
      </c>
      <c r="F816" s="4">
        <v>2450.7073688</v>
      </c>
      <c r="G816" s="4">
        <f>IFERROR(F816-alt_Blanks!$I$11,F816)</f>
        <v>1645.4906791000001</v>
      </c>
      <c r="H816" s="7">
        <f t="shared" si="35"/>
        <v>1645.4906791000001</v>
      </c>
      <c r="I816" s="7">
        <f t="shared" si="36"/>
        <v>2657.0170823510416</v>
      </c>
    </row>
    <row r="817" spans="1:9" x14ac:dyDescent="0.35">
      <c r="A817" t="s">
        <v>91</v>
      </c>
      <c r="B817" t="s">
        <v>92</v>
      </c>
      <c r="C817" t="s">
        <v>16</v>
      </c>
      <c r="D817" t="s">
        <v>154</v>
      </c>
      <c r="E817" t="s">
        <v>86</v>
      </c>
      <c r="F817" s="4">
        <v>323.61403789999997</v>
      </c>
      <c r="G817" s="4">
        <f>IFERROR(F817-alt_Blanks!$I$12,F817)</f>
        <v>323.61403789999997</v>
      </c>
      <c r="H817" s="7">
        <f t="shared" si="35"/>
        <v>323.61403789999997</v>
      </c>
      <c r="I817" s="7">
        <f t="shared" si="36"/>
        <v>522.54809930566762</v>
      </c>
    </row>
    <row r="818" spans="1:9" x14ac:dyDescent="0.35">
      <c r="A818" t="s">
        <v>91</v>
      </c>
      <c r="B818" t="s">
        <v>92</v>
      </c>
      <c r="C818" t="s">
        <v>17</v>
      </c>
      <c r="D818" t="s">
        <v>153</v>
      </c>
      <c r="E818" t="s">
        <v>86</v>
      </c>
      <c r="F818" s="4">
        <v>18.0907062</v>
      </c>
      <c r="G818" s="4">
        <f>IFERROR(F818-alt_Blanks!$I$13,F818)</f>
        <v>17.2379927</v>
      </c>
      <c r="H818" s="7">
        <f t="shared" si="35"/>
        <v>17.2379927</v>
      </c>
      <c r="I818" s="7">
        <f t="shared" si="36"/>
        <v>27.834640238979492</v>
      </c>
    </row>
    <row r="819" spans="1:9" x14ac:dyDescent="0.35">
      <c r="A819" t="s">
        <v>91</v>
      </c>
      <c r="B819" t="s">
        <v>92</v>
      </c>
      <c r="C819" t="s">
        <v>18</v>
      </c>
      <c r="D819" t="s">
        <v>154</v>
      </c>
      <c r="E819" t="s">
        <v>86</v>
      </c>
      <c r="F819" s="4" t="e">
        <v>#N/A</v>
      </c>
      <c r="G819" s="4" t="e">
        <f>IFERROR(F819-alt_Blanks!$I$14,F819)</f>
        <v>#N/A</v>
      </c>
      <c r="H819" s="7" t="e">
        <f t="shared" si="35"/>
        <v>#N/A</v>
      </c>
      <c r="I819" s="7" t="e">
        <f t="shared" si="36"/>
        <v>#N/A</v>
      </c>
    </row>
    <row r="820" spans="1:9" x14ac:dyDescent="0.35">
      <c r="A820" t="s">
        <v>91</v>
      </c>
      <c r="B820" t="s">
        <v>92</v>
      </c>
      <c r="C820" t="s">
        <v>19</v>
      </c>
      <c r="D820" t="s">
        <v>153</v>
      </c>
      <c r="E820" t="s">
        <v>86</v>
      </c>
      <c r="F820" s="4">
        <v>501.55448200000001</v>
      </c>
      <c r="G820" s="4">
        <f>IFERROR(F820-alt_Blanks!$I$15,F820)</f>
        <v>232.93108490000003</v>
      </c>
      <c r="H820" s="7">
        <f t="shared" si="35"/>
        <v>232.93108490000003</v>
      </c>
      <c r="I820" s="7">
        <f t="shared" si="36"/>
        <v>376.11994978201204</v>
      </c>
    </row>
    <row r="821" spans="1:9" x14ac:dyDescent="0.35">
      <c r="A821" t="s">
        <v>91</v>
      </c>
      <c r="B821" t="s">
        <v>92</v>
      </c>
      <c r="C821" t="s">
        <v>20</v>
      </c>
      <c r="D821" t="s">
        <v>154</v>
      </c>
      <c r="E821" t="s">
        <v>86</v>
      </c>
      <c r="F821" s="4">
        <v>484.74813510000001</v>
      </c>
      <c r="G821" s="4">
        <f>IFERROR(F821-alt_Blanks!$I$16,F821)</f>
        <v>466.28222190000002</v>
      </c>
      <c r="H821" s="7">
        <f t="shared" si="35"/>
        <v>466.28222190000002</v>
      </c>
      <c r="I821" s="7">
        <f t="shared" si="36"/>
        <v>752.91816873889888</v>
      </c>
    </row>
    <row r="822" spans="1:9" x14ac:dyDescent="0.35">
      <c r="A822" t="s">
        <v>91</v>
      </c>
      <c r="B822" t="s">
        <v>92</v>
      </c>
      <c r="C822" t="s">
        <v>21</v>
      </c>
      <c r="D822" t="s">
        <v>155</v>
      </c>
      <c r="E822" t="s">
        <v>86</v>
      </c>
      <c r="F822" s="4">
        <v>0.1108309</v>
      </c>
      <c r="G822" s="4">
        <f>IFERROR(F822-alt_Blanks!$I$17,F822)</f>
        <v>-0.2211225</v>
      </c>
      <c r="H822" s="7">
        <f t="shared" si="35"/>
        <v>0</v>
      </c>
      <c r="I822" s="7">
        <f t="shared" si="36"/>
        <v>0</v>
      </c>
    </row>
    <row r="823" spans="1:9" x14ac:dyDescent="0.35">
      <c r="A823" t="s">
        <v>91</v>
      </c>
      <c r="B823" t="s">
        <v>92</v>
      </c>
      <c r="C823" t="s">
        <v>22</v>
      </c>
      <c r="D823" t="s">
        <v>155</v>
      </c>
      <c r="E823" t="s">
        <v>86</v>
      </c>
      <c r="F823" s="4">
        <v>258.65551099999999</v>
      </c>
      <c r="G823" s="4">
        <f>IFERROR(F823-alt_Blanks!$I$18,F823)</f>
        <v>252.65205139999998</v>
      </c>
      <c r="H823" s="7">
        <f t="shared" si="35"/>
        <v>252.65205139999998</v>
      </c>
      <c r="I823" s="7">
        <f t="shared" si="36"/>
        <v>407.96391312772482</v>
      </c>
    </row>
    <row r="824" spans="1:9" x14ac:dyDescent="0.35">
      <c r="A824" t="s">
        <v>91</v>
      </c>
      <c r="B824" t="s">
        <v>92</v>
      </c>
      <c r="C824" t="s">
        <v>23</v>
      </c>
      <c r="D824" t="s">
        <v>155</v>
      </c>
      <c r="E824" t="s">
        <v>86</v>
      </c>
      <c r="F824" s="4">
        <v>0</v>
      </c>
      <c r="G824" s="4">
        <f>IFERROR(F824-alt_Blanks!$I$19,F824)</f>
        <v>0</v>
      </c>
      <c r="H824" s="7">
        <f t="shared" si="35"/>
        <v>0</v>
      </c>
      <c r="I824" s="7">
        <f t="shared" si="36"/>
        <v>0</v>
      </c>
    </row>
    <row r="825" spans="1:9" x14ac:dyDescent="0.35">
      <c r="A825" t="s">
        <v>91</v>
      </c>
      <c r="B825" t="s">
        <v>92</v>
      </c>
      <c r="C825" t="s">
        <v>24</v>
      </c>
      <c r="D825" t="s">
        <v>155</v>
      </c>
      <c r="E825" t="s">
        <v>86</v>
      </c>
      <c r="F825" s="4">
        <v>264.73478769999997</v>
      </c>
      <c r="G825" s="4">
        <f>IFERROR(F825-alt_Blanks!$I$20,F825)</f>
        <v>262.79681229999994</v>
      </c>
      <c r="H825" s="7">
        <f t="shared" si="35"/>
        <v>262.79681229999994</v>
      </c>
      <c r="I825" s="7">
        <f t="shared" si="36"/>
        <v>424.34492539964469</v>
      </c>
    </row>
    <row r="826" spans="1:9" x14ac:dyDescent="0.35">
      <c r="A826" t="s">
        <v>91</v>
      </c>
      <c r="B826" t="s">
        <v>92</v>
      </c>
      <c r="C826" t="s">
        <v>25</v>
      </c>
      <c r="D826" t="s">
        <v>155</v>
      </c>
      <c r="E826" t="s">
        <v>86</v>
      </c>
      <c r="F826" s="4">
        <v>12.528589</v>
      </c>
      <c r="G826" s="4">
        <f>IFERROR(F826-alt_Blanks!$I$21,F826)</f>
        <v>12.314079899999999</v>
      </c>
      <c r="H826" s="7">
        <f t="shared" si="35"/>
        <v>12.314079899999999</v>
      </c>
      <c r="I826" s="7">
        <f t="shared" si="36"/>
        <v>19.883868722751494</v>
      </c>
    </row>
    <row r="827" spans="1:9" x14ac:dyDescent="0.35">
      <c r="A827" t="s">
        <v>91</v>
      </c>
      <c r="B827" t="s">
        <v>92</v>
      </c>
      <c r="C827" t="s">
        <v>26</v>
      </c>
      <c r="D827" t="s">
        <v>153</v>
      </c>
      <c r="E827" t="s">
        <v>86</v>
      </c>
      <c r="F827" s="4">
        <v>1.7239437</v>
      </c>
      <c r="G827" s="4">
        <f>IFERROR(F827-alt_Blanks!$I$22,F827)</f>
        <v>0.12922230000000012</v>
      </c>
      <c r="H827" s="7">
        <f t="shared" si="35"/>
        <v>0.12922230000000012</v>
      </c>
      <c r="I827" s="7">
        <f t="shared" si="36"/>
        <v>0.20865864685935756</v>
      </c>
    </row>
    <row r="828" spans="1:9" x14ac:dyDescent="0.35">
      <c r="A828" t="s">
        <v>91</v>
      </c>
      <c r="B828" t="s">
        <v>92</v>
      </c>
      <c r="C828" t="s">
        <v>27</v>
      </c>
      <c r="D828" t="s">
        <v>154</v>
      </c>
      <c r="E828" t="s">
        <v>86</v>
      </c>
      <c r="F828" s="4">
        <v>15.196997799999998</v>
      </c>
      <c r="G828" s="4">
        <f>IFERROR(F828-alt_Blanks!$I$23,F828)</f>
        <v>15.076260399999999</v>
      </c>
      <c r="H828" s="7">
        <f t="shared" si="35"/>
        <v>15.076260399999999</v>
      </c>
      <c r="I828" s="7">
        <f t="shared" si="36"/>
        <v>24.344034232197643</v>
      </c>
    </row>
    <row r="829" spans="1:9" x14ac:dyDescent="0.35">
      <c r="A829" t="s">
        <v>91</v>
      </c>
      <c r="B829" t="s">
        <v>92</v>
      </c>
      <c r="C829" t="s">
        <v>28</v>
      </c>
      <c r="D829" t="s">
        <v>155</v>
      </c>
      <c r="E829" t="s">
        <v>86</v>
      </c>
      <c r="F829" s="4">
        <v>36.381873500000005</v>
      </c>
      <c r="G829" s="4">
        <f>IFERROR(F829-alt_Blanks!$I$24,F829)</f>
        <v>36.134703900000005</v>
      </c>
      <c r="H829" s="7">
        <f t="shared" si="35"/>
        <v>36.134703900000005</v>
      </c>
      <c r="I829" s="7">
        <f t="shared" si="36"/>
        <v>58.347656870660437</v>
      </c>
    </row>
    <row r="830" spans="1:9" x14ac:dyDescent="0.35">
      <c r="A830" t="s">
        <v>91</v>
      </c>
      <c r="B830" t="s">
        <v>92</v>
      </c>
      <c r="C830" t="s">
        <v>29</v>
      </c>
      <c r="D830" t="s">
        <v>155</v>
      </c>
      <c r="E830" t="s">
        <v>86</v>
      </c>
      <c r="F830" s="4">
        <v>0.29078519999999997</v>
      </c>
      <c r="G830" s="4">
        <f>IFERROR(F830-alt_Blanks!$I$25,F830)</f>
        <v>-0.18145559999999999</v>
      </c>
      <c r="H830" s="7">
        <f t="shared" si="35"/>
        <v>0</v>
      </c>
      <c r="I830" s="7">
        <f t="shared" si="36"/>
        <v>0</v>
      </c>
    </row>
    <row r="831" spans="1:9" x14ac:dyDescent="0.35">
      <c r="A831" t="s">
        <v>91</v>
      </c>
      <c r="B831" t="s">
        <v>92</v>
      </c>
      <c r="C831" t="s">
        <v>30</v>
      </c>
      <c r="D831" t="s">
        <v>155</v>
      </c>
      <c r="E831" t="s">
        <v>86</v>
      </c>
      <c r="F831" s="4">
        <v>216.8623528</v>
      </c>
      <c r="G831" s="4">
        <f>IFERROR(F831-alt_Blanks!$I$26,F831)</f>
        <v>216.28217649999999</v>
      </c>
      <c r="H831" s="7">
        <f t="shared" si="35"/>
        <v>216.28217649999999</v>
      </c>
      <c r="I831" s="7">
        <f t="shared" si="36"/>
        <v>349.23651945745195</v>
      </c>
    </row>
    <row r="832" spans="1:9" x14ac:dyDescent="0.35">
      <c r="A832" t="s">
        <v>91</v>
      </c>
      <c r="B832" t="s">
        <v>92</v>
      </c>
      <c r="C832" t="s">
        <v>31</v>
      </c>
      <c r="D832" t="s">
        <v>155</v>
      </c>
      <c r="E832" t="s">
        <v>86</v>
      </c>
      <c r="F832" s="4" t="e">
        <v>#N/A</v>
      </c>
      <c r="G832" s="4" t="e">
        <f>IFERROR(F832-alt_Blanks!$I$27,F832)</f>
        <v>#N/A</v>
      </c>
      <c r="H832" s="7" t="e">
        <f t="shared" si="35"/>
        <v>#N/A</v>
      </c>
      <c r="I832" s="7" t="e">
        <f t="shared" si="36"/>
        <v>#N/A</v>
      </c>
    </row>
    <row r="833" spans="1:9" x14ac:dyDescent="0.35">
      <c r="A833" t="s">
        <v>91</v>
      </c>
      <c r="B833" t="s">
        <v>92</v>
      </c>
      <c r="C833" t="s">
        <v>32</v>
      </c>
      <c r="D833" t="s">
        <v>153</v>
      </c>
      <c r="E833" t="s">
        <v>86</v>
      </c>
      <c r="F833" s="4">
        <v>0</v>
      </c>
      <c r="G833" s="4">
        <f>IFERROR(F833-alt_Blanks!$I$28,F833)</f>
        <v>0</v>
      </c>
      <c r="H833" s="7">
        <f t="shared" si="35"/>
        <v>0</v>
      </c>
      <c r="I833" s="7">
        <f t="shared" si="36"/>
        <v>0</v>
      </c>
    </row>
    <row r="834" spans="1:9" x14ac:dyDescent="0.35">
      <c r="A834" t="s">
        <v>91</v>
      </c>
      <c r="B834" t="s">
        <v>92</v>
      </c>
      <c r="C834" t="s">
        <v>33</v>
      </c>
      <c r="D834" t="s">
        <v>155</v>
      </c>
      <c r="E834" t="s">
        <v>86</v>
      </c>
      <c r="F834" s="4">
        <v>190.06237760000002</v>
      </c>
      <c r="G834" s="4">
        <f>IFERROR(F834-alt_Blanks!$I$29,F834)</f>
        <v>189.45075660000001</v>
      </c>
      <c r="H834" s="7">
        <f t="shared" si="35"/>
        <v>189.45075660000001</v>
      </c>
      <c r="I834" s="7">
        <f t="shared" si="36"/>
        <v>305.91111997416442</v>
      </c>
    </row>
    <row r="835" spans="1:9" x14ac:dyDescent="0.35">
      <c r="A835" t="s">
        <v>91</v>
      </c>
      <c r="B835" t="s">
        <v>92</v>
      </c>
      <c r="C835" t="s">
        <v>34</v>
      </c>
      <c r="D835" t="s">
        <v>153</v>
      </c>
      <c r="E835" t="s">
        <v>86</v>
      </c>
      <c r="F835" s="4">
        <v>0</v>
      </c>
      <c r="G835" s="4">
        <f>IFERROR(F835-alt_Blanks!$I$30,F835)</f>
        <v>0</v>
      </c>
      <c r="H835" s="7">
        <f t="shared" si="35"/>
        <v>0</v>
      </c>
      <c r="I835" s="7">
        <f t="shared" si="36"/>
        <v>0</v>
      </c>
    </row>
    <row r="836" spans="1:9" x14ac:dyDescent="0.35">
      <c r="A836" t="s">
        <v>91</v>
      </c>
      <c r="B836" t="s">
        <v>92</v>
      </c>
      <c r="C836" t="s">
        <v>35</v>
      </c>
      <c r="D836" t="s">
        <v>154</v>
      </c>
      <c r="E836" t="s">
        <v>86</v>
      </c>
      <c r="F836" s="4">
        <v>120.5201481</v>
      </c>
      <c r="G836" s="4">
        <f>IFERROR(F836-alt_Blanks!$I$31,F836)</f>
        <v>18.065514500000006</v>
      </c>
      <c r="H836" s="7">
        <f t="shared" si="35"/>
        <v>18.065514500000006</v>
      </c>
      <c r="I836" s="7">
        <f t="shared" si="36"/>
        <v>29.170861456483138</v>
      </c>
    </row>
    <row r="837" spans="1:9" x14ac:dyDescent="0.35">
      <c r="A837" t="s">
        <v>91</v>
      </c>
      <c r="B837" t="s">
        <v>92</v>
      </c>
      <c r="C837" t="s">
        <v>36</v>
      </c>
      <c r="D837" t="s">
        <v>155</v>
      </c>
      <c r="E837" t="s">
        <v>86</v>
      </c>
      <c r="F837" s="4">
        <v>1.9489389000000001</v>
      </c>
      <c r="G837" s="4">
        <f>IFERROR(F837-alt_Blanks!$I$32,F837)</f>
        <v>2.1370400000000123E-2</v>
      </c>
      <c r="H837" s="7">
        <f t="shared" si="35"/>
        <v>2.1370400000000123E-2</v>
      </c>
      <c r="I837" s="7">
        <f t="shared" si="36"/>
        <v>3.4507347004682908E-2</v>
      </c>
    </row>
    <row r="838" spans="1:9" x14ac:dyDescent="0.35">
      <c r="A838" t="s">
        <v>91</v>
      </c>
      <c r="B838" t="s">
        <v>92</v>
      </c>
      <c r="C838" t="s">
        <v>37</v>
      </c>
      <c r="D838" t="s">
        <v>155</v>
      </c>
      <c r="E838" t="s">
        <v>86</v>
      </c>
      <c r="F838" s="4">
        <v>6.7048836000000005</v>
      </c>
      <c r="G838" s="4">
        <f>IFERROR(F838-alt_Blanks!$I$33,F838)</f>
        <v>6.7048836000000005</v>
      </c>
      <c r="H838" s="7">
        <f t="shared" ref="H838:H901" si="37">IF(G838&lt;0,0,G838)</f>
        <v>6.7048836000000005</v>
      </c>
      <c r="I838" s="7">
        <f t="shared" si="36"/>
        <v>10.826551913450672</v>
      </c>
    </row>
    <row r="839" spans="1:9" x14ac:dyDescent="0.35">
      <c r="A839" t="s">
        <v>91</v>
      </c>
      <c r="B839" t="s">
        <v>92</v>
      </c>
      <c r="C839" t="s">
        <v>38</v>
      </c>
      <c r="D839" t="s">
        <v>155</v>
      </c>
      <c r="E839" t="s">
        <v>86</v>
      </c>
      <c r="F839" s="4">
        <v>4.7687079000000008</v>
      </c>
      <c r="G839" s="4">
        <f>IFERROR(F839-alt_Blanks!$I$34,F839)</f>
        <v>4.7687079000000008</v>
      </c>
      <c r="H839" s="7">
        <f t="shared" si="37"/>
        <v>4.7687079000000008</v>
      </c>
      <c r="I839" s="7">
        <f t="shared" si="36"/>
        <v>7.7001580817051529</v>
      </c>
    </row>
    <row r="840" spans="1:9" x14ac:dyDescent="0.35">
      <c r="A840" t="s">
        <v>91</v>
      </c>
      <c r="B840" t="s">
        <v>92</v>
      </c>
      <c r="C840" t="s">
        <v>39</v>
      </c>
      <c r="D840" t="s">
        <v>153</v>
      </c>
      <c r="E840" t="s">
        <v>86</v>
      </c>
      <c r="F840" s="4">
        <v>13.1466727</v>
      </c>
      <c r="G840" s="4">
        <f>IFERROR(F840-alt_Blanks!$I$35,F840)</f>
        <v>13.1466727</v>
      </c>
      <c r="H840" s="7">
        <f t="shared" si="37"/>
        <v>13.1466727</v>
      </c>
      <c r="I840" s="7">
        <f t="shared" si="36"/>
        <v>21.228278217342162</v>
      </c>
    </row>
    <row r="841" spans="1:9" x14ac:dyDescent="0.35">
      <c r="A841" t="s">
        <v>91</v>
      </c>
      <c r="B841" t="s">
        <v>92</v>
      </c>
      <c r="C841" t="s">
        <v>40</v>
      </c>
      <c r="D841" t="s">
        <v>154</v>
      </c>
      <c r="E841" t="s">
        <v>86</v>
      </c>
      <c r="F841" s="4">
        <v>0</v>
      </c>
      <c r="G841" s="4">
        <f>IFERROR(F841-alt_Blanks!$I$36,F841)</f>
        <v>0</v>
      </c>
      <c r="H841" s="7">
        <f t="shared" si="37"/>
        <v>0</v>
      </c>
      <c r="I841" s="7">
        <f t="shared" si="36"/>
        <v>0</v>
      </c>
    </row>
    <row r="842" spans="1:9" x14ac:dyDescent="0.35">
      <c r="A842" t="s">
        <v>93</v>
      </c>
      <c r="B842" t="s">
        <v>94</v>
      </c>
      <c r="C842" t="s">
        <v>6</v>
      </c>
      <c r="D842" t="s">
        <v>153</v>
      </c>
      <c r="E842" t="s">
        <v>86</v>
      </c>
      <c r="F842" s="4">
        <v>6.8067529000000002</v>
      </c>
      <c r="G842" s="4">
        <f>IFERROR(F842-alt_Blanks!$I$2,F842)</f>
        <v>0.10021179999999941</v>
      </c>
      <c r="H842" s="7">
        <f t="shared" si="37"/>
        <v>0.10021179999999941</v>
      </c>
      <c r="I842" s="7">
        <f>H842/0.6198</f>
        <v>0.16168409164246436</v>
      </c>
    </row>
    <row r="843" spans="1:9" x14ac:dyDescent="0.35">
      <c r="A843" t="s">
        <v>93</v>
      </c>
      <c r="B843" t="s">
        <v>94</v>
      </c>
      <c r="C843" t="s">
        <v>7</v>
      </c>
      <c r="D843" t="s">
        <v>153</v>
      </c>
      <c r="E843" t="s">
        <v>86</v>
      </c>
      <c r="F843" s="4">
        <v>0</v>
      </c>
      <c r="G843" s="4">
        <f>IFERROR(F843-alt_Blanks!$I$3,F843)</f>
        <v>0</v>
      </c>
      <c r="H843" s="7">
        <f t="shared" si="37"/>
        <v>0</v>
      </c>
      <c r="I843" s="7">
        <f t="shared" ref="I843:I876" si="38">H843/0.6198</f>
        <v>0</v>
      </c>
    </row>
    <row r="844" spans="1:9" x14ac:dyDescent="0.35">
      <c r="A844" t="s">
        <v>93</v>
      </c>
      <c r="B844" t="s">
        <v>94</v>
      </c>
      <c r="C844" t="s">
        <v>8</v>
      </c>
      <c r="D844" t="s">
        <v>153</v>
      </c>
      <c r="E844" t="s">
        <v>86</v>
      </c>
      <c r="F844" s="4">
        <v>0</v>
      </c>
      <c r="G844" s="4">
        <f>IFERROR(F844-alt_Blanks!$I$4,F844)</f>
        <v>0</v>
      </c>
      <c r="H844" s="7">
        <f t="shared" si="37"/>
        <v>0</v>
      </c>
      <c r="I844" s="7">
        <f t="shared" si="38"/>
        <v>0</v>
      </c>
    </row>
    <row r="845" spans="1:9" x14ac:dyDescent="0.35">
      <c r="A845" t="s">
        <v>93</v>
      </c>
      <c r="B845" t="s">
        <v>94</v>
      </c>
      <c r="C845" t="s">
        <v>9</v>
      </c>
      <c r="D845" t="s">
        <v>153</v>
      </c>
      <c r="E845" t="s">
        <v>86</v>
      </c>
      <c r="F845" s="4">
        <v>0</v>
      </c>
      <c r="G845" s="4">
        <f>IFERROR(F845-alt_Blanks!$I$5,F845)</f>
        <v>0</v>
      </c>
      <c r="H845" s="7">
        <f t="shared" si="37"/>
        <v>0</v>
      </c>
      <c r="I845" s="7">
        <f t="shared" si="38"/>
        <v>0</v>
      </c>
    </row>
    <row r="846" spans="1:9" x14ac:dyDescent="0.35">
      <c r="A846" t="s">
        <v>93</v>
      </c>
      <c r="B846" t="s">
        <v>94</v>
      </c>
      <c r="C846" t="s">
        <v>10</v>
      </c>
      <c r="D846" t="s">
        <v>153</v>
      </c>
      <c r="E846" t="s">
        <v>86</v>
      </c>
      <c r="F846" s="4">
        <v>0</v>
      </c>
      <c r="G846" s="4">
        <f>IFERROR(F846-alt_Blanks!$I$6,F846)</f>
        <v>0</v>
      </c>
      <c r="H846" s="7">
        <f t="shared" si="37"/>
        <v>0</v>
      </c>
      <c r="I846" s="7">
        <f t="shared" si="38"/>
        <v>0</v>
      </c>
    </row>
    <row r="847" spans="1:9" x14ac:dyDescent="0.35">
      <c r="A847" t="s">
        <v>93</v>
      </c>
      <c r="B847" t="s">
        <v>94</v>
      </c>
      <c r="C847" t="s">
        <v>11</v>
      </c>
      <c r="D847" t="s">
        <v>153</v>
      </c>
      <c r="E847" t="s">
        <v>86</v>
      </c>
      <c r="F847" s="4">
        <v>22.754871599999998</v>
      </c>
      <c r="G847" s="4">
        <f>IFERROR(F847-alt_Blanks!$I$7,F847)</f>
        <v>22.754871599999998</v>
      </c>
      <c r="H847" s="7">
        <f t="shared" si="37"/>
        <v>22.754871599999998</v>
      </c>
      <c r="I847" s="7">
        <f t="shared" si="38"/>
        <v>36.71324878993223</v>
      </c>
    </row>
    <row r="848" spans="1:9" x14ac:dyDescent="0.35">
      <c r="A848" t="s">
        <v>93</v>
      </c>
      <c r="B848" t="s">
        <v>94</v>
      </c>
      <c r="C848" t="s">
        <v>12</v>
      </c>
      <c r="D848" t="s">
        <v>154</v>
      </c>
      <c r="E848" t="s">
        <v>86</v>
      </c>
      <c r="F848" s="4">
        <v>0</v>
      </c>
      <c r="G848" s="4">
        <f>IFERROR(F848-alt_Blanks!$I$8,F848)</f>
        <v>0</v>
      </c>
      <c r="H848" s="7">
        <f t="shared" si="37"/>
        <v>0</v>
      </c>
      <c r="I848" s="7">
        <f t="shared" si="38"/>
        <v>0</v>
      </c>
    </row>
    <row r="849" spans="1:9" x14ac:dyDescent="0.35">
      <c r="A849" t="s">
        <v>93</v>
      </c>
      <c r="B849" t="s">
        <v>94</v>
      </c>
      <c r="C849" t="s">
        <v>13</v>
      </c>
      <c r="D849" t="s">
        <v>153</v>
      </c>
      <c r="E849" t="s">
        <v>86</v>
      </c>
      <c r="F849" s="4">
        <v>0</v>
      </c>
      <c r="G849" s="4">
        <f>IFERROR(F849-alt_Blanks!$I$9,F849)</f>
        <v>0</v>
      </c>
      <c r="H849" s="7">
        <f t="shared" si="37"/>
        <v>0</v>
      </c>
      <c r="I849" s="7">
        <f t="shared" si="38"/>
        <v>0</v>
      </c>
    </row>
    <row r="850" spans="1:9" x14ac:dyDescent="0.35">
      <c r="A850" t="s">
        <v>93</v>
      </c>
      <c r="B850" t="s">
        <v>94</v>
      </c>
      <c r="C850" t="s">
        <v>14</v>
      </c>
      <c r="D850" t="s">
        <v>154</v>
      </c>
      <c r="E850" t="s">
        <v>86</v>
      </c>
      <c r="F850" s="4">
        <v>0</v>
      </c>
      <c r="G850" s="4">
        <f>IFERROR(F850-alt_Blanks!$I$10,F850)</f>
        <v>0</v>
      </c>
      <c r="H850" s="7">
        <f t="shared" si="37"/>
        <v>0</v>
      </c>
      <c r="I850" s="7">
        <f t="shared" si="38"/>
        <v>0</v>
      </c>
    </row>
    <row r="851" spans="1:9" x14ac:dyDescent="0.35">
      <c r="A851" t="s">
        <v>93</v>
      </c>
      <c r="B851" t="s">
        <v>94</v>
      </c>
      <c r="C851" t="s">
        <v>15</v>
      </c>
      <c r="D851" t="s">
        <v>153</v>
      </c>
      <c r="E851" t="s">
        <v>86</v>
      </c>
      <c r="F851" s="4">
        <v>2728.8565564999999</v>
      </c>
      <c r="G851" s="4">
        <f>IFERROR(F851-alt_Blanks!$I$11,F851)</f>
        <v>1923.6398667999999</v>
      </c>
      <c r="H851" s="7">
        <f t="shared" si="37"/>
        <v>1923.6398667999999</v>
      </c>
      <c r="I851" s="7">
        <f t="shared" si="38"/>
        <v>3103.6461226202</v>
      </c>
    </row>
    <row r="852" spans="1:9" x14ac:dyDescent="0.35">
      <c r="A852" t="s">
        <v>93</v>
      </c>
      <c r="B852" t="s">
        <v>94</v>
      </c>
      <c r="C852" t="s">
        <v>16</v>
      </c>
      <c r="D852" t="s">
        <v>154</v>
      </c>
      <c r="E852" t="s">
        <v>86</v>
      </c>
      <c r="F852" s="4">
        <v>368.42243510000003</v>
      </c>
      <c r="G852" s="4">
        <f>IFERROR(F852-alt_Blanks!$I$12,F852)</f>
        <v>368.42243510000003</v>
      </c>
      <c r="H852" s="7">
        <f t="shared" si="37"/>
        <v>368.42243510000003</v>
      </c>
      <c r="I852" s="7">
        <f t="shared" si="38"/>
        <v>594.42148289770898</v>
      </c>
    </row>
    <row r="853" spans="1:9" x14ac:dyDescent="0.35">
      <c r="A853" t="s">
        <v>93</v>
      </c>
      <c r="B853" t="s">
        <v>94</v>
      </c>
      <c r="C853" t="s">
        <v>17</v>
      </c>
      <c r="D853" t="s">
        <v>153</v>
      </c>
      <c r="E853" t="s">
        <v>86</v>
      </c>
      <c r="F853" s="4">
        <v>16.090173700000001</v>
      </c>
      <c r="G853" s="4">
        <f>IFERROR(F853-alt_Blanks!$I$13,F853)</f>
        <v>15.237460200000001</v>
      </c>
      <c r="H853" s="7">
        <f t="shared" si="37"/>
        <v>15.237460200000001</v>
      </c>
      <c r="I853" s="7">
        <f t="shared" si="38"/>
        <v>24.584479186834464</v>
      </c>
    </row>
    <row r="854" spans="1:9" x14ac:dyDescent="0.35">
      <c r="A854" t="s">
        <v>93</v>
      </c>
      <c r="B854" t="s">
        <v>94</v>
      </c>
      <c r="C854" t="s">
        <v>18</v>
      </c>
      <c r="D854" t="s">
        <v>154</v>
      </c>
      <c r="E854" t="s">
        <v>86</v>
      </c>
      <c r="F854" s="4">
        <v>0</v>
      </c>
      <c r="G854" s="4">
        <f>IFERROR(F854-alt_Blanks!$I$14,F854)</f>
        <v>0</v>
      </c>
      <c r="H854" s="7">
        <f t="shared" si="37"/>
        <v>0</v>
      </c>
      <c r="I854" s="7">
        <f t="shared" si="38"/>
        <v>0</v>
      </c>
    </row>
    <row r="855" spans="1:9" x14ac:dyDescent="0.35">
      <c r="A855" t="s">
        <v>93</v>
      </c>
      <c r="B855" t="s">
        <v>94</v>
      </c>
      <c r="C855" t="s">
        <v>19</v>
      </c>
      <c r="D855" t="s">
        <v>153</v>
      </c>
      <c r="E855" t="s">
        <v>86</v>
      </c>
      <c r="F855" s="4">
        <v>522.27766389999999</v>
      </c>
      <c r="G855" s="4">
        <f>IFERROR(F855-alt_Blanks!$I$15,F855)</f>
        <v>253.65426680000002</v>
      </c>
      <c r="H855" s="7">
        <f t="shared" si="37"/>
        <v>253.65426680000002</v>
      </c>
      <c r="I855" s="7">
        <f t="shared" si="38"/>
        <v>409.2518018715715</v>
      </c>
    </row>
    <row r="856" spans="1:9" x14ac:dyDescent="0.35">
      <c r="A856" t="s">
        <v>93</v>
      </c>
      <c r="B856" t="s">
        <v>94</v>
      </c>
      <c r="C856" t="s">
        <v>20</v>
      </c>
      <c r="D856" t="s">
        <v>154</v>
      </c>
      <c r="E856" t="s">
        <v>86</v>
      </c>
      <c r="F856" s="4">
        <v>510.79971340000003</v>
      </c>
      <c r="G856" s="4">
        <f>IFERROR(F856-alt_Blanks!$I$16,F856)</f>
        <v>492.33380020000004</v>
      </c>
      <c r="H856" s="7">
        <f t="shared" si="37"/>
        <v>492.33380020000004</v>
      </c>
      <c r="I856" s="7">
        <f t="shared" si="38"/>
        <v>794.34301419812846</v>
      </c>
    </row>
    <row r="857" spans="1:9" x14ac:dyDescent="0.35">
      <c r="A857" t="s">
        <v>93</v>
      </c>
      <c r="B857" t="s">
        <v>94</v>
      </c>
      <c r="C857" t="s">
        <v>21</v>
      </c>
      <c r="D857" t="s">
        <v>155</v>
      </c>
      <c r="E857" t="s">
        <v>86</v>
      </c>
      <c r="F857" s="4">
        <v>0.34658069999999996</v>
      </c>
      <c r="G857" s="4">
        <f>IFERROR(F857-alt_Blanks!$I$17,F857)</f>
        <v>1.4627299999999954E-2</v>
      </c>
      <c r="H857" s="7">
        <f t="shared" si="37"/>
        <v>1.4627299999999954E-2</v>
      </c>
      <c r="I857" s="7">
        <f t="shared" si="38"/>
        <v>2.3600032268473625E-2</v>
      </c>
    </row>
    <row r="858" spans="1:9" x14ac:dyDescent="0.35">
      <c r="A858" t="s">
        <v>93</v>
      </c>
      <c r="B858" t="s">
        <v>94</v>
      </c>
      <c r="C858" t="s">
        <v>22</v>
      </c>
      <c r="D858" t="s">
        <v>155</v>
      </c>
      <c r="E858" t="s">
        <v>86</v>
      </c>
      <c r="F858" s="4">
        <v>233.1699204</v>
      </c>
      <c r="G858" s="4">
        <f>IFERROR(F858-alt_Blanks!$I$18,F858)</f>
        <v>227.16646079999998</v>
      </c>
      <c r="H858" s="7">
        <f t="shared" si="37"/>
        <v>227.16646079999998</v>
      </c>
      <c r="I858" s="7">
        <f t="shared" si="38"/>
        <v>366.51574830590511</v>
      </c>
    </row>
    <row r="859" spans="1:9" x14ac:dyDescent="0.35">
      <c r="A859" t="s">
        <v>93</v>
      </c>
      <c r="B859" t="s">
        <v>94</v>
      </c>
      <c r="C859" t="s">
        <v>23</v>
      </c>
      <c r="D859" t="s">
        <v>155</v>
      </c>
      <c r="E859" t="s">
        <v>86</v>
      </c>
      <c r="F859" s="4">
        <v>0</v>
      </c>
      <c r="G859" s="4">
        <f>IFERROR(F859-alt_Blanks!$I$19,F859)</f>
        <v>0</v>
      </c>
      <c r="H859" s="7">
        <f t="shared" si="37"/>
        <v>0</v>
      </c>
      <c r="I859" s="7">
        <f t="shared" si="38"/>
        <v>0</v>
      </c>
    </row>
    <row r="860" spans="1:9" x14ac:dyDescent="0.35">
      <c r="A860" t="s">
        <v>93</v>
      </c>
      <c r="B860" t="s">
        <v>94</v>
      </c>
      <c r="C860" t="s">
        <v>24</v>
      </c>
      <c r="D860" t="s">
        <v>155</v>
      </c>
      <c r="E860" t="s">
        <v>86</v>
      </c>
      <c r="F860" s="4">
        <v>166.2772243</v>
      </c>
      <c r="G860" s="4">
        <f>IFERROR(F860-alt_Blanks!$I$20,F860)</f>
        <v>164.3392489</v>
      </c>
      <c r="H860" s="7">
        <f t="shared" si="37"/>
        <v>164.3392489</v>
      </c>
      <c r="I860" s="7">
        <f t="shared" si="38"/>
        <v>265.14883656018071</v>
      </c>
    </row>
    <row r="861" spans="1:9" x14ac:dyDescent="0.35">
      <c r="A861" t="s">
        <v>93</v>
      </c>
      <c r="B861" t="s">
        <v>94</v>
      </c>
      <c r="C861" t="s">
        <v>25</v>
      </c>
      <c r="D861" t="s">
        <v>155</v>
      </c>
      <c r="E861" t="s">
        <v>86</v>
      </c>
      <c r="F861" s="4">
        <v>11.946372199999999</v>
      </c>
      <c r="G861" s="4">
        <f>IFERROR(F861-alt_Blanks!$I$21,F861)</f>
        <v>11.731863099999998</v>
      </c>
      <c r="H861" s="7">
        <f t="shared" si="37"/>
        <v>11.731863099999998</v>
      </c>
      <c r="I861" s="7">
        <f t="shared" si="38"/>
        <v>18.928465795417875</v>
      </c>
    </row>
    <row r="862" spans="1:9" x14ac:dyDescent="0.35">
      <c r="A862" t="s">
        <v>93</v>
      </c>
      <c r="B862" t="s">
        <v>94</v>
      </c>
      <c r="C862" t="s">
        <v>26</v>
      </c>
      <c r="D862" t="s">
        <v>153</v>
      </c>
      <c r="E862" t="s">
        <v>86</v>
      </c>
      <c r="F862" s="4">
        <v>1.6218454</v>
      </c>
      <c r="G862" s="4">
        <f>IFERROR(F862-alt_Blanks!$I$22,F862)</f>
        <v>2.7124000000000148E-2</v>
      </c>
      <c r="H862" s="7">
        <f t="shared" si="37"/>
        <v>2.7124000000000148E-2</v>
      </c>
      <c r="I862" s="7">
        <f t="shared" si="38"/>
        <v>4.3762504033559448E-2</v>
      </c>
    </row>
    <row r="863" spans="1:9" x14ac:dyDescent="0.35">
      <c r="A863" t="s">
        <v>93</v>
      </c>
      <c r="B863" t="s">
        <v>94</v>
      </c>
      <c r="C863" t="s">
        <v>27</v>
      </c>
      <c r="D863" t="s">
        <v>154</v>
      </c>
      <c r="E863" t="s">
        <v>86</v>
      </c>
      <c r="F863" s="4">
        <v>12.233281999999999</v>
      </c>
      <c r="G863" s="4">
        <f>IFERROR(F863-alt_Blanks!$I$23,F863)</f>
        <v>12.1125446</v>
      </c>
      <c r="H863" s="7">
        <f t="shared" si="37"/>
        <v>12.1125446</v>
      </c>
      <c r="I863" s="7">
        <f t="shared" si="38"/>
        <v>19.542666343981928</v>
      </c>
    </row>
    <row r="864" spans="1:9" x14ac:dyDescent="0.35">
      <c r="A864" t="s">
        <v>93</v>
      </c>
      <c r="B864" t="s">
        <v>94</v>
      </c>
      <c r="C864" t="s">
        <v>28</v>
      </c>
      <c r="D864" t="s">
        <v>155</v>
      </c>
      <c r="E864" t="s">
        <v>86</v>
      </c>
      <c r="F864" s="4">
        <v>24.755922399999999</v>
      </c>
      <c r="G864" s="4">
        <f>IFERROR(F864-alt_Blanks!$I$24,F864)</f>
        <v>24.5087528</v>
      </c>
      <c r="H864" s="7">
        <f t="shared" si="37"/>
        <v>24.5087528</v>
      </c>
      <c r="I864" s="7">
        <f t="shared" si="38"/>
        <v>39.543002258793159</v>
      </c>
    </row>
    <row r="865" spans="1:9" x14ac:dyDescent="0.35">
      <c r="A865" t="s">
        <v>93</v>
      </c>
      <c r="B865" t="s">
        <v>94</v>
      </c>
      <c r="C865" t="s">
        <v>29</v>
      </c>
      <c r="D865" t="s">
        <v>155</v>
      </c>
      <c r="E865" t="s">
        <v>86</v>
      </c>
      <c r="F865" s="4">
        <v>0.41876990000000003</v>
      </c>
      <c r="G865" s="4">
        <f>IFERROR(F865-alt_Blanks!$I$25,F865)</f>
        <v>-5.3470899999999932E-2</v>
      </c>
      <c r="H865" s="7">
        <f t="shared" si="37"/>
        <v>0</v>
      </c>
      <c r="I865" s="7">
        <f t="shared" si="38"/>
        <v>0</v>
      </c>
    </row>
    <row r="866" spans="1:9" x14ac:dyDescent="0.35">
      <c r="A866" t="s">
        <v>93</v>
      </c>
      <c r="B866" t="s">
        <v>94</v>
      </c>
      <c r="C866" t="s">
        <v>30</v>
      </c>
      <c r="D866" t="s">
        <v>155</v>
      </c>
      <c r="E866" t="s">
        <v>86</v>
      </c>
      <c r="F866" s="4">
        <v>188.72962650000002</v>
      </c>
      <c r="G866" s="4">
        <f>IFERROR(F866-alt_Blanks!$I$26,F866)</f>
        <v>188.14945020000002</v>
      </c>
      <c r="H866" s="7">
        <f t="shared" si="37"/>
        <v>188.14945020000002</v>
      </c>
      <c r="I866" s="7">
        <f t="shared" si="38"/>
        <v>303.56477928363989</v>
      </c>
    </row>
    <row r="867" spans="1:9" x14ac:dyDescent="0.35">
      <c r="A867" t="s">
        <v>93</v>
      </c>
      <c r="B867" t="s">
        <v>94</v>
      </c>
      <c r="C867" t="s">
        <v>31</v>
      </c>
      <c r="D867" t="s">
        <v>155</v>
      </c>
      <c r="E867" t="s">
        <v>86</v>
      </c>
      <c r="F867" s="4" t="e">
        <v>#N/A</v>
      </c>
      <c r="G867" s="4" t="e">
        <f>IFERROR(F867-alt_Blanks!$I$27,F867)</f>
        <v>#N/A</v>
      </c>
      <c r="H867" s="7" t="e">
        <f t="shared" si="37"/>
        <v>#N/A</v>
      </c>
      <c r="I867" s="7" t="e">
        <f t="shared" si="38"/>
        <v>#N/A</v>
      </c>
    </row>
    <row r="868" spans="1:9" x14ac:dyDescent="0.35">
      <c r="A868" t="s">
        <v>93</v>
      </c>
      <c r="B868" t="s">
        <v>94</v>
      </c>
      <c r="C868" t="s">
        <v>32</v>
      </c>
      <c r="D868" t="s">
        <v>153</v>
      </c>
      <c r="E868" t="s">
        <v>86</v>
      </c>
      <c r="F868" s="4">
        <v>0</v>
      </c>
      <c r="G868" s="4">
        <f>IFERROR(F868-alt_Blanks!$I$28,F868)</f>
        <v>0</v>
      </c>
      <c r="H868" s="7">
        <f t="shared" si="37"/>
        <v>0</v>
      </c>
      <c r="I868" s="7">
        <f t="shared" si="38"/>
        <v>0</v>
      </c>
    </row>
    <row r="869" spans="1:9" x14ac:dyDescent="0.35">
      <c r="A869" t="s">
        <v>93</v>
      </c>
      <c r="B869" t="s">
        <v>94</v>
      </c>
      <c r="C869" t="s">
        <v>33</v>
      </c>
      <c r="D869" t="s">
        <v>155</v>
      </c>
      <c r="E869" t="s">
        <v>86</v>
      </c>
      <c r="F869" s="4">
        <v>165.29629440000002</v>
      </c>
      <c r="G869" s="4">
        <f>IFERROR(F869-alt_Blanks!$I$29,F869)</f>
        <v>164.68467340000001</v>
      </c>
      <c r="H869" s="7">
        <f t="shared" si="37"/>
        <v>164.68467340000001</v>
      </c>
      <c r="I869" s="7">
        <f t="shared" si="38"/>
        <v>265.70615262988059</v>
      </c>
    </row>
    <row r="870" spans="1:9" x14ac:dyDescent="0.35">
      <c r="A870" t="s">
        <v>93</v>
      </c>
      <c r="B870" t="s">
        <v>94</v>
      </c>
      <c r="C870" t="s">
        <v>34</v>
      </c>
      <c r="D870" t="s">
        <v>153</v>
      </c>
      <c r="E870" t="s">
        <v>86</v>
      </c>
      <c r="F870" s="4">
        <v>0</v>
      </c>
      <c r="G870" s="4">
        <f>IFERROR(F870-alt_Blanks!$I$30,F870)</f>
        <v>0</v>
      </c>
      <c r="H870" s="7">
        <f t="shared" si="37"/>
        <v>0</v>
      </c>
      <c r="I870" s="7">
        <f t="shared" si="38"/>
        <v>0</v>
      </c>
    </row>
    <row r="871" spans="1:9" x14ac:dyDescent="0.35">
      <c r="A871" t="s">
        <v>93</v>
      </c>
      <c r="B871" t="s">
        <v>94</v>
      </c>
      <c r="C871" t="s">
        <v>35</v>
      </c>
      <c r="D871" t="s">
        <v>154</v>
      </c>
      <c r="E871" t="s">
        <v>86</v>
      </c>
      <c r="F871" s="4">
        <v>120.6710405</v>
      </c>
      <c r="G871" s="4">
        <f>IFERROR(F871-alt_Blanks!$I$31,F871)</f>
        <v>18.21640690000001</v>
      </c>
      <c r="H871" s="7">
        <f t="shared" si="37"/>
        <v>18.21640690000001</v>
      </c>
      <c r="I871" s="7">
        <f t="shared" si="38"/>
        <v>29.390782349144899</v>
      </c>
    </row>
    <row r="872" spans="1:9" x14ac:dyDescent="0.35">
      <c r="A872" t="s">
        <v>93</v>
      </c>
      <c r="B872" t="s">
        <v>94</v>
      </c>
      <c r="C872" t="s">
        <v>36</v>
      </c>
      <c r="D872" t="s">
        <v>155</v>
      </c>
      <c r="E872" t="s">
        <v>86</v>
      </c>
      <c r="F872" s="4">
        <v>6.8642025000000002</v>
      </c>
      <c r="G872" s="4">
        <f>IFERROR(F872-alt_Blanks!$I$32,F872)</f>
        <v>4.9366339999999997</v>
      </c>
      <c r="H872" s="7">
        <f t="shared" si="37"/>
        <v>4.9366339999999997</v>
      </c>
      <c r="I872" s="7">
        <f t="shared" si="38"/>
        <v>7.9648822200709901</v>
      </c>
    </row>
    <row r="873" spans="1:9" x14ac:dyDescent="0.35">
      <c r="A873" t="s">
        <v>93</v>
      </c>
      <c r="B873" t="s">
        <v>94</v>
      </c>
      <c r="C873" t="s">
        <v>37</v>
      </c>
      <c r="D873" t="s">
        <v>155</v>
      </c>
      <c r="E873" t="s">
        <v>86</v>
      </c>
      <c r="F873" s="4">
        <v>4.8574674999999994</v>
      </c>
      <c r="G873" s="4">
        <f>IFERROR(F873-alt_Blanks!$I$33,F873)</f>
        <v>4.8574674999999994</v>
      </c>
      <c r="H873" s="7">
        <f t="shared" si="37"/>
        <v>4.8574674999999994</v>
      </c>
      <c r="I873" s="7">
        <f t="shared" si="38"/>
        <v>7.8371531139077106</v>
      </c>
    </row>
    <row r="874" spans="1:9" x14ac:dyDescent="0.35">
      <c r="A874" t="s">
        <v>93</v>
      </c>
      <c r="B874" t="s">
        <v>94</v>
      </c>
      <c r="C874" t="s">
        <v>38</v>
      </c>
      <c r="D874" t="s">
        <v>155</v>
      </c>
      <c r="E874" t="s">
        <v>86</v>
      </c>
      <c r="F874" s="4">
        <v>2.3249919000000001</v>
      </c>
      <c r="G874" s="4">
        <f>IFERROR(F874-alt_Blanks!$I$34,F874)</f>
        <v>2.3249919000000001</v>
      </c>
      <c r="H874" s="7">
        <f t="shared" si="37"/>
        <v>2.3249919000000001</v>
      </c>
      <c r="I874" s="7">
        <f t="shared" si="38"/>
        <v>3.7511969990319458</v>
      </c>
    </row>
    <row r="875" spans="1:9" x14ac:dyDescent="0.35">
      <c r="A875" t="s">
        <v>93</v>
      </c>
      <c r="B875" t="s">
        <v>94</v>
      </c>
      <c r="C875" t="s">
        <v>39</v>
      </c>
      <c r="D875" t="s">
        <v>153</v>
      </c>
      <c r="E875" t="s">
        <v>86</v>
      </c>
      <c r="F875" s="4">
        <v>6.4418001999999994</v>
      </c>
      <c r="G875" s="4">
        <f>IFERROR(F875-alt_Blanks!$I$35,F875)</f>
        <v>6.4418001999999994</v>
      </c>
      <c r="H875" s="7">
        <f t="shared" si="37"/>
        <v>6.4418001999999994</v>
      </c>
      <c r="I875" s="7">
        <f t="shared" si="38"/>
        <v>10.393353017102291</v>
      </c>
    </row>
    <row r="876" spans="1:9" x14ac:dyDescent="0.35">
      <c r="A876" t="s">
        <v>93</v>
      </c>
      <c r="B876" t="s">
        <v>94</v>
      </c>
      <c r="C876" t="s">
        <v>40</v>
      </c>
      <c r="D876" t="s">
        <v>154</v>
      </c>
      <c r="E876" t="s">
        <v>86</v>
      </c>
      <c r="F876" s="4">
        <v>0</v>
      </c>
      <c r="G876" s="4">
        <f>IFERROR(F876-alt_Blanks!$I$36,F876)</f>
        <v>0</v>
      </c>
      <c r="H876" s="7">
        <f t="shared" si="37"/>
        <v>0</v>
      </c>
      <c r="I876" s="7">
        <f t="shared" si="38"/>
        <v>0</v>
      </c>
    </row>
    <row r="877" spans="1:9" x14ac:dyDescent="0.35">
      <c r="A877" t="s">
        <v>95</v>
      </c>
      <c r="B877" t="s">
        <v>96</v>
      </c>
      <c r="C877" t="s">
        <v>6</v>
      </c>
      <c r="D877" t="s">
        <v>153</v>
      </c>
      <c r="E877" t="s">
        <v>86</v>
      </c>
      <c r="F877" s="4">
        <v>6.6553167000000002</v>
      </c>
      <c r="G877" s="4">
        <f>IFERROR(F877-alt_Blanks!$I$2,F877)</f>
        <v>-5.1224400000000614E-2</v>
      </c>
      <c r="H877" s="7">
        <f t="shared" si="37"/>
        <v>0</v>
      </c>
      <c r="I877" s="7">
        <f>H877/0.4758</f>
        <v>0</v>
      </c>
    </row>
    <row r="878" spans="1:9" x14ac:dyDescent="0.35">
      <c r="A878" t="s">
        <v>95</v>
      </c>
      <c r="B878" t="s">
        <v>96</v>
      </c>
      <c r="C878" t="s">
        <v>7</v>
      </c>
      <c r="D878" t="s">
        <v>153</v>
      </c>
      <c r="E878" t="s">
        <v>86</v>
      </c>
      <c r="F878" s="4">
        <v>0</v>
      </c>
      <c r="G878" s="4">
        <f>IFERROR(F878-alt_Blanks!$I$3,F878)</f>
        <v>0</v>
      </c>
      <c r="H878" s="7">
        <f t="shared" si="37"/>
        <v>0</v>
      </c>
      <c r="I878" s="7">
        <f t="shared" ref="I878:I911" si="39">H878/0.4758</f>
        <v>0</v>
      </c>
    </row>
    <row r="879" spans="1:9" x14ac:dyDescent="0.35">
      <c r="A879" t="s">
        <v>95</v>
      </c>
      <c r="B879" t="s">
        <v>96</v>
      </c>
      <c r="C879" t="s">
        <v>8</v>
      </c>
      <c r="D879" t="s">
        <v>153</v>
      </c>
      <c r="E879" t="s">
        <v>86</v>
      </c>
      <c r="F879" s="4">
        <v>0</v>
      </c>
      <c r="G879" s="4">
        <f>IFERROR(F879-alt_Blanks!$I$4,F879)</f>
        <v>0</v>
      </c>
      <c r="H879" s="7">
        <f t="shared" si="37"/>
        <v>0</v>
      </c>
      <c r="I879" s="7">
        <f t="shared" si="39"/>
        <v>0</v>
      </c>
    </row>
    <row r="880" spans="1:9" x14ac:dyDescent="0.35">
      <c r="A880" t="s">
        <v>95</v>
      </c>
      <c r="B880" t="s">
        <v>96</v>
      </c>
      <c r="C880" t="s">
        <v>9</v>
      </c>
      <c r="D880" t="s">
        <v>153</v>
      </c>
      <c r="E880" t="s">
        <v>86</v>
      </c>
      <c r="F880" s="4">
        <v>0</v>
      </c>
      <c r="G880" s="4">
        <f>IFERROR(F880-alt_Blanks!$I$5,F880)</f>
        <v>0</v>
      </c>
      <c r="H880" s="7">
        <f t="shared" si="37"/>
        <v>0</v>
      </c>
      <c r="I880" s="7">
        <f t="shared" si="39"/>
        <v>0</v>
      </c>
    </row>
    <row r="881" spans="1:9" x14ac:dyDescent="0.35">
      <c r="A881" t="s">
        <v>95</v>
      </c>
      <c r="B881" t="s">
        <v>96</v>
      </c>
      <c r="C881" t="s">
        <v>10</v>
      </c>
      <c r="D881" t="s">
        <v>153</v>
      </c>
      <c r="E881" t="s">
        <v>86</v>
      </c>
      <c r="F881" s="4">
        <v>0</v>
      </c>
      <c r="G881" s="4">
        <f>IFERROR(F881-alt_Blanks!$I$6,F881)</f>
        <v>0</v>
      </c>
      <c r="H881" s="7">
        <f t="shared" si="37"/>
        <v>0</v>
      </c>
      <c r="I881" s="7">
        <f t="shared" si="39"/>
        <v>0</v>
      </c>
    </row>
    <row r="882" spans="1:9" x14ac:dyDescent="0.35">
      <c r="A882" t="s">
        <v>95</v>
      </c>
      <c r="B882" t="s">
        <v>96</v>
      </c>
      <c r="C882" t="s">
        <v>11</v>
      </c>
      <c r="D882" t="s">
        <v>153</v>
      </c>
      <c r="E882" t="s">
        <v>86</v>
      </c>
      <c r="F882" s="4">
        <v>7.7466868</v>
      </c>
      <c r="G882" s="4">
        <f>IFERROR(F882-alt_Blanks!$I$7,F882)</f>
        <v>7.7466868</v>
      </c>
      <c r="H882" s="7">
        <f t="shared" si="37"/>
        <v>7.7466868</v>
      </c>
      <c r="I882" s="7">
        <f t="shared" si="39"/>
        <v>16.281393022278269</v>
      </c>
    </row>
    <row r="883" spans="1:9" x14ac:dyDescent="0.35">
      <c r="A883" t="s">
        <v>95</v>
      </c>
      <c r="B883" t="s">
        <v>96</v>
      </c>
      <c r="C883" t="s">
        <v>12</v>
      </c>
      <c r="D883" t="s">
        <v>154</v>
      </c>
      <c r="E883" t="s">
        <v>86</v>
      </c>
      <c r="F883" s="4">
        <v>0</v>
      </c>
      <c r="G883" s="4">
        <f>IFERROR(F883-alt_Blanks!$I$8,F883)</f>
        <v>0</v>
      </c>
      <c r="H883" s="7">
        <f t="shared" si="37"/>
        <v>0</v>
      </c>
      <c r="I883" s="7">
        <f t="shared" si="39"/>
        <v>0</v>
      </c>
    </row>
    <row r="884" spans="1:9" x14ac:dyDescent="0.35">
      <c r="A884" t="s">
        <v>95</v>
      </c>
      <c r="B884" t="s">
        <v>96</v>
      </c>
      <c r="C884" t="s">
        <v>13</v>
      </c>
      <c r="D884" t="s">
        <v>153</v>
      </c>
      <c r="E884" t="s">
        <v>86</v>
      </c>
      <c r="F884" s="4">
        <v>0</v>
      </c>
      <c r="G884" s="4">
        <f>IFERROR(F884-alt_Blanks!$I$9,F884)</f>
        <v>0</v>
      </c>
      <c r="H884" s="7">
        <f t="shared" si="37"/>
        <v>0</v>
      </c>
      <c r="I884" s="7">
        <f t="shared" si="39"/>
        <v>0</v>
      </c>
    </row>
    <row r="885" spans="1:9" x14ac:dyDescent="0.35">
      <c r="A885" t="s">
        <v>95</v>
      </c>
      <c r="B885" t="s">
        <v>96</v>
      </c>
      <c r="C885" t="s">
        <v>14</v>
      </c>
      <c r="D885" t="s">
        <v>154</v>
      </c>
      <c r="E885" t="s">
        <v>86</v>
      </c>
      <c r="F885" s="4">
        <v>0</v>
      </c>
      <c r="G885" s="4">
        <f>IFERROR(F885-alt_Blanks!$I$10,F885)</f>
        <v>0</v>
      </c>
      <c r="H885" s="7">
        <f t="shared" si="37"/>
        <v>0</v>
      </c>
      <c r="I885" s="7">
        <f t="shared" si="39"/>
        <v>0</v>
      </c>
    </row>
    <row r="886" spans="1:9" x14ac:dyDescent="0.35">
      <c r="A886" t="s">
        <v>95</v>
      </c>
      <c r="B886" t="s">
        <v>96</v>
      </c>
      <c r="C886" t="s">
        <v>15</v>
      </c>
      <c r="D886" t="s">
        <v>153</v>
      </c>
      <c r="E886" t="s">
        <v>86</v>
      </c>
      <c r="F886" s="4">
        <v>1966.6000755</v>
      </c>
      <c r="G886" s="4">
        <f>IFERROR(F886-alt_Blanks!$I$11,F886)</f>
        <v>1161.3833858</v>
      </c>
      <c r="H886" s="7">
        <f t="shared" si="37"/>
        <v>1161.3833858</v>
      </c>
      <c r="I886" s="7">
        <f t="shared" si="39"/>
        <v>2440.9066536359815</v>
      </c>
    </row>
    <row r="887" spans="1:9" x14ac:dyDescent="0.35">
      <c r="A887" t="s">
        <v>95</v>
      </c>
      <c r="B887" t="s">
        <v>96</v>
      </c>
      <c r="C887" t="s">
        <v>16</v>
      </c>
      <c r="D887" t="s">
        <v>154</v>
      </c>
      <c r="E887" t="s">
        <v>86</v>
      </c>
      <c r="F887" s="4">
        <v>202.632994</v>
      </c>
      <c r="G887" s="4">
        <f>IFERROR(F887-alt_Blanks!$I$12,F887)</f>
        <v>202.632994</v>
      </c>
      <c r="H887" s="7">
        <f t="shared" si="37"/>
        <v>202.632994</v>
      </c>
      <c r="I887" s="7">
        <f t="shared" si="39"/>
        <v>425.87850777637664</v>
      </c>
    </row>
    <row r="888" spans="1:9" x14ac:dyDescent="0.35">
      <c r="A888" t="s">
        <v>95</v>
      </c>
      <c r="B888" t="s">
        <v>96</v>
      </c>
      <c r="C888" t="s">
        <v>17</v>
      </c>
      <c r="D888" t="s">
        <v>153</v>
      </c>
      <c r="E888" t="s">
        <v>86</v>
      </c>
      <c r="F888" s="4">
        <v>12.910526099999998</v>
      </c>
      <c r="G888" s="4">
        <f>IFERROR(F888-alt_Blanks!$I$13,F888)</f>
        <v>12.057812599999998</v>
      </c>
      <c r="H888" s="7">
        <f t="shared" si="37"/>
        <v>12.057812599999998</v>
      </c>
      <c r="I888" s="7">
        <f t="shared" si="39"/>
        <v>25.342187053383771</v>
      </c>
    </row>
    <row r="889" spans="1:9" x14ac:dyDescent="0.35">
      <c r="A889" t="s">
        <v>95</v>
      </c>
      <c r="B889" t="s">
        <v>96</v>
      </c>
      <c r="C889" t="s">
        <v>18</v>
      </c>
      <c r="D889" t="s">
        <v>154</v>
      </c>
      <c r="E889" t="s">
        <v>86</v>
      </c>
      <c r="F889" s="4">
        <v>0</v>
      </c>
      <c r="G889" s="4">
        <f>IFERROR(F889-alt_Blanks!$I$14,F889)</f>
        <v>0</v>
      </c>
      <c r="H889" s="7">
        <f t="shared" si="37"/>
        <v>0</v>
      </c>
      <c r="I889" s="7">
        <f t="shared" si="39"/>
        <v>0</v>
      </c>
    </row>
    <row r="890" spans="1:9" x14ac:dyDescent="0.35">
      <c r="A890" t="s">
        <v>95</v>
      </c>
      <c r="B890" t="s">
        <v>96</v>
      </c>
      <c r="C890" t="s">
        <v>19</v>
      </c>
      <c r="D890" t="s">
        <v>153</v>
      </c>
      <c r="E890" t="s">
        <v>86</v>
      </c>
      <c r="F890" s="4">
        <v>431.28625879999998</v>
      </c>
      <c r="G890" s="4">
        <f>IFERROR(F890-alt_Blanks!$I$15,F890)</f>
        <v>162.66286170000001</v>
      </c>
      <c r="H890" s="7">
        <f t="shared" si="37"/>
        <v>162.66286170000001</v>
      </c>
      <c r="I890" s="7">
        <f t="shared" si="39"/>
        <v>341.87234489281212</v>
      </c>
    </row>
    <row r="891" spans="1:9" x14ac:dyDescent="0.35">
      <c r="A891" t="s">
        <v>95</v>
      </c>
      <c r="B891" t="s">
        <v>96</v>
      </c>
      <c r="C891" t="s">
        <v>20</v>
      </c>
      <c r="D891" t="s">
        <v>154</v>
      </c>
      <c r="E891" t="s">
        <v>86</v>
      </c>
      <c r="F891" s="4">
        <v>275.7941773</v>
      </c>
      <c r="G891" s="4">
        <f>IFERROR(F891-alt_Blanks!$I$16,F891)</f>
        <v>257.32826410000001</v>
      </c>
      <c r="H891" s="7">
        <f t="shared" si="37"/>
        <v>257.32826410000001</v>
      </c>
      <c r="I891" s="7">
        <f t="shared" si="39"/>
        <v>540.83283753678018</v>
      </c>
    </row>
    <row r="892" spans="1:9" x14ac:dyDescent="0.35">
      <c r="A892" t="s">
        <v>95</v>
      </c>
      <c r="B892" t="s">
        <v>96</v>
      </c>
      <c r="C892" t="s">
        <v>21</v>
      </c>
      <c r="D892" t="s">
        <v>155</v>
      </c>
      <c r="E892" t="s">
        <v>86</v>
      </c>
      <c r="F892" s="4" t="e">
        <v>#N/A</v>
      </c>
      <c r="G892" s="4" t="e">
        <f>IFERROR(F892-alt_Blanks!$I$17,F892)</f>
        <v>#N/A</v>
      </c>
      <c r="H892" s="7" t="e">
        <f t="shared" si="37"/>
        <v>#N/A</v>
      </c>
      <c r="I892" s="7" t="e">
        <f t="shared" si="39"/>
        <v>#N/A</v>
      </c>
    </row>
    <row r="893" spans="1:9" x14ac:dyDescent="0.35">
      <c r="A893" t="s">
        <v>95</v>
      </c>
      <c r="B893" t="s">
        <v>96</v>
      </c>
      <c r="C893" t="s">
        <v>22</v>
      </c>
      <c r="D893" t="s">
        <v>155</v>
      </c>
      <c r="E893" t="s">
        <v>86</v>
      </c>
      <c r="F893" s="4">
        <v>150.82626209999998</v>
      </c>
      <c r="G893" s="4">
        <f>IFERROR(F893-alt_Blanks!$I$18,F893)</f>
        <v>144.82280249999997</v>
      </c>
      <c r="H893" s="7">
        <f t="shared" si="37"/>
        <v>144.82280249999997</v>
      </c>
      <c r="I893" s="7">
        <f t="shared" si="39"/>
        <v>304.37747477931896</v>
      </c>
    </row>
    <row r="894" spans="1:9" x14ac:dyDescent="0.35">
      <c r="A894" t="s">
        <v>95</v>
      </c>
      <c r="B894" t="s">
        <v>96</v>
      </c>
      <c r="C894" t="s">
        <v>23</v>
      </c>
      <c r="D894" t="s">
        <v>155</v>
      </c>
      <c r="E894" t="s">
        <v>86</v>
      </c>
      <c r="F894" s="4">
        <v>0.43573210000000001</v>
      </c>
      <c r="G894" s="4">
        <f>IFERROR(F894-alt_Blanks!$I$19,F894)</f>
        <v>0.43573210000000001</v>
      </c>
      <c r="H894" s="7">
        <f t="shared" si="37"/>
        <v>0.43573210000000001</v>
      </c>
      <c r="I894" s="7">
        <f t="shared" si="39"/>
        <v>0.91578835645229095</v>
      </c>
    </row>
    <row r="895" spans="1:9" x14ac:dyDescent="0.35">
      <c r="A895" t="s">
        <v>95</v>
      </c>
      <c r="B895" t="s">
        <v>96</v>
      </c>
      <c r="C895" t="s">
        <v>24</v>
      </c>
      <c r="D895" t="s">
        <v>155</v>
      </c>
      <c r="E895" t="s">
        <v>86</v>
      </c>
      <c r="F895" s="4">
        <v>103.8186582</v>
      </c>
      <c r="G895" s="4">
        <f>IFERROR(F895-alt_Blanks!$I$20,F895)</f>
        <v>101.8806828</v>
      </c>
      <c r="H895" s="7">
        <f t="shared" si="37"/>
        <v>101.8806828</v>
      </c>
      <c r="I895" s="7">
        <f t="shared" si="39"/>
        <v>214.12501639344262</v>
      </c>
    </row>
    <row r="896" spans="1:9" x14ac:dyDescent="0.35">
      <c r="A896" t="s">
        <v>95</v>
      </c>
      <c r="B896" t="s">
        <v>96</v>
      </c>
      <c r="C896" t="s">
        <v>25</v>
      </c>
      <c r="D896" t="s">
        <v>155</v>
      </c>
      <c r="E896" t="s">
        <v>86</v>
      </c>
      <c r="F896" s="4">
        <v>4.0625084000000005</v>
      </c>
      <c r="G896" s="4">
        <f>IFERROR(F896-alt_Blanks!$I$21,F896)</f>
        <v>3.8479993000000006</v>
      </c>
      <c r="H896" s="7">
        <f t="shared" si="37"/>
        <v>3.8479993000000006</v>
      </c>
      <c r="I896" s="7">
        <f t="shared" si="39"/>
        <v>8.0874302227826824</v>
      </c>
    </row>
    <row r="897" spans="1:9" x14ac:dyDescent="0.35">
      <c r="A897" t="s">
        <v>95</v>
      </c>
      <c r="B897" t="s">
        <v>96</v>
      </c>
      <c r="C897" t="s">
        <v>26</v>
      </c>
      <c r="D897" t="s">
        <v>153</v>
      </c>
      <c r="E897" t="s">
        <v>86</v>
      </c>
      <c r="F897" s="4">
        <v>1.5875648</v>
      </c>
      <c r="G897" s="4">
        <f>IFERROR(F897-alt_Blanks!$I$22,F897)</f>
        <v>-7.1565999999998464E-3</v>
      </c>
      <c r="H897" s="7">
        <f t="shared" si="37"/>
        <v>0</v>
      </c>
      <c r="I897" s="7">
        <f t="shared" si="39"/>
        <v>0</v>
      </c>
    </row>
    <row r="898" spans="1:9" x14ac:dyDescent="0.35">
      <c r="A898" t="s">
        <v>95</v>
      </c>
      <c r="B898" t="s">
        <v>96</v>
      </c>
      <c r="C898" t="s">
        <v>27</v>
      </c>
      <c r="D898" t="s">
        <v>154</v>
      </c>
      <c r="E898" t="s">
        <v>86</v>
      </c>
      <c r="F898" s="4">
        <v>6.5103719</v>
      </c>
      <c r="G898" s="4">
        <f>IFERROR(F898-alt_Blanks!$I$23,F898)</f>
        <v>6.3896344999999997</v>
      </c>
      <c r="H898" s="7">
        <f t="shared" si="37"/>
        <v>6.3896344999999997</v>
      </c>
      <c r="I898" s="7">
        <f t="shared" si="39"/>
        <v>13.429244430432954</v>
      </c>
    </row>
    <row r="899" spans="1:9" x14ac:dyDescent="0.35">
      <c r="A899" t="s">
        <v>95</v>
      </c>
      <c r="B899" t="s">
        <v>96</v>
      </c>
      <c r="C899" t="s">
        <v>28</v>
      </c>
      <c r="D899" t="s">
        <v>155</v>
      </c>
      <c r="E899" t="s">
        <v>86</v>
      </c>
      <c r="F899" s="4">
        <v>19.6319044</v>
      </c>
      <c r="G899" s="4">
        <f>IFERROR(F899-alt_Blanks!$I$24,F899)</f>
        <v>19.3847348</v>
      </c>
      <c r="H899" s="7">
        <f t="shared" si="37"/>
        <v>19.3847348</v>
      </c>
      <c r="I899" s="7">
        <f t="shared" si="39"/>
        <v>40.741350987810002</v>
      </c>
    </row>
    <row r="900" spans="1:9" x14ac:dyDescent="0.35">
      <c r="A900" t="s">
        <v>95</v>
      </c>
      <c r="B900" t="s">
        <v>96</v>
      </c>
      <c r="C900" t="s">
        <v>29</v>
      </c>
      <c r="D900" t="s">
        <v>155</v>
      </c>
      <c r="E900" t="s">
        <v>86</v>
      </c>
      <c r="F900" s="4">
        <v>0.41513330000000004</v>
      </c>
      <c r="G900" s="4">
        <f>IFERROR(F900-alt_Blanks!$I$25,F900)</f>
        <v>-5.7107499999999922E-2</v>
      </c>
      <c r="H900" s="7">
        <f t="shared" si="37"/>
        <v>0</v>
      </c>
      <c r="I900" s="7">
        <f t="shared" si="39"/>
        <v>0</v>
      </c>
    </row>
    <row r="901" spans="1:9" x14ac:dyDescent="0.35">
      <c r="A901" t="s">
        <v>95</v>
      </c>
      <c r="B901" t="s">
        <v>96</v>
      </c>
      <c r="C901" t="s">
        <v>30</v>
      </c>
      <c r="D901" t="s">
        <v>155</v>
      </c>
      <c r="E901" t="s">
        <v>86</v>
      </c>
      <c r="F901" s="4">
        <v>188.25054219999998</v>
      </c>
      <c r="G901" s="4">
        <f>IFERROR(F901-alt_Blanks!$I$26,F901)</f>
        <v>187.67036589999998</v>
      </c>
      <c r="H901" s="7">
        <f t="shared" si="37"/>
        <v>187.67036589999998</v>
      </c>
      <c r="I901" s="7">
        <f t="shared" si="39"/>
        <v>394.43120197561996</v>
      </c>
    </row>
    <row r="902" spans="1:9" x14ac:dyDescent="0.35">
      <c r="A902" t="s">
        <v>95</v>
      </c>
      <c r="B902" t="s">
        <v>96</v>
      </c>
      <c r="C902" t="s">
        <v>31</v>
      </c>
      <c r="D902" t="s">
        <v>155</v>
      </c>
      <c r="E902" t="s">
        <v>86</v>
      </c>
      <c r="F902" s="4" t="e">
        <v>#N/A</v>
      </c>
      <c r="G902" s="4" t="e">
        <f>IFERROR(F902-alt_Blanks!$I$27,F902)</f>
        <v>#N/A</v>
      </c>
      <c r="H902" s="7" t="e">
        <f t="shared" ref="H902:H965" si="40">IF(G902&lt;0,0,G902)</f>
        <v>#N/A</v>
      </c>
      <c r="I902" s="7" t="e">
        <f t="shared" si="39"/>
        <v>#N/A</v>
      </c>
    </row>
    <row r="903" spans="1:9" x14ac:dyDescent="0.35">
      <c r="A903" t="s">
        <v>95</v>
      </c>
      <c r="B903" t="s">
        <v>96</v>
      </c>
      <c r="C903" t="s">
        <v>32</v>
      </c>
      <c r="D903" t="s">
        <v>153</v>
      </c>
      <c r="E903" t="s">
        <v>86</v>
      </c>
      <c r="F903" s="4">
        <v>0</v>
      </c>
      <c r="G903" s="4">
        <f>IFERROR(F903-alt_Blanks!$I$28,F903)</f>
        <v>0</v>
      </c>
      <c r="H903" s="7">
        <f t="shared" si="40"/>
        <v>0</v>
      </c>
      <c r="I903" s="7">
        <f t="shared" si="39"/>
        <v>0</v>
      </c>
    </row>
    <row r="904" spans="1:9" x14ac:dyDescent="0.35">
      <c r="A904" t="s">
        <v>95</v>
      </c>
      <c r="B904" t="s">
        <v>96</v>
      </c>
      <c r="C904" t="s">
        <v>33</v>
      </c>
      <c r="D904" t="s">
        <v>155</v>
      </c>
      <c r="E904" t="s">
        <v>86</v>
      </c>
      <c r="F904" s="4">
        <v>156.42740090000001</v>
      </c>
      <c r="G904" s="4">
        <f>IFERROR(F904-alt_Blanks!$I$29,F904)</f>
        <v>155.8157799</v>
      </c>
      <c r="H904" s="7">
        <f t="shared" si="40"/>
        <v>155.8157799</v>
      </c>
      <c r="I904" s="7">
        <f t="shared" si="39"/>
        <v>327.48167276166453</v>
      </c>
    </row>
    <row r="905" spans="1:9" x14ac:dyDescent="0.35">
      <c r="A905" t="s">
        <v>95</v>
      </c>
      <c r="B905" t="s">
        <v>96</v>
      </c>
      <c r="C905" t="s">
        <v>34</v>
      </c>
      <c r="D905" t="s">
        <v>153</v>
      </c>
      <c r="E905" t="s">
        <v>86</v>
      </c>
      <c r="F905" s="4">
        <v>0</v>
      </c>
      <c r="G905" s="4">
        <f>IFERROR(F905-alt_Blanks!$I$30,F905)</f>
        <v>0</v>
      </c>
      <c r="H905" s="7">
        <f t="shared" si="40"/>
        <v>0</v>
      </c>
      <c r="I905" s="7">
        <f t="shared" si="39"/>
        <v>0</v>
      </c>
    </row>
    <row r="906" spans="1:9" x14ac:dyDescent="0.35">
      <c r="A906" t="s">
        <v>95</v>
      </c>
      <c r="B906" t="s">
        <v>96</v>
      </c>
      <c r="C906" t="s">
        <v>35</v>
      </c>
      <c r="D906" t="s">
        <v>154</v>
      </c>
      <c r="E906" t="s">
        <v>86</v>
      </c>
      <c r="F906" s="4">
        <v>110.59683560000001</v>
      </c>
      <c r="G906" s="4">
        <f>IFERROR(F906-alt_Blanks!$I$31,F906)</f>
        <v>8.1422020000000117</v>
      </c>
      <c r="H906" s="7">
        <f t="shared" si="40"/>
        <v>8.1422020000000117</v>
      </c>
      <c r="I906" s="7">
        <f t="shared" si="39"/>
        <v>17.112656578394308</v>
      </c>
    </row>
    <row r="907" spans="1:9" x14ac:dyDescent="0.35">
      <c r="A907" t="s">
        <v>95</v>
      </c>
      <c r="B907" t="s">
        <v>96</v>
      </c>
      <c r="C907" t="s">
        <v>36</v>
      </c>
      <c r="D907" t="s">
        <v>155</v>
      </c>
      <c r="E907" t="s">
        <v>86</v>
      </c>
      <c r="F907" s="4">
        <v>1.9151974</v>
      </c>
      <c r="G907" s="4">
        <f>IFERROR(F907-alt_Blanks!$I$32,F907)</f>
        <v>-1.2371099999999968E-2</v>
      </c>
      <c r="H907" s="7">
        <f t="shared" si="40"/>
        <v>0</v>
      </c>
      <c r="I907" s="7">
        <f t="shared" si="39"/>
        <v>0</v>
      </c>
    </row>
    <row r="908" spans="1:9" x14ac:dyDescent="0.35">
      <c r="A908" t="s">
        <v>95</v>
      </c>
      <c r="B908" t="s">
        <v>96</v>
      </c>
      <c r="C908" t="s">
        <v>37</v>
      </c>
      <c r="D908" t="s">
        <v>155</v>
      </c>
      <c r="E908" t="s">
        <v>86</v>
      </c>
      <c r="F908" s="4">
        <v>4.6583612999999993</v>
      </c>
      <c r="G908" s="4">
        <f>IFERROR(F908-alt_Blanks!$I$33,F908)</f>
        <v>4.6583612999999993</v>
      </c>
      <c r="H908" s="7">
        <f t="shared" si="40"/>
        <v>4.6583612999999993</v>
      </c>
      <c r="I908" s="7">
        <f t="shared" si="39"/>
        <v>9.7905870113493041</v>
      </c>
    </row>
    <row r="909" spans="1:9" x14ac:dyDescent="0.35">
      <c r="A909" t="s">
        <v>95</v>
      </c>
      <c r="B909" t="s">
        <v>96</v>
      </c>
      <c r="C909" t="s">
        <v>38</v>
      </c>
      <c r="D909" t="s">
        <v>155</v>
      </c>
      <c r="E909" t="s">
        <v>86</v>
      </c>
      <c r="F909" s="4">
        <v>3.1772076999999999</v>
      </c>
      <c r="G909" s="4">
        <f>IFERROR(F909-alt_Blanks!$I$34,F909)</f>
        <v>3.1772076999999999</v>
      </c>
      <c r="H909" s="7">
        <f t="shared" si="40"/>
        <v>3.1772076999999999</v>
      </c>
      <c r="I909" s="7">
        <f t="shared" si="39"/>
        <v>6.6776118116855816</v>
      </c>
    </row>
    <row r="910" spans="1:9" x14ac:dyDescent="0.35">
      <c r="A910" t="s">
        <v>95</v>
      </c>
      <c r="B910" t="s">
        <v>96</v>
      </c>
      <c r="C910" t="s">
        <v>39</v>
      </c>
      <c r="D910" t="s">
        <v>153</v>
      </c>
      <c r="E910" t="s">
        <v>86</v>
      </c>
      <c r="F910" s="4">
        <v>0</v>
      </c>
      <c r="G910" s="4">
        <f>IFERROR(F910-alt_Blanks!$I$35,F910)</f>
        <v>0</v>
      </c>
      <c r="H910" s="7">
        <f t="shared" si="40"/>
        <v>0</v>
      </c>
      <c r="I910" s="7">
        <f t="shared" si="39"/>
        <v>0</v>
      </c>
    </row>
    <row r="911" spans="1:9" x14ac:dyDescent="0.35">
      <c r="A911" t="s">
        <v>95</v>
      </c>
      <c r="B911" t="s">
        <v>96</v>
      </c>
      <c r="C911" t="s">
        <v>40</v>
      </c>
      <c r="D911" t="s">
        <v>154</v>
      </c>
      <c r="E911" t="s">
        <v>86</v>
      </c>
      <c r="F911" s="4">
        <v>0</v>
      </c>
      <c r="G911" s="4">
        <f>IFERROR(F911-alt_Blanks!$I$36,F911)</f>
        <v>0</v>
      </c>
      <c r="H911" s="7">
        <f t="shared" si="40"/>
        <v>0</v>
      </c>
      <c r="I911" s="7">
        <f t="shared" si="39"/>
        <v>0</v>
      </c>
    </row>
    <row r="912" spans="1:9" x14ac:dyDescent="0.35">
      <c r="A912" t="s">
        <v>98</v>
      </c>
      <c r="B912" t="s">
        <v>97</v>
      </c>
      <c r="C912" t="s">
        <v>6</v>
      </c>
      <c r="D912" t="s">
        <v>153</v>
      </c>
      <c r="E912" t="s">
        <v>86</v>
      </c>
      <c r="F912" s="4">
        <v>6.7828013</v>
      </c>
      <c r="G912" s="4">
        <f>IFERROR(F912-alt_Blanks!$I$2,F912)</f>
        <v>7.6260199999999223E-2</v>
      </c>
      <c r="H912" s="7">
        <f t="shared" si="40"/>
        <v>7.6260199999999223E-2</v>
      </c>
      <c r="I912" s="7">
        <f>H912/0.3611</f>
        <v>0.21118859041816457</v>
      </c>
    </row>
    <row r="913" spans="1:9" x14ac:dyDescent="0.35">
      <c r="A913" t="s">
        <v>98</v>
      </c>
      <c r="B913" t="s">
        <v>97</v>
      </c>
      <c r="C913" t="s">
        <v>7</v>
      </c>
      <c r="D913" t="s">
        <v>153</v>
      </c>
      <c r="E913" t="s">
        <v>86</v>
      </c>
      <c r="F913" s="4" t="e">
        <v>#N/A</v>
      </c>
      <c r="G913" s="4" t="e">
        <f>IFERROR(F913-alt_Blanks!$I$3,F913)</f>
        <v>#N/A</v>
      </c>
      <c r="H913" s="7" t="e">
        <f t="shared" si="40"/>
        <v>#N/A</v>
      </c>
      <c r="I913" s="7" t="e">
        <f t="shared" ref="I913:I946" si="41">H913/0.3611</f>
        <v>#N/A</v>
      </c>
    </row>
    <row r="914" spans="1:9" x14ac:dyDescent="0.35">
      <c r="A914" t="s">
        <v>98</v>
      </c>
      <c r="B914" t="s">
        <v>97</v>
      </c>
      <c r="C914" t="s">
        <v>8</v>
      </c>
      <c r="D914" t="s">
        <v>153</v>
      </c>
      <c r="E914" t="s">
        <v>86</v>
      </c>
      <c r="F914" s="4">
        <v>0</v>
      </c>
      <c r="G914" s="4">
        <f>IFERROR(F914-alt_Blanks!$I$4,F914)</f>
        <v>0</v>
      </c>
      <c r="H914" s="7">
        <f t="shared" si="40"/>
        <v>0</v>
      </c>
      <c r="I914" s="7">
        <f t="shared" si="41"/>
        <v>0</v>
      </c>
    </row>
    <row r="915" spans="1:9" x14ac:dyDescent="0.35">
      <c r="A915" t="s">
        <v>98</v>
      </c>
      <c r="B915" t="s">
        <v>97</v>
      </c>
      <c r="C915" t="s">
        <v>9</v>
      </c>
      <c r="D915" t="s">
        <v>153</v>
      </c>
      <c r="E915" t="s">
        <v>86</v>
      </c>
      <c r="F915" s="4">
        <v>0</v>
      </c>
      <c r="G915" s="4">
        <f>IFERROR(F915-alt_Blanks!$I$5,F915)</f>
        <v>0</v>
      </c>
      <c r="H915" s="7">
        <f t="shared" si="40"/>
        <v>0</v>
      </c>
      <c r="I915" s="7">
        <f t="shared" si="41"/>
        <v>0</v>
      </c>
    </row>
    <row r="916" spans="1:9" x14ac:dyDescent="0.35">
      <c r="A916" t="s">
        <v>98</v>
      </c>
      <c r="B916" t="s">
        <v>97</v>
      </c>
      <c r="C916" t="s">
        <v>10</v>
      </c>
      <c r="D916" t="s">
        <v>153</v>
      </c>
      <c r="E916" t="s">
        <v>86</v>
      </c>
      <c r="F916" s="4">
        <v>0</v>
      </c>
      <c r="G916" s="4">
        <f>IFERROR(F916-alt_Blanks!$I$6,F916)</f>
        <v>0</v>
      </c>
      <c r="H916" s="7">
        <f t="shared" si="40"/>
        <v>0</v>
      </c>
      <c r="I916" s="7">
        <f t="shared" si="41"/>
        <v>0</v>
      </c>
    </row>
    <row r="917" spans="1:9" x14ac:dyDescent="0.35">
      <c r="A917" t="s">
        <v>98</v>
      </c>
      <c r="B917" t="s">
        <v>97</v>
      </c>
      <c r="C917" t="s">
        <v>11</v>
      </c>
      <c r="D917" t="s">
        <v>153</v>
      </c>
      <c r="E917" t="s">
        <v>86</v>
      </c>
      <c r="F917" s="4">
        <v>0</v>
      </c>
      <c r="G917" s="4">
        <f>IFERROR(F917-alt_Blanks!$I$7,F917)</f>
        <v>0</v>
      </c>
      <c r="H917" s="7">
        <f t="shared" si="40"/>
        <v>0</v>
      </c>
      <c r="I917" s="7">
        <f t="shared" si="41"/>
        <v>0</v>
      </c>
    </row>
    <row r="918" spans="1:9" x14ac:dyDescent="0.35">
      <c r="A918" t="s">
        <v>98</v>
      </c>
      <c r="B918" t="s">
        <v>97</v>
      </c>
      <c r="C918" t="s">
        <v>12</v>
      </c>
      <c r="D918" t="s">
        <v>154</v>
      </c>
      <c r="E918" t="s">
        <v>86</v>
      </c>
      <c r="F918" s="4">
        <v>0</v>
      </c>
      <c r="G918" s="4">
        <f>IFERROR(F918-alt_Blanks!$I$8,F918)</f>
        <v>0</v>
      </c>
      <c r="H918" s="7">
        <f t="shared" si="40"/>
        <v>0</v>
      </c>
      <c r="I918" s="7">
        <f t="shared" si="41"/>
        <v>0</v>
      </c>
    </row>
    <row r="919" spans="1:9" x14ac:dyDescent="0.35">
      <c r="A919" t="s">
        <v>98</v>
      </c>
      <c r="B919" t="s">
        <v>97</v>
      </c>
      <c r="C919" t="s">
        <v>13</v>
      </c>
      <c r="D919" t="s">
        <v>153</v>
      </c>
      <c r="E919" t="s">
        <v>86</v>
      </c>
      <c r="F919" s="4">
        <v>1.8716778999999999</v>
      </c>
      <c r="G919" s="4">
        <f>IFERROR(F919-alt_Blanks!$I$9,F919)</f>
        <v>1.8716778999999999</v>
      </c>
      <c r="H919" s="7">
        <f t="shared" si="40"/>
        <v>1.8716778999999999</v>
      </c>
      <c r="I919" s="7">
        <f t="shared" si="41"/>
        <v>5.1832675159235668</v>
      </c>
    </row>
    <row r="920" spans="1:9" x14ac:dyDescent="0.35">
      <c r="A920" t="s">
        <v>98</v>
      </c>
      <c r="B920" t="s">
        <v>97</v>
      </c>
      <c r="C920" t="s">
        <v>14</v>
      </c>
      <c r="D920" t="s">
        <v>154</v>
      </c>
      <c r="E920" t="s">
        <v>86</v>
      </c>
      <c r="F920" s="4">
        <v>0</v>
      </c>
      <c r="G920" s="4">
        <f>IFERROR(F920-alt_Blanks!$I$10,F920)</f>
        <v>0</v>
      </c>
      <c r="H920" s="7">
        <f t="shared" si="40"/>
        <v>0</v>
      </c>
      <c r="I920" s="7">
        <f t="shared" si="41"/>
        <v>0</v>
      </c>
    </row>
    <row r="921" spans="1:9" x14ac:dyDescent="0.35">
      <c r="A921" t="s">
        <v>98</v>
      </c>
      <c r="B921" t="s">
        <v>97</v>
      </c>
      <c r="C921" t="s">
        <v>15</v>
      </c>
      <c r="D921" t="s">
        <v>153</v>
      </c>
      <c r="E921" t="s">
        <v>86</v>
      </c>
      <c r="F921" s="4">
        <v>1447.1704543999999</v>
      </c>
      <c r="G921" s="4">
        <f>IFERROR(F921-alt_Blanks!$I$11,F921)</f>
        <v>641.95376469999997</v>
      </c>
      <c r="H921" s="7">
        <f t="shared" si="40"/>
        <v>641.95376469999997</v>
      </c>
      <c r="I921" s="7">
        <f t="shared" si="41"/>
        <v>1777.7728183328718</v>
      </c>
    </row>
    <row r="922" spans="1:9" x14ac:dyDescent="0.35">
      <c r="A922" t="s">
        <v>98</v>
      </c>
      <c r="B922" t="s">
        <v>97</v>
      </c>
      <c r="C922" t="s">
        <v>16</v>
      </c>
      <c r="D922" t="s">
        <v>154</v>
      </c>
      <c r="E922" t="s">
        <v>86</v>
      </c>
      <c r="F922" s="4">
        <v>8.2693724</v>
      </c>
      <c r="G922" s="4">
        <f>IFERROR(F922-alt_Blanks!$I$12,F922)</f>
        <v>8.2693724</v>
      </c>
      <c r="H922" s="7">
        <f t="shared" si="40"/>
        <v>8.2693724</v>
      </c>
      <c r="I922" s="7">
        <f t="shared" si="41"/>
        <v>22.900505123234563</v>
      </c>
    </row>
    <row r="923" spans="1:9" x14ac:dyDescent="0.35">
      <c r="A923" t="s">
        <v>98</v>
      </c>
      <c r="B923" t="s">
        <v>97</v>
      </c>
      <c r="C923" t="s">
        <v>17</v>
      </c>
      <c r="D923" t="s">
        <v>153</v>
      </c>
      <c r="E923" t="s">
        <v>86</v>
      </c>
      <c r="F923" s="4">
        <v>9.7831735999999996</v>
      </c>
      <c r="G923" s="4">
        <f>IFERROR(F923-alt_Blanks!$I$13,F923)</f>
        <v>8.9304600999999995</v>
      </c>
      <c r="H923" s="7">
        <f t="shared" si="40"/>
        <v>8.9304600999999995</v>
      </c>
      <c r="I923" s="7">
        <f t="shared" si="41"/>
        <v>24.73126585433398</v>
      </c>
    </row>
    <row r="924" spans="1:9" x14ac:dyDescent="0.35">
      <c r="A924" t="s">
        <v>98</v>
      </c>
      <c r="B924" t="s">
        <v>97</v>
      </c>
      <c r="C924" t="s">
        <v>18</v>
      </c>
      <c r="D924" t="s">
        <v>154</v>
      </c>
      <c r="E924" t="s">
        <v>86</v>
      </c>
      <c r="F924" s="4">
        <v>0</v>
      </c>
      <c r="G924" s="4">
        <f>IFERROR(F924-alt_Blanks!$I$14,F924)</f>
        <v>0</v>
      </c>
      <c r="H924" s="7">
        <f t="shared" si="40"/>
        <v>0</v>
      </c>
      <c r="I924" s="7">
        <f t="shared" si="41"/>
        <v>0</v>
      </c>
    </row>
    <row r="925" spans="1:9" x14ac:dyDescent="0.35">
      <c r="A925" t="s">
        <v>98</v>
      </c>
      <c r="B925" t="s">
        <v>97</v>
      </c>
      <c r="C925" t="s">
        <v>19</v>
      </c>
      <c r="D925" t="s">
        <v>153</v>
      </c>
      <c r="E925" t="s">
        <v>86</v>
      </c>
      <c r="F925" s="4">
        <v>403.83618079999997</v>
      </c>
      <c r="G925" s="4">
        <f>IFERROR(F925-alt_Blanks!$I$15,F925)</f>
        <v>135.21278369999999</v>
      </c>
      <c r="H925" s="7">
        <f t="shared" si="40"/>
        <v>135.21278369999999</v>
      </c>
      <c r="I925" s="7">
        <f t="shared" si="41"/>
        <v>374.44692245915257</v>
      </c>
    </row>
    <row r="926" spans="1:9" x14ac:dyDescent="0.35">
      <c r="A926" t="s">
        <v>98</v>
      </c>
      <c r="B926" t="s">
        <v>97</v>
      </c>
      <c r="C926" t="s">
        <v>20</v>
      </c>
      <c r="D926" t="s">
        <v>154</v>
      </c>
      <c r="E926" t="s">
        <v>86</v>
      </c>
      <c r="F926" s="4">
        <v>101.05599310000001</v>
      </c>
      <c r="G926" s="4">
        <f>IFERROR(F926-alt_Blanks!$I$16,F926)</f>
        <v>82.590079900000006</v>
      </c>
      <c r="H926" s="7">
        <f t="shared" si="40"/>
        <v>82.590079900000006</v>
      </c>
      <c r="I926" s="7">
        <f t="shared" si="41"/>
        <v>228.71802797009141</v>
      </c>
    </row>
    <row r="927" spans="1:9" x14ac:dyDescent="0.35">
      <c r="A927" t="s">
        <v>98</v>
      </c>
      <c r="B927" t="s">
        <v>97</v>
      </c>
      <c r="C927" t="s">
        <v>21</v>
      </c>
      <c r="D927" t="s">
        <v>155</v>
      </c>
      <c r="E927" t="s">
        <v>86</v>
      </c>
      <c r="F927" s="4">
        <v>0.32462269999999999</v>
      </c>
      <c r="G927" s="4">
        <f>IFERROR(F927-alt_Blanks!$I$17,F927)</f>
        <v>-7.3307000000000233E-3</v>
      </c>
      <c r="H927" s="7">
        <f t="shared" si="40"/>
        <v>0</v>
      </c>
      <c r="I927" s="7">
        <f t="shared" si="41"/>
        <v>0</v>
      </c>
    </row>
    <row r="928" spans="1:9" x14ac:dyDescent="0.35">
      <c r="A928" t="s">
        <v>98</v>
      </c>
      <c r="B928" t="s">
        <v>97</v>
      </c>
      <c r="C928" t="s">
        <v>22</v>
      </c>
      <c r="D928" t="s">
        <v>155</v>
      </c>
      <c r="E928" t="s">
        <v>86</v>
      </c>
      <c r="F928" s="4">
        <v>82.469823000000005</v>
      </c>
      <c r="G928" s="4">
        <f>IFERROR(F928-alt_Blanks!$I$18,F928)</f>
        <v>76.466363400000006</v>
      </c>
      <c r="H928" s="7">
        <f t="shared" si="40"/>
        <v>76.466363400000006</v>
      </c>
      <c r="I928" s="7">
        <f t="shared" si="41"/>
        <v>211.75952201606205</v>
      </c>
    </row>
    <row r="929" spans="1:9" x14ac:dyDescent="0.35">
      <c r="A929" t="s">
        <v>98</v>
      </c>
      <c r="B929" t="s">
        <v>97</v>
      </c>
      <c r="C929" t="s">
        <v>23</v>
      </c>
      <c r="D929" t="s">
        <v>155</v>
      </c>
      <c r="E929" t="s">
        <v>86</v>
      </c>
      <c r="F929" s="4">
        <v>0</v>
      </c>
      <c r="G929" s="4">
        <f>IFERROR(F929-alt_Blanks!$I$19,F929)</f>
        <v>0</v>
      </c>
      <c r="H929" s="7">
        <f t="shared" si="40"/>
        <v>0</v>
      </c>
      <c r="I929" s="7">
        <f t="shared" si="41"/>
        <v>0</v>
      </c>
    </row>
    <row r="930" spans="1:9" x14ac:dyDescent="0.35">
      <c r="A930" t="s">
        <v>98</v>
      </c>
      <c r="B930" t="s">
        <v>97</v>
      </c>
      <c r="C930" t="s">
        <v>24</v>
      </c>
      <c r="D930" t="s">
        <v>155</v>
      </c>
      <c r="E930" t="s">
        <v>86</v>
      </c>
      <c r="F930" s="4">
        <v>56.633760199999998</v>
      </c>
      <c r="G930" s="4">
        <f>IFERROR(F930-alt_Blanks!$I$20,F930)</f>
        <v>54.695784799999998</v>
      </c>
      <c r="H930" s="7">
        <f t="shared" si="40"/>
        <v>54.695784799999998</v>
      </c>
      <c r="I930" s="7">
        <f t="shared" si="41"/>
        <v>151.46991082802549</v>
      </c>
    </row>
    <row r="931" spans="1:9" x14ac:dyDescent="0.35">
      <c r="A931" t="s">
        <v>98</v>
      </c>
      <c r="B931" t="s">
        <v>97</v>
      </c>
      <c r="C931" t="s">
        <v>25</v>
      </c>
      <c r="D931" t="s">
        <v>155</v>
      </c>
      <c r="E931" t="s">
        <v>86</v>
      </c>
      <c r="F931" s="4">
        <v>0.30890089999999998</v>
      </c>
      <c r="G931" s="4">
        <f>IFERROR(F931-alt_Blanks!$I$21,F931)</f>
        <v>9.4391799999999998E-2</v>
      </c>
      <c r="H931" s="7">
        <f t="shared" si="40"/>
        <v>9.4391799999999998E-2</v>
      </c>
      <c r="I931" s="7">
        <f t="shared" si="41"/>
        <v>0.26140072002215453</v>
      </c>
    </row>
    <row r="932" spans="1:9" x14ac:dyDescent="0.35">
      <c r="A932" t="s">
        <v>98</v>
      </c>
      <c r="B932" t="s">
        <v>97</v>
      </c>
      <c r="C932" t="s">
        <v>26</v>
      </c>
      <c r="D932" t="s">
        <v>153</v>
      </c>
      <c r="E932" t="s">
        <v>86</v>
      </c>
      <c r="F932" s="4">
        <v>1.5585676000000002</v>
      </c>
      <c r="G932" s="4">
        <f>IFERROR(F932-alt_Blanks!$I$22,F932)</f>
        <v>-3.6153799999999681E-2</v>
      </c>
      <c r="H932" s="7">
        <f t="shared" si="40"/>
        <v>0</v>
      </c>
      <c r="I932" s="7">
        <f t="shared" si="41"/>
        <v>0</v>
      </c>
    </row>
    <row r="933" spans="1:9" x14ac:dyDescent="0.35">
      <c r="A933" t="s">
        <v>98</v>
      </c>
      <c r="B933" t="s">
        <v>97</v>
      </c>
      <c r="C933" t="s">
        <v>27</v>
      </c>
      <c r="D933" t="s">
        <v>154</v>
      </c>
      <c r="E933" t="s">
        <v>86</v>
      </c>
      <c r="F933" s="4">
        <v>5.4941116000000001</v>
      </c>
      <c r="G933" s="4">
        <f>IFERROR(F933-alt_Blanks!$I$23,F933)</f>
        <v>5.3733741999999998</v>
      </c>
      <c r="H933" s="7">
        <f t="shared" si="40"/>
        <v>5.3733741999999998</v>
      </c>
      <c r="I933" s="7">
        <f t="shared" si="41"/>
        <v>14.88057103295486</v>
      </c>
    </row>
    <row r="934" spans="1:9" x14ac:dyDescent="0.35">
      <c r="A934" t="s">
        <v>98</v>
      </c>
      <c r="B934" t="s">
        <v>97</v>
      </c>
      <c r="C934" t="s">
        <v>28</v>
      </c>
      <c r="D934" t="s">
        <v>155</v>
      </c>
      <c r="E934" t="s">
        <v>86</v>
      </c>
      <c r="F934" s="4">
        <v>13.2849298</v>
      </c>
      <c r="G934" s="4">
        <f>IFERROR(F934-alt_Blanks!$I$24,F934)</f>
        <v>13.037760200000001</v>
      </c>
      <c r="H934" s="7">
        <f t="shared" si="40"/>
        <v>13.037760200000001</v>
      </c>
      <c r="I934" s="7">
        <f t="shared" si="41"/>
        <v>36.105677651620056</v>
      </c>
    </row>
    <row r="935" spans="1:9" x14ac:dyDescent="0.35">
      <c r="A935" t="s">
        <v>98</v>
      </c>
      <c r="B935" t="s">
        <v>97</v>
      </c>
      <c r="C935" t="s">
        <v>29</v>
      </c>
      <c r="D935" t="s">
        <v>155</v>
      </c>
      <c r="E935" t="s">
        <v>86</v>
      </c>
      <c r="F935" s="4">
        <v>0.41844490000000001</v>
      </c>
      <c r="G935" s="4">
        <f>IFERROR(F935-alt_Blanks!$I$25,F935)</f>
        <v>-5.3795899999999952E-2</v>
      </c>
      <c r="H935" s="7">
        <f t="shared" si="40"/>
        <v>0</v>
      </c>
      <c r="I935" s="7">
        <f t="shared" si="41"/>
        <v>0</v>
      </c>
    </row>
    <row r="936" spans="1:9" x14ac:dyDescent="0.35">
      <c r="A936" t="s">
        <v>98</v>
      </c>
      <c r="B936" t="s">
        <v>97</v>
      </c>
      <c r="C936" t="s">
        <v>30</v>
      </c>
      <c r="D936" t="s">
        <v>155</v>
      </c>
      <c r="E936" t="s">
        <v>86</v>
      </c>
      <c r="F936" s="4">
        <v>169.4418848</v>
      </c>
      <c r="G936" s="4">
        <f>IFERROR(F936-alt_Blanks!$I$26,F936)</f>
        <v>168.86170849999999</v>
      </c>
      <c r="H936" s="7">
        <f t="shared" si="40"/>
        <v>168.86170849999999</v>
      </c>
      <c r="I936" s="7">
        <f t="shared" si="41"/>
        <v>467.63142758238718</v>
      </c>
    </row>
    <row r="937" spans="1:9" x14ac:dyDescent="0.35">
      <c r="A937" t="s">
        <v>98</v>
      </c>
      <c r="B937" t="s">
        <v>97</v>
      </c>
      <c r="C937" t="s">
        <v>31</v>
      </c>
      <c r="D937" t="s">
        <v>155</v>
      </c>
      <c r="E937" t="s">
        <v>86</v>
      </c>
      <c r="F937" s="4" t="e">
        <v>#N/A</v>
      </c>
      <c r="G937" s="4" t="e">
        <f>IFERROR(F937-alt_Blanks!$I$27,F937)</f>
        <v>#N/A</v>
      </c>
      <c r="H937" s="7" t="e">
        <f t="shared" si="40"/>
        <v>#N/A</v>
      </c>
      <c r="I937" s="7" t="e">
        <f t="shared" si="41"/>
        <v>#N/A</v>
      </c>
    </row>
    <row r="938" spans="1:9" x14ac:dyDescent="0.35">
      <c r="A938" t="s">
        <v>98</v>
      </c>
      <c r="B938" t="s">
        <v>97</v>
      </c>
      <c r="C938" t="s">
        <v>32</v>
      </c>
      <c r="D938" t="s">
        <v>153</v>
      </c>
      <c r="E938" t="s">
        <v>86</v>
      </c>
      <c r="F938" s="4">
        <v>0</v>
      </c>
      <c r="G938" s="4">
        <f>IFERROR(F938-alt_Blanks!$I$28,F938)</f>
        <v>0</v>
      </c>
      <c r="H938" s="7">
        <f t="shared" si="40"/>
        <v>0</v>
      </c>
      <c r="I938" s="7">
        <f t="shared" si="41"/>
        <v>0</v>
      </c>
    </row>
    <row r="939" spans="1:9" x14ac:dyDescent="0.35">
      <c r="A939" t="s">
        <v>98</v>
      </c>
      <c r="B939" t="s">
        <v>97</v>
      </c>
      <c r="C939" t="s">
        <v>33</v>
      </c>
      <c r="D939" t="s">
        <v>155</v>
      </c>
      <c r="E939" t="s">
        <v>86</v>
      </c>
      <c r="F939" s="4">
        <v>119.4126153</v>
      </c>
      <c r="G939" s="4">
        <f>IFERROR(F939-alt_Blanks!$I$29,F939)</f>
        <v>118.8009943</v>
      </c>
      <c r="H939" s="7">
        <f t="shared" si="40"/>
        <v>118.8009943</v>
      </c>
      <c r="I939" s="7">
        <f t="shared" si="41"/>
        <v>328.9974918305179</v>
      </c>
    </row>
    <row r="940" spans="1:9" x14ac:dyDescent="0.35">
      <c r="A940" t="s">
        <v>98</v>
      </c>
      <c r="B940" t="s">
        <v>97</v>
      </c>
      <c r="C940" t="s">
        <v>34</v>
      </c>
      <c r="D940" t="s">
        <v>153</v>
      </c>
      <c r="E940" t="s">
        <v>86</v>
      </c>
      <c r="F940" s="4">
        <v>0</v>
      </c>
      <c r="G940" s="4">
        <f>IFERROR(F940-alt_Blanks!$I$30,F940)</f>
        <v>0</v>
      </c>
      <c r="H940" s="7">
        <f t="shared" si="40"/>
        <v>0</v>
      </c>
      <c r="I940" s="7">
        <f t="shared" si="41"/>
        <v>0</v>
      </c>
    </row>
    <row r="941" spans="1:9" x14ac:dyDescent="0.35">
      <c r="A941" t="s">
        <v>98</v>
      </c>
      <c r="B941" t="s">
        <v>97</v>
      </c>
      <c r="C941" t="s">
        <v>35</v>
      </c>
      <c r="D941" t="s">
        <v>154</v>
      </c>
      <c r="E941" t="s">
        <v>86</v>
      </c>
      <c r="F941" s="4">
        <v>114.6493183</v>
      </c>
      <c r="G941" s="4">
        <f>IFERROR(F941-alt_Blanks!$I$31,F941)</f>
        <v>12.19468470000001</v>
      </c>
      <c r="H941" s="7">
        <f t="shared" si="40"/>
        <v>12.19468470000001</v>
      </c>
      <c r="I941" s="7">
        <f t="shared" si="41"/>
        <v>33.770935198006121</v>
      </c>
    </row>
    <row r="942" spans="1:9" x14ac:dyDescent="0.35">
      <c r="A942" t="s">
        <v>98</v>
      </c>
      <c r="B942" t="s">
        <v>97</v>
      </c>
      <c r="C942" t="s">
        <v>36</v>
      </c>
      <c r="D942" t="s">
        <v>155</v>
      </c>
      <c r="E942" t="s">
        <v>86</v>
      </c>
      <c r="F942" s="4">
        <v>1.9652801</v>
      </c>
      <c r="G942" s="4">
        <f>IFERROR(F942-alt_Blanks!$I$32,F942)</f>
        <v>3.7711599999999956E-2</v>
      </c>
      <c r="H942" s="7">
        <f t="shared" si="40"/>
        <v>3.7711599999999956E-2</v>
      </c>
      <c r="I942" s="7">
        <f t="shared" si="41"/>
        <v>0.10443533647189134</v>
      </c>
    </row>
    <row r="943" spans="1:9" x14ac:dyDescent="0.35">
      <c r="A943" t="s">
        <v>98</v>
      </c>
      <c r="B943" t="s">
        <v>97</v>
      </c>
      <c r="C943" t="s">
        <v>37</v>
      </c>
      <c r="D943" t="s">
        <v>155</v>
      </c>
      <c r="E943" t="s">
        <v>86</v>
      </c>
      <c r="F943" s="4">
        <v>3.9022449000000003</v>
      </c>
      <c r="G943" s="4">
        <f>IFERROR(F943-alt_Blanks!$I$33,F943)</f>
        <v>3.9022449000000003</v>
      </c>
      <c r="H943" s="7">
        <f t="shared" si="40"/>
        <v>3.9022449000000003</v>
      </c>
      <c r="I943" s="7">
        <f t="shared" si="41"/>
        <v>10.806549155358628</v>
      </c>
    </row>
    <row r="944" spans="1:9" x14ac:dyDescent="0.35">
      <c r="A944" t="s">
        <v>98</v>
      </c>
      <c r="B944" t="s">
        <v>97</v>
      </c>
      <c r="C944" t="s">
        <v>38</v>
      </c>
      <c r="D944" t="s">
        <v>155</v>
      </c>
      <c r="E944" t="s">
        <v>86</v>
      </c>
      <c r="F944" s="4">
        <v>4.3442910000000001</v>
      </c>
      <c r="G944" s="4">
        <f>IFERROR(F944-alt_Blanks!$I$34,F944)</f>
        <v>4.3442910000000001</v>
      </c>
      <c r="H944" s="7">
        <f t="shared" si="40"/>
        <v>4.3442910000000001</v>
      </c>
      <c r="I944" s="7">
        <f t="shared" si="41"/>
        <v>12.030714483522571</v>
      </c>
    </row>
    <row r="945" spans="1:9" x14ac:dyDescent="0.35">
      <c r="A945" t="s">
        <v>98</v>
      </c>
      <c r="B945" t="s">
        <v>97</v>
      </c>
      <c r="C945" t="s">
        <v>39</v>
      </c>
      <c r="D945" t="s">
        <v>153</v>
      </c>
      <c r="E945" t="s">
        <v>86</v>
      </c>
      <c r="F945" s="4">
        <v>0</v>
      </c>
      <c r="G945" s="4">
        <f>IFERROR(F945-alt_Blanks!$I$35,F945)</f>
        <v>0</v>
      </c>
      <c r="H945" s="7">
        <f t="shared" si="40"/>
        <v>0</v>
      </c>
      <c r="I945" s="7">
        <f t="shared" si="41"/>
        <v>0</v>
      </c>
    </row>
    <row r="946" spans="1:9" x14ac:dyDescent="0.35">
      <c r="A946" t="s">
        <v>98</v>
      </c>
      <c r="B946" t="s">
        <v>97</v>
      </c>
      <c r="C946" t="s">
        <v>40</v>
      </c>
      <c r="D946" t="s">
        <v>154</v>
      </c>
      <c r="E946" t="s">
        <v>86</v>
      </c>
      <c r="F946" s="4">
        <v>0</v>
      </c>
      <c r="G946" s="4">
        <f>IFERROR(F946-alt_Blanks!$I$36,F946)</f>
        <v>0</v>
      </c>
      <c r="H946" s="7">
        <f t="shared" si="40"/>
        <v>0</v>
      </c>
      <c r="I946" s="7">
        <f t="shared" si="41"/>
        <v>0</v>
      </c>
    </row>
    <row r="947" spans="1:9" x14ac:dyDescent="0.35">
      <c r="A947" t="s">
        <v>99</v>
      </c>
      <c r="B947" t="s">
        <v>100</v>
      </c>
      <c r="C947" t="s">
        <v>6</v>
      </c>
      <c r="D947" t="s">
        <v>153</v>
      </c>
      <c r="E947" t="s">
        <v>86</v>
      </c>
      <c r="F947" s="4">
        <v>6.6959565000000003</v>
      </c>
      <c r="G947" s="4">
        <f>IFERROR(F947-alt_Blanks!$I$2,F947)</f>
        <v>-1.0584600000000499E-2</v>
      </c>
      <c r="H947" s="7">
        <f t="shared" si="40"/>
        <v>0</v>
      </c>
      <c r="I947" s="7">
        <f>H947/0.5481</f>
        <v>0</v>
      </c>
    </row>
    <row r="948" spans="1:9" x14ac:dyDescent="0.35">
      <c r="A948" t="s">
        <v>99</v>
      </c>
      <c r="B948" t="s">
        <v>100</v>
      </c>
      <c r="C948" t="s">
        <v>7</v>
      </c>
      <c r="D948" t="s">
        <v>153</v>
      </c>
      <c r="E948" t="s">
        <v>86</v>
      </c>
      <c r="F948" s="4">
        <v>0</v>
      </c>
      <c r="G948" s="4">
        <f>IFERROR(F948-alt_Blanks!$I$3,F948)</f>
        <v>0</v>
      </c>
      <c r="H948" s="7">
        <f t="shared" si="40"/>
        <v>0</v>
      </c>
      <c r="I948" s="7">
        <f t="shared" ref="I948:I981" si="42">H948/0.5481</f>
        <v>0</v>
      </c>
    </row>
    <row r="949" spans="1:9" x14ac:dyDescent="0.35">
      <c r="A949" t="s">
        <v>99</v>
      </c>
      <c r="B949" t="s">
        <v>100</v>
      </c>
      <c r="C949" t="s">
        <v>8</v>
      </c>
      <c r="D949" t="s">
        <v>153</v>
      </c>
      <c r="E949" t="s">
        <v>86</v>
      </c>
      <c r="F949" s="4">
        <v>0</v>
      </c>
      <c r="G949" s="4">
        <f>IFERROR(F949-alt_Blanks!$I$4,F949)</f>
        <v>0</v>
      </c>
      <c r="H949" s="7">
        <f t="shared" si="40"/>
        <v>0</v>
      </c>
      <c r="I949" s="7">
        <f t="shared" si="42"/>
        <v>0</v>
      </c>
    </row>
    <row r="950" spans="1:9" x14ac:dyDescent="0.35">
      <c r="A950" t="s">
        <v>99</v>
      </c>
      <c r="B950" t="s">
        <v>100</v>
      </c>
      <c r="C950" t="s">
        <v>9</v>
      </c>
      <c r="D950" t="s">
        <v>153</v>
      </c>
      <c r="E950" t="s">
        <v>86</v>
      </c>
      <c r="F950" s="4">
        <v>0</v>
      </c>
      <c r="G950" s="4">
        <f>IFERROR(F950-alt_Blanks!$I$5,F950)</f>
        <v>0</v>
      </c>
      <c r="H950" s="7">
        <f t="shared" si="40"/>
        <v>0</v>
      </c>
      <c r="I950" s="7">
        <f t="shared" si="42"/>
        <v>0</v>
      </c>
    </row>
    <row r="951" spans="1:9" x14ac:dyDescent="0.35">
      <c r="A951" t="s">
        <v>99</v>
      </c>
      <c r="B951" t="s">
        <v>100</v>
      </c>
      <c r="C951" t="s">
        <v>10</v>
      </c>
      <c r="D951" t="s">
        <v>153</v>
      </c>
      <c r="E951" t="s">
        <v>86</v>
      </c>
      <c r="F951" s="4">
        <v>0</v>
      </c>
      <c r="G951" s="4">
        <f>IFERROR(F951-alt_Blanks!$I$6,F951)</f>
        <v>0</v>
      </c>
      <c r="H951" s="7">
        <f t="shared" si="40"/>
        <v>0</v>
      </c>
      <c r="I951" s="7">
        <f t="shared" si="42"/>
        <v>0</v>
      </c>
    </row>
    <row r="952" spans="1:9" x14ac:dyDescent="0.35">
      <c r="A952" t="s">
        <v>99</v>
      </c>
      <c r="B952" t="s">
        <v>100</v>
      </c>
      <c r="C952" t="s">
        <v>11</v>
      </c>
      <c r="D952" t="s">
        <v>153</v>
      </c>
      <c r="E952" t="s">
        <v>86</v>
      </c>
      <c r="F952" s="4">
        <v>4.5338956000000001</v>
      </c>
      <c r="G952" s="4">
        <f>IFERROR(F952-alt_Blanks!$I$7,F952)</f>
        <v>4.5338956000000001</v>
      </c>
      <c r="H952" s="7">
        <f t="shared" si="40"/>
        <v>4.5338956000000001</v>
      </c>
      <c r="I952" s="7">
        <f t="shared" si="42"/>
        <v>8.2720226236088301</v>
      </c>
    </row>
    <row r="953" spans="1:9" x14ac:dyDescent="0.35">
      <c r="A953" t="s">
        <v>99</v>
      </c>
      <c r="B953" t="s">
        <v>100</v>
      </c>
      <c r="C953" t="s">
        <v>12</v>
      </c>
      <c r="D953" t="s">
        <v>154</v>
      </c>
      <c r="E953" t="s">
        <v>86</v>
      </c>
      <c r="F953" s="4">
        <v>0</v>
      </c>
      <c r="G953" s="4">
        <f>IFERROR(F953-alt_Blanks!$I$8,F953)</f>
        <v>0</v>
      </c>
      <c r="H953" s="7">
        <f t="shared" si="40"/>
        <v>0</v>
      </c>
      <c r="I953" s="7">
        <f t="shared" si="42"/>
        <v>0</v>
      </c>
    </row>
    <row r="954" spans="1:9" x14ac:dyDescent="0.35">
      <c r="A954" t="s">
        <v>99</v>
      </c>
      <c r="B954" t="s">
        <v>100</v>
      </c>
      <c r="C954" t="s">
        <v>13</v>
      </c>
      <c r="D954" t="s">
        <v>153</v>
      </c>
      <c r="E954" t="s">
        <v>86</v>
      </c>
      <c r="F954" s="4">
        <v>2.8975211000000001</v>
      </c>
      <c r="G954" s="4">
        <f>IFERROR(F954-alt_Blanks!$I$9,F954)</f>
        <v>2.8975211000000001</v>
      </c>
      <c r="H954" s="7">
        <f t="shared" si="40"/>
        <v>2.8975211000000001</v>
      </c>
      <c r="I954" s="7">
        <f t="shared" si="42"/>
        <v>5.2864825761722312</v>
      </c>
    </row>
    <row r="955" spans="1:9" x14ac:dyDescent="0.35">
      <c r="A955" t="s">
        <v>99</v>
      </c>
      <c r="B955" t="s">
        <v>100</v>
      </c>
      <c r="C955" t="s">
        <v>14</v>
      </c>
      <c r="D955" t="s">
        <v>154</v>
      </c>
      <c r="E955" t="s">
        <v>86</v>
      </c>
      <c r="F955" s="4">
        <v>0</v>
      </c>
      <c r="G955" s="4">
        <f>IFERROR(F955-alt_Blanks!$I$10,F955)</f>
        <v>0</v>
      </c>
      <c r="H955" s="7">
        <f t="shared" si="40"/>
        <v>0</v>
      </c>
      <c r="I955" s="7">
        <f t="shared" si="42"/>
        <v>0</v>
      </c>
    </row>
    <row r="956" spans="1:9" x14ac:dyDescent="0.35">
      <c r="A956" t="s">
        <v>99</v>
      </c>
      <c r="B956" t="s">
        <v>100</v>
      </c>
      <c r="C956" t="s">
        <v>15</v>
      </c>
      <c r="D956" t="s">
        <v>153</v>
      </c>
      <c r="E956" t="s">
        <v>86</v>
      </c>
      <c r="F956" s="4">
        <v>1663.9998998000001</v>
      </c>
      <c r="G956" s="4">
        <f>IFERROR(F956-alt_Blanks!$I$11,F956)</f>
        <v>858.78321010000013</v>
      </c>
      <c r="H956" s="7">
        <f t="shared" si="40"/>
        <v>858.78321010000013</v>
      </c>
      <c r="I956" s="7">
        <f t="shared" si="42"/>
        <v>1566.8367270571066</v>
      </c>
    </row>
    <row r="957" spans="1:9" x14ac:dyDescent="0.35">
      <c r="A957" t="s">
        <v>99</v>
      </c>
      <c r="B957" t="s">
        <v>100</v>
      </c>
      <c r="C957" t="s">
        <v>16</v>
      </c>
      <c r="D957" t="s">
        <v>154</v>
      </c>
      <c r="E957" t="s">
        <v>86</v>
      </c>
      <c r="F957" s="4">
        <v>179.97510140000003</v>
      </c>
      <c r="G957" s="4">
        <f>IFERROR(F957-alt_Blanks!$I$12,F957)</f>
        <v>179.97510140000003</v>
      </c>
      <c r="H957" s="7">
        <f t="shared" si="40"/>
        <v>179.97510140000003</v>
      </c>
      <c r="I957" s="7">
        <f t="shared" si="42"/>
        <v>328.36179784710822</v>
      </c>
    </row>
    <row r="958" spans="1:9" x14ac:dyDescent="0.35">
      <c r="A958" t="s">
        <v>99</v>
      </c>
      <c r="B958" t="s">
        <v>100</v>
      </c>
      <c r="C958" t="s">
        <v>17</v>
      </c>
      <c r="D958" t="s">
        <v>153</v>
      </c>
      <c r="E958" t="s">
        <v>86</v>
      </c>
      <c r="F958" s="4">
        <v>11.496226199999999</v>
      </c>
      <c r="G958" s="4">
        <f>IFERROR(F958-alt_Blanks!$I$13,F958)</f>
        <v>10.643512699999999</v>
      </c>
      <c r="H958" s="7">
        <f t="shared" si="40"/>
        <v>10.643512699999999</v>
      </c>
      <c r="I958" s="7">
        <f t="shared" si="42"/>
        <v>19.418924831235174</v>
      </c>
    </row>
    <row r="959" spans="1:9" x14ac:dyDescent="0.35">
      <c r="A959" t="s">
        <v>99</v>
      </c>
      <c r="B959" t="s">
        <v>100</v>
      </c>
      <c r="C959" t="s">
        <v>18</v>
      </c>
      <c r="D959" t="s">
        <v>154</v>
      </c>
      <c r="E959" t="s">
        <v>86</v>
      </c>
      <c r="F959" s="4">
        <v>0</v>
      </c>
      <c r="G959" s="4">
        <f>IFERROR(F959-alt_Blanks!$I$14,F959)</f>
        <v>0</v>
      </c>
      <c r="H959" s="7">
        <f t="shared" si="40"/>
        <v>0</v>
      </c>
      <c r="I959" s="7">
        <f t="shared" si="42"/>
        <v>0</v>
      </c>
    </row>
    <row r="960" spans="1:9" x14ac:dyDescent="0.35">
      <c r="A960" t="s">
        <v>99</v>
      </c>
      <c r="B960" t="s">
        <v>100</v>
      </c>
      <c r="C960" t="s">
        <v>19</v>
      </c>
      <c r="D960" t="s">
        <v>153</v>
      </c>
      <c r="E960" t="s">
        <v>86</v>
      </c>
      <c r="F960" s="4">
        <v>406.70976839999997</v>
      </c>
      <c r="G960" s="4">
        <f>IFERROR(F960-alt_Blanks!$I$15,F960)</f>
        <v>138.0863713</v>
      </c>
      <c r="H960" s="7">
        <f t="shared" si="40"/>
        <v>138.0863713</v>
      </c>
      <c r="I960" s="7">
        <f t="shared" si="42"/>
        <v>251.93645557380037</v>
      </c>
    </row>
    <row r="961" spans="1:9" x14ac:dyDescent="0.35">
      <c r="A961" t="s">
        <v>99</v>
      </c>
      <c r="B961" t="s">
        <v>100</v>
      </c>
      <c r="C961" t="s">
        <v>20</v>
      </c>
      <c r="D961" t="s">
        <v>154</v>
      </c>
      <c r="E961" t="s">
        <v>86</v>
      </c>
      <c r="F961" s="4">
        <v>223.88900529999998</v>
      </c>
      <c r="G961" s="4">
        <f>IFERROR(F961-alt_Blanks!$I$16,F961)</f>
        <v>205.42309209999999</v>
      </c>
      <c r="H961" s="7">
        <f t="shared" si="40"/>
        <v>205.42309209999999</v>
      </c>
      <c r="I961" s="7">
        <f t="shared" si="42"/>
        <v>374.79126455026449</v>
      </c>
    </row>
    <row r="962" spans="1:9" x14ac:dyDescent="0.35">
      <c r="A962" t="s">
        <v>99</v>
      </c>
      <c r="B962" t="s">
        <v>100</v>
      </c>
      <c r="C962" t="s">
        <v>21</v>
      </c>
      <c r="D962" t="s">
        <v>155</v>
      </c>
      <c r="E962" t="s">
        <v>86</v>
      </c>
      <c r="F962" s="4">
        <v>0.76800519999999994</v>
      </c>
      <c r="G962" s="4">
        <f>IFERROR(F962-alt_Blanks!$I$17,F962)</f>
        <v>0.43605179999999993</v>
      </c>
      <c r="H962" s="7">
        <f t="shared" si="40"/>
        <v>0.43605179999999993</v>
      </c>
      <c r="I962" s="7">
        <f t="shared" si="42"/>
        <v>0.79556978653530364</v>
      </c>
    </row>
    <row r="963" spans="1:9" x14ac:dyDescent="0.35">
      <c r="A963" t="s">
        <v>99</v>
      </c>
      <c r="B963" t="s">
        <v>100</v>
      </c>
      <c r="C963" t="s">
        <v>22</v>
      </c>
      <c r="D963" t="s">
        <v>155</v>
      </c>
      <c r="E963" t="s">
        <v>86</v>
      </c>
      <c r="F963" s="4">
        <v>122.99563019999999</v>
      </c>
      <c r="G963" s="4">
        <f>IFERROR(F963-alt_Blanks!$I$18,F963)</f>
        <v>116.99217059999999</v>
      </c>
      <c r="H963" s="7">
        <f t="shared" si="40"/>
        <v>116.99217059999999</v>
      </c>
      <c r="I963" s="7">
        <f t="shared" si="42"/>
        <v>213.45041160372193</v>
      </c>
    </row>
    <row r="964" spans="1:9" x14ac:dyDescent="0.35">
      <c r="A964" t="s">
        <v>99</v>
      </c>
      <c r="B964" t="s">
        <v>100</v>
      </c>
      <c r="C964" t="s">
        <v>23</v>
      </c>
      <c r="D964" t="s">
        <v>155</v>
      </c>
      <c r="E964" t="s">
        <v>86</v>
      </c>
      <c r="F964" s="4">
        <v>0</v>
      </c>
      <c r="G964" s="4">
        <f>IFERROR(F964-alt_Blanks!$I$19,F964)</f>
        <v>0</v>
      </c>
      <c r="H964" s="7">
        <f t="shared" si="40"/>
        <v>0</v>
      </c>
      <c r="I964" s="7">
        <f t="shared" si="42"/>
        <v>0</v>
      </c>
    </row>
    <row r="965" spans="1:9" x14ac:dyDescent="0.35">
      <c r="A965" t="s">
        <v>99</v>
      </c>
      <c r="B965" t="s">
        <v>100</v>
      </c>
      <c r="C965" t="s">
        <v>24</v>
      </c>
      <c r="D965" t="s">
        <v>155</v>
      </c>
      <c r="E965" t="s">
        <v>86</v>
      </c>
      <c r="F965" s="4">
        <v>80.478993500000001</v>
      </c>
      <c r="G965" s="4">
        <f>IFERROR(F965-alt_Blanks!$I$20,F965)</f>
        <v>78.541018100000002</v>
      </c>
      <c r="H965" s="7">
        <f t="shared" si="40"/>
        <v>78.541018100000002</v>
      </c>
      <c r="I965" s="7">
        <f t="shared" si="42"/>
        <v>143.29687666484219</v>
      </c>
    </row>
    <row r="966" spans="1:9" x14ac:dyDescent="0.35">
      <c r="A966" t="s">
        <v>99</v>
      </c>
      <c r="B966" t="s">
        <v>100</v>
      </c>
      <c r="C966" t="s">
        <v>25</v>
      </c>
      <c r="D966" t="s">
        <v>155</v>
      </c>
      <c r="E966" t="s">
        <v>86</v>
      </c>
      <c r="F966" s="4">
        <v>5.0642185</v>
      </c>
      <c r="G966" s="4">
        <f>IFERROR(F966-alt_Blanks!$I$21,F966)</f>
        <v>4.8497094000000001</v>
      </c>
      <c r="H966" s="7">
        <f t="shared" ref="H966:H1029" si="43">IF(G966&lt;0,0,G966)</f>
        <v>4.8497094000000001</v>
      </c>
      <c r="I966" s="7">
        <f t="shared" si="42"/>
        <v>8.8482200328407217</v>
      </c>
    </row>
    <row r="967" spans="1:9" x14ac:dyDescent="0.35">
      <c r="A967" t="s">
        <v>99</v>
      </c>
      <c r="B967" t="s">
        <v>100</v>
      </c>
      <c r="C967" t="s">
        <v>26</v>
      </c>
      <c r="D967" t="s">
        <v>153</v>
      </c>
      <c r="E967" t="s">
        <v>86</v>
      </c>
      <c r="F967" s="4">
        <v>1.6242264</v>
      </c>
      <c r="G967" s="4">
        <f>IFERROR(F967-alt_Blanks!$I$22,F967)</f>
        <v>2.9505000000000114E-2</v>
      </c>
      <c r="H967" s="7">
        <f t="shared" si="43"/>
        <v>2.9505000000000114E-2</v>
      </c>
      <c r="I967" s="7">
        <f t="shared" si="42"/>
        <v>5.3831417624521281E-2</v>
      </c>
    </row>
    <row r="968" spans="1:9" x14ac:dyDescent="0.35">
      <c r="A968" t="s">
        <v>99</v>
      </c>
      <c r="B968" t="s">
        <v>100</v>
      </c>
      <c r="C968" t="s">
        <v>27</v>
      </c>
      <c r="D968" t="s">
        <v>154</v>
      </c>
      <c r="E968" t="s">
        <v>86</v>
      </c>
      <c r="F968" s="4">
        <v>0</v>
      </c>
      <c r="G968" s="4">
        <f>IFERROR(F968-alt_Blanks!$I$23,F968)</f>
        <v>-0.12073739999999999</v>
      </c>
      <c r="H968" s="7">
        <f t="shared" si="43"/>
        <v>0</v>
      </c>
      <c r="I968" s="7">
        <f t="shared" si="42"/>
        <v>0</v>
      </c>
    </row>
    <row r="969" spans="1:9" x14ac:dyDescent="0.35">
      <c r="A969" t="s">
        <v>99</v>
      </c>
      <c r="B969" t="s">
        <v>100</v>
      </c>
      <c r="C969" t="s">
        <v>28</v>
      </c>
      <c r="D969" t="s">
        <v>155</v>
      </c>
      <c r="E969" t="s">
        <v>86</v>
      </c>
      <c r="F969" s="4">
        <v>12.952518400000001</v>
      </c>
      <c r="G969" s="4">
        <f>IFERROR(F969-alt_Blanks!$I$24,F969)</f>
        <v>12.705348800000001</v>
      </c>
      <c r="H969" s="7">
        <f t="shared" si="43"/>
        <v>12.705348800000001</v>
      </c>
      <c r="I969" s="7">
        <f t="shared" si="42"/>
        <v>23.180713008575079</v>
      </c>
    </row>
    <row r="970" spans="1:9" x14ac:dyDescent="0.35">
      <c r="A970" t="s">
        <v>99</v>
      </c>
      <c r="B970" t="s">
        <v>100</v>
      </c>
      <c r="C970" t="s">
        <v>29</v>
      </c>
      <c r="D970" t="s">
        <v>155</v>
      </c>
      <c r="E970" t="s">
        <v>86</v>
      </c>
      <c r="F970" s="4" t="e">
        <v>#N/A</v>
      </c>
      <c r="G970" s="4" t="e">
        <f>IFERROR(F970-alt_Blanks!$I$25,F970)</f>
        <v>#N/A</v>
      </c>
      <c r="H970" s="7" t="e">
        <f t="shared" si="43"/>
        <v>#N/A</v>
      </c>
      <c r="I970" s="7" t="e">
        <f t="shared" si="42"/>
        <v>#N/A</v>
      </c>
    </row>
    <row r="971" spans="1:9" x14ac:dyDescent="0.35">
      <c r="A971" t="s">
        <v>99</v>
      </c>
      <c r="B971" t="s">
        <v>100</v>
      </c>
      <c r="C971" t="s">
        <v>30</v>
      </c>
      <c r="D971" t="s">
        <v>155</v>
      </c>
      <c r="E971" t="s">
        <v>86</v>
      </c>
      <c r="F971" s="4">
        <v>171.93706080000001</v>
      </c>
      <c r="G971" s="4">
        <f>IFERROR(F971-alt_Blanks!$I$26,F971)</f>
        <v>171.35688450000001</v>
      </c>
      <c r="H971" s="7">
        <f t="shared" si="43"/>
        <v>171.35688450000001</v>
      </c>
      <c r="I971" s="7">
        <f t="shared" si="42"/>
        <v>312.63799397920087</v>
      </c>
    </row>
    <row r="972" spans="1:9" x14ac:dyDescent="0.35">
      <c r="A972" t="s">
        <v>99</v>
      </c>
      <c r="B972" t="s">
        <v>100</v>
      </c>
      <c r="C972" t="s">
        <v>31</v>
      </c>
      <c r="D972" t="s">
        <v>155</v>
      </c>
      <c r="E972" t="s">
        <v>86</v>
      </c>
      <c r="F972" s="4" t="e">
        <v>#N/A</v>
      </c>
      <c r="G972" s="4" t="e">
        <f>IFERROR(F972-alt_Blanks!$I$27,F972)</f>
        <v>#N/A</v>
      </c>
      <c r="H972" s="7" t="e">
        <f t="shared" si="43"/>
        <v>#N/A</v>
      </c>
      <c r="I972" s="7" t="e">
        <f t="shared" si="42"/>
        <v>#N/A</v>
      </c>
    </row>
    <row r="973" spans="1:9" x14ac:dyDescent="0.35">
      <c r="A973" t="s">
        <v>99</v>
      </c>
      <c r="B973" t="s">
        <v>100</v>
      </c>
      <c r="C973" t="s">
        <v>32</v>
      </c>
      <c r="D973" t="s">
        <v>153</v>
      </c>
      <c r="E973" t="s">
        <v>86</v>
      </c>
      <c r="F973" s="4">
        <v>0</v>
      </c>
      <c r="G973" s="4">
        <f>IFERROR(F973-alt_Blanks!$I$28,F973)</f>
        <v>0</v>
      </c>
      <c r="H973" s="7">
        <f t="shared" si="43"/>
        <v>0</v>
      </c>
      <c r="I973" s="7">
        <f t="shared" si="42"/>
        <v>0</v>
      </c>
    </row>
    <row r="974" spans="1:9" x14ac:dyDescent="0.35">
      <c r="A974" t="s">
        <v>99</v>
      </c>
      <c r="B974" t="s">
        <v>100</v>
      </c>
      <c r="C974" t="s">
        <v>33</v>
      </c>
      <c r="D974" t="s">
        <v>155</v>
      </c>
      <c r="E974" t="s">
        <v>86</v>
      </c>
      <c r="F974" s="4">
        <v>135.04036210000001</v>
      </c>
      <c r="G974" s="4">
        <f>IFERROR(F974-alt_Blanks!$I$29,F974)</f>
        <v>134.4287411</v>
      </c>
      <c r="H974" s="7">
        <f t="shared" si="43"/>
        <v>134.4287411</v>
      </c>
      <c r="I974" s="7">
        <f t="shared" si="42"/>
        <v>245.26316566320011</v>
      </c>
    </row>
    <row r="975" spans="1:9" x14ac:dyDescent="0.35">
      <c r="A975" t="s">
        <v>99</v>
      </c>
      <c r="B975" t="s">
        <v>100</v>
      </c>
      <c r="C975" t="s">
        <v>34</v>
      </c>
      <c r="D975" t="s">
        <v>153</v>
      </c>
      <c r="E975" t="s">
        <v>86</v>
      </c>
      <c r="F975" s="4">
        <v>0</v>
      </c>
      <c r="G975" s="4">
        <f>IFERROR(F975-alt_Blanks!$I$30,F975)</f>
        <v>0</v>
      </c>
      <c r="H975" s="7">
        <f t="shared" si="43"/>
        <v>0</v>
      </c>
      <c r="I975" s="7">
        <f t="shared" si="42"/>
        <v>0</v>
      </c>
    </row>
    <row r="976" spans="1:9" x14ac:dyDescent="0.35">
      <c r="A976" t="s">
        <v>99</v>
      </c>
      <c r="B976" t="s">
        <v>100</v>
      </c>
      <c r="C976" t="s">
        <v>35</v>
      </c>
      <c r="D976" t="s">
        <v>154</v>
      </c>
      <c r="E976" t="s">
        <v>86</v>
      </c>
      <c r="F976" s="4">
        <v>116.5519615</v>
      </c>
      <c r="G976" s="4">
        <f>IFERROR(F976-alt_Blanks!$I$31,F976)</f>
        <v>14.09732790000001</v>
      </c>
      <c r="H976" s="7">
        <f t="shared" si="43"/>
        <v>14.09732790000001</v>
      </c>
      <c r="I976" s="7">
        <f t="shared" si="42"/>
        <v>25.720357416529847</v>
      </c>
    </row>
    <row r="977" spans="1:9" x14ac:dyDescent="0.35">
      <c r="A977" t="s">
        <v>99</v>
      </c>
      <c r="B977" t="s">
        <v>100</v>
      </c>
      <c r="C977" t="s">
        <v>36</v>
      </c>
      <c r="D977" t="s">
        <v>155</v>
      </c>
      <c r="E977" t="s">
        <v>86</v>
      </c>
      <c r="F977" s="4">
        <v>1.9230726999999999</v>
      </c>
      <c r="G977" s="4">
        <f>IFERROR(F977-alt_Blanks!$I$32,F977)</f>
        <v>-4.4958000000001608E-3</v>
      </c>
      <c r="H977" s="7">
        <f t="shared" si="43"/>
        <v>0</v>
      </c>
      <c r="I977" s="7">
        <f t="shared" si="42"/>
        <v>0</v>
      </c>
    </row>
    <row r="978" spans="1:9" x14ac:dyDescent="0.35">
      <c r="A978" t="s">
        <v>99</v>
      </c>
      <c r="B978" t="s">
        <v>100</v>
      </c>
      <c r="C978" t="s">
        <v>37</v>
      </c>
      <c r="D978" t="s">
        <v>155</v>
      </c>
      <c r="E978" t="s">
        <v>86</v>
      </c>
      <c r="F978" s="4">
        <v>3.9004509999999999</v>
      </c>
      <c r="G978" s="4">
        <f>IFERROR(F978-alt_Blanks!$I$33,F978)</f>
        <v>3.9004509999999999</v>
      </c>
      <c r="H978" s="7">
        <f t="shared" si="43"/>
        <v>3.9004509999999999</v>
      </c>
      <c r="I978" s="7">
        <f t="shared" si="42"/>
        <v>7.1163127166575437</v>
      </c>
    </row>
    <row r="979" spans="1:9" x14ac:dyDescent="0.35">
      <c r="A979" t="s">
        <v>99</v>
      </c>
      <c r="B979" t="s">
        <v>100</v>
      </c>
      <c r="C979" t="s">
        <v>38</v>
      </c>
      <c r="D979" t="s">
        <v>155</v>
      </c>
      <c r="E979" t="s">
        <v>86</v>
      </c>
      <c r="F979" s="4">
        <v>1.7202709</v>
      </c>
      <c r="G979" s="4">
        <f>IFERROR(F979-alt_Blanks!$I$34,F979)</f>
        <v>1.7202709</v>
      </c>
      <c r="H979" s="7">
        <f t="shared" si="43"/>
        <v>1.7202709</v>
      </c>
      <c r="I979" s="7">
        <f t="shared" si="42"/>
        <v>3.1386077358146323</v>
      </c>
    </row>
    <row r="980" spans="1:9" x14ac:dyDescent="0.35">
      <c r="A980" t="s">
        <v>99</v>
      </c>
      <c r="B980" t="s">
        <v>100</v>
      </c>
      <c r="C980" t="s">
        <v>39</v>
      </c>
      <c r="D980" t="s">
        <v>153</v>
      </c>
      <c r="E980" t="s">
        <v>86</v>
      </c>
      <c r="F980" s="4">
        <v>3.4735104000000003</v>
      </c>
      <c r="G980" s="4">
        <f>IFERROR(F980-alt_Blanks!$I$35,F980)</f>
        <v>3.4735104000000003</v>
      </c>
      <c r="H980" s="7">
        <f t="shared" si="43"/>
        <v>3.4735104000000003</v>
      </c>
      <c r="I980" s="7">
        <f t="shared" si="42"/>
        <v>6.3373661740558296</v>
      </c>
    </row>
    <row r="981" spans="1:9" x14ac:dyDescent="0.35">
      <c r="A981" t="s">
        <v>99</v>
      </c>
      <c r="B981" t="s">
        <v>100</v>
      </c>
      <c r="C981" t="s">
        <v>40</v>
      </c>
      <c r="D981" t="s">
        <v>154</v>
      </c>
      <c r="E981" t="s">
        <v>86</v>
      </c>
      <c r="F981" s="4">
        <v>0</v>
      </c>
      <c r="G981" s="4">
        <f>IFERROR(F981-alt_Blanks!$I$36,F981)</f>
        <v>0</v>
      </c>
      <c r="H981" s="7">
        <f t="shared" si="43"/>
        <v>0</v>
      </c>
      <c r="I981" s="7">
        <f t="shared" si="42"/>
        <v>0</v>
      </c>
    </row>
    <row r="982" spans="1:9" x14ac:dyDescent="0.35">
      <c r="A982" t="s">
        <v>101</v>
      </c>
      <c r="B982" t="s">
        <v>102</v>
      </c>
      <c r="C982" t="s">
        <v>6</v>
      </c>
      <c r="D982" t="s">
        <v>153</v>
      </c>
      <c r="E982" t="s">
        <v>86</v>
      </c>
      <c r="F982" s="4">
        <v>142.32426519999999</v>
      </c>
      <c r="G982" s="4">
        <f>IFERROR(F982-alt_Blanks!$I$2,F982)</f>
        <v>135.61772409999998</v>
      </c>
      <c r="H982" s="7">
        <f t="shared" si="43"/>
        <v>135.61772409999998</v>
      </c>
      <c r="I982" s="7">
        <f>H982/0.3699</f>
        <v>366.63347958907804</v>
      </c>
    </row>
    <row r="983" spans="1:9" x14ac:dyDescent="0.35">
      <c r="A983" t="s">
        <v>101</v>
      </c>
      <c r="B983" t="s">
        <v>102</v>
      </c>
      <c r="C983" t="s">
        <v>7</v>
      </c>
      <c r="D983" t="s">
        <v>153</v>
      </c>
      <c r="E983" t="s">
        <v>86</v>
      </c>
      <c r="F983" s="4">
        <v>104.4161103</v>
      </c>
      <c r="G983" s="4">
        <f>IFERROR(F983-alt_Blanks!$I$3,F983)</f>
        <v>104.4161103</v>
      </c>
      <c r="H983" s="7">
        <f t="shared" si="43"/>
        <v>104.4161103</v>
      </c>
      <c r="I983" s="7">
        <f t="shared" ref="I983:I1016" si="44">H983/0.3699</f>
        <v>282.28199594484994</v>
      </c>
    </row>
    <row r="984" spans="1:9" x14ac:dyDescent="0.35">
      <c r="A984" t="s">
        <v>101</v>
      </c>
      <c r="B984" t="s">
        <v>102</v>
      </c>
      <c r="C984" t="s">
        <v>8</v>
      </c>
      <c r="D984" t="s">
        <v>153</v>
      </c>
      <c r="E984" t="s">
        <v>86</v>
      </c>
      <c r="F984" s="4">
        <v>11.4445298</v>
      </c>
      <c r="G984" s="4">
        <f>IFERROR(F984-alt_Blanks!$I$4,F984)</f>
        <v>11.4445298</v>
      </c>
      <c r="H984" s="7">
        <f t="shared" si="43"/>
        <v>11.4445298</v>
      </c>
      <c r="I984" s="7">
        <f t="shared" si="44"/>
        <v>30.939523655041903</v>
      </c>
    </row>
    <row r="985" spans="1:9" x14ac:dyDescent="0.35">
      <c r="A985" t="s">
        <v>101</v>
      </c>
      <c r="B985" t="s">
        <v>102</v>
      </c>
      <c r="C985" t="s">
        <v>9</v>
      </c>
      <c r="D985" t="s">
        <v>153</v>
      </c>
      <c r="E985" t="s">
        <v>86</v>
      </c>
      <c r="F985" s="4">
        <v>0</v>
      </c>
      <c r="G985" s="4">
        <f>IFERROR(F985-alt_Blanks!$I$5,F985)</f>
        <v>0</v>
      </c>
      <c r="H985" s="7">
        <f t="shared" si="43"/>
        <v>0</v>
      </c>
      <c r="I985" s="7">
        <f t="shared" si="44"/>
        <v>0</v>
      </c>
    </row>
    <row r="986" spans="1:9" x14ac:dyDescent="0.35">
      <c r="A986" t="s">
        <v>101</v>
      </c>
      <c r="B986" t="s">
        <v>102</v>
      </c>
      <c r="C986" t="s">
        <v>10</v>
      </c>
      <c r="D986" t="s">
        <v>153</v>
      </c>
      <c r="E986" t="s">
        <v>86</v>
      </c>
      <c r="F986" s="4">
        <v>6.1502742000000001</v>
      </c>
      <c r="G986" s="4">
        <f>IFERROR(F986-alt_Blanks!$I$6,F986)</f>
        <v>6.1502742000000001</v>
      </c>
      <c r="H986" s="7">
        <f t="shared" si="43"/>
        <v>6.1502742000000001</v>
      </c>
      <c r="I986" s="7">
        <f t="shared" si="44"/>
        <v>16.626856447688564</v>
      </c>
    </row>
    <row r="987" spans="1:9" x14ac:dyDescent="0.35">
      <c r="A987" t="s">
        <v>101</v>
      </c>
      <c r="B987" t="s">
        <v>102</v>
      </c>
      <c r="C987" t="s">
        <v>11</v>
      </c>
      <c r="D987" t="s">
        <v>153</v>
      </c>
      <c r="E987" t="s">
        <v>86</v>
      </c>
      <c r="F987" s="4">
        <v>0</v>
      </c>
      <c r="G987" s="4">
        <f>IFERROR(F987-alt_Blanks!$I$7,F987)</f>
        <v>0</v>
      </c>
      <c r="H987" s="7">
        <f t="shared" si="43"/>
        <v>0</v>
      </c>
      <c r="I987" s="7">
        <f t="shared" si="44"/>
        <v>0</v>
      </c>
    </row>
    <row r="988" spans="1:9" x14ac:dyDescent="0.35">
      <c r="A988" t="s">
        <v>101</v>
      </c>
      <c r="B988" t="s">
        <v>102</v>
      </c>
      <c r="C988" t="s">
        <v>12</v>
      </c>
      <c r="D988" t="s">
        <v>154</v>
      </c>
      <c r="E988" t="s">
        <v>86</v>
      </c>
      <c r="F988" s="4">
        <v>0</v>
      </c>
      <c r="G988" s="4">
        <f>IFERROR(F988-alt_Blanks!$I$8,F988)</f>
        <v>0</v>
      </c>
      <c r="H988" s="7">
        <f t="shared" si="43"/>
        <v>0</v>
      </c>
      <c r="I988" s="7">
        <f t="shared" si="44"/>
        <v>0</v>
      </c>
    </row>
    <row r="989" spans="1:9" x14ac:dyDescent="0.35">
      <c r="A989" t="s">
        <v>101</v>
      </c>
      <c r="B989" t="s">
        <v>102</v>
      </c>
      <c r="C989" t="s">
        <v>13</v>
      </c>
      <c r="D989" t="s">
        <v>153</v>
      </c>
      <c r="E989" t="s">
        <v>86</v>
      </c>
      <c r="F989" s="4" t="e">
        <v>#N/A</v>
      </c>
      <c r="G989" s="4" t="e">
        <f>IFERROR(F989-alt_Blanks!$I$9,F989)</f>
        <v>#N/A</v>
      </c>
      <c r="H989" s="7" t="e">
        <f t="shared" si="43"/>
        <v>#N/A</v>
      </c>
      <c r="I989" s="7" t="e">
        <f t="shared" si="44"/>
        <v>#N/A</v>
      </c>
    </row>
    <row r="990" spans="1:9" x14ac:dyDescent="0.35">
      <c r="A990" t="s">
        <v>101</v>
      </c>
      <c r="B990" t="s">
        <v>102</v>
      </c>
      <c r="C990" t="s">
        <v>14</v>
      </c>
      <c r="D990" t="s">
        <v>154</v>
      </c>
      <c r="E990" t="s">
        <v>86</v>
      </c>
      <c r="F990" s="4">
        <v>2.1977894999999998</v>
      </c>
      <c r="G990" s="4">
        <f>IFERROR(F990-alt_Blanks!$I$10,F990)</f>
        <v>2.1977894999999998</v>
      </c>
      <c r="H990" s="7">
        <f t="shared" si="43"/>
        <v>2.1977894999999998</v>
      </c>
      <c r="I990" s="7">
        <f t="shared" si="44"/>
        <v>5.9415774533657739</v>
      </c>
    </row>
    <row r="991" spans="1:9" x14ac:dyDescent="0.35">
      <c r="A991" t="s">
        <v>101</v>
      </c>
      <c r="B991" t="s">
        <v>102</v>
      </c>
      <c r="C991" t="s">
        <v>15</v>
      </c>
      <c r="D991" t="s">
        <v>153</v>
      </c>
      <c r="E991" t="s">
        <v>86</v>
      </c>
      <c r="F991" s="4">
        <v>2664.7939548999998</v>
      </c>
      <c r="G991" s="4">
        <f>IFERROR(F991-alt_Blanks!$I$11,F991)</f>
        <v>1859.5772651999998</v>
      </c>
      <c r="H991" s="7">
        <f t="shared" si="43"/>
        <v>1859.5772651999998</v>
      </c>
      <c r="I991" s="7">
        <f t="shared" si="44"/>
        <v>5027.2432149229517</v>
      </c>
    </row>
    <row r="992" spans="1:9" x14ac:dyDescent="0.35">
      <c r="A992" t="s">
        <v>101</v>
      </c>
      <c r="B992" t="s">
        <v>102</v>
      </c>
      <c r="C992" t="s">
        <v>16</v>
      </c>
      <c r="D992" t="s">
        <v>154</v>
      </c>
      <c r="E992" t="s">
        <v>86</v>
      </c>
      <c r="F992" s="4">
        <v>13.907140399999999</v>
      </c>
      <c r="G992" s="4">
        <f>IFERROR(F992-alt_Blanks!$I$12,F992)</f>
        <v>13.907140399999999</v>
      </c>
      <c r="H992" s="7">
        <f t="shared" si="43"/>
        <v>13.907140399999999</v>
      </c>
      <c r="I992" s="7">
        <f t="shared" si="44"/>
        <v>37.597027304676935</v>
      </c>
    </row>
    <row r="993" spans="1:9" x14ac:dyDescent="0.35">
      <c r="A993" t="s">
        <v>101</v>
      </c>
      <c r="B993" t="s">
        <v>102</v>
      </c>
      <c r="C993" t="s">
        <v>17</v>
      </c>
      <c r="D993" t="s">
        <v>153</v>
      </c>
      <c r="E993" t="s">
        <v>86</v>
      </c>
      <c r="F993" s="4">
        <v>9.2166899999999996E-2</v>
      </c>
      <c r="G993" s="4">
        <f>IFERROR(F993-alt_Blanks!$I$13,F993)</f>
        <v>-0.76054659999999985</v>
      </c>
      <c r="H993" s="7">
        <f t="shared" si="43"/>
        <v>0</v>
      </c>
      <c r="I993" s="7">
        <f t="shared" si="44"/>
        <v>0</v>
      </c>
    </row>
    <row r="994" spans="1:9" x14ac:dyDescent="0.35">
      <c r="A994" t="s">
        <v>101</v>
      </c>
      <c r="B994" t="s">
        <v>102</v>
      </c>
      <c r="C994" t="s">
        <v>18</v>
      </c>
      <c r="D994" t="s">
        <v>154</v>
      </c>
      <c r="E994" t="s">
        <v>86</v>
      </c>
      <c r="F994" s="4">
        <v>16.056930900000001</v>
      </c>
      <c r="G994" s="4">
        <f>IFERROR(F994-alt_Blanks!$I$14,F994)</f>
        <v>16.056930900000001</v>
      </c>
      <c r="H994" s="7">
        <f t="shared" si="43"/>
        <v>16.056930900000001</v>
      </c>
      <c r="I994" s="7">
        <f t="shared" si="44"/>
        <v>43.408842660178429</v>
      </c>
    </row>
    <row r="995" spans="1:9" x14ac:dyDescent="0.35">
      <c r="A995" t="s">
        <v>101</v>
      </c>
      <c r="B995" t="s">
        <v>102</v>
      </c>
      <c r="C995" t="s">
        <v>19</v>
      </c>
      <c r="D995" t="s">
        <v>153</v>
      </c>
      <c r="E995" t="s">
        <v>86</v>
      </c>
      <c r="F995" s="4">
        <v>1291.4441416</v>
      </c>
      <c r="G995" s="4">
        <f>IFERROR(F995-alt_Blanks!$I$15,F995)</f>
        <v>1022.8207445</v>
      </c>
      <c r="H995" s="7">
        <f t="shared" si="43"/>
        <v>1022.8207445</v>
      </c>
      <c r="I995" s="7">
        <f t="shared" si="44"/>
        <v>2765.1277223573938</v>
      </c>
    </row>
    <row r="996" spans="1:9" x14ac:dyDescent="0.35">
      <c r="A996" t="s">
        <v>101</v>
      </c>
      <c r="B996" t="s">
        <v>102</v>
      </c>
      <c r="C996" t="s">
        <v>20</v>
      </c>
      <c r="D996" t="s">
        <v>154</v>
      </c>
      <c r="E996" t="s">
        <v>86</v>
      </c>
      <c r="F996" s="4">
        <v>1.8196416</v>
      </c>
      <c r="G996" s="4">
        <f>IFERROR(F996-alt_Blanks!$I$16,F996)</f>
        <v>-16.646271599999999</v>
      </c>
      <c r="H996" s="7">
        <f t="shared" si="43"/>
        <v>0</v>
      </c>
      <c r="I996" s="7">
        <f t="shared" si="44"/>
        <v>0</v>
      </c>
    </row>
    <row r="997" spans="1:9" x14ac:dyDescent="0.35">
      <c r="A997" t="s">
        <v>101</v>
      </c>
      <c r="B997" t="s">
        <v>102</v>
      </c>
      <c r="C997" t="s">
        <v>21</v>
      </c>
      <c r="D997" t="s">
        <v>155</v>
      </c>
      <c r="E997" t="s">
        <v>86</v>
      </c>
      <c r="F997" s="4">
        <v>16.064408499999999</v>
      </c>
      <c r="G997" s="4">
        <f>IFERROR(F997-alt_Blanks!$I$17,F997)</f>
        <v>15.732455099999999</v>
      </c>
      <c r="H997" s="7">
        <f t="shared" si="43"/>
        <v>15.732455099999999</v>
      </c>
      <c r="I997" s="7">
        <f t="shared" si="44"/>
        <v>42.531643957826439</v>
      </c>
    </row>
    <row r="998" spans="1:9" x14ac:dyDescent="0.35">
      <c r="A998" t="s">
        <v>101</v>
      </c>
      <c r="B998" t="s">
        <v>102</v>
      </c>
      <c r="C998" t="s">
        <v>22</v>
      </c>
      <c r="D998" t="s">
        <v>155</v>
      </c>
      <c r="E998" t="s">
        <v>86</v>
      </c>
      <c r="F998" s="4">
        <v>10.6900475</v>
      </c>
      <c r="G998" s="4">
        <f>IFERROR(F998-alt_Blanks!$I$18,F998)</f>
        <v>4.6865879000000001</v>
      </c>
      <c r="H998" s="7">
        <f t="shared" si="43"/>
        <v>4.6865879000000001</v>
      </c>
      <c r="I998" s="7">
        <f t="shared" si="44"/>
        <v>12.669878075155447</v>
      </c>
    </row>
    <row r="999" spans="1:9" x14ac:dyDescent="0.35">
      <c r="A999" t="s">
        <v>101</v>
      </c>
      <c r="B999" t="s">
        <v>102</v>
      </c>
      <c r="C999" t="s">
        <v>23</v>
      </c>
      <c r="D999" t="s">
        <v>155</v>
      </c>
      <c r="E999" t="s">
        <v>86</v>
      </c>
      <c r="F999" s="4">
        <v>12.2328235</v>
      </c>
      <c r="G999" s="4">
        <f>IFERROR(F999-alt_Blanks!$I$19,F999)</f>
        <v>12.2328235</v>
      </c>
      <c r="H999" s="7">
        <f t="shared" si="43"/>
        <v>12.2328235</v>
      </c>
      <c r="I999" s="7">
        <f t="shared" si="44"/>
        <v>33.070623141389568</v>
      </c>
    </row>
    <row r="1000" spans="1:9" x14ac:dyDescent="0.35">
      <c r="A1000" t="s">
        <v>101</v>
      </c>
      <c r="B1000" t="s">
        <v>102</v>
      </c>
      <c r="C1000" t="s">
        <v>24</v>
      </c>
      <c r="D1000" t="s">
        <v>155</v>
      </c>
      <c r="E1000" t="s">
        <v>86</v>
      </c>
      <c r="F1000" s="4">
        <v>24.473493600000001</v>
      </c>
      <c r="G1000" s="4">
        <f>IFERROR(F1000-alt_Blanks!$I$20,F1000)</f>
        <v>22.535518200000002</v>
      </c>
      <c r="H1000" s="7">
        <f t="shared" si="43"/>
        <v>22.535518200000002</v>
      </c>
      <c r="I1000" s="7">
        <f t="shared" si="44"/>
        <v>60.923271695052719</v>
      </c>
    </row>
    <row r="1001" spans="1:9" x14ac:dyDescent="0.35">
      <c r="A1001" t="s">
        <v>101</v>
      </c>
      <c r="B1001" t="s">
        <v>102</v>
      </c>
      <c r="C1001" t="s">
        <v>25</v>
      </c>
      <c r="D1001" t="s">
        <v>155</v>
      </c>
      <c r="E1001" t="s">
        <v>86</v>
      </c>
      <c r="F1001" s="4">
        <v>10.5253602</v>
      </c>
      <c r="G1001" s="4">
        <f>IFERROR(F1001-alt_Blanks!$I$21,F1001)</f>
        <v>10.310851099999999</v>
      </c>
      <c r="H1001" s="7">
        <f t="shared" si="43"/>
        <v>10.310851099999999</v>
      </c>
      <c r="I1001" s="7">
        <f t="shared" si="44"/>
        <v>27.874698837523653</v>
      </c>
    </row>
    <row r="1002" spans="1:9" x14ac:dyDescent="0.35">
      <c r="A1002" t="s">
        <v>101</v>
      </c>
      <c r="B1002" t="s">
        <v>102</v>
      </c>
      <c r="C1002" t="s">
        <v>26</v>
      </c>
      <c r="D1002" t="s">
        <v>153</v>
      </c>
      <c r="E1002" t="s">
        <v>86</v>
      </c>
      <c r="F1002" s="4">
        <v>6.0878202000000003</v>
      </c>
      <c r="G1002" s="4">
        <f>IFERROR(F1002-alt_Blanks!$I$22,F1002)</f>
        <v>4.4930988000000003</v>
      </c>
      <c r="H1002" s="7">
        <f t="shared" si="43"/>
        <v>4.4930988000000003</v>
      </c>
      <c r="I1002" s="7">
        <f t="shared" si="44"/>
        <v>12.146793187347932</v>
      </c>
    </row>
    <row r="1003" spans="1:9" x14ac:dyDescent="0.35">
      <c r="A1003" t="s">
        <v>101</v>
      </c>
      <c r="B1003" t="s">
        <v>102</v>
      </c>
      <c r="C1003" t="s">
        <v>27</v>
      </c>
      <c r="D1003" t="s">
        <v>154</v>
      </c>
      <c r="E1003" t="s">
        <v>86</v>
      </c>
      <c r="F1003" s="4">
        <v>2.6687357999999999</v>
      </c>
      <c r="G1003" s="4">
        <f>IFERROR(F1003-alt_Blanks!$I$23,F1003)</f>
        <v>2.5479984</v>
      </c>
      <c r="H1003" s="7">
        <f t="shared" si="43"/>
        <v>2.5479984</v>
      </c>
      <c r="I1003" s="7">
        <f t="shared" si="44"/>
        <v>6.8883438767234386</v>
      </c>
    </row>
    <row r="1004" spans="1:9" x14ac:dyDescent="0.35">
      <c r="A1004" t="s">
        <v>101</v>
      </c>
      <c r="B1004" t="s">
        <v>102</v>
      </c>
      <c r="C1004" t="s">
        <v>28</v>
      </c>
      <c r="D1004" t="s">
        <v>155</v>
      </c>
      <c r="E1004" t="s">
        <v>86</v>
      </c>
      <c r="F1004" s="4">
        <v>2.4671316000000001</v>
      </c>
      <c r="G1004" s="4">
        <f>IFERROR(F1004-alt_Blanks!$I$24,F1004)</f>
        <v>2.2199620000000002</v>
      </c>
      <c r="H1004" s="7">
        <f t="shared" si="43"/>
        <v>2.2199620000000002</v>
      </c>
      <c r="I1004" s="7">
        <f t="shared" si="44"/>
        <v>6.0015193295485272</v>
      </c>
    </row>
    <row r="1005" spans="1:9" x14ac:dyDescent="0.35">
      <c r="A1005" t="s">
        <v>101</v>
      </c>
      <c r="B1005" t="s">
        <v>102</v>
      </c>
      <c r="C1005" t="s">
        <v>29</v>
      </c>
      <c r="D1005" t="s">
        <v>155</v>
      </c>
      <c r="E1005" t="s">
        <v>86</v>
      </c>
      <c r="F1005" s="4">
        <v>18.020624000000002</v>
      </c>
      <c r="G1005" s="4">
        <f>IFERROR(F1005-alt_Blanks!$I$25,F1005)</f>
        <v>17.5483832</v>
      </c>
      <c r="H1005" s="7">
        <f t="shared" si="43"/>
        <v>17.5483832</v>
      </c>
      <c r="I1005" s="7">
        <f t="shared" si="44"/>
        <v>47.440884563395514</v>
      </c>
    </row>
    <row r="1006" spans="1:9" x14ac:dyDescent="0.35">
      <c r="A1006" t="s">
        <v>101</v>
      </c>
      <c r="B1006" t="s">
        <v>102</v>
      </c>
      <c r="C1006" t="s">
        <v>30</v>
      </c>
      <c r="D1006" t="s">
        <v>155</v>
      </c>
      <c r="E1006" t="s">
        <v>86</v>
      </c>
      <c r="F1006" s="4">
        <v>28.285708400000001</v>
      </c>
      <c r="G1006" s="4">
        <f>IFERROR(F1006-alt_Blanks!$I$26,F1006)</f>
        <v>27.705532099999999</v>
      </c>
      <c r="H1006" s="7">
        <f t="shared" si="43"/>
        <v>27.705532099999999</v>
      </c>
      <c r="I1006" s="7">
        <f t="shared" si="44"/>
        <v>74.900059745877257</v>
      </c>
    </row>
    <row r="1007" spans="1:9" x14ac:dyDescent="0.35">
      <c r="A1007" t="s">
        <v>101</v>
      </c>
      <c r="B1007" t="s">
        <v>102</v>
      </c>
      <c r="C1007" t="s">
        <v>31</v>
      </c>
      <c r="D1007" t="s">
        <v>155</v>
      </c>
      <c r="E1007" t="s">
        <v>86</v>
      </c>
      <c r="F1007" s="4">
        <v>14.258039699999999</v>
      </c>
      <c r="G1007" s="4">
        <f>IFERROR(F1007-alt_Blanks!$I$27,F1007)</f>
        <v>14.258039699999999</v>
      </c>
      <c r="H1007" s="7">
        <f t="shared" si="43"/>
        <v>14.258039699999999</v>
      </c>
      <c r="I1007" s="7">
        <f t="shared" si="44"/>
        <v>38.545660178426601</v>
      </c>
    </row>
    <row r="1008" spans="1:9" x14ac:dyDescent="0.35">
      <c r="A1008" t="s">
        <v>101</v>
      </c>
      <c r="B1008" t="s">
        <v>102</v>
      </c>
      <c r="C1008" t="s">
        <v>32</v>
      </c>
      <c r="D1008" t="s">
        <v>153</v>
      </c>
      <c r="E1008" t="s">
        <v>86</v>
      </c>
      <c r="F1008" s="4">
        <v>2.7250662000000001</v>
      </c>
      <c r="G1008" s="4">
        <f>IFERROR(F1008-alt_Blanks!$I$28,F1008)</f>
        <v>2.7250662000000001</v>
      </c>
      <c r="H1008" s="7">
        <f t="shared" si="43"/>
        <v>2.7250662000000001</v>
      </c>
      <c r="I1008" s="7">
        <f t="shared" si="44"/>
        <v>7.3670348742903489</v>
      </c>
    </row>
    <row r="1009" spans="1:9" x14ac:dyDescent="0.35">
      <c r="A1009" t="s">
        <v>101</v>
      </c>
      <c r="B1009" t="s">
        <v>102</v>
      </c>
      <c r="C1009" t="s">
        <v>33</v>
      </c>
      <c r="D1009" t="s">
        <v>155</v>
      </c>
      <c r="E1009" t="s">
        <v>86</v>
      </c>
      <c r="F1009" s="4">
        <v>25.6459805</v>
      </c>
      <c r="G1009" s="4">
        <f>IFERROR(F1009-alt_Blanks!$I$29,F1009)</f>
        <v>25.034359500000001</v>
      </c>
      <c r="H1009" s="7">
        <f t="shared" si="43"/>
        <v>25.034359500000001</v>
      </c>
      <c r="I1009" s="7">
        <f t="shared" si="44"/>
        <v>67.67872262773723</v>
      </c>
    </row>
    <row r="1010" spans="1:9" x14ac:dyDescent="0.35">
      <c r="A1010" t="s">
        <v>101</v>
      </c>
      <c r="B1010" t="s">
        <v>102</v>
      </c>
      <c r="C1010" t="s">
        <v>34</v>
      </c>
      <c r="D1010" t="s">
        <v>153</v>
      </c>
      <c r="E1010" t="s">
        <v>86</v>
      </c>
      <c r="F1010" s="4" t="e">
        <v>#N/A</v>
      </c>
      <c r="G1010" s="4" t="e">
        <f>IFERROR(F1010-alt_Blanks!$I$30,F1010)</f>
        <v>#N/A</v>
      </c>
      <c r="H1010" s="7" t="e">
        <f t="shared" si="43"/>
        <v>#N/A</v>
      </c>
      <c r="I1010" s="7" t="e">
        <f t="shared" si="44"/>
        <v>#N/A</v>
      </c>
    </row>
    <row r="1011" spans="1:9" x14ac:dyDescent="0.35">
      <c r="A1011" t="s">
        <v>101</v>
      </c>
      <c r="B1011" t="s">
        <v>102</v>
      </c>
      <c r="C1011" t="s">
        <v>35</v>
      </c>
      <c r="D1011" t="s">
        <v>154</v>
      </c>
      <c r="E1011" t="s">
        <v>86</v>
      </c>
      <c r="F1011" s="4">
        <v>12.779463700000001</v>
      </c>
      <c r="G1011" s="4">
        <f>IFERROR(F1011-alt_Blanks!$I$31,F1011)</f>
        <v>-89.675169899999986</v>
      </c>
      <c r="H1011" s="7">
        <f t="shared" si="43"/>
        <v>0</v>
      </c>
      <c r="I1011" s="7">
        <f t="shared" si="44"/>
        <v>0</v>
      </c>
    </row>
    <row r="1012" spans="1:9" x14ac:dyDescent="0.35">
      <c r="A1012" t="s">
        <v>101</v>
      </c>
      <c r="B1012" t="s">
        <v>102</v>
      </c>
      <c r="C1012" t="s">
        <v>36</v>
      </c>
      <c r="D1012" t="s">
        <v>155</v>
      </c>
      <c r="E1012" t="s">
        <v>86</v>
      </c>
      <c r="F1012" s="4">
        <v>6.9494314999999993</v>
      </c>
      <c r="G1012" s="4">
        <f>IFERROR(F1012-alt_Blanks!$I$32,F1012)</f>
        <v>5.0218629999999997</v>
      </c>
      <c r="H1012" s="7">
        <f t="shared" si="43"/>
        <v>5.0218629999999997</v>
      </c>
      <c r="I1012" s="7">
        <f t="shared" si="44"/>
        <v>13.576271965396051</v>
      </c>
    </row>
    <row r="1013" spans="1:9" x14ac:dyDescent="0.35">
      <c r="A1013" t="s">
        <v>101</v>
      </c>
      <c r="B1013" t="s">
        <v>102</v>
      </c>
      <c r="C1013" t="s">
        <v>37</v>
      </c>
      <c r="D1013" t="s">
        <v>155</v>
      </c>
      <c r="E1013" t="s">
        <v>86</v>
      </c>
      <c r="F1013" s="4">
        <v>23.205541499999999</v>
      </c>
      <c r="G1013" s="4">
        <f>IFERROR(F1013-alt_Blanks!$I$33,F1013)</f>
        <v>23.205541499999999</v>
      </c>
      <c r="H1013" s="7">
        <f t="shared" si="43"/>
        <v>23.205541499999999</v>
      </c>
      <c r="I1013" s="7">
        <f t="shared" si="44"/>
        <v>62.73463503649635</v>
      </c>
    </row>
    <row r="1014" spans="1:9" x14ac:dyDescent="0.35">
      <c r="A1014" t="s">
        <v>101</v>
      </c>
      <c r="B1014" t="s">
        <v>102</v>
      </c>
      <c r="C1014" t="s">
        <v>38</v>
      </c>
      <c r="D1014" t="s">
        <v>155</v>
      </c>
      <c r="E1014" t="s">
        <v>86</v>
      </c>
      <c r="F1014" s="4">
        <v>13.9207585</v>
      </c>
      <c r="G1014" s="4">
        <f>IFERROR(F1014-alt_Blanks!$I$34,F1014)</f>
        <v>13.9207585</v>
      </c>
      <c r="H1014" s="7">
        <f t="shared" si="43"/>
        <v>13.9207585</v>
      </c>
      <c r="I1014" s="7">
        <f t="shared" si="44"/>
        <v>37.633842930521759</v>
      </c>
    </row>
    <row r="1015" spans="1:9" x14ac:dyDescent="0.35">
      <c r="A1015" t="s">
        <v>101</v>
      </c>
      <c r="B1015" t="s">
        <v>102</v>
      </c>
      <c r="C1015" t="s">
        <v>39</v>
      </c>
      <c r="D1015" t="s">
        <v>153</v>
      </c>
      <c r="E1015" t="s">
        <v>86</v>
      </c>
      <c r="F1015" s="4">
        <v>44.318252299999997</v>
      </c>
      <c r="G1015" s="4">
        <f>IFERROR(F1015-alt_Blanks!$I$35,F1015)</f>
        <v>44.318252299999997</v>
      </c>
      <c r="H1015" s="7">
        <f t="shared" si="43"/>
        <v>44.318252299999997</v>
      </c>
      <c r="I1015" s="7">
        <f t="shared" si="44"/>
        <v>119.81144174101108</v>
      </c>
    </row>
    <row r="1016" spans="1:9" x14ac:dyDescent="0.35">
      <c r="A1016" t="s">
        <v>101</v>
      </c>
      <c r="B1016" t="s">
        <v>102</v>
      </c>
      <c r="C1016" t="s">
        <v>40</v>
      </c>
      <c r="D1016" t="s">
        <v>154</v>
      </c>
      <c r="E1016" t="s">
        <v>86</v>
      </c>
      <c r="F1016" s="4">
        <v>210.8609683</v>
      </c>
      <c r="G1016" s="4">
        <f>IFERROR(F1016-alt_Blanks!$I$36,F1016)</f>
        <v>210.8609683</v>
      </c>
      <c r="H1016" s="7">
        <f t="shared" si="43"/>
        <v>210.8609683</v>
      </c>
      <c r="I1016" s="7">
        <f t="shared" si="44"/>
        <v>570.04857610164902</v>
      </c>
    </row>
    <row r="1017" spans="1:9" x14ac:dyDescent="0.35">
      <c r="A1017" t="s">
        <v>103</v>
      </c>
      <c r="B1017" t="s">
        <v>104</v>
      </c>
      <c r="C1017" t="s">
        <v>6</v>
      </c>
      <c r="D1017" t="s">
        <v>153</v>
      </c>
      <c r="E1017" t="s">
        <v>86</v>
      </c>
      <c r="F1017" s="4">
        <v>6.9368229000000001</v>
      </c>
      <c r="G1017" s="4">
        <f>IFERROR(F1017-alt_Blanks!$I$2,F1017)</f>
        <v>0.23028179999999931</v>
      </c>
      <c r="H1017" s="7">
        <f t="shared" si="43"/>
        <v>0.23028179999999931</v>
      </c>
      <c r="I1017" s="7">
        <f>H1017/0.5119</f>
        <v>0.44985700332095979</v>
      </c>
    </row>
    <row r="1018" spans="1:9" x14ac:dyDescent="0.35">
      <c r="A1018" t="s">
        <v>103</v>
      </c>
      <c r="B1018" t="s">
        <v>104</v>
      </c>
      <c r="C1018" t="s">
        <v>7</v>
      </c>
      <c r="D1018" t="s">
        <v>153</v>
      </c>
      <c r="E1018" t="s">
        <v>86</v>
      </c>
      <c r="F1018" s="4">
        <v>0</v>
      </c>
      <c r="G1018" s="4">
        <f>IFERROR(F1018-alt_Blanks!$I$3,F1018)</f>
        <v>0</v>
      </c>
      <c r="H1018" s="7">
        <f t="shared" si="43"/>
        <v>0</v>
      </c>
      <c r="I1018" s="7">
        <f t="shared" ref="I1018:I1051" si="45">H1018/0.5119</f>
        <v>0</v>
      </c>
    </row>
    <row r="1019" spans="1:9" x14ac:dyDescent="0.35">
      <c r="A1019" t="s">
        <v>103</v>
      </c>
      <c r="B1019" t="s">
        <v>104</v>
      </c>
      <c r="C1019" t="s">
        <v>8</v>
      </c>
      <c r="D1019" t="s">
        <v>153</v>
      </c>
      <c r="E1019" t="s">
        <v>86</v>
      </c>
      <c r="F1019" s="4">
        <v>0</v>
      </c>
      <c r="G1019" s="4">
        <f>IFERROR(F1019-alt_Blanks!$I$4,F1019)</f>
        <v>0</v>
      </c>
      <c r="H1019" s="7">
        <f t="shared" si="43"/>
        <v>0</v>
      </c>
      <c r="I1019" s="7">
        <f t="shared" si="45"/>
        <v>0</v>
      </c>
    </row>
    <row r="1020" spans="1:9" x14ac:dyDescent="0.35">
      <c r="A1020" t="s">
        <v>103</v>
      </c>
      <c r="B1020" t="s">
        <v>104</v>
      </c>
      <c r="C1020" t="s">
        <v>9</v>
      </c>
      <c r="D1020" t="s">
        <v>153</v>
      </c>
      <c r="E1020" t="s">
        <v>86</v>
      </c>
      <c r="F1020" s="4">
        <v>0</v>
      </c>
      <c r="G1020" s="4">
        <f>IFERROR(F1020-alt_Blanks!$I$5,F1020)</f>
        <v>0</v>
      </c>
      <c r="H1020" s="7">
        <f t="shared" si="43"/>
        <v>0</v>
      </c>
      <c r="I1020" s="7">
        <f t="shared" si="45"/>
        <v>0</v>
      </c>
    </row>
    <row r="1021" spans="1:9" x14ac:dyDescent="0.35">
      <c r="A1021" t="s">
        <v>103</v>
      </c>
      <c r="B1021" t="s">
        <v>104</v>
      </c>
      <c r="C1021" t="s">
        <v>10</v>
      </c>
      <c r="D1021" t="s">
        <v>153</v>
      </c>
      <c r="E1021" t="s">
        <v>86</v>
      </c>
      <c r="F1021" s="4">
        <v>0</v>
      </c>
      <c r="G1021" s="4">
        <f>IFERROR(F1021-alt_Blanks!$I$6,F1021)</f>
        <v>0</v>
      </c>
      <c r="H1021" s="7">
        <f t="shared" si="43"/>
        <v>0</v>
      </c>
      <c r="I1021" s="7">
        <f t="shared" si="45"/>
        <v>0</v>
      </c>
    </row>
    <row r="1022" spans="1:9" x14ac:dyDescent="0.35">
      <c r="A1022" t="s">
        <v>103</v>
      </c>
      <c r="B1022" t="s">
        <v>104</v>
      </c>
      <c r="C1022" t="s">
        <v>11</v>
      </c>
      <c r="D1022" t="s">
        <v>153</v>
      </c>
      <c r="E1022" t="s">
        <v>86</v>
      </c>
      <c r="F1022" s="4">
        <v>0</v>
      </c>
      <c r="G1022" s="4">
        <f>IFERROR(F1022-alt_Blanks!$I$7,F1022)</f>
        <v>0</v>
      </c>
      <c r="H1022" s="7">
        <f t="shared" si="43"/>
        <v>0</v>
      </c>
      <c r="I1022" s="7">
        <f t="shared" si="45"/>
        <v>0</v>
      </c>
    </row>
    <row r="1023" spans="1:9" x14ac:dyDescent="0.35">
      <c r="A1023" t="s">
        <v>103</v>
      </c>
      <c r="B1023" t="s">
        <v>104</v>
      </c>
      <c r="C1023" t="s">
        <v>12</v>
      </c>
      <c r="D1023" t="s">
        <v>154</v>
      </c>
      <c r="E1023" t="s">
        <v>86</v>
      </c>
      <c r="F1023" s="4">
        <v>0</v>
      </c>
      <c r="G1023" s="4">
        <f>IFERROR(F1023-alt_Blanks!$I$8,F1023)</f>
        <v>0</v>
      </c>
      <c r="H1023" s="7">
        <f t="shared" si="43"/>
        <v>0</v>
      </c>
      <c r="I1023" s="7">
        <f t="shared" si="45"/>
        <v>0</v>
      </c>
    </row>
    <row r="1024" spans="1:9" x14ac:dyDescent="0.35">
      <c r="A1024" t="s">
        <v>103</v>
      </c>
      <c r="B1024" t="s">
        <v>104</v>
      </c>
      <c r="C1024" t="s">
        <v>13</v>
      </c>
      <c r="D1024" t="s">
        <v>153</v>
      </c>
      <c r="E1024" t="s">
        <v>86</v>
      </c>
      <c r="F1024" s="4">
        <v>2.2204625</v>
      </c>
      <c r="G1024" s="4">
        <f>IFERROR(F1024-alt_Blanks!$I$9,F1024)</f>
        <v>2.2204625</v>
      </c>
      <c r="H1024" s="7">
        <f t="shared" si="43"/>
        <v>2.2204625</v>
      </c>
      <c r="I1024" s="7">
        <f t="shared" si="45"/>
        <v>4.3376880250048835</v>
      </c>
    </row>
    <row r="1025" spans="1:9" x14ac:dyDescent="0.35">
      <c r="A1025" t="s">
        <v>103</v>
      </c>
      <c r="B1025" t="s">
        <v>104</v>
      </c>
      <c r="C1025" t="s">
        <v>14</v>
      </c>
      <c r="D1025" t="s">
        <v>154</v>
      </c>
      <c r="E1025" t="s">
        <v>86</v>
      </c>
      <c r="F1025" s="4">
        <v>0</v>
      </c>
      <c r="G1025" s="4">
        <f>IFERROR(F1025-alt_Blanks!$I$10,F1025)</f>
        <v>0</v>
      </c>
      <c r="H1025" s="7">
        <f t="shared" si="43"/>
        <v>0</v>
      </c>
      <c r="I1025" s="7">
        <f t="shared" si="45"/>
        <v>0</v>
      </c>
    </row>
    <row r="1026" spans="1:9" x14ac:dyDescent="0.35">
      <c r="A1026" t="s">
        <v>103</v>
      </c>
      <c r="B1026" t="s">
        <v>104</v>
      </c>
      <c r="C1026" t="s">
        <v>15</v>
      </c>
      <c r="D1026" t="s">
        <v>153</v>
      </c>
      <c r="E1026" t="s">
        <v>86</v>
      </c>
      <c r="F1026" s="4">
        <v>1564.2785941000002</v>
      </c>
      <c r="G1026" s="4">
        <f>IFERROR(F1026-alt_Blanks!$I$11,F1026)</f>
        <v>759.06190440000023</v>
      </c>
      <c r="H1026" s="7">
        <f t="shared" si="43"/>
        <v>759.06190440000023</v>
      </c>
      <c r="I1026" s="7">
        <f t="shared" si="45"/>
        <v>1482.8323977339328</v>
      </c>
    </row>
    <row r="1027" spans="1:9" x14ac:dyDescent="0.35">
      <c r="A1027" t="s">
        <v>103</v>
      </c>
      <c r="B1027" t="s">
        <v>104</v>
      </c>
      <c r="C1027" t="s">
        <v>16</v>
      </c>
      <c r="D1027" t="s">
        <v>154</v>
      </c>
      <c r="E1027" t="s">
        <v>86</v>
      </c>
      <c r="F1027" s="4">
        <v>37.579472699999997</v>
      </c>
      <c r="G1027" s="4">
        <f>IFERROR(F1027-alt_Blanks!$I$12,F1027)</f>
        <v>37.579472699999997</v>
      </c>
      <c r="H1027" s="7">
        <f t="shared" si="43"/>
        <v>37.579472699999997</v>
      </c>
      <c r="I1027" s="7">
        <f t="shared" si="45"/>
        <v>73.411745848798589</v>
      </c>
    </row>
    <row r="1028" spans="1:9" x14ac:dyDescent="0.35">
      <c r="A1028" t="s">
        <v>103</v>
      </c>
      <c r="B1028" t="s">
        <v>104</v>
      </c>
      <c r="C1028" t="s">
        <v>17</v>
      </c>
      <c r="D1028" t="s">
        <v>153</v>
      </c>
      <c r="E1028" t="s">
        <v>86</v>
      </c>
      <c r="F1028" s="4">
        <v>13.0458225</v>
      </c>
      <c r="G1028" s="4">
        <f>IFERROR(F1028-alt_Blanks!$I$13,F1028)</f>
        <v>12.193109</v>
      </c>
      <c r="H1028" s="7">
        <f t="shared" si="43"/>
        <v>12.193109</v>
      </c>
      <c r="I1028" s="7">
        <f t="shared" si="45"/>
        <v>23.819318226216055</v>
      </c>
    </row>
    <row r="1029" spans="1:9" x14ac:dyDescent="0.35">
      <c r="A1029" t="s">
        <v>103</v>
      </c>
      <c r="B1029" t="s">
        <v>104</v>
      </c>
      <c r="C1029" t="s">
        <v>18</v>
      </c>
      <c r="D1029" t="s">
        <v>154</v>
      </c>
      <c r="E1029" t="s">
        <v>86</v>
      </c>
      <c r="F1029" s="4">
        <v>0</v>
      </c>
      <c r="G1029" s="4">
        <f>IFERROR(F1029-alt_Blanks!$I$14,F1029)</f>
        <v>0</v>
      </c>
      <c r="H1029" s="7">
        <f t="shared" si="43"/>
        <v>0</v>
      </c>
      <c r="I1029" s="7">
        <f t="shared" si="45"/>
        <v>0</v>
      </c>
    </row>
    <row r="1030" spans="1:9" x14ac:dyDescent="0.35">
      <c r="A1030" t="s">
        <v>103</v>
      </c>
      <c r="B1030" t="s">
        <v>104</v>
      </c>
      <c r="C1030" t="s">
        <v>19</v>
      </c>
      <c r="D1030" t="s">
        <v>153</v>
      </c>
      <c r="E1030" t="s">
        <v>86</v>
      </c>
      <c r="F1030" s="4">
        <v>416.6183608</v>
      </c>
      <c r="G1030" s="4">
        <f>IFERROR(F1030-alt_Blanks!$I$15,F1030)</f>
        <v>147.99496370000003</v>
      </c>
      <c r="H1030" s="7">
        <f t="shared" ref="H1030:H1093" si="46">IF(G1030&lt;0,0,G1030)</f>
        <v>147.99496370000003</v>
      </c>
      <c r="I1030" s="7">
        <f t="shared" si="45"/>
        <v>289.1091301035359</v>
      </c>
    </row>
    <row r="1031" spans="1:9" x14ac:dyDescent="0.35">
      <c r="A1031" t="s">
        <v>103</v>
      </c>
      <c r="B1031" t="s">
        <v>104</v>
      </c>
      <c r="C1031" t="s">
        <v>20</v>
      </c>
      <c r="D1031" t="s">
        <v>154</v>
      </c>
      <c r="E1031" t="s">
        <v>86</v>
      </c>
      <c r="F1031" s="4">
        <v>131.0956663</v>
      </c>
      <c r="G1031" s="4">
        <f>IFERROR(F1031-alt_Blanks!$I$16,F1031)</f>
        <v>112.6297531</v>
      </c>
      <c r="H1031" s="7">
        <f t="shared" si="46"/>
        <v>112.6297531</v>
      </c>
      <c r="I1031" s="7">
        <f t="shared" si="45"/>
        <v>220.02295975776519</v>
      </c>
    </row>
    <row r="1032" spans="1:9" x14ac:dyDescent="0.35">
      <c r="A1032" t="s">
        <v>103</v>
      </c>
      <c r="B1032" t="s">
        <v>104</v>
      </c>
      <c r="C1032" t="s">
        <v>21</v>
      </c>
      <c r="D1032" t="s">
        <v>155</v>
      </c>
      <c r="E1032" t="s">
        <v>86</v>
      </c>
      <c r="F1032" s="4">
        <v>0.2755456</v>
      </c>
      <c r="G1032" s="4">
        <f>IFERROR(F1032-alt_Blanks!$I$17,F1032)</f>
        <v>-5.6407800000000008E-2</v>
      </c>
      <c r="H1032" s="7">
        <f t="shared" si="46"/>
        <v>0</v>
      </c>
      <c r="I1032" s="7">
        <f t="shared" si="45"/>
        <v>0</v>
      </c>
    </row>
    <row r="1033" spans="1:9" x14ac:dyDescent="0.35">
      <c r="A1033" t="s">
        <v>103</v>
      </c>
      <c r="B1033" t="s">
        <v>104</v>
      </c>
      <c r="C1033" t="s">
        <v>22</v>
      </c>
      <c r="D1033" t="s">
        <v>155</v>
      </c>
      <c r="E1033" t="s">
        <v>86</v>
      </c>
      <c r="F1033" s="4">
        <v>103.48561380000001</v>
      </c>
      <c r="G1033" s="4">
        <f>IFERROR(F1033-alt_Blanks!$I$18,F1033)</f>
        <v>97.482154200000011</v>
      </c>
      <c r="H1033" s="7">
        <f t="shared" si="46"/>
        <v>97.482154200000011</v>
      </c>
      <c r="I1033" s="7">
        <f t="shared" si="45"/>
        <v>190.4320261769877</v>
      </c>
    </row>
    <row r="1034" spans="1:9" x14ac:dyDescent="0.35">
      <c r="A1034" t="s">
        <v>103</v>
      </c>
      <c r="B1034" t="s">
        <v>104</v>
      </c>
      <c r="C1034" t="s">
        <v>23</v>
      </c>
      <c r="D1034" t="s">
        <v>155</v>
      </c>
      <c r="E1034" t="s">
        <v>86</v>
      </c>
      <c r="F1034" s="4">
        <v>0.95297419999999999</v>
      </c>
      <c r="G1034" s="4">
        <f>IFERROR(F1034-alt_Blanks!$I$19,F1034)</f>
        <v>0.95297419999999999</v>
      </c>
      <c r="H1034" s="7">
        <f t="shared" si="46"/>
        <v>0.95297419999999999</v>
      </c>
      <c r="I1034" s="7">
        <f t="shared" si="45"/>
        <v>1.8616413361984763</v>
      </c>
    </row>
    <row r="1035" spans="1:9" x14ac:dyDescent="0.35">
      <c r="A1035" t="s">
        <v>103</v>
      </c>
      <c r="B1035" t="s">
        <v>104</v>
      </c>
      <c r="C1035" t="s">
        <v>24</v>
      </c>
      <c r="D1035" t="s">
        <v>155</v>
      </c>
      <c r="E1035" t="s">
        <v>86</v>
      </c>
      <c r="F1035" s="4">
        <v>83.126519500000001</v>
      </c>
      <c r="G1035" s="4">
        <f>IFERROR(F1035-alt_Blanks!$I$20,F1035)</f>
        <v>81.188544100000001</v>
      </c>
      <c r="H1035" s="7">
        <f t="shared" si="46"/>
        <v>81.188544100000001</v>
      </c>
      <c r="I1035" s="7">
        <f t="shared" si="45"/>
        <v>158.60235221722994</v>
      </c>
    </row>
    <row r="1036" spans="1:9" x14ac:dyDescent="0.35">
      <c r="A1036" t="s">
        <v>103</v>
      </c>
      <c r="B1036" t="s">
        <v>104</v>
      </c>
      <c r="C1036" t="s">
        <v>25</v>
      </c>
      <c r="D1036" t="s">
        <v>155</v>
      </c>
      <c r="E1036" t="s">
        <v>86</v>
      </c>
      <c r="F1036" s="4">
        <v>0.33619830000000001</v>
      </c>
      <c r="G1036" s="4">
        <f>IFERROR(F1036-alt_Blanks!$I$21,F1036)</f>
        <v>0.12168920000000003</v>
      </c>
      <c r="H1036" s="7">
        <f t="shared" si="46"/>
        <v>0.12168920000000003</v>
      </c>
      <c r="I1036" s="7">
        <f t="shared" si="45"/>
        <v>0.23772064856417272</v>
      </c>
    </row>
    <row r="1037" spans="1:9" x14ac:dyDescent="0.35">
      <c r="A1037" t="s">
        <v>103</v>
      </c>
      <c r="B1037" t="s">
        <v>104</v>
      </c>
      <c r="C1037" t="s">
        <v>26</v>
      </c>
      <c r="D1037" t="s">
        <v>153</v>
      </c>
      <c r="E1037" t="s">
        <v>86</v>
      </c>
      <c r="F1037" s="4">
        <v>1.8024229000000001</v>
      </c>
      <c r="G1037" s="4">
        <f>IFERROR(F1037-alt_Blanks!$I$22,F1037)</f>
        <v>0.20770150000000021</v>
      </c>
      <c r="H1037" s="7">
        <f t="shared" si="46"/>
        <v>0.20770150000000021</v>
      </c>
      <c r="I1037" s="7">
        <f t="shared" si="45"/>
        <v>0.40574623949990268</v>
      </c>
    </row>
    <row r="1038" spans="1:9" x14ac:dyDescent="0.35">
      <c r="A1038" t="s">
        <v>103</v>
      </c>
      <c r="B1038" t="s">
        <v>104</v>
      </c>
      <c r="C1038" t="s">
        <v>27</v>
      </c>
      <c r="D1038" t="s">
        <v>154</v>
      </c>
      <c r="E1038" t="s">
        <v>86</v>
      </c>
      <c r="F1038" s="4">
        <v>1.4514768999999998</v>
      </c>
      <c r="G1038" s="4">
        <f>IFERROR(F1038-alt_Blanks!$I$23,F1038)</f>
        <v>1.3307395</v>
      </c>
      <c r="H1038" s="7">
        <f t="shared" si="46"/>
        <v>1.3307395</v>
      </c>
      <c r="I1038" s="7">
        <f t="shared" si="45"/>
        <v>2.5996083219378785</v>
      </c>
    </row>
    <row r="1039" spans="1:9" x14ac:dyDescent="0.35">
      <c r="A1039" t="s">
        <v>103</v>
      </c>
      <c r="B1039" t="s">
        <v>104</v>
      </c>
      <c r="C1039" t="s">
        <v>28</v>
      </c>
      <c r="D1039" t="s">
        <v>155</v>
      </c>
      <c r="E1039" t="s">
        <v>86</v>
      </c>
      <c r="F1039" s="4">
        <v>14.544751399999999</v>
      </c>
      <c r="G1039" s="4">
        <f>IFERROR(F1039-alt_Blanks!$I$24,F1039)</f>
        <v>14.2975818</v>
      </c>
      <c r="H1039" s="7">
        <f t="shared" si="46"/>
        <v>14.2975818</v>
      </c>
      <c r="I1039" s="7">
        <f t="shared" si="45"/>
        <v>27.930419613205704</v>
      </c>
    </row>
    <row r="1040" spans="1:9" x14ac:dyDescent="0.35">
      <c r="A1040" t="s">
        <v>103</v>
      </c>
      <c r="B1040" t="s">
        <v>104</v>
      </c>
      <c r="C1040" t="s">
        <v>29</v>
      </c>
      <c r="D1040" t="s">
        <v>155</v>
      </c>
      <c r="E1040" t="s">
        <v>86</v>
      </c>
      <c r="F1040" s="4">
        <v>0.42122160000000003</v>
      </c>
      <c r="G1040" s="4">
        <f>IFERROR(F1040-alt_Blanks!$I$25,F1040)</f>
        <v>-5.1019199999999931E-2</v>
      </c>
      <c r="H1040" s="7">
        <f t="shared" si="46"/>
        <v>0</v>
      </c>
      <c r="I1040" s="7">
        <f t="shared" si="45"/>
        <v>0</v>
      </c>
    </row>
    <row r="1041" spans="1:9" x14ac:dyDescent="0.35">
      <c r="A1041" t="s">
        <v>103</v>
      </c>
      <c r="B1041" t="s">
        <v>104</v>
      </c>
      <c r="C1041" t="s">
        <v>30</v>
      </c>
      <c r="D1041" t="s">
        <v>155</v>
      </c>
      <c r="E1041" t="s">
        <v>86</v>
      </c>
      <c r="F1041" s="4">
        <v>242.34260279999998</v>
      </c>
      <c r="G1041" s="4">
        <f>IFERROR(F1041-alt_Blanks!$I$26,F1041)</f>
        <v>241.76242649999998</v>
      </c>
      <c r="H1041" s="7">
        <f t="shared" si="46"/>
        <v>241.76242649999998</v>
      </c>
      <c r="I1041" s="7">
        <f t="shared" si="45"/>
        <v>472.28448232076573</v>
      </c>
    </row>
    <row r="1042" spans="1:9" x14ac:dyDescent="0.35">
      <c r="A1042" t="s">
        <v>103</v>
      </c>
      <c r="B1042" t="s">
        <v>104</v>
      </c>
      <c r="C1042" t="s">
        <v>31</v>
      </c>
      <c r="D1042" t="s">
        <v>155</v>
      </c>
      <c r="E1042" t="s">
        <v>86</v>
      </c>
      <c r="F1042" s="4" t="e">
        <v>#N/A</v>
      </c>
      <c r="G1042" s="4" t="e">
        <f>IFERROR(F1042-alt_Blanks!$I$27,F1042)</f>
        <v>#N/A</v>
      </c>
      <c r="H1042" s="7" t="e">
        <f t="shared" si="46"/>
        <v>#N/A</v>
      </c>
      <c r="I1042" s="7" t="e">
        <f t="shared" si="45"/>
        <v>#N/A</v>
      </c>
    </row>
    <row r="1043" spans="1:9" x14ac:dyDescent="0.35">
      <c r="A1043" t="s">
        <v>103</v>
      </c>
      <c r="B1043" t="s">
        <v>104</v>
      </c>
      <c r="C1043" t="s">
        <v>32</v>
      </c>
      <c r="D1043" t="s">
        <v>153</v>
      </c>
      <c r="E1043" t="s">
        <v>86</v>
      </c>
      <c r="F1043" s="4">
        <v>0</v>
      </c>
      <c r="G1043" s="4">
        <f>IFERROR(F1043-alt_Blanks!$I$28,F1043)</f>
        <v>0</v>
      </c>
      <c r="H1043" s="7">
        <f t="shared" si="46"/>
        <v>0</v>
      </c>
      <c r="I1043" s="7">
        <f t="shared" si="45"/>
        <v>0</v>
      </c>
    </row>
    <row r="1044" spans="1:9" x14ac:dyDescent="0.35">
      <c r="A1044" t="s">
        <v>103</v>
      </c>
      <c r="B1044" t="s">
        <v>104</v>
      </c>
      <c r="C1044" t="s">
        <v>33</v>
      </c>
      <c r="D1044" t="s">
        <v>155</v>
      </c>
      <c r="E1044" t="s">
        <v>86</v>
      </c>
      <c r="F1044" s="4">
        <v>154.2877483</v>
      </c>
      <c r="G1044" s="4">
        <f>IFERROR(F1044-alt_Blanks!$I$29,F1044)</f>
        <v>153.67612729999999</v>
      </c>
      <c r="H1044" s="7">
        <f t="shared" si="46"/>
        <v>153.67612729999999</v>
      </c>
      <c r="I1044" s="7">
        <f t="shared" si="45"/>
        <v>300.20732037507321</v>
      </c>
    </row>
    <row r="1045" spans="1:9" x14ac:dyDescent="0.35">
      <c r="A1045" t="s">
        <v>103</v>
      </c>
      <c r="B1045" t="s">
        <v>104</v>
      </c>
      <c r="C1045" t="s">
        <v>34</v>
      </c>
      <c r="D1045" t="s">
        <v>153</v>
      </c>
      <c r="E1045" t="s">
        <v>86</v>
      </c>
      <c r="F1045" s="4">
        <v>0</v>
      </c>
      <c r="G1045" s="4">
        <f>IFERROR(F1045-alt_Blanks!$I$30,F1045)</f>
        <v>0</v>
      </c>
      <c r="H1045" s="7">
        <f t="shared" si="46"/>
        <v>0</v>
      </c>
      <c r="I1045" s="7">
        <f t="shared" si="45"/>
        <v>0</v>
      </c>
    </row>
    <row r="1046" spans="1:9" x14ac:dyDescent="0.35">
      <c r="A1046" t="s">
        <v>103</v>
      </c>
      <c r="B1046" t="s">
        <v>104</v>
      </c>
      <c r="C1046" t="s">
        <v>35</v>
      </c>
      <c r="D1046" t="s">
        <v>154</v>
      </c>
      <c r="E1046" t="s">
        <v>86</v>
      </c>
      <c r="F1046" s="4">
        <v>106.9276192</v>
      </c>
      <c r="G1046" s="4">
        <f>IFERROR(F1046-alt_Blanks!$I$31,F1046)</f>
        <v>4.4729856000000012</v>
      </c>
      <c r="H1046" s="7">
        <f t="shared" si="46"/>
        <v>4.4729856000000012</v>
      </c>
      <c r="I1046" s="7">
        <f t="shared" si="45"/>
        <v>8.7380066419222526</v>
      </c>
    </row>
    <row r="1047" spans="1:9" x14ac:dyDescent="0.35">
      <c r="A1047" t="s">
        <v>103</v>
      </c>
      <c r="B1047" t="s">
        <v>104</v>
      </c>
      <c r="C1047" t="s">
        <v>36</v>
      </c>
      <c r="D1047" t="s">
        <v>155</v>
      </c>
      <c r="E1047" t="s">
        <v>86</v>
      </c>
      <c r="F1047" s="4">
        <v>1.9392897</v>
      </c>
      <c r="G1047" s="4">
        <f>IFERROR(F1047-alt_Blanks!$I$32,F1047)</f>
        <v>1.1721199999999987E-2</v>
      </c>
      <c r="H1047" s="7">
        <f t="shared" si="46"/>
        <v>1.1721199999999987E-2</v>
      </c>
      <c r="I1047" s="7">
        <f t="shared" si="45"/>
        <v>2.2897440906427011E-2</v>
      </c>
    </row>
    <row r="1048" spans="1:9" x14ac:dyDescent="0.35">
      <c r="A1048" t="s">
        <v>103</v>
      </c>
      <c r="B1048" t="s">
        <v>104</v>
      </c>
      <c r="C1048" t="s">
        <v>37</v>
      </c>
      <c r="D1048" t="s">
        <v>155</v>
      </c>
      <c r="E1048" t="s">
        <v>86</v>
      </c>
      <c r="F1048" s="4">
        <v>5.1562498999999997</v>
      </c>
      <c r="G1048" s="4">
        <f>IFERROR(F1048-alt_Blanks!$I$33,F1048)</f>
        <v>5.1562498999999997</v>
      </c>
      <c r="H1048" s="7">
        <f t="shared" si="46"/>
        <v>5.1562498999999997</v>
      </c>
      <c r="I1048" s="7">
        <f t="shared" si="45"/>
        <v>10.072767923422543</v>
      </c>
    </row>
    <row r="1049" spans="1:9" x14ac:dyDescent="0.35">
      <c r="A1049" t="s">
        <v>103</v>
      </c>
      <c r="B1049" t="s">
        <v>104</v>
      </c>
      <c r="C1049" t="s">
        <v>38</v>
      </c>
      <c r="D1049" t="s">
        <v>155</v>
      </c>
      <c r="E1049" t="s">
        <v>86</v>
      </c>
      <c r="F1049" s="4">
        <v>4.7450928999999995</v>
      </c>
      <c r="G1049" s="4">
        <f>IFERROR(F1049-alt_Blanks!$I$34,F1049)</f>
        <v>4.7450928999999995</v>
      </c>
      <c r="H1049" s="7">
        <f t="shared" si="46"/>
        <v>4.7450928999999995</v>
      </c>
      <c r="I1049" s="7">
        <f t="shared" si="45"/>
        <v>9.2695700332096092</v>
      </c>
    </row>
    <row r="1050" spans="1:9" x14ac:dyDescent="0.35">
      <c r="A1050" t="s">
        <v>103</v>
      </c>
      <c r="B1050" t="s">
        <v>104</v>
      </c>
      <c r="C1050" t="s">
        <v>39</v>
      </c>
      <c r="D1050" t="s">
        <v>153</v>
      </c>
      <c r="E1050" t="s">
        <v>86</v>
      </c>
      <c r="F1050" s="4">
        <v>0</v>
      </c>
      <c r="G1050" s="4">
        <f>IFERROR(F1050-alt_Blanks!$I$35,F1050)</f>
        <v>0</v>
      </c>
      <c r="H1050" s="7">
        <f t="shared" si="46"/>
        <v>0</v>
      </c>
      <c r="I1050" s="7">
        <f t="shared" si="45"/>
        <v>0</v>
      </c>
    </row>
    <row r="1051" spans="1:9" x14ac:dyDescent="0.35">
      <c r="A1051" t="s">
        <v>103</v>
      </c>
      <c r="B1051" t="s">
        <v>104</v>
      </c>
      <c r="C1051" t="s">
        <v>40</v>
      </c>
      <c r="D1051" t="s">
        <v>154</v>
      </c>
      <c r="E1051" t="s">
        <v>86</v>
      </c>
      <c r="F1051" s="4">
        <v>0</v>
      </c>
      <c r="G1051" s="4">
        <f>IFERROR(F1051-alt_Blanks!$I$36,F1051)</f>
        <v>0</v>
      </c>
      <c r="H1051" s="7">
        <f t="shared" si="46"/>
        <v>0</v>
      </c>
      <c r="I1051" s="7">
        <f t="shared" si="45"/>
        <v>0</v>
      </c>
    </row>
    <row r="1052" spans="1:9" x14ac:dyDescent="0.35">
      <c r="A1052" t="s">
        <v>113</v>
      </c>
      <c r="B1052" t="s">
        <v>114</v>
      </c>
      <c r="C1052" t="s">
        <v>6</v>
      </c>
      <c r="D1052" t="s">
        <v>153</v>
      </c>
      <c r="E1052" t="s">
        <v>115</v>
      </c>
      <c r="F1052" s="4">
        <v>6.7620221000000003</v>
      </c>
      <c r="G1052" s="4">
        <f>IFERROR(F1052-alt_Blanks!$I$2,F1052)</f>
        <v>5.5480999999999447E-2</v>
      </c>
      <c r="H1052" s="7">
        <f t="shared" si="46"/>
        <v>5.5480999999999447E-2</v>
      </c>
      <c r="I1052" s="7">
        <f>H1052/0.2921</f>
        <v>0.18993837726805698</v>
      </c>
    </row>
    <row r="1053" spans="1:9" x14ac:dyDescent="0.35">
      <c r="A1053" t="s">
        <v>113</v>
      </c>
      <c r="B1053" t="s">
        <v>114</v>
      </c>
      <c r="C1053" t="s">
        <v>7</v>
      </c>
      <c r="D1053" t="s">
        <v>153</v>
      </c>
      <c r="E1053" t="s">
        <v>115</v>
      </c>
      <c r="F1053" s="4">
        <v>0</v>
      </c>
      <c r="G1053" s="4">
        <f>IFERROR(F1053-alt_Blanks!$I$3,F1053)</f>
        <v>0</v>
      </c>
      <c r="H1053" s="7">
        <f t="shared" si="46"/>
        <v>0</v>
      </c>
      <c r="I1053" s="7">
        <f t="shared" ref="I1053:I1086" si="47">H1053/0.2921</f>
        <v>0</v>
      </c>
    </row>
    <row r="1054" spans="1:9" x14ac:dyDescent="0.35">
      <c r="A1054" t="s">
        <v>113</v>
      </c>
      <c r="B1054" t="s">
        <v>114</v>
      </c>
      <c r="C1054" t="s">
        <v>8</v>
      </c>
      <c r="D1054" t="s">
        <v>153</v>
      </c>
      <c r="E1054" t="s">
        <v>115</v>
      </c>
      <c r="F1054" s="4">
        <v>0</v>
      </c>
      <c r="G1054" s="4">
        <f>IFERROR(F1054-alt_Blanks!$I$4,F1054)</f>
        <v>0</v>
      </c>
      <c r="H1054" s="7">
        <f t="shared" si="46"/>
        <v>0</v>
      </c>
      <c r="I1054" s="7">
        <f t="shared" si="47"/>
        <v>0</v>
      </c>
    </row>
    <row r="1055" spans="1:9" x14ac:dyDescent="0.35">
      <c r="A1055" t="s">
        <v>113</v>
      </c>
      <c r="B1055" t="s">
        <v>114</v>
      </c>
      <c r="C1055" t="s">
        <v>9</v>
      </c>
      <c r="D1055" t="s">
        <v>153</v>
      </c>
      <c r="E1055" t="s">
        <v>115</v>
      </c>
      <c r="F1055" s="4">
        <v>0</v>
      </c>
      <c r="G1055" s="4">
        <f>IFERROR(F1055-alt_Blanks!$I$5,F1055)</f>
        <v>0</v>
      </c>
      <c r="H1055" s="7">
        <f t="shared" si="46"/>
        <v>0</v>
      </c>
      <c r="I1055" s="7">
        <f t="shared" si="47"/>
        <v>0</v>
      </c>
    </row>
    <row r="1056" spans="1:9" x14ac:dyDescent="0.35">
      <c r="A1056" t="s">
        <v>113</v>
      </c>
      <c r="B1056" t="s">
        <v>114</v>
      </c>
      <c r="C1056" t="s">
        <v>10</v>
      </c>
      <c r="D1056" t="s">
        <v>153</v>
      </c>
      <c r="E1056" t="s">
        <v>115</v>
      </c>
      <c r="F1056" s="4">
        <v>0</v>
      </c>
      <c r="G1056" s="4">
        <f>IFERROR(F1056-alt_Blanks!$I$6,F1056)</f>
        <v>0</v>
      </c>
      <c r="H1056" s="7">
        <f t="shared" si="46"/>
        <v>0</v>
      </c>
      <c r="I1056" s="7">
        <f t="shared" si="47"/>
        <v>0</v>
      </c>
    </row>
    <row r="1057" spans="1:9" x14ac:dyDescent="0.35">
      <c r="A1057" t="s">
        <v>113</v>
      </c>
      <c r="B1057" t="s">
        <v>114</v>
      </c>
      <c r="C1057" t="s">
        <v>11</v>
      </c>
      <c r="D1057" t="s">
        <v>153</v>
      </c>
      <c r="E1057" t="s">
        <v>115</v>
      </c>
      <c r="F1057" s="4">
        <v>7.2460667999999995</v>
      </c>
      <c r="G1057" s="4">
        <f>IFERROR(F1057-alt_Blanks!$I$7,F1057)</f>
        <v>7.2460667999999995</v>
      </c>
      <c r="H1057" s="7">
        <f t="shared" si="46"/>
        <v>7.2460667999999995</v>
      </c>
      <c r="I1057" s="7">
        <f t="shared" si="47"/>
        <v>24.80680178021225</v>
      </c>
    </row>
    <row r="1058" spans="1:9" x14ac:dyDescent="0.35">
      <c r="A1058" t="s">
        <v>113</v>
      </c>
      <c r="B1058" t="s">
        <v>114</v>
      </c>
      <c r="C1058" t="s">
        <v>12</v>
      </c>
      <c r="D1058" t="s">
        <v>154</v>
      </c>
      <c r="E1058" t="s">
        <v>115</v>
      </c>
      <c r="F1058" s="4">
        <v>2.1530711999999999</v>
      </c>
      <c r="G1058" s="4">
        <f>IFERROR(F1058-alt_Blanks!$I$8,F1058)</f>
        <v>2.1530711999999999</v>
      </c>
      <c r="H1058" s="7">
        <f t="shared" si="46"/>
        <v>2.1530711999999999</v>
      </c>
      <c r="I1058" s="7">
        <f t="shared" si="47"/>
        <v>7.3710071893187257</v>
      </c>
    </row>
    <row r="1059" spans="1:9" x14ac:dyDescent="0.35">
      <c r="A1059" t="s">
        <v>113</v>
      </c>
      <c r="B1059" t="s">
        <v>114</v>
      </c>
      <c r="C1059" t="s">
        <v>13</v>
      </c>
      <c r="D1059" t="s">
        <v>153</v>
      </c>
      <c r="E1059" t="s">
        <v>115</v>
      </c>
      <c r="F1059" s="4">
        <v>0</v>
      </c>
      <c r="G1059" s="4">
        <f>IFERROR(F1059-alt_Blanks!$I$9,F1059)</f>
        <v>0</v>
      </c>
      <c r="H1059" s="7">
        <f t="shared" si="46"/>
        <v>0</v>
      </c>
      <c r="I1059" s="7">
        <f t="shared" si="47"/>
        <v>0</v>
      </c>
    </row>
    <row r="1060" spans="1:9" x14ac:dyDescent="0.35">
      <c r="A1060" t="s">
        <v>113</v>
      </c>
      <c r="B1060" t="s">
        <v>114</v>
      </c>
      <c r="C1060" t="s">
        <v>14</v>
      </c>
      <c r="D1060" t="s">
        <v>154</v>
      </c>
      <c r="E1060" t="s">
        <v>115</v>
      </c>
      <c r="F1060" s="4">
        <v>0</v>
      </c>
      <c r="G1060" s="4">
        <f>IFERROR(F1060-alt_Blanks!$I$10,F1060)</f>
        <v>0</v>
      </c>
      <c r="H1060" s="7">
        <f t="shared" si="46"/>
        <v>0</v>
      </c>
      <c r="I1060" s="7">
        <f t="shared" si="47"/>
        <v>0</v>
      </c>
    </row>
    <row r="1061" spans="1:9" x14ac:dyDescent="0.35">
      <c r="A1061" t="s">
        <v>113</v>
      </c>
      <c r="B1061" t="s">
        <v>114</v>
      </c>
      <c r="C1061" t="s">
        <v>15</v>
      </c>
      <c r="D1061" t="s">
        <v>153</v>
      </c>
      <c r="E1061" t="s">
        <v>115</v>
      </c>
      <c r="F1061" s="4">
        <v>1559.8596487</v>
      </c>
      <c r="G1061" s="4">
        <f>IFERROR(F1061-alt_Blanks!$I$11,F1061)</f>
        <v>754.64295900000002</v>
      </c>
      <c r="H1061" s="7">
        <f t="shared" si="46"/>
        <v>754.64295900000002</v>
      </c>
      <c r="I1061" s="7">
        <f t="shared" si="47"/>
        <v>2583.5089318726464</v>
      </c>
    </row>
    <row r="1062" spans="1:9" x14ac:dyDescent="0.35">
      <c r="A1062" t="s">
        <v>113</v>
      </c>
      <c r="B1062" t="s">
        <v>114</v>
      </c>
      <c r="C1062" t="s">
        <v>16</v>
      </c>
      <c r="D1062" t="s">
        <v>154</v>
      </c>
      <c r="E1062" t="s">
        <v>115</v>
      </c>
      <c r="F1062" s="4">
        <v>28.2426095</v>
      </c>
      <c r="G1062" s="4">
        <f>IFERROR(F1062-alt_Blanks!$I$12,F1062)</f>
        <v>28.2426095</v>
      </c>
      <c r="H1062" s="7">
        <f t="shared" si="46"/>
        <v>28.2426095</v>
      </c>
      <c r="I1062" s="7">
        <f t="shared" si="47"/>
        <v>96.688153029784317</v>
      </c>
    </row>
    <row r="1063" spans="1:9" x14ac:dyDescent="0.35">
      <c r="A1063" t="s">
        <v>113</v>
      </c>
      <c r="B1063" t="s">
        <v>114</v>
      </c>
      <c r="C1063" t="s">
        <v>17</v>
      </c>
      <c r="D1063" t="s">
        <v>153</v>
      </c>
      <c r="E1063" t="s">
        <v>115</v>
      </c>
      <c r="F1063" s="4">
        <v>11.384157699999999</v>
      </c>
      <c r="G1063" s="4">
        <f>IFERROR(F1063-alt_Blanks!$I$13,F1063)</f>
        <v>10.531444199999999</v>
      </c>
      <c r="H1063" s="7">
        <f t="shared" si="46"/>
        <v>10.531444199999999</v>
      </c>
      <c r="I1063" s="7">
        <f t="shared" si="47"/>
        <v>36.054242382745628</v>
      </c>
    </row>
    <row r="1064" spans="1:9" x14ac:dyDescent="0.35">
      <c r="A1064" t="s">
        <v>113</v>
      </c>
      <c r="B1064" t="s">
        <v>114</v>
      </c>
      <c r="C1064" t="s">
        <v>18</v>
      </c>
      <c r="D1064" t="s">
        <v>154</v>
      </c>
      <c r="E1064" t="s">
        <v>115</v>
      </c>
      <c r="F1064" s="4">
        <v>8.2494604000000002</v>
      </c>
      <c r="G1064" s="4">
        <f>IFERROR(F1064-alt_Blanks!$I$14,F1064)</f>
        <v>8.2494604000000002</v>
      </c>
      <c r="H1064" s="7">
        <f t="shared" si="46"/>
        <v>8.2494604000000002</v>
      </c>
      <c r="I1064" s="7">
        <f t="shared" si="47"/>
        <v>28.241904827114002</v>
      </c>
    </row>
    <row r="1065" spans="1:9" x14ac:dyDescent="0.35">
      <c r="A1065" t="s">
        <v>113</v>
      </c>
      <c r="B1065" t="s">
        <v>114</v>
      </c>
      <c r="C1065" t="s">
        <v>19</v>
      </c>
      <c r="D1065" t="s">
        <v>153</v>
      </c>
      <c r="E1065" t="s">
        <v>115</v>
      </c>
      <c r="F1065" s="4">
        <v>245.30661760000001</v>
      </c>
      <c r="G1065" s="4">
        <f>IFERROR(F1065-alt_Blanks!$I$15,F1065)</f>
        <v>-23.316779499999967</v>
      </c>
      <c r="H1065" s="7">
        <f t="shared" si="46"/>
        <v>0</v>
      </c>
      <c r="I1065" s="7">
        <f t="shared" si="47"/>
        <v>0</v>
      </c>
    </row>
    <row r="1066" spans="1:9" x14ac:dyDescent="0.35">
      <c r="A1066" t="s">
        <v>113</v>
      </c>
      <c r="B1066" t="s">
        <v>114</v>
      </c>
      <c r="C1066" t="s">
        <v>20</v>
      </c>
      <c r="D1066" t="s">
        <v>154</v>
      </c>
      <c r="E1066" t="s">
        <v>115</v>
      </c>
      <c r="F1066" s="4">
        <v>24.600107400000002</v>
      </c>
      <c r="G1066" s="4">
        <f>IFERROR(F1066-alt_Blanks!$I$16,F1066)</f>
        <v>6.1341942000000031</v>
      </c>
      <c r="H1066" s="7">
        <f t="shared" si="46"/>
        <v>6.1341942000000031</v>
      </c>
      <c r="I1066" s="7">
        <f t="shared" si="47"/>
        <v>21.000322492297169</v>
      </c>
    </row>
    <row r="1067" spans="1:9" x14ac:dyDescent="0.35">
      <c r="A1067" t="s">
        <v>113</v>
      </c>
      <c r="B1067" t="s">
        <v>114</v>
      </c>
      <c r="C1067" t="s">
        <v>21</v>
      </c>
      <c r="D1067" t="s">
        <v>155</v>
      </c>
      <c r="E1067" t="s">
        <v>115</v>
      </c>
      <c r="F1067" s="4">
        <v>38.420081400000001</v>
      </c>
      <c r="G1067" s="4">
        <f>IFERROR(F1067-alt_Blanks!$I$17,F1067)</f>
        <v>38.088127999999998</v>
      </c>
      <c r="H1067" s="7">
        <f t="shared" si="46"/>
        <v>38.088127999999998</v>
      </c>
      <c r="I1067" s="7">
        <f t="shared" si="47"/>
        <v>130.39413899349535</v>
      </c>
    </row>
    <row r="1068" spans="1:9" x14ac:dyDescent="0.35">
      <c r="A1068" t="s">
        <v>113</v>
      </c>
      <c r="B1068" t="s">
        <v>114</v>
      </c>
      <c r="C1068" t="s">
        <v>22</v>
      </c>
      <c r="D1068" t="s">
        <v>155</v>
      </c>
      <c r="E1068" t="s">
        <v>115</v>
      </c>
      <c r="F1068" s="4">
        <v>98.285392900000005</v>
      </c>
      <c r="G1068" s="4">
        <f>IFERROR(F1068-alt_Blanks!$I$18,F1068)</f>
        <v>92.281933300000006</v>
      </c>
      <c r="H1068" s="7">
        <f t="shared" si="46"/>
        <v>92.281933300000006</v>
      </c>
      <c r="I1068" s="7">
        <f t="shared" si="47"/>
        <v>315.92582437521395</v>
      </c>
    </row>
    <row r="1069" spans="1:9" x14ac:dyDescent="0.35">
      <c r="A1069" t="s">
        <v>113</v>
      </c>
      <c r="B1069" t="s">
        <v>114</v>
      </c>
      <c r="C1069" t="s">
        <v>23</v>
      </c>
      <c r="D1069" t="s">
        <v>155</v>
      </c>
      <c r="E1069" t="s">
        <v>115</v>
      </c>
      <c r="F1069" s="4">
        <v>1.5747802999999998</v>
      </c>
      <c r="G1069" s="4">
        <f>IFERROR(F1069-alt_Blanks!$I$19,F1069)</f>
        <v>1.5747802999999998</v>
      </c>
      <c r="H1069" s="7">
        <f t="shared" si="46"/>
        <v>1.5747802999999998</v>
      </c>
      <c r="I1069" s="7">
        <f t="shared" si="47"/>
        <v>5.3912369051694613</v>
      </c>
    </row>
    <row r="1070" spans="1:9" x14ac:dyDescent="0.35">
      <c r="A1070" t="s">
        <v>113</v>
      </c>
      <c r="B1070" t="s">
        <v>114</v>
      </c>
      <c r="C1070" t="s">
        <v>24</v>
      </c>
      <c r="D1070" t="s">
        <v>155</v>
      </c>
      <c r="E1070" t="s">
        <v>115</v>
      </c>
      <c r="F1070" s="4">
        <v>59.5756272</v>
      </c>
      <c r="G1070" s="4">
        <f>IFERROR(F1070-alt_Blanks!$I$20,F1070)</f>
        <v>57.6376518</v>
      </c>
      <c r="H1070" s="7">
        <f t="shared" si="46"/>
        <v>57.6376518</v>
      </c>
      <c r="I1070" s="7">
        <f t="shared" si="47"/>
        <v>197.32164258815473</v>
      </c>
    </row>
    <row r="1071" spans="1:9" x14ac:dyDescent="0.35">
      <c r="A1071" t="s">
        <v>113</v>
      </c>
      <c r="B1071" t="s">
        <v>114</v>
      </c>
      <c r="C1071" t="s">
        <v>25</v>
      </c>
      <c r="D1071" t="s">
        <v>155</v>
      </c>
      <c r="E1071" t="s">
        <v>115</v>
      </c>
      <c r="F1071" s="4">
        <v>0.26835539999999997</v>
      </c>
      <c r="G1071" s="4">
        <f>IFERROR(F1071-alt_Blanks!$I$21,F1071)</f>
        <v>5.3846299999999986E-2</v>
      </c>
      <c r="H1071" s="7">
        <f t="shared" si="46"/>
        <v>5.3846299999999986E-2</v>
      </c>
      <c r="I1071" s="7">
        <f t="shared" si="47"/>
        <v>0.18434200616227314</v>
      </c>
    </row>
    <row r="1072" spans="1:9" x14ac:dyDescent="0.35">
      <c r="A1072" t="s">
        <v>113</v>
      </c>
      <c r="B1072" t="s">
        <v>114</v>
      </c>
      <c r="C1072" t="s">
        <v>26</v>
      </c>
      <c r="D1072" t="s">
        <v>153</v>
      </c>
      <c r="E1072" t="s">
        <v>115</v>
      </c>
      <c r="F1072" s="4">
        <v>2.1239128999999997</v>
      </c>
      <c r="G1072" s="4">
        <f>IFERROR(F1072-alt_Blanks!$I$22,F1072)</f>
        <v>0.52919149999999981</v>
      </c>
      <c r="H1072" s="7">
        <f t="shared" si="46"/>
        <v>0.52919149999999981</v>
      </c>
      <c r="I1072" s="7">
        <f t="shared" si="47"/>
        <v>1.8116792194453946</v>
      </c>
    </row>
    <row r="1073" spans="1:9" x14ac:dyDescent="0.35">
      <c r="A1073" t="s">
        <v>113</v>
      </c>
      <c r="B1073" t="s">
        <v>114</v>
      </c>
      <c r="C1073" t="s">
        <v>27</v>
      </c>
      <c r="D1073" t="s">
        <v>154</v>
      </c>
      <c r="E1073" t="s">
        <v>115</v>
      </c>
      <c r="F1073" s="4">
        <v>2.7619609000000001</v>
      </c>
      <c r="G1073" s="4">
        <f>IFERROR(F1073-alt_Blanks!$I$23,F1073)</f>
        <v>2.6412235000000002</v>
      </c>
      <c r="H1073" s="7">
        <f t="shared" si="46"/>
        <v>2.6412235000000002</v>
      </c>
      <c r="I1073" s="7">
        <f t="shared" si="47"/>
        <v>9.0421893187264626</v>
      </c>
    </row>
    <row r="1074" spans="1:9" x14ac:dyDescent="0.35">
      <c r="A1074" t="s">
        <v>113</v>
      </c>
      <c r="B1074" t="s">
        <v>114</v>
      </c>
      <c r="C1074" t="s">
        <v>28</v>
      </c>
      <c r="D1074" t="s">
        <v>155</v>
      </c>
      <c r="E1074" t="s">
        <v>115</v>
      </c>
      <c r="F1074" s="4">
        <v>4.1040790999999999</v>
      </c>
      <c r="G1074" s="4">
        <f>IFERROR(F1074-alt_Blanks!$I$24,F1074)</f>
        <v>3.8569095</v>
      </c>
      <c r="H1074" s="7">
        <f t="shared" si="46"/>
        <v>3.8569095</v>
      </c>
      <c r="I1074" s="7">
        <f t="shared" si="47"/>
        <v>13.204072235535774</v>
      </c>
    </row>
    <row r="1075" spans="1:9" x14ac:dyDescent="0.35">
      <c r="A1075" t="s">
        <v>113</v>
      </c>
      <c r="B1075" t="s">
        <v>114</v>
      </c>
      <c r="C1075" t="s">
        <v>29</v>
      </c>
      <c r="D1075" t="s">
        <v>155</v>
      </c>
      <c r="E1075" t="s">
        <v>115</v>
      </c>
      <c r="F1075" s="4">
        <v>31.327736400000003</v>
      </c>
      <c r="G1075" s="4">
        <f>IFERROR(F1075-alt_Blanks!$I$25,F1075)</f>
        <v>30.855495600000001</v>
      </c>
      <c r="H1075" s="7">
        <f t="shared" si="46"/>
        <v>30.855495600000001</v>
      </c>
      <c r="I1075" s="7">
        <f t="shared" si="47"/>
        <v>105.63332968161588</v>
      </c>
    </row>
    <row r="1076" spans="1:9" x14ac:dyDescent="0.35">
      <c r="A1076" t="s">
        <v>113</v>
      </c>
      <c r="B1076" t="s">
        <v>114</v>
      </c>
      <c r="C1076" t="s">
        <v>30</v>
      </c>
      <c r="D1076" t="s">
        <v>155</v>
      </c>
      <c r="E1076" t="s">
        <v>115</v>
      </c>
      <c r="F1076" s="4">
        <v>146.30437309999999</v>
      </c>
      <c r="G1076" s="4">
        <f>IFERROR(F1076-alt_Blanks!$I$26,F1076)</f>
        <v>145.72419679999999</v>
      </c>
      <c r="H1076" s="7">
        <f t="shared" si="46"/>
        <v>145.72419679999999</v>
      </c>
      <c r="I1076" s="7">
        <f t="shared" si="47"/>
        <v>498.88461759671338</v>
      </c>
    </row>
    <row r="1077" spans="1:9" x14ac:dyDescent="0.35">
      <c r="A1077" t="s">
        <v>113</v>
      </c>
      <c r="B1077" t="s">
        <v>114</v>
      </c>
      <c r="C1077" t="s">
        <v>31</v>
      </c>
      <c r="D1077" t="s">
        <v>155</v>
      </c>
      <c r="E1077" t="s">
        <v>115</v>
      </c>
      <c r="F1077" s="4">
        <v>32.247192500000004</v>
      </c>
      <c r="G1077" s="4">
        <f>IFERROR(F1077-alt_Blanks!$I$27,F1077)</f>
        <v>32.247192500000004</v>
      </c>
      <c r="H1077" s="7">
        <f t="shared" si="46"/>
        <v>32.247192500000004</v>
      </c>
      <c r="I1077" s="7">
        <f t="shared" si="47"/>
        <v>110.39778329339268</v>
      </c>
    </row>
    <row r="1078" spans="1:9" x14ac:dyDescent="0.35">
      <c r="A1078" t="s">
        <v>113</v>
      </c>
      <c r="B1078" t="s">
        <v>114</v>
      </c>
      <c r="C1078" t="s">
        <v>32</v>
      </c>
      <c r="D1078" t="s">
        <v>153</v>
      </c>
      <c r="E1078" t="s">
        <v>115</v>
      </c>
      <c r="F1078" s="4">
        <v>0.32299820000000001</v>
      </c>
      <c r="G1078" s="4">
        <f>IFERROR(F1078-alt_Blanks!$I$28,F1078)</f>
        <v>0.32299820000000001</v>
      </c>
      <c r="H1078" s="7">
        <f t="shared" si="46"/>
        <v>0.32299820000000001</v>
      </c>
      <c r="I1078" s="7">
        <f t="shared" si="47"/>
        <v>1.105779527559055</v>
      </c>
    </row>
    <row r="1079" spans="1:9" x14ac:dyDescent="0.35">
      <c r="A1079" t="s">
        <v>113</v>
      </c>
      <c r="B1079" t="s">
        <v>114</v>
      </c>
      <c r="C1079" t="s">
        <v>33</v>
      </c>
      <c r="D1079" t="s">
        <v>155</v>
      </c>
      <c r="E1079" t="s">
        <v>115</v>
      </c>
      <c r="F1079" s="4">
        <v>98.202708400000006</v>
      </c>
      <c r="G1079" s="4">
        <f>IFERROR(F1079-alt_Blanks!$I$29,F1079)</f>
        <v>97.591087400000006</v>
      </c>
      <c r="H1079" s="7">
        <f t="shared" si="46"/>
        <v>97.591087400000006</v>
      </c>
      <c r="I1079" s="7">
        <f t="shared" si="47"/>
        <v>334.10163437179045</v>
      </c>
    </row>
    <row r="1080" spans="1:9" x14ac:dyDescent="0.35">
      <c r="A1080" t="s">
        <v>113</v>
      </c>
      <c r="B1080" t="s">
        <v>114</v>
      </c>
      <c r="C1080" t="s">
        <v>34</v>
      </c>
      <c r="D1080" t="s">
        <v>153</v>
      </c>
      <c r="E1080" t="s">
        <v>115</v>
      </c>
      <c r="F1080" s="4">
        <v>2.4229315000000002</v>
      </c>
      <c r="G1080" s="4">
        <f>IFERROR(F1080-alt_Blanks!$I$30,F1080)</f>
        <v>2.4229315000000002</v>
      </c>
      <c r="H1080" s="7">
        <f t="shared" si="46"/>
        <v>2.4229315000000002</v>
      </c>
      <c r="I1080" s="7">
        <f t="shared" si="47"/>
        <v>8.2948699075659018</v>
      </c>
    </row>
    <row r="1081" spans="1:9" x14ac:dyDescent="0.35">
      <c r="A1081" t="s">
        <v>113</v>
      </c>
      <c r="B1081" t="s">
        <v>114</v>
      </c>
      <c r="C1081" t="s">
        <v>35</v>
      </c>
      <c r="D1081" t="s">
        <v>154</v>
      </c>
      <c r="E1081" t="s">
        <v>115</v>
      </c>
      <c r="F1081" s="4">
        <v>14.900680399999999</v>
      </c>
      <c r="G1081" s="4">
        <f>IFERROR(F1081-alt_Blanks!$I$31,F1081)</f>
        <v>-87.553953199999995</v>
      </c>
      <c r="H1081" s="7">
        <f t="shared" si="46"/>
        <v>0</v>
      </c>
      <c r="I1081" s="7">
        <f t="shared" si="47"/>
        <v>0</v>
      </c>
    </row>
    <row r="1082" spans="1:9" x14ac:dyDescent="0.35">
      <c r="A1082" t="s">
        <v>113</v>
      </c>
      <c r="B1082" t="s">
        <v>114</v>
      </c>
      <c r="C1082" t="s">
        <v>36</v>
      </c>
      <c r="D1082" t="s">
        <v>155</v>
      </c>
      <c r="E1082" t="s">
        <v>115</v>
      </c>
      <c r="F1082" s="4">
        <v>1.9741491</v>
      </c>
      <c r="G1082" s="4">
        <f>IFERROR(F1082-alt_Blanks!$I$32,F1082)</f>
        <v>4.6580599999999972E-2</v>
      </c>
      <c r="H1082" s="7">
        <f t="shared" si="46"/>
        <v>4.6580599999999972E-2</v>
      </c>
      <c r="I1082" s="7">
        <f t="shared" si="47"/>
        <v>0.15946799041424159</v>
      </c>
    </row>
    <row r="1083" spans="1:9" x14ac:dyDescent="0.35">
      <c r="A1083" t="s">
        <v>113</v>
      </c>
      <c r="B1083" t="s">
        <v>114</v>
      </c>
      <c r="C1083" t="s">
        <v>37</v>
      </c>
      <c r="D1083" t="s">
        <v>155</v>
      </c>
      <c r="E1083" t="s">
        <v>115</v>
      </c>
      <c r="F1083" s="4">
        <v>0.52420960000000005</v>
      </c>
      <c r="G1083" s="4">
        <f>IFERROR(F1083-alt_Blanks!$I$33,F1083)</f>
        <v>0.52420960000000005</v>
      </c>
      <c r="H1083" s="7">
        <f t="shared" si="46"/>
        <v>0.52420960000000005</v>
      </c>
      <c r="I1083" s="7">
        <f t="shared" si="47"/>
        <v>1.7946237589866485</v>
      </c>
    </row>
    <row r="1084" spans="1:9" x14ac:dyDescent="0.35">
      <c r="A1084" t="s">
        <v>113</v>
      </c>
      <c r="B1084" t="s">
        <v>114</v>
      </c>
      <c r="C1084" t="s">
        <v>38</v>
      </c>
      <c r="D1084" t="s">
        <v>155</v>
      </c>
      <c r="E1084" t="s">
        <v>115</v>
      </c>
      <c r="F1084" s="4">
        <v>2.7345747</v>
      </c>
      <c r="G1084" s="4">
        <f>IFERROR(F1084-alt_Blanks!$I$34,F1084)</f>
        <v>2.7345747</v>
      </c>
      <c r="H1084" s="7">
        <f t="shared" si="46"/>
        <v>2.7345747</v>
      </c>
      <c r="I1084" s="7">
        <f t="shared" si="47"/>
        <v>9.3617757617254362</v>
      </c>
    </row>
    <row r="1085" spans="1:9" x14ac:dyDescent="0.35">
      <c r="A1085" t="s">
        <v>113</v>
      </c>
      <c r="B1085" t="s">
        <v>114</v>
      </c>
      <c r="C1085" t="s">
        <v>39</v>
      </c>
      <c r="D1085" t="s">
        <v>153</v>
      </c>
      <c r="E1085" t="s">
        <v>115</v>
      </c>
      <c r="F1085" s="4">
        <v>0</v>
      </c>
      <c r="G1085" s="4">
        <f>IFERROR(F1085-alt_Blanks!$I$35,F1085)</f>
        <v>0</v>
      </c>
      <c r="H1085" s="7">
        <f t="shared" si="46"/>
        <v>0</v>
      </c>
      <c r="I1085" s="7">
        <f t="shared" si="47"/>
        <v>0</v>
      </c>
    </row>
    <row r="1086" spans="1:9" x14ac:dyDescent="0.35">
      <c r="A1086" t="s">
        <v>113</v>
      </c>
      <c r="B1086" t="s">
        <v>114</v>
      </c>
      <c r="C1086" t="s">
        <v>40</v>
      </c>
      <c r="D1086" t="s">
        <v>154</v>
      </c>
      <c r="E1086" t="s">
        <v>115</v>
      </c>
      <c r="F1086" s="4">
        <v>0</v>
      </c>
      <c r="G1086" s="4">
        <f>IFERROR(F1086-alt_Blanks!$I$36,F1086)</f>
        <v>0</v>
      </c>
      <c r="H1086" s="7">
        <f t="shared" si="46"/>
        <v>0</v>
      </c>
      <c r="I1086" s="7">
        <f t="shared" si="47"/>
        <v>0</v>
      </c>
    </row>
    <row r="1087" spans="1:9" x14ac:dyDescent="0.35">
      <c r="A1087" t="s">
        <v>116</v>
      </c>
      <c r="B1087" t="s">
        <v>117</v>
      </c>
      <c r="C1087" t="s">
        <v>6</v>
      </c>
      <c r="D1087" t="s">
        <v>153</v>
      </c>
      <c r="E1087" t="s">
        <v>118</v>
      </c>
      <c r="F1087" s="4">
        <v>6.6707279000000002</v>
      </c>
      <c r="G1087" s="4">
        <f>IFERROR(F1087-alt_Blanks!$I$2,F1087)</f>
        <v>-3.5813200000000656E-2</v>
      </c>
      <c r="H1087" s="7">
        <f t="shared" si="46"/>
        <v>0</v>
      </c>
      <c r="I1087" s="7">
        <f>H1087/0.923</f>
        <v>0</v>
      </c>
    </row>
    <row r="1088" spans="1:9" x14ac:dyDescent="0.35">
      <c r="A1088" t="s">
        <v>116</v>
      </c>
      <c r="B1088" t="s">
        <v>117</v>
      </c>
      <c r="C1088" t="s">
        <v>7</v>
      </c>
      <c r="D1088" t="s">
        <v>153</v>
      </c>
      <c r="E1088" t="s">
        <v>118</v>
      </c>
      <c r="F1088" s="4">
        <v>0</v>
      </c>
      <c r="G1088" s="4">
        <f>IFERROR(F1088-alt_Blanks!$I$3,F1088)</f>
        <v>0</v>
      </c>
      <c r="H1088" s="7">
        <f t="shared" si="46"/>
        <v>0</v>
      </c>
      <c r="I1088" s="7">
        <f t="shared" ref="I1088:I1121" si="48">H1088/0.923</f>
        <v>0</v>
      </c>
    </row>
    <row r="1089" spans="1:9" x14ac:dyDescent="0.35">
      <c r="A1089" t="s">
        <v>116</v>
      </c>
      <c r="B1089" t="s">
        <v>117</v>
      </c>
      <c r="C1089" t="s">
        <v>8</v>
      </c>
      <c r="D1089" t="s">
        <v>153</v>
      </c>
      <c r="E1089" t="s">
        <v>118</v>
      </c>
      <c r="F1089" s="4">
        <v>0</v>
      </c>
      <c r="G1089" s="4">
        <f>IFERROR(F1089-alt_Blanks!$I$4,F1089)</f>
        <v>0</v>
      </c>
      <c r="H1089" s="7">
        <f t="shared" si="46"/>
        <v>0</v>
      </c>
      <c r="I1089" s="7">
        <f t="shared" si="48"/>
        <v>0</v>
      </c>
    </row>
    <row r="1090" spans="1:9" x14ac:dyDescent="0.35">
      <c r="A1090" t="s">
        <v>116</v>
      </c>
      <c r="B1090" t="s">
        <v>117</v>
      </c>
      <c r="C1090" t="s">
        <v>9</v>
      </c>
      <c r="D1090" t="s">
        <v>153</v>
      </c>
      <c r="E1090" t="s">
        <v>118</v>
      </c>
      <c r="F1090" s="4">
        <v>0</v>
      </c>
      <c r="G1090" s="4">
        <f>IFERROR(F1090-alt_Blanks!$I$5,F1090)</f>
        <v>0</v>
      </c>
      <c r="H1090" s="7">
        <f t="shared" si="46"/>
        <v>0</v>
      </c>
      <c r="I1090" s="7">
        <f t="shared" si="48"/>
        <v>0</v>
      </c>
    </row>
    <row r="1091" spans="1:9" x14ac:dyDescent="0.35">
      <c r="A1091" t="s">
        <v>116</v>
      </c>
      <c r="B1091" t="s">
        <v>117</v>
      </c>
      <c r="C1091" t="s">
        <v>10</v>
      </c>
      <c r="D1091" t="s">
        <v>153</v>
      </c>
      <c r="E1091" t="s">
        <v>118</v>
      </c>
      <c r="F1091" s="4">
        <v>0</v>
      </c>
      <c r="G1091" s="4">
        <f>IFERROR(F1091-alt_Blanks!$I$6,F1091)</f>
        <v>0</v>
      </c>
      <c r="H1091" s="7">
        <f t="shared" si="46"/>
        <v>0</v>
      </c>
      <c r="I1091" s="7">
        <f t="shared" si="48"/>
        <v>0</v>
      </c>
    </row>
    <row r="1092" spans="1:9" x14ac:dyDescent="0.35">
      <c r="A1092" t="s">
        <v>116</v>
      </c>
      <c r="B1092" t="s">
        <v>117</v>
      </c>
      <c r="C1092" t="s">
        <v>11</v>
      </c>
      <c r="D1092" t="s">
        <v>153</v>
      </c>
      <c r="E1092" t="s">
        <v>118</v>
      </c>
      <c r="F1092" s="4">
        <v>3.8908926999999998</v>
      </c>
      <c r="G1092" s="4">
        <f>IFERROR(F1092-alt_Blanks!$I$7,F1092)</f>
        <v>3.8908926999999998</v>
      </c>
      <c r="H1092" s="7">
        <f t="shared" si="46"/>
        <v>3.8908926999999998</v>
      </c>
      <c r="I1092" s="7">
        <f t="shared" si="48"/>
        <v>4.2154850487540623</v>
      </c>
    </row>
    <row r="1093" spans="1:9" x14ac:dyDescent="0.35">
      <c r="A1093" t="s">
        <v>116</v>
      </c>
      <c r="B1093" t="s">
        <v>117</v>
      </c>
      <c r="C1093" t="s">
        <v>12</v>
      </c>
      <c r="D1093" t="s">
        <v>154</v>
      </c>
      <c r="E1093" t="s">
        <v>118</v>
      </c>
      <c r="F1093" s="4">
        <v>0</v>
      </c>
      <c r="G1093" s="4">
        <f>IFERROR(F1093-alt_Blanks!$I$8,F1093)</f>
        <v>0</v>
      </c>
      <c r="H1093" s="7">
        <f t="shared" si="46"/>
        <v>0</v>
      </c>
      <c r="I1093" s="7">
        <f t="shared" si="48"/>
        <v>0</v>
      </c>
    </row>
    <row r="1094" spans="1:9" x14ac:dyDescent="0.35">
      <c r="A1094" t="s">
        <v>116</v>
      </c>
      <c r="B1094" t="s">
        <v>117</v>
      </c>
      <c r="C1094" t="s">
        <v>13</v>
      </c>
      <c r="D1094" t="s">
        <v>153</v>
      </c>
      <c r="E1094" t="s">
        <v>118</v>
      </c>
      <c r="F1094" s="4">
        <v>0</v>
      </c>
      <c r="G1094" s="4">
        <f>IFERROR(F1094-alt_Blanks!$I$9,F1094)</f>
        <v>0</v>
      </c>
      <c r="H1094" s="7">
        <f t="shared" ref="H1094:H1157" si="49">IF(G1094&lt;0,0,G1094)</f>
        <v>0</v>
      </c>
      <c r="I1094" s="7">
        <f t="shared" si="48"/>
        <v>0</v>
      </c>
    </row>
    <row r="1095" spans="1:9" x14ac:dyDescent="0.35">
      <c r="A1095" t="s">
        <v>116</v>
      </c>
      <c r="B1095" t="s">
        <v>117</v>
      </c>
      <c r="C1095" t="s">
        <v>14</v>
      </c>
      <c r="D1095" t="s">
        <v>154</v>
      </c>
      <c r="E1095" t="s">
        <v>118</v>
      </c>
      <c r="F1095" s="4">
        <v>0</v>
      </c>
      <c r="G1095" s="4">
        <f>IFERROR(F1095-alt_Blanks!$I$10,F1095)</f>
        <v>0</v>
      </c>
      <c r="H1095" s="7">
        <f t="shared" si="49"/>
        <v>0</v>
      </c>
      <c r="I1095" s="7">
        <f t="shared" si="48"/>
        <v>0</v>
      </c>
    </row>
    <row r="1096" spans="1:9" x14ac:dyDescent="0.35">
      <c r="A1096" t="s">
        <v>116</v>
      </c>
      <c r="B1096" t="s">
        <v>117</v>
      </c>
      <c r="C1096" t="s">
        <v>15</v>
      </c>
      <c r="D1096" t="s">
        <v>153</v>
      </c>
      <c r="E1096" t="s">
        <v>118</v>
      </c>
      <c r="F1096" s="4">
        <v>1357.4774282000001</v>
      </c>
      <c r="G1096" s="4">
        <f>IFERROR(F1096-alt_Blanks!$I$11,F1096)</f>
        <v>552.26073850000012</v>
      </c>
      <c r="H1096" s="7">
        <f t="shared" si="49"/>
        <v>552.26073850000012</v>
      </c>
      <c r="I1096" s="7">
        <f t="shared" si="48"/>
        <v>598.33232773564475</v>
      </c>
    </row>
    <row r="1097" spans="1:9" x14ac:dyDescent="0.35">
      <c r="A1097" t="s">
        <v>116</v>
      </c>
      <c r="B1097" t="s">
        <v>117</v>
      </c>
      <c r="C1097" t="s">
        <v>16</v>
      </c>
      <c r="D1097" t="s">
        <v>154</v>
      </c>
      <c r="E1097" t="s">
        <v>118</v>
      </c>
      <c r="F1097" s="4">
        <v>29.040412100000001</v>
      </c>
      <c r="G1097" s="4">
        <f>IFERROR(F1097-alt_Blanks!$I$12,F1097)</f>
        <v>29.040412100000001</v>
      </c>
      <c r="H1097" s="7">
        <f t="shared" si="49"/>
        <v>29.040412100000001</v>
      </c>
      <c r="I1097" s="7">
        <f t="shared" si="48"/>
        <v>31.463068364030335</v>
      </c>
    </row>
    <row r="1098" spans="1:9" x14ac:dyDescent="0.35">
      <c r="A1098" t="s">
        <v>116</v>
      </c>
      <c r="B1098" t="s">
        <v>117</v>
      </c>
      <c r="C1098" t="s">
        <v>17</v>
      </c>
      <c r="D1098" t="s">
        <v>153</v>
      </c>
      <c r="E1098" t="s">
        <v>118</v>
      </c>
      <c r="F1098" s="4">
        <v>11.511274199999999</v>
      </c>
      <c r="G1098" s="4">
        <f>IFERROR(F1098-alt_Blanks!$I$13,F1098)</f>
        <v>10.658560699999999</v>
      </c>
      <c r="H1098" s="7">
        <f t="shared" si="49"/>
        <v>10.658560699999999</v>
      </c>
      <c r="I1098" s="7">
        <f t="shared" si="48"/>
        <v>11.547736403033584</v>
      </c>
    </row>
    <row r="1099" spans="1:9" x14ac:dyDescent="0.35">
      <c r="A1099" t="s">
        <v>116</v>
      </c>
      <c r="B1099" t="s">
        <v>117</v>
      </c>
      <c r="C1099" t="s">
        <v>18</v>
      </c>
      <c r="D1099" t="s">
        <v>154</v>
      </c>
      <c r="E1099" t="s">
        <v>118</v>
      </c>
      <c r="F1099" s="4">
        <v>0</v>
      </c>
      <c r="G1099" s="4">
        <f>IFERROR(F1099-alt_Blanks!$I$14,F1099)</f>
        <v>0</v>
      </c>
      <c r="H1099" s="7">
        <f t="shared" si="49"/>
        <v>0</v>
      </c>
      <c r="I1099" s="7">
        <f t="shared" si="48"/>
        <v>0</v>
      </c>
    </row>
    <row r="1100" spans="1:9" x14ac:dyDescent="0.35">
      <c r="A1100" t="s">
        <v>116</v>
      </c>
      <c r="B1100" t="s">
        <v>117</v>
      </c>
      <c r="C1100" t="s">
        <v>19</v>
      </c>
      <c r="D1100" t="s">
        <v>153</v>
      </c>
      <c r="E1100" t="s">
        <v>118</v>
      </c>
      <c r="F1100" s="4">
        <v>256.75292610000002</v>
      </c>
      <c r="G1100" s="4">
        <f>IFERROR(F1100-alt_Blanks!$I$15,F1100)</f>
        <v>-11.870470999999952</v>
      </c>
      <c r="H1100" s="7">
        <f t="shared" si="49"/>
        <v>0</v>
      </c>
      <c r="I1100" s="7">
        <f t="shared" si="48"/>
        <v>0</v>
      </c>
    </row>
    <row r="1101" spans="1:9" x14ac:dyDescent="0.35">
      <c r="A1101" t="s">
        <v>116</v>
      </c>
      <c r="B1101" t="s">
        <v>117</v>
      </c>
      <c r="C1101" t="s">
        <v>20</v>
      </c>
      <c r="D1101" t="s">
        <v>154</v>
      </c>
      <c r="E1101" t="s">
        <v>118</v>
      </c>
      <c r="F1101" s="4">
        <v>251.85806030000001</v>
      </c>
      <c r="G1101" s="4">
        <f>IFERROR(F1101-alt_Blanks!$I$16,F1101)</f>
        <v>233.39214710000002</v>
      </c>
      <c r="H1101" s="7">
        <f t="shared" si="49"/>
        <v>233.39214710000002</v>
      </c>
      <c r="I1101" s="7">
        <f t="shared" si="48"/>
        <v>252.86256457204769</v>
      </c>
    </row>
    <row r="1102" spans="1:9" x14ac:dyDescent="0.35">
      <c r="A1102" t="s">
        <v>116</v>
      </c>
      <c r="B1102" t="s">
        <v>117</v>
      </c>
      <c r="C1102" t="s">
        <v>21</v>
      </c>
      <c r="D1102" t="s">
        <v>155</v>
      </c>
      <c r="E1102" t="s">
        <v>118</v>
      </c>
      <c r="F1102" s="4">
        <v>0.8197875</v>
      </c>
      <c r="G1102" s="4">
        <f>IFERROR(F1102-alt_Blanks!$I$17,F1102)</f>
        <v>0.48783409999999999</v>
      </c>
      <c r="H1102" s="7">
        <f t="shared" si="49"/>
        <v>0.48783409999999999</v>
      </c>
      <c r="I1102" s="7">
        <f t="shared" si="48"/>
        <v>0.52853098591549297</v>
      </c>
    </row>
    <row r="1103" spans="1:9" x14ac:dyDescent="0.35">
      <c r="A1103" t="s">
        <v>116</v>
      </c>
      <c r="B1103" t="s">
        <v>117</v>
      </c>
      <c r="C1103" t="s">
        <v>22</v>
      </c>
      <c r="D1103" t="s">
        <v>155</v>
      </c>
      <c r="E1103" t="s">
        <v>118</v>
      </c>
      <c r="F1103" s="4">
        <v>163.78412549999999</v>
      </c>
      <c r="G1103" s="4">
        <f>IFERROR(F1103-alt_Blanks!$I$18,F1103)</f>
        <v>157.78066589999997</v>
      </c>
      <c r="H1103" s="7">
        <f t="shared" si="49"/>
        <v>157.78066589999997</v>
      </c>
      <c r="I1103" s="7">
        <f t="shared" si="48"/>
        <v>170.94329999999997</v>
      </c>
    </row>
    <row r="1104" spans="1:9" x14ac:dyDescent="0.35">
      <c r="A1104" t="s">
        <v>116</v>
      </c>
      <c r="B1104" t="s">
        <v>117</v>
      </c>
      <c r="C1104" t="s">
        <v>23</v>
      </c>
      <c r="D1104" t="s">
        <v>155</v>
      </c>
      <c r="E1104" t="s">
        <v>118</v>
      </c>
      <c r="F1104" s="4">
        <v>5.2512400000000001E-2</v>
      </c>
      <c r="G1104" s="4">
        <f>IFERROR(F1104-alt_Blanks!$I$19,F1104)</f>
        <v>5.2512400000000001E-2</v>
      </c>
      <c r="H1104" s="7">
        <f t="shared" si="49"/>
        <v>5.2512400000000001E-2</v>
      </c>
      <c r="I1104" s="7">
        <f t="shared" si="48"/>
        <v>5.6893174431202599E-2</v>
      </c>
    </row>
    <row r="1105" spans="1:9" x14ac:dyDescent="0.35">
      <c r="A1105" t="s">
        <v>116</v>
      </c>
      <c r="B1105" t="s">
        <v>117</v>
      </c>
      <c r="C1105" t="s">
        <v>24</v>
      </c>
      <c r="D1105" t="s">
        <v>155</v>
      </c>
      <c r="E1105" t="s">
        <v>118</v>
      </c>
      <c r="F1105" s="4">
        <v>113.39655430000001</v>
      </c>
      <c r="G1105" s="4">
        <f>IFERROR(F1105-alt_Blanks!$I$20,F1105)</f>
        <v>111.45857890000001</v>
      </c>
      <c r="H1105" s="7">
        <f t="shared" si="49"/>
        <v>111.45857890000001</v>
      </c>
      <c r="I1105" s="7">
        <f t="shared" si="48"/>
        <v>120.75685687973998</v>
      </c>
    </row>
    <row r="1106" spans="1:9" x14ac:dyDescent="0.35">
      <c r="A1106" t="s">
        <v>116</v>
      </c>
      <c r="B1106" t="s">
        <v>117</v>
      </c>
      <c r="C1106" t="s">
        <v>25</v>
      </c>
      <c r="D1106" t="s">
        <v>155</v>
      </c>
      <c r="E1106" t="s">
        <v>118</v>
      </c>
      <c r="F1106" s="4">
        <v>0.54456479999999996</v>
      </c>
      <c r="G1106" s="4">
        <f>IFERROR(F1106-alt_Blanks!$I$21,F1106)</f>
        <v>0.33005569999999995</v>
      </c>
      <c r="H1106" s="7">
        <f t="shared" si="49"/>
        <v>0.33005569999999995</v>
      </c>
      <c r="I1106" s="7">
        <f t="shared" si="48"/>
        <v>0.35759014084507035</v>
      </c>
    </row>
    <row r="1107" spans="1:9" x14ac:dyDescent="0.35">
      <c r="A1107" t="s">
        <v>116</v>
      </c>
      <c r="B1107" t="s">
        <v>117</v>
      </c>
      <c r="C1107" t="s">
        <v>26</v>
      </c>
      <c r="D1107" t="s">
        <v>153</v>
      </c>
      <c r="E1107" t="s">
        <v>118</v>
      </c>
      <c r="F1107" s="4">
        <v>1.5846005000000001</v>
      </c>
      <c r="G1107" s="4">
        <f>IFERROR(F1107-alt_Blanks!$I$22,F1107)</f>
        <v>-1.0120899999999766E-2</v>
      </c>
      <c r="H1107" s="7">
        <f t="shared" si="49"/>
        <v>0</v>
      </c>
      <c r="I1107" s="7">
        <f t="shared" si="48"/>
        <v>0</v>
      </c>
    </row>
    <row r="1108" spans="1:9" x14ac:dyDescent="0.35">
      <c r="A1108" t="s">
        <v>116</v>
      </c>
      <c r="B1108" t="s">
        <v>117</v>
      </c>
      <c r="C1108" t="s">
        <v>27</v>
      </c>
      <c r="D1108" t="s">
        <v>154</v>
      </c>
      <c r="E1108" t="s">
        <v>118</v>
      </c>
      <c r="F1108" s="4" t="e">
        <v>#N/A</v>
      </c>
      <c r="G1108" s="4" t="e">
        <f>IFERROR(F1108-alt_Blanks!$I$23,F1108)</f>
        <v>#N/A</v>
      </c>
      <c r="H1108" s="7" t="e">
        <f t="shared" si="49"/>
        <v>#N/A</v>
      </c>
      <c r="I1108" s="7" t="e">
        <f t="shared" si="48"/>
        <v>#N/A</v>
      </c>
    </row>
    <row r="1109" spans="1:9" x14ac:dyDescent="0.35">
      <c r="A1109" t="s">
        <v>116</v>
      </c>
      <c r="B1109" t="s">
        <v>117</v>
      </c>
      <c r="C1109" t="s">
        <v>28</v>
      </c>
      <c r="D1109" t="s">
        <v>155</v>
      </c>
      <c r="E1109" t="s">
        <v>118</v>
      </c>
      <c r="F1109" s="4">
        <v>31.8112098</v>
      </c>
      <c r="G1109" s="4">
        <f>IFERROR(F1109-alt_Blanks!$I$24,F1109)</f>
        <v>31.564040200000001</v>
      </c>
      <c r="H1109" s="7">
        <f t="shared" si="49"/>
        <v>31.564040200000001</v>
      </c>
      <c r="I1109" s="7">
        <f t="shared" si="48"/>
        <v>34.197226652221019</v>
      </c>
    </row>
    <row r="1110" spans="1:9" x14ac:dyDescent="0.35">
      <c r="A1110" t="s">
        <v>116</v>
      </c>
      <c r="B1110" t="s">
        <v>117</v>
      </c>
      <c r="C1110" t="s">
        <v>29</v>
      </c>
      <c r="D1110" t="s">
        <v>155</v>
      </c>
      <c r="E1110" t="s">
        <v>118</v>
      </c>
      <c r="F1110" s="4">
        <v>0.20618039999999999</v>
      </c>
      <c r="G1110" s="4">
        <f>IFERROR(F1110-alt_Blanks!$I$25,F1110)</f>
        <v>-0.26606039999999997</v>
      </c>
      <c r="H1110" s="7">
        <f t="shared" si="49"/>
        <v>0</v>
      </c>
      <c r="I1110" s="7">
        <f t="shared" si="48"/>
        <v>0</v>
      </c>
    </row>
    <row r="1111" spans="1:9" x14ac:dyDescent="0.35">
      <c r="A1111" t="s">
        <v>116</v>
      </c>
      <c r="B1111" t="s">
        <v>117</v>
      </c>
      <c r="C1111" t="s">
        <v>30</v>
      </c>
      <c r="D1111" t="s">
        <v>155</v>
      </c>
      <c r="E1111" t="s">
        <v>118</v>
      </c>
      <c r="F1111" s="4">
        <v>207.9590986</v>
      </c>
      <c r="G1111" s="4">
        <f>IFERROR(F1111-alt_Blanks!$I$26,F1111)</f>
        <v>207.3789223</v>
      </c>
      <c r="H1111" s="7">
        <f t="shared" si="49"/>
        <v>207.3789223</v>
      </c>
      <c r="I1111" s="7">
        <f t="shared" si="48"/>
        <v>224.6792224268689</v>
      </c>
    </row>
    <row r="1112" spans="1:9" x14ac:dyDescent="0.35">
      <c r="A1112" t="s">
        <v>116</v>
      </c>
      <c r="B1112" t="s">
        <v>117</v>
      </c>
      <c r="C1112" t="s">
        <v>31</v>
      </c>
      <c r="D1112" t="s">
        <v>155</v>
      </c>
      <c r="E1112" t="s">
        <v>118</v>
      </c>
      <c r="F1112" s="4" t="e">
        <v>#N/A</v>
      </c>
      <c r="G1112" s="4" t="e">
        <f>IFERROR(F1112-alt_Blanks!$I$27,F1112)</f>
        <v>#N/A</v>
      </c>
      <c r="H1112" s="7" t="e">
        <f t="shared" si="49"/>
        <v>#N/A</v>
      </c>
      <c r="I1112" s="7" t="e">
        <f t="shared" si="48"/>
        <v>#N/A</v>
      </c>
    </row>
    <row r="1113" spans="1:9" x14ac:dyDescent="0.35">
      <c r="A1113" t="s">
        <v>116</v>
      </c>
      <c r="B1113" t="s">
        <v>117</v>
      </c>
      <c r="C1113" t="s">
        <v>32</v>
      </c>
      <c r="D1113" t="s">
        <v>153</v>
      </c>
      <c r="E1113" t="s">
        <v>118</v>
      </c>
      <c r="F1113" s="4">
        <v>0</v>
      </c>
      <c r="G1113" s="4">
        <f>IFERROR(F1113-alt_Blanks!$I$28,F1113)</f>
        <v>0</v>
      </c>
      <c r="H1113" s="7">
        <f t="shared" si="49"/>
        <v>0</v>
      </c>
      <c r="I1113" s="7">
        <f t="shared" si="48"/>
        <v>0</v>
      </c>
    </row>
    <row r="1114" spans="1:9" x14ac:dyDescent="0.35">
      <c r="A1114" t="s">
        <v>116</v>
      </c>
      <c r="B1114" t="s">
        <v>117</v>
      </c>
      <c r="C1114" t="s">
        <v>33</v>
      </c>
      <c r="D1114" t="s">
        <v>155</v>
      </c>
      <c r="E1114" t="s">
        <v>118</v>
      </c>
      <c r="F1114" s="4">
        <v>138.33425980000001</v>
      </c>
      <c r="G1114" s="4">
        <f>IFERROR(F1114-alt_Blanks!$I$29,F1114)</f>
        <v>137.7226388</v>
      </c>
      <c r="H1114" s="7">
        <f t="shared" si="49"/>
        <v>137.7226388</v>
      </c>
      <c r="I1114" s="7">
        <f t="shared" si="48"/>
        <v>149.21195969664137</v>
      </c>
    </row>
    <row r="1115" spans="1:9" x14ac:dyDescent="0.35">
      <c r="A1115" t="s">
        <v>116</v>
      </c>
      <c r="B1115" t="s">
        <v>117</v>
      </c>
      <c r="C1115" t="s">
        <v>34</v>
      </c>
      <c r="D1115" t="s">
        <v>153</v>
      </c>
      <c r="E1115" t="s">
        <v>118</v>
      </c>
      <c r="F1115" s="4">
        <v>0</v>
      </c>
      <c r="G1115" s="4">
        <f>IFERROR(F1115-alt_Blanks!$I$30,F1115)</f>
        <v>0</v>
      </c>
      <c r="H1115" s="7">
        <f t="shared" si="49"/>
        <v>0</v>
      </c>
      <c r="I1115" s="7">
        <f t="shared" si="48"/>
        <v>0</v>
      </c>
    </row>
    <row r="1116" spans="1:9" x14ac:dyDescent="0.35">
      <c r="A1116" t="s">
        <v>116</v>
      </c>
      <c r="B1116" t="s">
        <v>117</v>
      </c>
      <c r="C1116" t="s">
        <v>35</v>
      </c>
      <c r="D1116" t="s">
        <v>154</v>
      </c>
      <c r="E1116" t="s">
        <v>118</v>
      </c>
      <c r="F1116" s="4">
        <v>32.9095431</v>
      </c>
      <c r="G1116" s="4">
        <f>IFERROR(F1116-alt_Blanks!$I$31,F1116)</f>
        <v>-69.545090499999986</v>
      </c>
      <c r="H1116" s="7">
        <f t="shared" si="49"/>
        <v>0</v>
      </c>
      <c r="I1116" s="7">
        <f t="shared" si="48"/>
        <v>0</v>
      </c>
    </row>
    <row r="1117" spans="1:9" x14ac:dyDescent="0.35">
      <c r="A1117" t="s">
        <v>116</v>
      </c>
      <c r="B1117" t="s">
        <v>117</v>
      </c>
      <c r="C1117" t="s">
        <v>36</v>
      </c>
      <c r="D1117" t="s">
        <v>155</v>
      </c>
      <c r="E1117" t="s">
        <v>118</v>
      </c>
      <c r="F1117" s="4">
        <v>7.6568611000000004</v>
      </c>
      <c r="G1117" s="4">
        <f>IFERROR(F1117-alt_Blanks!$I$32,F1117)</f>
        <v>5.7292926000000008</v>
      </c>
      <c r="H1117" s="7">
        <f t="shared" si="49"/>
        <v>5.7292926000000008</v>
      </c>
      <c r="I1117" s="7">
        <f t="shared" si="48"/>
        <v>6.2072509209100764</v>
      </c>
    </row>
    <row r="1118" spans="1:9" x14ac:dyDescent="0.35">
      <c r="A1118" t="s">
        <v>116</v>
      </c>
      <c r="B1118" t="s">
        <v>117</v>
      </c>
      <c r="C1118" t="s">
        <v>37</v>
      </c>
      <c r="D1118" t="s">
        <v>155</v>
      </c>
      <c r="E1118" t="s">
        <v>118</v>
      </c>
      <c r="F1118" s="4">
        <v>4.1783334999999999</v>
      </c>
      <c r="G1118" s="4">
        <f>IFERROR(F1118-alt_Blanks!$I$33,F1118)</f>
        <v>4.1783334999999999</v>
      </c>
      <c r="H1118" s="7">
        <f t="shared" si="49"/>
        <v>4.1783334999999999</v>
      </c>
      <c r="I1118" s="7">
        <f t="shared" si="48"/>
        <v>4.5269052004333687</v>
      </c>
    </row>
    <row r="1119" spans="1:9" x14ac:dyDescent="0.35">
      <c r="A1119" t="s">
        <v>116</v>
      </c>
      <c r="B1119" t="s">
        <v>117</v>
      </c>
      <c r="C1119" t="s">
        <v>38</v>
      </c>
      <c r="D1119" t="s">
        <v>155</v>
      </c>
      <c r="E1119" t="s">
        <v>118</v>
      </c>
      <c r="F1119" s="4">
        <v>7.3196243000000001</v>
      </c>
      <c r="G1119" s="4">
        <f>IFERROR(F1119-alt_Blanks!$I$34,F1119)</f>
        <v>7.3196243000000001</v>
      </c>
      <c r="H1119" s="7">
        <f t="shared" si="49"/>
        <v>7.3196243000000001</v>
      </c>
      <c r="I1119" s="7">
        <f t="shared" si="48"/>
        <v>7.9302538461538461</v>
      </c>
    </row>
    <row r="1120" spans="1:9" x14ac:dyDescent="0.35">
      <c r="A1120" t="s">
        <v>116</v>
      </c>
      <c r="B1120" t="s">
        <v>117</v>
      </c>
      <c r="C1120" t="s">
        <v>39</v>
      </c>
      <c r="D1120" t="s">
        <v>153</v>
      </c>
      <c r="E1120" t="s">
        <v>118</v>
      </c>
      <c r="F1120" s="4">
        <v>0</v>
      </c>
      <c r="G1120" s="4">
        <f>IFERROR(F1120-alt_Blanks!$I$35,F1120)</f>
        <v>0</v>
      </c>
      <c r="H1120" s="7">
        <f t="shared" si="49"/>
        <v>0</v>
      </c>
      <c r="I1120" s="7">
        <f t="shared" si="48"/>
        <v>0</v>
      </c>
    </row>
    <row r="1121" spans="1:9" x14ac:dyDescent="0.35">
      <c r="A1121" t="s">
        <v>116</v>
      </c>
      <c r="B1121" t="s">
        <v>117</v>
      </c>
      <c r="C1121" t="s">
        <v>40</v>
      </c>
      <c r="D1121" t="s">
        <v>154</v>
      </c>
      <c r="E1121" t="s">
        <v>118</v>
      </c>
      <c r="F1121" s="4">
        <v>0</v>
      </c>
      <c r="G1121" s="4">
        <f>IFERROR(F1121-alt_Blanks!$I$36,F1121)</f>
        <v>0</v>
      </c>
      <c r="H1121" s="7">
        <f t="shared" si="49"/>
        <v>0</v>
      </c>
      <c r="I1121" s="7">
        <f t="shared" si="48"/>
        <v>0</v>
      </c>
    </row>
    <row r="1122" spans="1:9" x14ac:dyDescent="0.35">
      <c r="A1122" t="s">
        <v>119</v>
      </c>
      <c r="B1122" t="s">
        <v>120</v>
      </c>
      <c r="C1122" t="s">
        <v>6</v>
      </c>
      <c r="D1122" t="s">
        <v>153</v>
      </c>
      <c r="E1122" t="s">
        <v>121</v>
      </c>
      <c r="F1122" s="4">
        <v>6.7053477999999993</v>
      </c>
      <c r="G1122" s="4">
        <f>IFERROR(F1122-alt_Blanks!$I$2,F1122)</f>
        <v>-1.193300000001507E-3</v>
      </c>
      <c r="H1122" s="7">
        <f t="shared" si="49"/>
        <v>0</v>
      </c>
      <c r="I1122" s="7">
        <f>H1122/0.4026</f>
        <v>0</v>
      </c>
    </row>
    <row r="1123" spans="1:9" x14ac:dyDescent="0.35">
      <c r="A1123" t="s">
        <v>119</v>
      </c>
      <c r="B1123" t="s">
        <v>120</v>
      </c>
      <c r="C1123" t="s">
        <v>7</v>
      </c>
      <c r="D1123" t="s">
        <v>153</v>
      </c>
      <c r="E1123" t="s">
        <v>121</v>
      </c>
      <c r="F1123" s="4">
        <v>0</v>
      </c>
      <c r="G1123" s="4">
        <f>IFERROR(F1123-alt_Blanks!$I$3,F1123)</f>
        <v>0</v>
      </c>
      <c r="H1123" s="7">
        <f t="shared" si="49"/>
        <v>0</v>
      </c>
      <c r="I1123" s="7">
        <f t="shared" ref="I1123:I1156" si="50">H1123/0.4026</f>
        <v>0</v>
      </c>
    </row>
    <row r="1124" spans="1:9" x14ac:dyDescent="0.35">
      <c r="A1124" t="s">
        <v>119</v>
      </c>
      <c r="B1124" t="s">
        <v>120</v>
      </c>
      <c r="C1124" t="s">
        <v>8</v>
      </c>
      <c r="D1124" t="s">
        <v>153</v>
      </c>
      <c r="E1124" t="s">
        <v>121</v>
      </c>
      <c r="F1124" s="4">
        <v>0</v>
      </c>
      <c r="G1124" s="4">
        <f>IFERROR(F1124-alt_Blanks!$I$4,F1124)</f>
        <v>0</v>
      </c>
      <c r="H1124" s="7">
        <f t="shared" si="49"/>
        <v>0</v>
      </c>
      <c r="I1124" s="7">
        <f t="shared" si="50"/>
        <v>0</v>
      </c>
    </row>
    <row r="1125" spans="1:9" x14ac:dyDescent="0.35">
      <c r="A1125" t="s">
        <v>119</v>
      </c>
      <c r="B1125" t="s">
        <v>120</v>
      </c>
      <c r="C1125" t="s">
        <v>9</v>
      </c>
      <c r="D1125" t="s">
        <v>153</v>
      </c>
      <c r="E1125" t="s">
        <v>121</v>
      </c>
      <c r="F1125" s="4">
        <v>0</v>
      </c>
      <c r="G1125" s="4">
        <f>IFERROR(F1125-alt_Blanks!$I$5,F1125)</f>
        <v>0</v>
      </c>
      <c r="H1125" s="7">
        <f t="shared" si="49"/>
        <v>0</v>
      </c>
      <c r="I1125" s="7">
        <f t="shared" si="50"/>
        <v>0</v>
      </c>
    </row>
    <row r="1126" spans="1:9" x14ac:dyDescent="0.35">
      <c r="A1126" t="s">
        <v>119</v>
      </c>
      <c r="B1126" t="s">
        <v>120</v>
      </c>
      <c r="C1126" t="s">
        <v>10</v>
      </c>
      <c r="D1126" t="s">
        <v>153</v>
      </c>
      <c r="E1126" t="s">
        <v>121</v>
      </c>
      <c r="F1126" s="4">
        <v>0</v>
      </c>
      <c r="G1126" s="4">
        <f>IFERROR(F1126-alt_Blanks!$I$6,F1126)</f>
        <v>0</v>
      </c>
      <c r="H1126" s="7">
        <f t="shared" si="49"/>
        <v>0</v>
      </c>
      <c r="I1126" s="7">
        <f t="shared" si="50"/>
        <v>0</v>
      </c>
    </row>
    <row r="1127" spans="1:9" x14ac:dyDescent="0.35">
      <c r="A1127" t="s">
        <v>119</v>
      </c>
      <c r="B1127" t="s">
        <v>120</v>
      </c>
      <c r="C1127" t="s">
        <v>11</v>
      </c>
      <c r="D1127" t="s">
        <v>153</v>
      </c>
      <c r="E1127" t="s">
        <v>121</v>
      </c>
      <c r="F1127" s="4">
        <v>0</v>
      </c>
      <c r="G1127" s="4">
        <f>IFERROR(F1127-alt_Blanks!$I$7,F1127)</f>
        <v>0</v>
      </c>
      <c r="H1127" s="7">
        <f t="shared" si="49"/>
        <v>0</v>
      </c>
      <c r="I1127" s="7">
        <f t="shared" si="50"/>
        <v>0</v>
      </c>
    </row>
    <row r="1128" spans="1:9" x14ac:dyDescent="0.35">
      <c r="A1128" t="s">
        <v>119</v>
      </c>
      <c r="B1128" t="s">
        <v>120</v>
      </c>
      <c r="C1128" t="s">
        <v>12</v>
      </c>
      <c r="D1128" t="s">
        <v>154</v>
      </c>
      <c r="E1128" t="s">
        <v>121</v>
      </c>
      <c r="F1128" s="4">
        <v>0</v>
      </c>
      <c r="G1128" s="4">
        <f>IFERROR(F1128-alt_Blanks!$I$8,F1128)</f>
        <v>0</v>
      </c>
      <c r="H1128" s="7">
        <f t="shared" si="49"/>
        <v>0</v>
      </c>
      <c r="I1128" s="7">
        <f t="shared" si="50"/>
        <v>0</v>
      </c>
    </row>
    <row r="1129" spans="1:9" x14ac:dyDescent="0.35">
      <c r="A1129" t="s">
        <v>119</v>
      </c>
      <c r="B1129" t="s">
        <v>120</v>
      </c>
      <c r="C1129" t="s">
        <v>13</v>
      </c>
      <c r="D1129" t="s">
        <v>153</v>
      </c>
      <c r="E1129" t="s">
        <v>121</v>
      </c>
      <c r="F1129" s="4">
        <v>0</v>
      </c>
      <c r="G1129" s="4">
        <f>IFERROR(F1129-alt_Blanks!$I$9,F1129)</f>
        <v>0</v>
      </c>
      <c r="H1129" s="7">
        <f t="shared" si="49"/>
        <v>0</v>
      </c>
      <c r="I1129" s="7">
        <f t="shared" si="50"/>
        <v>0</v>
      </c>
    </row>
    <row r="1130" spans="1:9" x14ac:dyDescent="0.35">
      <c r="A1130" t="s">
        <v>119</v>
      </c>
      <c r="B1130" t="s">
        <v>120</v>
      </c>
      <c r="C1130" t="s">
        <v>14</v>
      </c>
      <c r="D1130" t="s">
        <v>154</v>
      </c>
      <c r="E1130" t="s">
        <v>121</v>
      </c>
      <c r="F1130" s="4">
        <v>0</v>
      </c>
      <c r="G1130" s="4">
        <f>IFERROR(F1130-alt_Blanks!$I$10,F1130)</f>
        <v>0</v>
      </c>
      <c r="H1130" s="7">
        <f t="shared" si="49"/>
        <v>0</v>
      </c>
      <c r="I1130" s="7">
        <f t="shared" si="50"/>
        <v>0</v>
      </c>
    </row>
    <row r="1131" spans="1:9" x14ac:dyDescent="0.35">
      <c r="A1131" t="s">
        <v>119</v>
      </c>
      <c r="B1131" t="s">
        <v>120</v>
      </c>
      <c r="C1131" t="s">
        <v>15</v>
      </c>
      <c r="D1131" t="s">
        <v>153</v>
      </c>
      <c r="E1131" t="s">
        <v>121</v>
      </c>
      <c r="F1131" s="4">
        <v>1183.7139240000001</v>
      </c>
      <c r="G1131" s="4">
        <f>IFERROR(F1131-alt_Blanks!$I$11,F1131)</f>
        <v>378.49723430000017</v>
      </c>
      <c r="H1131" s="7">
        <f t="shared" si="49"/>
        <v>378.49723430000017</v>
      </c>
      <c r="I1131" s="7">
        <f t="shared" si="50"/>
        <v>940.13222627918572</v>
      </c>
    </row>
    <row r="1132" spans="1:9" x14ac:dyDescent="0.35">
      <c r="A1132" t="s">
        <v>119</v>
      </c>
      <c r="B1132" t="s">
        <v>120</v>
      </c>
      <c r="C1132" t="s">
        <v>16</v>
      </c>
      <c r="D1132" t="s">
        <v>154</v>
      </c>
      <c r="E1132" t="s">
        <v>121</v>
      </c>
      <c r="F1132" s="4">
        <v>9.3249852999999998</v>
      </c>
      <c r="G1132" s="4">
        <f>IFERROR(F1132-alt_Blanks!$I$12,F1132)</f>
        <v>9.3249852999999998</v>
      </c>
      <c r="H1132" s="7">
        <f t="shared" si="49"/>
        <v>9.3249852999999998</v>
      </c>
      <c r="I1132" s="7">
        <f t="shared" si="50"/>
        <v>23.16191082960755</v>
      </c>
    </row>
    <row r="1133" spans="1:9" x14ac:dyDescent="0.35">
      <c r="A1133" t="s">
        <v>119</v>
      </c>
      <c r="B1133" t="s">
        <v>120</v>
      </c>
      <c r="C1133" t="s">
        <v>17</v>
      </c>
      <c r="D1133" t="s">
        <v>153</v>
      </c>
      <c r="E1133" t="s">
        <v>121</v>
      </c>
      <c r="F1133" s="4">
        <v>9.6450863000000009</v>
      </c>
      <c r="G1133" s="4">
        <f>IFERROR(F1133-alt_Blanks!$I$13,F1133)</f>
        <v>8.7923728000000008</v>
      </c>
      <c r="H1133" s="7">
        <f t="shared" si="49"/>
        <v>8.7923728000000008</v>
      </c>
      <c r="I1133" s="7">
        <f t="shared" si="50"/>
        <v>21.838978638847493</v>
      </c>
    </row>
    <row r="1134" spans="1:9" x14ac:dyDescent="0.35">
      <c r="A1134" t="s">
        <v>119</v>
      </c>
      <c r="B1134" t="s">
        <v>120</v>
      </c>
      <c r="C1134" t="s">
        <v>18</v>
      </c>
      <c r="D1134" t="s">
        <v>154</v>
      </c>
      <c r="E1134" t="s">
        <v>121</v>
      </c>
      <c r="F1134" s="4">
        <v>0</v>
      </c>
      <c r="G1134" s="4">
        <f>IFERROR(F1134-alt_Blanks!$I$14,F1134)</f>
        <v>0</v>
      </c>
      <c r="H1134" s="7">
        <f t="shared" si="49"/>
        <v>0</v>
      </c>
      <c r="I1134" s="7">
        <f t="shared" si="50"/>
        <v>0</v>
      </c>
    </row>
    <row r="1135" spans="1:9" x14ac:dyDescent="0.35">
      <c r="A1135" t="s">
        <v>119</v>
      </c>
      <c r="B1135" t="s">
        <v>120</v>
      </c>
      <c r="C1135" t="s">
        <v>19</v>
      </c>
      <c r="D1135" t="s">
        <v>153</v>
      </c>
      <c r="E1135" t="s">
        <v>121</v>
      </c>
      <c r="F1135" s="4">
        <v>252.44936060000001</v>
      </c>
      <c r="G1135" s="4">
        <f>IFERROR(F1135-alt_Blanks!$I$15,F1135)</f>
        <v>-16.174036499999971</v>
      </c>
      <c r="H1135" s="7">
        <f t="shared" si="49"/>
        <v>0</v>
      </c>
      <c r="I1135" s="7">
        <f t="shared" si="50"/>
        <v>0</v>
      </c>
    </row>
    <row r="1136" spans="1:9" x14ac:dyDescent="0.35">
      <c r="A1136" t="s">
        <v>119</v>
      </c>
      <c r="B1136" t="s">
        <v>120</v>
      </c>
      <c r="C1136" t="s">
        <v>20</v>
      </c>
      <c r="D1136" t="s">
        <v>154</v>
      </c>
      <c r="E1136" t="s">
        <v>121</v>
      </c>
      <c r="F1136" s="4">
        <v>114.8533753</v>
      </c>
      <c r="G1136" s="4">
        <f>IFERROR(F1136-alt_Blanks!$I$16,F1136)</f>
        <v>96.387462099999993</v>
      </c>
      <c r="H1136" s="7">
        <f t="shared" si="49"/>
        <v>96.387462099999993</v>
      </c>
      <c r="I1136" s="7">
        <f t="shared" si="50"/>
        <v>239.41247416790856</v>
      </c>
    </row>
    <row r="1137" spans="1:9" x14ac:dyDescent="0.35">
      <c r="A1137" t="s">
        <v>119</v>
      </c>
      <c r="B1137" t="s">
        <v>120</v>
      </c>
      <c r="C1137" t="s">
        <v>21</v>
      </c>
      <c r="D1137" t="s">
        <v>155</v>
      </c>
      <c r="E1137" t="s">
        <v>121</v>
      </c>
      <c r="F1137" s="4">
        <v>0.3418889</v>
      </c>
      <c r="G1137" s="4">
        <f>IFERROR(F1137-alt_Blanks!$I$17,F1137)</f>
        <v>9.935499999999986E-3</v>
      </c>
      <c r="H1137" s="7">
        <f t="shared" si="49"/>
        <v>9.935499999999986E-3</v>
      </c>
      <c r="I1137" s="7">
        <f t="shared" si="50"/>
        <v>2.4678340784898126E-2</v>
      </c>
    </row>
    <row r="1138" spans="1:9" x14ac:dyDescent="0.35">
      <c r="A1138" t="s">
        <v>119</v>
      </c>
      <c r="B1138" t="s">
        <v>120</v>
      </c>
      <c r="C1138" t="s">
        <v>22</v>
      </c>
      <c r="D1138" t="s">
        <v>155</v>
      </c>
      <c r="E1138" t="s">
        <v>121</v>
      </c>
      <c r="F1138" s="4">
        <v>100.57347530000001</v>
      </c>
      <c r="G1138" s="4">
        <f>IFERROR(F1138-alt_Blanks!$I$18,F1138)</f>
        <v>94.570015700000013</v>
      </c>
      <c r="H1138" s="7">
        <f t="shared" si="49"/>
        <v>94.570015700000013</v>
      </c>
      <c r="I1138" s="7">
        <f t="shared" si="50"/>
        <v>234.89820094386491</v>
      </c>
    </row>
    <row r="1139" spans="1:9" x14ac:dyDescent="0.35">
      <c r="A1139" t="s">
        <v>119</v>
      </c>
      <c r="B1139" t="s">
        <v>120</v>
      </c>
      <c r="C1139" t="s">
        <v>23</v>
      </c>
      <c r="D1139" t="s">
        <v>155</v>
      </c>
      <c r="E1139" t="s">
        <v>121</v>
      </c>
      <c r="F1139" s="4">
        <v>0.42716329999999997</v>
      </c>
      <c r="G1139" s="4">
        <f>IFERROR(F1139-alt_Blanks!$I$19,F1139)</f>
        <v>0.42716329999999997</v>
      </c>
      <c r="H1139" s="7">
        <f t="shared" si="49"/>
        <v>0.42716329999999997</v>
      </c>
      <c r="I1139" s="7">
        <f t="shared" si="50"/>
        <v>1.0610116741182314</v>
      </c>
    </row>
    <row r="1140" spans="1:9" x14ac:dyDescent="0.35">
      <c r="A1140" t="s">
        <v>119</v>
      </c>
      <c r="B1140" t="s">
        <v>120</v>
      </c>
      <c r="C1140" t="s">
        <v>24</v>
      </c>
      <c r="D1140" t="s">
        <v>155</v>
      </c>
      <c r="E1140" t="s">
        <v>121</v>
      </c>
      <c r="F1140" s="4">
        <v>63.4090743</v>
      </c>
      <c r="G1140" s="4">
        <f>IFERROR(F1140-alt_Blanks!$I$20,F1140)</f>
        <v>61.471098900000001</v>
      </c>
      <c r="H1140" s="7">
        <f t="shared" si="49"/>
        <v>61.471098900000001</v>
      </c>
      <c r="I1140" s="7">
        <f t="shared" si="50"/>
        <v>152.68529284649776</v>
      </c>
    </row>
    <row r="1141" spans="1:9" x14ac:dyDescent="0.35">
      <c r="A1141" t="s">
        <v>119</v>
      </c>
      <c r="B1141" t="s">
        <v>120</v>
      </c>
      <c r="C1141" t="s">
        <v>25</v>
      </c>
      <c r="D1141" t="s">
        <v>155</v>
      </c>
      <c r="E1141" t="s">
        <v>121</v>
      </c>
      <c r="F1141" s="4">
        <v>0.2251592</v>
      </c>
      <c r="G1141" s="4">
        <f>IFERROR(F1141-alt_Blanks!$I$21,F1141)</f>
        <v>1.0650100000000023E-2</v>
      </c>
      <c r="H1141" s="7">
        <f t="shared" si="49"/>
        <v>1.0650100000000023E-2</v>
      </c>
      <c r="I1141" s="7">
        <f t="shared" si="50"/>
        <v>2.6453303527074076E-2</v>
      </c>
    </row>
    <row r="1142" spans="1:9" x14ac:dyDescent="0.35">
      <c r="A1142" t="s">
        <v>119</v>
      </c>
      <c r="B1142" t="s">
        <v>120</v>
      </c>
      <c r="C1142" t="s">
        <v>26</v>
      </c>
      <c r="D1142" t="s">
        <v>153</v>
      </c>
      <c r="E1142" t="s">
        <v>121</v>
      </c>
      <c r="F1142" s="4">
        <v>4.1356598</v>
      </c>
      <c r="G1142" s="4">
        <f>IFERROR(F1142-alt_Blanks!$I$22,F1142)</f>
        <v>2.5409383999999999</v>
      </c>
      <c r="H1142" s="7">
        <f t="shared" si="49"/>
        <v>2.5409383999999999</v>
      </c>
      <c r="I1142" s="7">
        <f t="shared" si="50"/>
        <v>6.3113224043715848</v>
      </c>
    </row>
    <row r="1143" spans="1:9" x14ac:dyDescent="0.35">
      <c r="A1143" t="s">
        <v>119</v>
      </c>
      <c r="B1143" t="s">
        <v>120</v>
      </c>
      <c r="C1143" t="s">
        <v>27</v>
      </c>
      <c r="D1143" t="s">
        <v>154</v>
      </c>
      <c r="E1143" t="s">
        <v>121</v>
      </c>
      <c r="F1143" s="4">
        <v>18.810503799999999</v>
      </c>
      <c r="G1143" s="4">
        <f>IFERROR(F1143-alt_Blanks!$I$23,F1143)</f>
        <v>18.6897664</v>
      </c>
      <c r="H1143" s="7">
        <f t="shared" si="49"/>
        <v>18.6897664</v>
      </c>
      <c r="I1143" s="7">
        <f t="shared" si="50"/>
        <v>46.42266865375062</v>
      </c>
    </row>
    <row r="1144" spans="1:9" x14ac:dyDescent="0.35">
      <c r="A1144" t="s">
        <v>119</v>
      </c>
      <c r="B1144" t="s">
        <v>120</v>
      </c>
      <c r="C1144" t="s">
        <v>28</v>
      </c>
      <c r="D1144" t="s">
        <v>155</v>
      </c>
      <c r="E1144" t="s">
        <v>121</v>
      </c>
      <c r="F1144" s="4">
        <v>21.227137500000001</v>
      </c>
      <c r="G1144" s="4">
        <f>IFERROR(F1144-alt_Blanks!$I$24,F1144)</f>
        <v>20.979967900000002</v>
      </c>
      <c r="H1144" s="7">
        <f t="shared" si="49"/>
        <v>20.979967900000002</v>
      </c>
      <c r="I1144" s="7">
        <f t="shared" si="50"/>
        <v>52.111196969696969</v>
      </c>
    </row>
    <row r="1145" spans="1:9" x14ac:dyDescent="0.35">
      <c r="A1145" t="s">
        <v>119</v>
      </c>
      <c r="B1145" t="s">
        <v>120</v>
      </c>
      <c r="C1145" t="s">
        <v>29</v>
      </c>
      <c r="D1145" t="s">
        <v>155</v>
      </c>
      <c r="E1145" t="s">
        <v>121</v>
      </c>
      <c r="F1145" s="4">
        <v>0.41542880000000004</v>
      </c>
      <c r="G1145" s="4">
        <f>IFERROR(F1145-alt_Blanks!$I$25,F1145)</f>
        <v>-5.6811999999999918E-2</v>
      </c>
      <c r="H1145" s="7">
        <f t="shared" si="49"/>
        <v>0</v>
      </c>
      <c r="I1145" s="7">
        <f t="shared" si="50"/>
        <v>0</v>
      </c>
    </row>
    <row r="1146" spans="1:9" x14ac:dyDescent="0.35">
      <c r="A1146" t="s">
        <v>119</v>
      </c>
      <c r="B1146" t="s">
        <v>120</v>
      </c>
      <c r="C1146" t="s">
        <v>30</v>
      </c>
      <c r="D1146" t="s">
        <v>155</v>
      </c>
      <c r="E1146" t="s">
        <v>121</v>
      </c>
      <c r="F1146" s="4">
        <v>220.3947077</v>
      </c>
      <c r="G1146" s="4">
        <f>IFERROR(F1146-alt_Blanks!$I$26,F1146)</f>
        <v>219.81453139999999</v>
      </c>
      <c r="H1146" s="7">
        <f t="shared" si="49"/>
        <v>219.81453139999999</v>
      </c>
      <c r="I1146" s="7">
        <f t="shared" si="50"/>
        <v>545.98741033283648</v>
      </c>
    </row>
    <row r="1147" spans="1:9" x14ac:dyDescent="0.35">
      <c r="A1147" t="s">
        <v>119</v>
      </c>
      <c r="B1147" t="s">
        <v>120</v>
      </c>
      <c r="C1147" t="s">
        <v>31</v>
      </c>
      <c r="D1147" t="s">
        <v>155</v>
      </c>
      <c r="E1147" t="s">
        <v>121</v>
      </c>
      <c r="F1147" s="4" t="e">
        <v>#N/A</v>
      </c>
      <c r="G1147" s="4" t="e">
        <f>IFERROR(F1147-alt_Blanks!$I$27,F1147)</f>
        <v>#N/A</v>
      </c>
      <c r="H1147" s="7" t="e">
        <f t="shared" si="49"/>
        <v>#N/A</v>
      </c>
      <c r="I1147" s="7" t="e">
        <f t="shared" si="50"/>
        <v>#N/A</v>
      </c>
    </row>
    <row r="1148" spans="1:9" x14ac:dyDescent="0.35">
      <c r="A1148" t="s">
        <v>119</v>
      </c>
      <c r="B1148" t="s">
        <v>120</v>
      </c>
      <c r="C1148" t="s">
        <v>32</v>
      </c>
      <c r="D1148" t="s">
        <v>153</v>
      </c>
      <c r="E1148" t="s">
        <v>121</v>
      </c>
      <c r="F1148" s="4">
        <v>0</v>
      </c>
      <c r="G1148" s="4">
        <f>IFERROR(F1148-alt_Blanks!$I$28,F1148)</f>
        <v>0</v>
      </c>
      <c r="H1148" s="7">
        <f t="shared" si="49"/>
        <v>0</v>
      </c>
      <c r="I1148" s="7">
        <f t="shared" si="50"/>
        <v>0</v>
      </c>
    </row>
    <row r="1149" spans="1:9" x14ac:dyDescent="0.35">
      <c r="A1149" t="s">
        <v>119</v>
      </c>
      <c r="B1149" t="s">
        <v>120</v>
      </c>
      <c r="C1149" t="s">
        <v>33</v>
      </c>
      <c r="D1149" t="s">
        <v>155</v>
      </c>
      <c r="E1149" t="s">
        <v>121</v>
      </c>
      <c r="F1149" s="4">
        <v>139.31304779999999</v>
      </c>
      <c r="G1149" s="4">
        <f>IFERROR(F1149-alt_Blanks!$I$29,F1149)</f>
        <v>138.70142679999998</v>
      </c>
      <c r="H1149" s="7">
        <f t="shared" si="49"/>
        <v>138.70142679999998</v>
      </c>
      <c r="I1149" s="7">
        <f t="shared" si="50"/>
        <v>344.51422454048679</v>
      </c>
    </row>
    <row r="1150" spans="1:9" x14ac:dyDescent="0.35">
      <c r="A1150" t="s">
        <v>119</v>
      </c>
      <c r="B1150" t="s">
        <v>120</v>
      </c>
      <c r="C1150" t="s">
        <v>34</v>
      </c>
      <c r="D1150" t="s">
        <v>153</v>
      </c>
      <c r="E1150" t="s">
        <v>121</v>
      </c>
      <c r="F1150" s="4">
        <v>0</v>
      </c>
      <c r="G1150" s="4">
        <f>IFERROR(F1150-alt_Blanks!$I$30,F1150)</f>
        <v>0</v>
      </c>
      <c r="H1150" s="7">
        <f t="shared" si="49"/>
        <v>0</v>
      </c>
      <c r="I1150" s="7">
        <f t="shared" si="50"/>
        <v>0</v>
      </c>
    </row>
    <row r="1151" spans="1:9" x14ac:dyDescent="0.35">
      <c r="A1151" t="s">
        <v>119</v>
      </c>
      <c r="B1151" t="s">
        <v>120</v>
      </c>
      <c r="C1151" t="s">
        <v>35</v>
      </c>
      <c r="D1151" t="s">
        <v>154</v>
      </c>
      <c r="E1151" t="s">
        <v>121</v>
      </c>
      <c r="F1151" s="4">
        <v>25.4742994</v>
      </c>
      <c r="G1151" s="4">
        <f>IFERROR(F1151-alt_Blanks!$I$31,F1151)</f>
        <v>-76.980334199999987</v>
      </c>
      <c r="H1151" s="7">
        <f t="shared" si="49"/>
        <v>0</v>
      </c>
      <c r="I1151" s="7">
        <f t="shared" si="50"/>
        <v>0</v>
      </c>
    </row>
    <row r="1152" spans="1:9" x14ac:dyDescent="0.35">
      <c r="A1152" t="s">
        <v>119</v>
      </c>
      <c r="B1152" t="s">
        <v>120</v>
      </c>
      <c r="C1152" t="s">
        <v>36</v>
      </c>
      <c r="D1152" t="s">
        <v>155</v>
      </c>
      <c r="E1152" t="s">
        <v>121</v>
      </c>
      <c r="F1152" s="4">
        <v>8.3154807000000002</v>
      </c>
      <c r="G1152" s="4">
        <f>IFERROR(F1152-alt_Blanks!$I$32,F1152)</f>
        <v>6.3879122000000006</v>
      </c>
      <c r="H1152" s="7">
        <f t="shared" si="49"/>
        <v>6.3879122000000006</v>
      </c>
      <c r="I1152" s="7">
        <f t="shared" si="50"/>
        <v>15.866647292598113</v>
      </c>
    </row>
    <row r="1153" spans="1:9" x14ac:dyDescent="0.35">
      <c r="A1153" t="s">
        <v>119</v>
      </c>
      <c r="B1153" t="s">
        <v>120</v>
      </c>
      <c r="C1153" t="s">
        <v>37</v>
      </c>
      <c r="D1153" t="s">
        <v>155</v>
      </c>
      <c r="E1153" t="s">
        <v>121</v>
      </c>
      <c r="F1153" s="4">
        <v>4.0932411000000002</v>
      </c>
      <c r="G1153" s="4">
        <f>IFERROR(F1153-alt_Blanks!$I$33,F1153)</f>
        <v>4.0932411000000002</v>
      </c>
      <c r="H1153" s="7">
        <f t="shared" si="49"/>
        <v>4.0932411000000002</v>
      </c>
      <c r="I1153" s="7">
        <f t="shared" si="50"/>
        <v>10.167017138599105</v>
      </c>
    </row>
    <row r="1154" spans="1:9" x14ac:dyDescent="0.35">
      <c r="A1154" t="s">
        <v>119</v>
      </c>
      <c r="B1154" t="s">
        <v>120</v>
      </c>
      <c r="C1154" t="s">
        <v>38</v>
      </c>
      <c r="D1154" t="s">
        <v>155</v>
      </c>
      <c r="E1154" t="s">
        <v>121</v>
      </c>
      <c r="F1154" s="4">
        <v>4.6130578</v>
      </c>
      <c r="G1154" s="4">
        <f>IFERROR(F1154-alt_Blanks!$I$34,F1154)</f>
        <v>4.6130578</v>
      </c>
      <c r="H1154" s="7">
        <f t="shared" si="49"/>
        <v>4.6130578</v>
      </c>
      <c r="I1154" s="7">
        <f t="shared" si="50"/>
        <v>11.458166418281172</v>
      </c>
    </row>
    <row r="1155" spans="1:9" x14ac:dyDescent="0.35">
      <c r="A1155" t="s">
        <v>119</v>
      </c>
      <c r="B1155" t="s">
        <v>120</v>
      </c>
      <c r="C1155" t="s">
        <v>39</v>
      </c>
      <c r="D1155" t="s">
        <v>153</v>
      </c>
      <c r="E1155" t="s">
        <v>121</v>
      </c>
      <c r="F1155" s="4">
        <v>0</v>
      </c>
      <c r="G1155" s="4">
        <f>IFERROR(F1155-alt_Blanks!$I$35,F1155)</f>
        <v>0</v>
      </c>
      <c r="H1155" s="7">
        <f t="shared" si="49"/>
        <v>0</v>
      </c>
      <c r="I1155" s="7">
        <f t="shared" si="50"/>
        <v>0</v>
      </c>
    </row>
    <row r="1156" spans="1:9" x14ac:dyDescent="0.35">
      <c r="A1156" t="s">
        <v>119</v>
      </c>
      <c r="B1156" t="s">
        <v>120</v>
      </c>
      <c r="C1156" t="s">
        <v>40</v>
      </c>
      <c r="D1156" t="s">
        <v>154</v>
      </c>
      <c r="E1156" t="s">
        <v>121</v>
      </c>
      <c r="F1156" s="4">
        <v>0</v>
      </c>
      <c r="G1156" s="4">
        <f>IFERROR(F1156-alt_Blanks!$I$36,F1156)</f>
        <v>0</v>
      </c>
      <c r="H1156" s="7">
        <f t="shared" si="49"/>
        <v>0</v>
      </c>
      <c r="I1156" s="7">
        <f t="shared" si="50"/>
        <v>0</v>
      </c>
    </row>
    <row r="1157" spans="1:9" x14ac:dyDescent="0.35">
      <c r="A1157" t="s">
        <v>122</v>
      </c>
      <c r="B1157" t="s">
        <v>123</v>
      </c>
      <c r="C1157" t="s">
        <v>6</v>
      </c>
      <c r="D1157" t="s">
        <v>153</v>
      </c>
      <c r="E1157" t="s">
        <v>122</v>
      </c>
      <c r="F1157" s="4">
        <v>6.7047423999999998</v>
      </c>
      <c r="G1157" s="4">
        <f>IFERROR(F1157-alt_Blanks!$I$2,F1157)</f>
        <v>-1.7987000000010411E-3</v>
      </c>
      <c r="H1157" s="7">
        <f t="shared" si="49"/>
        <v>0</v>
      </c>
      <c r="I1157" s="7">
        <f>H1157/0.2276</f>
        <v>0</v>
      </c>
    </row>
    <row r="1158" spans="1:9" x14ac:dyDescent="0.35">
      <c r="A1158" t="s">
        <v>122</v>
      </c>
      <c r="B1158" t="s">
        <v>123</v>
      </c>
      <c r="C1158" t="s">
        <v>7</v>
      </c>
      <c r="D1158" t="s">
        <v>153</v>
      </c>
      <c r="E1158" t="s">
        <v>122</v>
      </c>
      <c r="F1158" s="4" t="e">
        <v>#N/A</v>
      </c>
      <c r="G1158" s="4" t="e">
        <f>IFERROR(F1158-alt_Blanks!$I$3,F1158)</f>
        <v>#N/A</v>
      </c>
      <c r="H1158" s="7" t="e">
        <f t="shared" ref="H1158:H1221" si="51">IF(G1158&lt;0,0,G1158)</f>
        <v>#N/A</v>
      </c>
      <c r="I1158" s="7" t="e">
        <f t="shared" ref="I1158:I1191" si="52">H1158/0.2276</f>
        <v>#N/A</v>
      </c>
    </row>
    <row r="1159" spans="1:9" x14ac:dyDescent="0.35">
      <c r="A1159" t="s">
        <v>122</v>
      </c>
      <c r="B1159" t="s">
        <v>123</v>
      </c>
      <c r="C1159" t="s">
        <v>8</v>
      </c>
      <c r="D1159" t="s">
        <v>153</v>
      </c>
      <c r="E1159" t="s">
        <v>122</v>
      </c>
      <c r="F1159" s="4">
        <v>0</v>
      </c>
      <c r="G1159" s="4">
        <f>IFERROR(F1159-alt_Blanks!$I$4,F1159)</f>
        <v>0</v>
      </c>
      <c r="H1159" s="7">
        <f t="shared" si="51"/>
        <v>0</v>
      </c>
      <c r="I1159" s="7">
        <f t="shared" si="52"/>
        <v>0</v>
      </c>
    </row>
    <row r="1160" spans="1:9" x14ac:dyDescent="0.35">
      <c r="A1160" t="s">
        <v>122</v>
      </c>
      <c r="B1160" t="s">
        <v>123</v>
      </c>
      <c r="C1160" t="s">
        <v>9</v>
      </c>
      <c r="D1160" t="s">
        <v>153</v>
      </c>
      <c r="E1160" t="s">
        <v>122</v>
      </c>
      <c r="F1160" s="4">
        <v>0</v>
      </c>
      <c r="G1160" s="4">
        <f>IFERROR(F1160-alt_Blanks!$I$5,F1160)</f>
        <v>0</v>
      </c>
      <c r="H1160" s="7">
        <f t="shared" si="51"/>
        <v>0</v>
      </c>
      <c r="I1160" s="7">
        <f t="shared" si="52"/>
        <v>0</v>
      </c>
    </row>
    <row r="1161" spans="1:9" x14ac:dyDescent="0.35">
      <c r="A1161" t="s">
        <v>122</v>
      </c>
      <c r="B1161" t="s">
        <v>123</v>
      </c>
      <c r="C1161" t="s">
        <v>10</v>
      </c>
      <c r="D1161" t="s">
        <v>153</v>
      </c>
      <c r="E1161" t="s">
        <v>122</v>
      </c>
      <c r="F1161" s="4">
        <v>0</v>
      </c>
      <c r="G1161" s="4">
        <f>IFERROR(F1161-alt_Blanks!$I$6,F1161)</f>
        <v>0</v>
      </c>
      <c r="H1161" s="7">
        <f t="shared" si="51"/>
        <v>0</v>
      </c>
      <c r="I1161" s="7">
        <f t="shared" si="52"/>
        <v>0</v>
      </c>
    </row>
    <row r="1162" spans="1:9" x14ac:dyDescent="0.35">
      <c r="A1162" t="s">
        <v>122</v>
      </c>
      <c r="B1162" t="s">
        <v>123</v>
      </c>
      <c r="C1162" t="s">
        <v>11</v>
      </c>
      <c r="D1162" t="s">
        <v>153</v>
      </c>
      <c r="E1162" t="s">
        <v>122</v>
      </c>
      <c r="F1162" s="4">
        <v>0</v>
      </c>
      <c r="G1162" s="4">
        <f>IFERROR(F1162-alt_Blanks!$I$7,F1162)</f>
        <v>0</v>
      </c>
      <c r="H1162" s="7">
        <f t="shared" si="51"/>
        <v>0</v>
      </c>
      <c r="I1162" s="7">
        <f t="shared" si="52"/>
        <v>0</v>
      </c>
    </row>
    <row r="1163" spans="1:9" x14ac:dyDescent="0.35">
      <c r="A1163" t="s">
        <v>122</v>
      </c>
      <c r="B1163" t="s">
        <v>123</v>
      </c>
      <c r="C1163" t="s">
        <v>12</v>
      </c>
      <c r="D1163" t="s">
        <v>154</v>
      </c>
      <c r="E1163" t="s">
        <v>122</v>
      </c>
      <c r="F1163" s="4">
        <v>0</v>
      </c>
      <c r="G1163" s="4">
        <f>IFERROR(F1163-alt_Blanks!$I$8,F1163)</f>
        <v>0</v>
      </c>
      <c r="H1163" s="7">
        <f t="shared" si="51"/>
        <v>0</v>
      </c>
      <c r="I1163" s="7">
        <f t="shared" si="52"/>
        <v>0</v>
      </c>
    </row>
    <row r="1164" spans="1:9" x14ac:dyDescent="0.35">
      <c r="A1164" t="s">
        <v>122</v>
      </c>
      <c r="B1164" t="s">
        <v>123</v>
      </c>
      <c r="C1164" t="s">
        <v>13</v>
      </c>
      <c r="D1164" t="s">
        <v>153</v>
      </c>
      <c r="E1164" t="s">
        <v>122</v>
      </c>
      <c r="F1164" s="4">
        <v>2.6967021</v>
      </c>
      <c r="G1164" s="4">
        <f>IFERROR(F1164-alt_Blanks!$I$9,F1164)</f>
        <v>2.6967021</v>
      </c>
      <c r="H1164" s="7">
        <f t="shared" si="51"/>
        <v>2.6967021</v>
      </c>
      <c r="I1164" s="7">
        <f t="shared" si="52"/>
        <v>11.848427504393673</v>
      </c>
    </row>
    <row r="1165" spans="1:9" x14ac:dyDescent="0.35">
      <c r="A1165" t="s">
        <v>122</v>
      </c>
      <c r="B1165" t="s">
        <v>123</v>
      </c>
      <c r="C1165" t="s">
        <v>14</v>
      </c>
      <c r="D1165" t="s">
        <v>154</v>
      </c>
      <c r="E1165" t="s">
        <v>122</v>
      </c>
      <c r="F1165" s="4">
        <v>0</v>
      </c>
      <c r="G1165" s="4">
        <f>IFERROR(F1165-alt_Blanks!$I$10,F1165)</f>
        <v>0</v>
      </c>
      <c r="H1165" s="7">
        <f t="shared" si="51"/>
        <v>0</v>
      </c>
      <c r="I1165" s="7">
        <f t="shared" si="52"/>
        <v>0</v>
      </c>
    </row>
    <row r="1166" spans="1:9" x14ac:dyDescent="0.35">
      <c r="A1166" t="s">
        <v>122</v>
      </c>
      <c r="B1166" t="s">
        <v>123</v>
      </c>
      <c r="C1166" t="s">
        <v>15</v>
      </c>
      <c r="D1166" t="s">
        <v>153</v>
      </c>
      <c r="E1166" t="s">
        <v>122</v>
      </c>
      <c r="F1166" s="4">
        <v>984.67820949999998</v>
      </c>
      <c r="G1166" s="4">
        <f>IFERROR(F1166-alt_Blanks!$I$11,F1166)</f>
        <v>179.46151980000002</v>
      </c>
      <c r="H1166" s="7">
        <f t="shared" si="51"/>
        <v>179.46151980000002</v>
      </c>
      <c r="I1166" s="7">
        <f t="shared" si="52"/>
        <v>788.49525395430589</v>
      </c>
    </row>
    <row r="1167" spans="1:9" x14ac:dyDescent="0.35">
      <c r="A1167" t="s">
        <v>122</v>
      </c>
      <c r="B1167" t="s">
        <v>123</v>
      </c>
      <c r="C1167" t="s">
        <v>16</v>
      </c>
      <c r="D1167" t="s">
        <v>154</v>
      </c>
      <c r="E1167" t="s">
        <v>122</v>
      </c>
      <c r="F1167" s="4">
        <v>5.2233678000000001</v>
      </c>
      <c r="G1167" s="4">
        <f>IFERROR(F1167-alt_Blanks!$I$12,F1167)</f>
        <v>5.2233678000000001</v>
      </c>
      <c r="H1167" s="7">
        <f t="shared" si="51"/>
        <v>5.2233678000000001</v>
      </c>
      <c r="I1167" s="7">
        <f t="shared" si="52"/>
        <v>22.94977065026362</v>
      </c>
    </row>
    <row r="1168" spans="1:9" x14ac:dyDescent="0.35">
      <c r="A1168" t="s">
        <v>122</v>
      </c>
      <c r="B1168" t="s">
        <v>123</v>
      </c>
      <c r="C1168" t="s">
        <v>17</v>
      </c>
      <c r="D1168" t="s">
        <v>153</v>
      </c>
      <c r="E1168" t="s">
        <v>122</v>
      </c>
      <c r="F1168" s="4">
        <v>6.3222614999999998</v>
      </c>
      <c r="G1168" s="4">
        <f>IFERROR(F1168-alt_Blanks!$I$13,F1168)</f>
        <v>5.4695479999999996</v>
      </c>
      <c r="H1168" s="7">
        <f t="shared" si="51"/>
        <v>5.4695479999999996</v>
      </c>
      <c r="I1168" s="7">
        <f t="shared" si="52"/>
        <v>24.03140597539543</v>
      </c>
    </row>
    <row r="1169" spans="1:9" x14ac:dyDescent="0.35">
      <c r="A1169" t="s">
        <v>122</v>
      </c>
      <c r="B1169" t="s">
        <v>123</v>
      </c>
      <c r="C1169" t="s">
        <v>18</v>
      </c>
      <c r="D1169" t="s">
        <v>154</v>
      </c>
      <c r="E1169" t="s">
        <v>122</v>
      </c>
      <c r="F1169" s="4">
        <v>0</v>
      </c>
      <c r="G1169" s="4">
        <f>IFERROR(F1169-alt_Blanks!$I$14,F1169)</f>
        <v>0</v>
      </c>
      <c r="H1169" s="7">
        <f t="shared" si="51"/>
        <v>0</v>
      </c>
      <c r="I1169" s="7">
        <f t="shared" si="52"/>
        <v>0</v>
      </c>
    </row>
    <row r="1170" spans="1:9" x14ac:dyDescent="0.35">
      <c r="A1170" t="s">
        <v>122</v>
      </c>
      <c r="B1170" t="s">
        <v>123</v>
      </c>
      <c r="C1170" t="s">
        <v>19</v>
      </c>
      <c r="D1170" t="s">
        <v>153</v>
      </c>
      <c r="E1170" t="s">
        <v>122</v>
      </c>
      <c r="F1170" s="4">
        <v>222.38213159999998</v>
      </c>
      <c r="G1170" s="4">
        <f>IFERROR(F1170-alt_Blanks!$I$15,F1170)</f>
        <v>-46.241265499999997</v>
      </c>
      <c r="H1170" s="7">
        <f t="shared" si="51"/>
        <v>0</v>
      </c>
      <c r="I1170" s="7">
        <f t="shared" si="52"/>
        <v>0</v>
      </c>
    </row>
    <row r="1171" spans="1:9" x14ac:dyDescent="0.35">
      <c r="A1171" t="s">
        <v>122</v>
      </c>
      <c r="B1171" t="s">
        <v>123</v>
      </c>
      <c r="C1171" t="s">
        <v>20</v>
      </c>
      <c r="D1171" t="s">
        <v>154</v>
      </c>
      <c r="E1171" t="s">
        <v>122</v>
      </c>
      <c r="F1171" s="4">
        <v>69.156638900000004</v>
      </c>
      <c r="G1171" s="4">
        <f>IFERROR(F1171-alt_Blanks!$I$16,F1171)</f>
        <v>50.690725700000002</v>
      </c>
      <c r="H1171" s="7">
        <f t="shared" si="51"/>
        <v>50.690725700000002</v>
      </c>
      <c r="I1171" s="7">
        <f t="shared" si="52"/>
        <v>222.71847847100176</v>
      </c>
    </row>
    <row r="1172" spans="1:9" x14ac:dyDescent="0.35">
      <c r="A1172" t="s">
        <v>122</v>
      </c>
      <c r="B1172" t="s">
        <v>123</v>
      </c>
      <c r="C1172" t="s">
        <v>21</v>
      </c>
      <c r="D1172" t="s">
        <v>155</v>
      </c>
      <c r="E1172" t="s">
        <v>122</v>
      </c>
      <c r="F1172" s="4">
        <v>0.49599520000000002</v>
      </c>
      <c r="G1172" s="4">
        <f>IFERROR(F1172-alt_Blanks!$I$17,F1172)</f>
        <v>0.16404180000000002</v>
      </c>
      <c r="H1172" s="7">
        <f t="shared" si="51"/>
        <v>0.16404180000000002</v>
      </c>
      <c r="I1172" s="7">
        <f t="shared" si="52"/>
        <v>0.72074604569420042</v>
      </c>
    </row>
    <row r="1173" spans="1:9" x14ac:dyDescent="0.35">
      <c r="A1173" t="s">
        <v>122</v>
      </c>
      <c r="B1173" t="s">
        <v>123</v>
      </c>
      <c r="C1173" t="s">
        <v>22</v>
      </c>
      <c r="D1173" t="s">
        <v>155</v>
      </c>
      <c r="E1173" t="s">
        <v>122</v>
      </c>
      <c r="F1173" s="4">
        <v>53.431366699999998</v>
      </c>
      <c r="G1173" s="4">
        <f>IFERROR(F1173-alt_Blanks!$I$18,F1173)</f>
        <v>47.427907099999999</v>
      </c>
      <c r="H1173" s="7">
        <f t="shared" si="51"/>
        <v>47.427907099999999</v>
      </c>
      <c r="I1173" s="7">
        <f t="shared" si="52"/>
        <v>208.38272012302284</v>
      </c>
    </row>
    <row r="1174" spans="1:9" x14ac:dyDescent="0.35">
      <c r="A1174" t="s">
        <v>122</v>
      </c>
      <c r="B1174" t="s">
        <v>123</v>
      </c>
      <c r="C1174" t="s">
        <v>23</v>
      </c>
      <c r="D1174" t="s">
        <v>155</v>
      </c>
      <c r="E1174" t="s">
        <v>122</v>
      </c>
      <c r="F1174" s="4">
        <v>3.2820000000000002E-3</v>
      </c>
      <c r="G1174" s="4">
        <f>IFERROR(F1174-alt_Blanks!$I$19,F1174)</f>
        <v>3.2820000000000002E-3</v>
      </c>
      <c r="H1174" s="7">
        <f t="shared" si="51"/>
        <v>3.2820000000000002E-3</v>
      </c>
      <c r="I1174" s="7">
        <f t="shared" si="52"/>
        <v>1.4420035149384888E-2</v>
      </c>
    </row>
    <row r="1175" spans="1:9" x14ac:dyDescent="0.35">
      <c r="A1175" t="s">
        <v>122</v>
      </c>
      <c r="B1175" t="s">
        <v>123</v>
      </c>
      <c r="C1175" t="s">
        <v>24</v>
      </c>
      <c r="D1175" t="s">
        <v>155</v>
      </c>
      <c r="E1175" t="s">
        <v>122</v>
      </c>
      <c r="F1175" s="4">
        <v>51.747863299999999</v>
      </c>
      <c r="G1175" s="4">
        <f>IFERROR(F1175-alt_Blanks!$I$20,F1175)</f>
        <v>49.8098879</v>
      </c>
      <c r="H1175" s="7">
        <f t="shared" si="51"/>
        <v>49.8098879</v>
      </c>
      <c r="I1175" s="7">
        <f t="shared" si="52"/>
        <v>218.84836511423549</v>
      </c>
    </row>
    <row r="1176" spans="1:9" x14ac:dyDescent="0.35">
      <c r="A1176" t="s">
        <v>122</v>
      </c>
      <c r="B1176" t="s">
        <v>123</v>
      </c>
      <c r="C1176" t="s">
        <v>25</v>
      </c>
      <c r="D1176" t="s">
        <v>155</v>
      </c>
      <c r="E1176" t="s">
        <v>122</v>
      </c>
      <c r="F1176" s="4">
        <v>0.27706169999999997</v>
      </c>
      <c r="G1176" s="4">
        <f>IFERROR(F1176-alt_Blanks!$I$21,F1176)</f>
        <v>6.2552599999999986E-2</v>
      </c>
      <c r="H1176" s="7">
        <f t="shared" si="51"/>
        <v>6.2552599999999986E-2</v>
      </c>
      <c r="I1176" s="7">
        <f t="shared" si="52"/>
        <v>0.274835676625659</v>
      </c>
    </row>
    <row r="1177" spans="1:9" x14ac:dyDescent="0.35">
      <c r="A1177" t="s">
        <v>122</v>
      </c>
      <c r="B1177" t="s">
        <v>123</v>
      </c>
      <c r="C1177" t="s">
        <v>26</v>
      </c>
      <c r="D1177" t="s">
        <v>153</v>
      </c>
      <c r="E1177" t="s">
        <v>122</v>
      </c>
      <c r="F1177" s="4">
        <v>1.634746</v>
      </c>
      <c r="G1177" s="4">
        <f>IFERROR(F1177-alt_Blanks!$I$22,F1177)</f>
        <v>4.0024600000000188E-2</v>
      </c>
      <c r="H1177" s="7">
        <f t="shared" si="51"/>
        <v>4.0024600000000188E-2</v>
      </c>
      <c r="I1177" s="7">
        <f t="shared" si="52"/>
        <v>0.17585500878734706</v>
      </c>
    </row>
    <row r="1178" spans="1:9" x14ac:dyDescent="0.35">
      <c r="A1178" t="s">
        <v>122</v>
      </c>
      <c r="B1178" t="s">
        <v>123</v>
      </c>
      <c r="C1178" t="s">
        <v>27</v>
      </c>
      <c r="D1178" t="s">
        <v>154</v>
      </c>
      <c r="E1178" t="s">
        <v>122</v>
      </c>
      <c r="F1178" s="4">
        <v>0</v>
      </c>
      <c r="G1178" s="4">
        <f>IFERROR(F1178-alt_Blanks!$I$23,F1178)</f>
        <v>-0.12073739999999999</v>
      </c>
      <c r="H1178" s="7">
        <f t="shared" si="51"/>
        <v>0</v>
      </c>
      <c r="I1178" s="7">
        <f t="shared" si="52"/>
        <v>0</v>
      </c>
    </row>
    <row r="1179" spans="1:9" x14ac:dyDescent="0.35">
      <c r="A1179" t="s">
        <v>122</v>
      </c>
      <c r="B1179" t="s">
        <v>123</v>
      </c>
      <c r="C1179" t="s">
        <v>28</v>
      </c>
      <c r="D1179" t="s">
        <v>155</v>
      </c>
      <c r="E1179" t="s">
        <v>122</v>
      </c>
      <c r="F1179" s="4">
        <v>8.8022317999999995</v>
      </c>
      <c r="G1179" s="4">
        <f>IFERROR(F1179-alt_Blanks!$I$24,F1179)</f>
        <v>8.5550622000000001</v>
      </c>
      <c r="H1179" s="7">
        <f t="shared" si="51"/>
        <v>8.5550622000000001</v>
      </c>
      <c r="I1179" s="7">
        <f t="shared" si="52"/>
        <v>37.588146748681901</v>
      </c>
    </row>
    <row r="1180" spans="1:9" x14ac:dyDescent="0.35">
      <c r="A1180" t="s">
        <v>122</v>
      </c>
      <c r="B1180" t="s">
        <v>123</v>
      </c>
      <c r="C1180" t="s">
        <v>29</v>
      </c>
      <c r="D1180" t="s">
        <v>155</v>
      </c>
      <c r="E1180" t="s">
        <v>122</v>
      </c>
      <c r="F1180" s="4">
        <v>0.4168924</v>
      </c>
      <c r="G1180" s="4">
        <f>IFERROR(F1180-alt_Blanks!$I$25,F1180)</f>
        <v>-5.5348399999999964E-2</v>
      </c>
      <c r="H1180" s="7">
        <f t="shared" si="51"/>
        <v>0</v>
      </c>
      <c r="I1180" s="7">
        <f t="shared" si="52"/>
        <v>0</v>
      </c>
    </row>
    <row r="1181" spans="1:9" x14ac:dyDescent="0.35">
      <c r="A1181" t="s">
        <v>122</v>
      </c>
      <c r="B1181" t="s">
        <v>123</v>
      </c>
      <c r="C1181" t="s">
        <v>30</v>
      </c>
      <c r="D1181" t="s">
        <v>155</v>
      </c>
      <c r="E1181" t="s">
        <v>122</v>
      </c>
      <c r="F1181" s="4">
        <v>134.56991310000001</v>
      </c>
      <c r="G1181" s="4">
        <f>IFERROR(F1181-alt_Blanks!$I$26,F1181)</f>
        <v>133.9897368</v>
      </c>
      <c r="H1181" s="7">
        <f t="shared" si="51"/>
        <v>133.9897368</v>
      </c>
      <c r="I1181" s="7">
        <f t="shared" si="52"/>
        <v>588.70710369068547</v>
      </c>
    </row>
    <row r="1182" spans="1:9" x14ac:dyDescent="0.35">
      <c r="A1182" t="s">
        <v>122</v>
      </c>
      <c r="B1182" t="s">
        <v>123</v>
      </c>
      <c r="C1182" t="s">
        <v>31</v>
      </c>
      <c r="D1182" t="s">
        <v>155</v>
      </c>
      <c r="E1182" t="s">
        <v>122</v>
      </c>
      <c r="F1182" s="4" t="e">
        <v>#N/A</v>
      </c>
      <c r="G1182" s="4" t="e">
        <f>IFERROR(F1182-alt_Blanks!$I$27,F1182)</f>
        <v>#N/A</v>
      </c>
      <c r="H1182" s="7" t="e">
        <f t="shared" si="51"/>
        <v>#N/A</v>
      </c>
      <c r="I1182" s="7" t="e">
        <f t="shared" si="52"/>
        <v>#N/A</v>
      </c>
    </row>
    <row r="1183" spans="1:9" x14ac:dyDescent="0.35">
      <c r="A1183" t="s">
        <v>122</v>
      </c>
      <c r="B1183" t="s">
        <v>123</v>
      </c>
      <c r="C1183" t="s">
        <v>32</v>
      </c>
      <c r="D1183" t="s">
        <v>153</v>
      </c>
      <c r="E1183" t="s">
        <v>122</v>
      </c>
      <c r="F1183" s="4">
        <v>0</v>
      </c>
      <c r="G1183" s="4">
        <f>IFERROR(F1183-alt_Blanks!$I$28,F1183)</f>
        <v>0</v>
      </c>
      <c r="H1183" s="7">
        <f t="shared" si="51"/>
        <v>0</v>
      </c>
      <c r="I1183" s="7">
        <f t="shared" si="52"/>
        <v>0</v>
      </c>
    </row>
    <row r="1184" spans="1:9" x14ac:dyDescent="0.35">
      <c r="A1184" t="s">
        <v>122</v>
      </c>
      <c r="B1184" t="s">
        <v>123</v>
      </c>
      <c r="C1184" t="s">
        <v>33</v>
      </c>
      <c r="D1184" t="s">
        <v>155</v>
      </c>
      <c r="E1184" t="s">
        <v>122</v>
      </c>
      <c r="F1184" s="4">
        <v>81.596109400000003</v>
      </c>
      <c r="G1184" s="4">
        <f>IFERROR(F1184-alt_Blanks!$I$29,F1184)</f>
        <v>80.984488400000004</v>
      </c>
      <c r="H1184" s="7">
        <f t="shared" si="51"/>
        <v>80.984488400000004</v>
      </c>
      <c r="I1184" s="7">
        <f t="shared" si="52"/>
        <v>355.81936906854133</v>
      </c>
    </row>
    <row r="1185" spans="1:9" x14ac:dyDescent="0.35">
      <c r="A1185" t="s">
        <v>122</v>
      </c>
      <c r="B1185" t="s">
        <v>123</v>
      </c>
      <c r="C1185" t="s">
        <v>34</v>
      </c>
      <c r="D1185" t="s">
        <v>153</v>
      </c>
      <c r="E1185" t="s">
        <v>122</v>
      </c>
      <c r="F1185" s="4">
        <v>0</v>
      </c>
      <c r="G1185" s="4">
        <f>IFERROR(F1185-alt_Blanks!$I$30,F1185)</f>
        <v>0</v>
      </c>
      <c r="H1185" s="7">
        <f t="shared" si="51"/>
        <v>0</v>
      </c>
      <c r="I1185" s="7">
        <f t="shared" si="52"/>
        <v>0</v>
      </c>
    </row>
    <row r="1186" spans="1:9" x14ac:dyDescent="0.35">
      <c r="A1186" t="s">
        <v>122</v>
      </c>
      <c r="B1186" t="s">
        <v>123</v>
      </c>
      <c r="C1186" t="s">
        <v>35</v>
      </c>
      <c r="D1186" t="s">
        <v>154</v>
      </c>
      <c r="E1186" t="s">
        <v>122</v>
      </c>
      <c r="F1186" s="4">
        <v>30.1429039</v>
      </c>
      <c r="G1186" s="4">
        <f>IFERROR(F1186-alt_Blanks!$I$31,F1186)</f>
        <v>-72.311729700000001</v>
      </c>
      <c r="H1186" s="7">
        <f t="shared" si="51"/>
        <v>0</v>
      </c>
      <c r="I1186" s="7">
        <f t="shared" si="52"/>
        <v>0</v>
      </c>
    </row>
    <row r="1187" spans="1:9" x14ac:dyDescent="0.35">
      <c r="A1187" t="s">
        <v>122</v>
      </c>
      <c r="B1187" t="s">
        <v>123</v>
      </c>
      <c r="C1187" t="s">
        <v>36</v>
      </c>
      <c r="D1187" t="s">
        <v>155</v>
      </c>
      <c r="E1187" t="s">
        <v>122</v>
      </c>
      <c r="F1187" s="4">
        <v>1.9568238</v>
      </c>
      <c r="G1187" s="4">
        <f>IFERROR(F1187-alt_Blanks!$I$32,F1187)</f>
        <v>2.9255299999999984E-2</v>
      </c>
      <c r="H1187" s="7">
        <f t="shared" si="51"/>
        <v>2.9255299999999984E-2</v>
      </c>
      <c r="I1187" s="7">
        <f t="shared" si="52"/>
        <v>0.12853822495606321</v>
      </c>
    </row>
    <row r="1188" spans="1:9" x14ac:dyDescent="0.35">
      <c r="A1188" t="s">
        <v>122</v>
      </c>
      <c r="B1188" t="s">
        <v>123</v>
      </c>
      <c r="C1188" t="s">
        <v>37</v>
      </c>
      <c r="D1188" t="s">
        <v>155</v>
      </c>
      <c r="E1188" t="s">
        <v>122</v>
      </c>
      <c r="F1188" s="4">
        <v>1.7470162</v>
      </c>
      <c r="G1188" s="4">
        <f>IFERROR(F1188-alt_Blanks!$I$33,F1188)</f>
        <v>1.7470162</v>
      </c>
      <c r="H1188" s="7">
        <f t="shared" si="51"/>
        <v>1.7470162</v>
      </c>
      <c r="I1188" s="7">
        <f t="shared" si="52"/>
        <v>7.6758181019332161</v>
      </c>
    </row>
    <row r="1189" spans="1:9" x14ac:dyDescent="0.35">
      <c r="A1189" t="s">
        <v>122</v>
      </c>
      <c r="B1189" t="s">
        <v>123</v>
      </c>
      <c r="C1189" t="s">
        <v>38</v>
      </c>
      <c r="D1189" t="s">
        <v>155</v>
      </c>
      <c r="E1189" t="s">
        <v>122</v>
      </c>
      <c r="F1189" s="4">
        <v>0.4792708</v>
      </c>
      <c r="G1189" s="4">
        <f>IFERROR(F1189-alt_Blanks!$I$34,F1189)</f>
        <v>0.4792708</v>
      </c>
      <c r="H1189" s="7">
        <f t="shared" si="51"/>
        <v>0.4792708</v>
      </c>
      <c r="I1189" s="7">
        <f t="shared" si="52"/>
        <v>2.1057592267135323</v>
      </c>
    </row>
    <row r="1190" spans="1:9" x14ac:dyDescent="0.35">
      <c r="A1190" t="s">
        <v>122</v>
      </c>
      <c r="B1190" t="s">
        <v>123</v>
      </c>
      <c r="C1190" t="s">
        <v>39</v>
      </c>
      <c r="D1190" t="s">
        <v>153</v>
      </c>
      <c r="E1190" t="s">
        <v>122</v>
      </c>
      <c r="F1190" s="4">
        <v>0</v>
      </c>
      <c r="G1190" s="4">
        <f>IFERROR(F1190-alt_Blanks!$I$35,F1190)</f>
        <v>0</v>
      </c>
      <c r="H1190" s="7">
        <f t="shared" si="51"/>
        <v>0</v>
      </c>
      <c r="I1190" s="7">
        <f t="shared" si="52"/>
        <v>0</v>
      </c>
    </row>
    <row r="1191" spans="1:9" x14ac:dyDescent="0.35">
      <c r="A1191" t="s">
        <v>122</v>
      </c>
      <c r="B1191" t="s">
        <v>123</v>
      </c>
      <c r="C1191" t="s">
        <v>40</v>
      </c>
      <c r="D1191" t="s">
        <v>154</v>
      </c>
      <c r="E1191" t="s">
        <v>122</v>
      </c>
      <c r="F1191" s="4">
        <v>0</v>
      </c>
      <c r="G1191" s="4">
        <f>IFERROR(F1191-alt_Blanks!$I$36,F1191)</f>
        <v>0</v>
      </c>
      <c r="H1191" s="7">
        <f t="shared" si="51"/>
        <v>0</v>
      </c>
      <c r="I1191" s="7">
        <f t="shared" si="52"/>
        <v>0</v>
      </c>
    </row>
    <row r="1192" spans="1:9" x14ac:dyDescent="0.35">
      <c r="A1192" t="s">
        <v>124</v>
      </c>
      <c r="B1192" t="s">
        <v>125</v>
      </c>
      <c r="C1192" t="s">
        <v>6</v>
      </c>
      <c r="D1192" t="s">
        <v>153</v>
      </c>
      <c r="E1192" t="s">
        <v>126</v>
      </c>
      <c r="F1192" s="4">
        <v>6.6740167000000001</v>
      </c>
      <c r="G1192" s="4">
        <f>IFERROR(F1192-alt_Blanks!$I$2,F1192)</f>
        <v>-3.2524400000000675E-2</v>
      </c>
      <c r="H1192" s="7">
        <f t="shared" si="51"/>
        <v>0</v>
      </c>
      <c r="I1192" s="7">
        <f>H1192/0.6156</f>
        <v>0</v>
      </c>
    </row>
    <row r="1193" spans="1:9" x14ac:dyDescent="0.35">
      <c r="A1193" t="s">
        <v>124</v>
      </c>
      <c r="B1193" t="s">
        <v>125</v>
      </c>
      <c r="C1193" t="s">
        <v>7</v>
      </c>
      <c r="D1193" t="s">
        <v>153</v>
      </c>
      <c r="E1193" t="s">
        <v>126</v>
      </c>
      <c r="F1193" s="4">
        <v>0</v>
      </c>
      <c r="G1193" s="4">
        <f>IFERROR(F1193-alt_Blanks!$I$3,F1193)</f>
        <v>0</v>
      </c>
      <c r="H1193" s="7">
        <f t="shared" si="51"/>
        <v>0</v>
      </c>
      <c r="I1193" s="7">
        <f t="shared" ref="I1193:I1226" si="53">H1193/0.6156</f>
        <v>0</v>
      </c>
    </row>
    <row r="1194" spans="1:9" x14ac:dyDescent="0.35">
      <c r="A1194" t="s">
        <v>124</v>
      </c>
      <c r="B1194" t="s">
        <v>125</v>
      </c>
      <c r="C1194" t="s">
        <v>8</v>
      </c>
      <c r="D1194" t="s">
        <v>153</v>
      </c>
      <c r="E1194" t="s">
        <v>126</v>
      </c>
      <c r="F1194" s="4" t="e">
        <v>#N/A</v>
      </c>
      <c r="G1194" s="4" t="e">
        <f>IFERROR(F1194-alt_Blanks!$I$4,F1194)</f>
        <v>#N/A</v>
      </c>
      <c r="H1194" s="7" t="e">
        <f t="shared" si="51"/>
        <v>#N/A</v>
      </c>
      <c r="I1194" s="7" t="e">
        <f t="shared" si="53"/>
        <v>#N/A</v>
      </c>
    </row>
    <row r="1195" spans="1:9" x14ac:dyDescent="0.35">
      <c r="A1195" t="s">
        <v>124</v>
      </c>
      <c r="B1195" t="s">
        <v>125</v>
      </c>
      <c r="C1195" t="s">
        <v>9</v>
      </c>
      <c r="D1195" t="s">
        <v>153</v>
      </c>
      <c r="E1195" t="s">
        <v>126</v>
      </c>
      <c r="F1195" s="4">
        <v>3.9211511999999997</v>
      </c>
      <c r="G1195" s="4">
        <f>IFERROR(F1195-alt_Blanks!$I$5,F1195)</f>
        <v>3.9211511999999997</v>
      </c>
      <c r="H1195" s="7">
        <f t="shared" si="51"/>
        <v>3.9211511999999997</v>
      </c>
      <c r="I1195" s="7">
        <f t="shared" si="53"/>
        <v>6.3696413255360618</v>
      </c>
    </row>
    <row r="1196" spans="1:9" x14ac:dyDescent="0.35">
      <c r="A1196" t="s">
        <v>124</v>
      </c>
      <c r="B1196" t="s">
        <v>125</v>
      </c>
      <c r="C1196" t="s">
        <v>10</v>
      </c>
      <c r="D1196" t="s">
        <v>153</v>
      </c>
      <c r="E1196" t="s">
        <v>126</v>
      </c>
      <c r="F1196" s="4">
        <v>76.050122700000003</v>
      </c>
      <c r="G1196" s="4">
        <f>IFERROR(F1196-alt_Blanks!$I$6,F1196)</f>
        <v>76.050122700000003</v>
      </c>
      <c r="H1196" s="7">
        <f t="shared" si="51"/>
        <v>76.050122700000003</v>
      </c>
      <c r="I1196" s="7">
        <f t="shared" si="53"/>
        <v>123.53821101364522</v>
      </c>
    </row>
    <row r="1197" spans="1:9" x14ac:dyDescent="0.35">
      <c r="A1197" t="s">
        <v>124</v>
      </c>
      <c r="B1197" t="s">
        <v>125</v>
      </c>
      <c r="C1197" t="s">
        <v>11</v>
      </c>
      <c r="D1197" t="s">
        <v>153</v>
      </c>
      <c r="E1197" t="s">
        <v>126</v>
      </c>
      <c r="F1197" s="4">
        <v>79.314416100000003</v>
      </c>
      <c r="G1197" s="4">
        <f>IFERROR(F1197-alt_Blanks!$I$7,F1197)</f>
        <v>79.314416100000003</v>
      </c>
      <c r="H1197" s="7">
        <f t="shared" si="51"/>
        <v>79.314416100000003</v>
      </c>
      <c r="I1197" s="7">
        <f t="shared" si="53"/>
        <v>128.84083187134502</v>
      </c>
    </row>
    <row r="1198" spans="1:9" x14ac:dyDescent="0.35">
      <c r="A1198" t="s">
        <v>124</v>
      </c>
      <c r="B1198" t="s">
        <v>125</v>
      </c>
      <c r="C1198" t="s">
        <v>12</v>
      </c>
      <c r="D1198" t="s">
        <v>154</v>
      </c>
      <c r="E1198" t="s">
        <v>126</v>
      </c>
      <c r="F1198" s="4">
        <v>0</v>
      </c>
      <c r="G1198" s="4">
        <f>IFERROR(F1198-alt_Blanks!$I$8,F1198)</f>
        <v>0</v>
      </c>
      <c r="H1198" s="7">
        <f t="shared" si="51"/>
        <v>0</v>
      </c>
      <c r="I1198" s="7">
        <f t="shared" si="53"/>
        <v>0</v>
      </c>
    </row>
    <row r="1199" spans="1:9" x14ac:dyDescent="0.35">
      <c r="A1199" t="s">
        <v>124</v>
      </c>
      <c r="B1199" t="s">
        <v>125</v>
      </c>
      <c r="C1199" t="s">
        <v>13</v>
      </c>
      <c r="D1199" t="s">
        <v>153</v>
      </c>
      <c r="E1199" t="s">
        <v>126</v>
      </c>
      <c r="F1199" s="4">
        <v>14.3998428</v>
      </c>
      <c r="G1199" s="4">
        <f>IFERROR(F1199-alt_Blanks!$I$9,F1199)</f>
        <v>14.3998428</v>
      </c>
      <c r="H1199" s="7">
        <f t="shared" si="51"/>
        <v>14.3998428</v>
      </c>
      <c r="I1199" s="7">
        <f t="shared" si="53"/>
        <v>23.391557504873294</v>
      </c>
    </row>
    <row r="1200" spans="1:9" x14ac:dyDescent="0.35">
      <c r="A1200" t="s">
        <v>124</v>
      </c>
      <c r="B1200" t="s">
        <v>125</v>
      </c>
      <c r="C1200" t="s">
        <v>14</v>
      </c>
      <c r="D1200" t="s">
        <v>154</v>
      </c>
      <c r="E1200" t="s">
        <v>126</v>
      </c>
      <c r="F1200" s="4">
        <v>0</v>
      </c>
      <c r="G1200" s="4">
        <f>IFERROR(F1200-alt_Blanks!$I$10,F1200)</f>
        <v>0</v>
      </c>
      <c r="H1200" s="7">
        <f t="shared" si="51"/>
        <v>0</v>
      </c>
      <c r="I1200" s="7">
        <f t="shared" si="53"/>
        <v>0</v>
      </c>
    </row>
    <row r="1201" spans="1:9" x14ac:dyDescent="0.35">
      <c r="A1201" t="s">
        <v>124</v>
      </c>
      <c r="B1201" t="s">
        <v>125</v>
      </c>
      <c r="C1201" t="s">
        <v>15</v>
      </c>
      <c r="D1201" t="s">
        <v>153</v>
      </c>
      <c r="E1201" t="s">
        <v>126</v>
      </c>
      <c r="F1201" s="4">
        <v>2314.9183994</v>
      </c>
      <c r="G1201" s="4">
        <f>IFERROR(F1201-alt_Blanks!$I$11,F1201)</f>
        <v>1509.7017097</v>
      </c>
      <c r="H1201" s="7">
        <f t="shared" si="51"/>
        <v>1509.7017097</v>
      </c>
      <c r="I1201" s="7">
        <f t="shared" si="53"/>
        <v>2452.4069358349575</v>
      </c>
    </row>
    <row r="1202" spans="1:9" x14ac:dyDescent="0.35">
      <c r="A1202" t="s">
        <v>124</v>
      </c>
      <c r="B1202" t="s">
        <v>125</v>
      </c>
      <c r="C1202" t="s">
        <v>16</v>
      </c>
      <c r="D1202" t="s">
        <v>154</v>
      </c>
      <c r="E1202" t="s">
        <v>126</v>
      </c>
      <c r="F1202" s="4">
        <v>267.76593310000004</v>
      </c>
      <c r="G1202" s="4">
        <f>IFERROR(F1202-alt_Blanks!$I$12,F1202)</f>
        <v>267.76593310000004</v>
      </c>
      <c r="H1202" s="7">
        <f t="shared" si="51"/>
        <v>267.76593310000004</v>
      </c>
      <c r="I1202" s="7">
        <f t="shared" si="53"/>
        <v>434.96740269655623</v>
      </c>
    </row>
    <row r="1203" spans="1:9" x14ac:dyDescent="0.35">
      <c r="A1203" t="s">
        <v>124</v>
      </c>
      <c r="B1203" t="s">
        <v>125</v>
      </c>
      <c r="C1203" t="s">
        <v>17</v>
      </c>
      <c r="D1203" t="s">
        <v>153</v>
      </c>
      <c r="E1203" t="s">
        <v>126</v>
      </c>
      <c r="F1203" s="4">
        <v>20.2711404</v>
      </c>
      <c r="G1203" s="4">
        <f>IFERROR(F1203-alt_Blanks!$I$13,F1203)</f>
        <v>19.4184269</v>
      </c>
      <c r="H1203" s="7">
        <f t="shared" si="51"/>
        <v>19.4184269</v>
      </c>
      <c r="I1203" s="7">
        <f t="shared" si="53"/>
        <v>31.543903346328783</v>
      </c>
    </row>
    <row r="1204" spans="1:9" x14ac:dyDescent="0.35">
      <c r="A1204" t="s">
        <v>124</v>
      </c>
      <c r="B1204" t="s">
        <v>125</v>
      </c>
      <c r="C1204" t="s">
        <v>18</v>
      </c>
      <c r="D1204" t="s">
        <v>154</v>
      </c>
      <c r="E1204" t="s">
        <v>126</v>
      </c>
      <c r="F1204" s="4">
        <v>0</v>
      </c>
      <c r="G1204" s="4">
        <f>IFERROR(F1204-alt_Blanks!$I$14,F1204)</f>
        <v>0</v>
      </c>
      <c r="H1204" s="7">
        <f t="shared" si="51"/>
        <v>0</v>
      </c>
      <c r="I1204" s="7">
        <f t="shared" si="53"/>
        <v>0</v>
      </c>
    </row>
    <row r="1205" spans="1:9" x14ac:dyDescent="0.35">
      <c r="A1205" t="s">
        <v>124</v>
      </c>
      <c r="B1205" t="s">
        <v>125</v>
      </c>
      <c r="C1205" t="s">
        <v>19</v>
      </c>
      <c r="D1205" t="s">
        <v>153</v>
      </c>
      <c r="E1205" t="s">
        <v>126</v>
      </c>
      <c r="F1205" s="4">
        <v>479.38030459999999</v>
      </c>
      <c r="G1205" s="4">
        <f>IFERROR(F1205-alt_Blanks!$I$15,F1205)</f>
        <v>210.75690750000001</v>
      </c>
      <c r="H1205" s="7">
        <f t="shared" si="51"/>
        <v>210.75690750000001</v>
      </c>
      <c r="I1205" s="7">
        <f t="shared" si="53"/>
        <v>342.36014863547757</v>
      </c>
    </row>
    <row r="1206" spans="1:9" x14ac:dyDescent="0.35">
      <c r="A1206" t="s">
        <v>124</v>
      </c>
      <c r="B1206" t="s">
        <v>125</v>
      </c>
      <c r="C1206" t="s">
        <v>20</v>
      </c>
      <c r="D1206" t="s">
        <v>154</v>
      </c>
      <c r="E1206" t="s">
        <v>126</v>
      </c>
      <c r="F1206" s="4">
        <v>410.53133990000003</v>
      </c>
      <c r="G1206" s="4">
        <f>IFERROR(F1206-alt_Blanks!$I$16,F1206)</f>
        <v>392.06542670000005</v>
      </c>
      <c r="H1206" s="7">
        <f t="shared" si="51"/>
        <v>392.06542670000005</v>
      </c>
      <c r="I1206" s="7">
        <f t="shared" si="53"/>
        <v>636.88340919428208</v>
      </c>
    </row>
    <row r="1207" spans="1:9" x14ac:dyDescent="0.35">
      <c r="A1207" t="s">
        <v>124</v>
      </c>
      <c r="B1207" t="s">
        <v>125</v>
      </c>
      <c r="C1207" t="s">
        <v>21</v>
      </c>
      <c r="D1207" t="s">
        <v>155</v>
      </c>
      <c r="E1207" t="s">
        <v>126</v>
      </c>
      <c r="F1207" s="4">
        <v>1.4892816</v>
      </c>
      <c r="G1207" s="4">
        <f>IFERROR(F1207-alt_Blanks!$I$17,F1207)</f>
        <v>1.1573282</v>
      </c>
      <c r="H1207" s="7">
        <f t="shared" si="51"/>
        <v>1.1573282</v>
      </c>
      <c r="I1207" s="7">
        <f t="shared" si="53"/>
        <v>1.8800003248862898</v>
      </c>
    </row>
    <row r="1208" spans="1:9" x14ac:dyDescent="0.35">
      <c r="A1208" t="s">
        <v>124</v>
      </c>
      <c r="B1208" t="s">
        <v>125</v>
      </c>
      <c r="C1208" t="s">
        <v>22</v>
      </c>
      <c r="D1208" t="s">
        <v>155</v>
      </c>
      <c r="E1208" t="s">
        <v>126</v>
      </c>
      <c r="F1208" s="4">
        <v>196.64121510000001</v>
      </c>
      <c r="G1208" s="4">
        <f>IFERROR(F1208-alt_Blanks!$I$18,F1208)</f>
        <v>190.6377555</v>
      </c>
      <c r="H1208" s="7">
        <f t="shared" si="51"/>
        <v>190.6377555</v>
      </c>
      <c r="I1208" s="7">
        <f t="shared" si="53"/>
        <v>309.67796539961012</v>
      </c>
    </row>
    <row r="1209" spans="1:9" x14ac:dyDescent="0.35">
      <c r="A1209" t="s">
        <v>124</v>
      </c>
      <c r="B1209" t="s">
        <v>125</v>
      </c>
      <c r="C1209" t="s">
        <v>23</v>
      </c>
      <c r="D1209" t="s">
        <v>155</v>
      </c>
      <c r="E1209" t="s">
        <v>126</v>
      </c>
      <c r="F1209" s="4">
        <v>0.48720429999999998</v>
      </c>
      <c r="G1209" s="4">
        <f>IFERROR(F1209-alt_Blanks!$I$19,F1209)</f>
        <v>0.48720429999999998</v>
      </c>
      <c r="H1209" s="7">
        <f t="shared" si="51"/>
        <v>0.48720429999999998</v>
      </c>
      <c r="I1209" s="7">
        <f t="shared" si="53"/>
        <v>0.79142998700454836</v>
      </c>
    </row>
    <row r="1210" spans="1:9" x14ac:dyDescent="0.35">
      <c r="A1210" t="s">
        <v>124</v>
      </c>
      <c r="B1210" t="s">
        <v>125</v>
      </c>
      <c r="C1210" t="s">
        <v>24</v>
      </c>
      <c r="D1210" t="s">
        <v>155</v>
      </c>
      <c r="E1210" t="s">
        <v>126</v>
      </c>
      <c r="F1210" s="4">
        <v>171.92456200000001</v>
      </c>
      <c r="G1210" s="4">
        <f>IFERROR(F1210-alt_Blanks!$I$20,F1210)</f>
        <v>169.98658660000001</v>
      </c>
      <c r="H1210" s="7">
        <f t="shared" si="51"/>
        <v>169.98658660000001</v>
      </c>
      <c r="I1210" s="7">
        <f t="shared" si="53"/>
        <v>276.131557179987</v>
      </c>
    </row>
    <row r="1211" spans="1:9" x14ac:dyDescent="0.35">
      <c r="A1211" t="s">
        <v>124</v>
      </c>
      <c r="B1211" t="s">
        <v>125</v>
      </c>
      <c r="C1211" t="s">
        <v>25</v>
      </c>
      <c r="D1211" t="s">
        <v>155</v>
      </c>
      <c r="E1211" t="s">
        <v>126</v>
      </c>
      <c r="F1211" s="4">
        <v>7.9447387000000003</v>
      </c>
      <c r="G1211" s="4">
        <f>IFERROR(F1211-alt_Blanks!$I$21,F1211)</f>
        <v>7.7302296000000004</v>
      </c>
      <c r="H1211" s="7">
        <f t="shared" si="51"/>
        <v>7.7302296000000004</v>
      </c>
      <c r="I1211" s="7">
        <f t="shared" si="53"/>
        <v>12.557228070175439</v>
      </c>
    </row>
    <row r="1212" spans="1:9" x14ac:dyDescent="0.35">
      <c r="A1212" t="s">
        <v>124</v>
      </c>
      <c r="B1212" t="s">
        <v>125</v>
      </c>
      <c r="C1212" t="s">
        <v>26</v>
      </c>
      <c r="D1212" t="s">
        <v>153</v>
      </c>
      <c r="E1212" t="s">
        <v>126</v>
      </c>
      <c r="F1212" s="4">
        <v>1.3960406000000001</v>
      </c>
      <c r="G1212" s="4">
        <f>IFERROR(F1212-alt_Blanks!$I$22,F1212)</f>
        <v>-0.19868079999999977</v>
      </c>
      <c r="H1212" s="7">
        <f t="shared" si="51"/>
        <v>0</v>
      </c>
      <c r="I1212" s="7">
        <f t="shared" si="53"/>
        <v>0</v>
      </c>
    </row>
    <row r="1213" spans="1:9" x14ac:dyDescent="0.35">
      <c r="A1213" t="s">
        <v>124</v>
      </c>
      <c r="B1213" t="s">
        <v>125</v>
      </c>
      <c r="C1213" t="s">
        <v>27</v>
      </c>
      <c r="D1213" t="s">
        <v>154</v>
      </c>
      <c r="E1213" t="s">
        <v>126</v>
      </c>
      <c r="F1213" s="4">
        <v>10.1013825</v>
      </c>
      <c r="G1213" s="4">
        <f>IFERROR(F1213-alt_Blanks!$I$23,F1213)</f>
        <v>9.9806451000000003</v>
      </c>
      <c r="H1213" s="7">
        <f t="shared" si="51"/>
        <v>9.9806451000000003</v>
      </c>
      <c r="I1213" s="7">
        <f t="shared" si="53"/>
        <v>16.212873781676414</v>
      </c>
    </row>
    <row r="1214" spans="1:9" x14ac:dyDescent="0.35">
      <c r="A1214" t="s">
        <v>124</v>
      </c>
      <c r="B1214" t="s">
        <v>125</v>
      </c>
      <c r="C1214" t="s">
        <v>28</v>
      </c>
      <c r="D1214" t="s">
        <v>155</v>
      </c>
      <c r="E1214" t="s">
        <v>126</v>
      </c>
      <c r="F1214" s="4">
        <v>29.1996331</v>
      </c>
      <c r="G1214" s="4">
        <f>IFERROR(F1214-alt_Blanks!$I$24,F1214)</f>
        <v>28.9524635</v>
      </c>
      <c r="H1214" s="7">
        <f t="shared" si="51"/>
        <v>28.9524635</v>
      </c>
      <c r="I1214" s="7">
        <f t="shared" si="53"/>
        <v>47.03129223521767</v>
      </c>
    </row>
    <row r="1215" spans="1:9" x14ac:dyDescent="0.35">
      <c r="A1215" t="s">
        <v>124</v>
      </c>
      <c r="B1215" t="s">
        <v>125</v>
      </c>
      <c r="C1215" t="s">
        <v>29</v>
      </c>
      <c r="D1215" t="s">
        <v>155</v>
      </c>
      <c r="E1215" t="s">
        <v>126</v>
      </c>
      <c r="F1215" s="4">
        <v>0.65354269999999992</v>
      </c>
      <c r="G1215" s="4">
        <f>IFERROR(F1215-alt_Blanks!$I$25,F1215)</f>
        <v>0.18130189999999996</v>
      </c>
      <c r="H1215" s="7">
        <f t="shared" si="51"/>
        <v>0.18130189999999996</v>
      </c>
      <c r="I1215" s="7">
        <f t="shared" si="53"/>
        <v>0.29451250812215718</v>
      </c>
    </row>
    <row r="1216" spans="1:9" x14ac:dyDescent="0.35">
      <c r="A1216" t="s">
        <v>124</v>
      </c>
      <c r="B1216" t="s">
        <v>125</v>
      </c>
      <c r="C1216" t="s">
        <v>30</v>
      </c>
      <c r="D1216" t="s">
        <v>155</v>
      </c>
      <c r="E1216" t="s">
        <v>126</v>
      </c>
      <c r="F1216" s="4">
        <v>205.3323513</v>
      </c>
      <c r="G1216" s="4">
        <f>IFERROR(F1216-alt_Blanks!$I$26,F1216)</f>
        <v>204.75217499999999</v>
      </c>
      <c r="H1216" s="7">
        <f t="shared" si="51"/>
        <v>204.75217499999999</v>
      </c>
      <c r="I1216" s="7">
        <f t="shared" si="53"/>
        <v>332.6058723196881</v>
      </c>
    </row>
    <row r="1217" spans="1:9" x14ac:dyDescent="0.35">
      <c r="A1217" t="s">
        <v>124</v>
      </c>
      <c r="B1217" t="s">
        <v>125</v>
      </c>
      <c r="C1217" t="s">
        <v>31</v>
      </c>
      <c r="D1217" t="s">
        <v>155</v>
      </c>
      <c r="E1217" t="s">
        <v>126</v>
      </c>
      <c r="F1217" s="4" t="e">
        <v>#N/A</v>
      </c>
      <c r="G1217" s="4" t="e">
        <f>IFERROR(F1217-alt_Blanks!$I$27,F1217)</f>
        <v>#N/A</v>
      </c>
      <c r="H1217" s="7" t="e">
        <f t="shared" si="51"/>
        <v>#N/A</v>
      </c>
      <c r="I1217" s="7" t="e">
        <f t="shared" si="53"/>
        <v>#N/A</v>
      </c>
    </row>
    <row r="1218" spans="1:9" x14ac:dyDescent="0.35">
      <c r="A1218" t="s">
        <v>124</v>
      </c>
      <c r="B1218" t="s">
        <v>125</v>
      </c>
      <c r="C1218" t="s">
        <v>32</v>
      </c>
      <c r="D1218" t="s">
        <v>153</v>
      </c>
      <c r="E1218" t="s">
        <v>126</v>
      </c>
      <c r="F1218" s="4">
        <v>0</v>
      </c>
      <c r="G1218" s="4">
        <f>IFERROR(F1218-alt_Blanks!$I$28,F1218)</f>
        <v>0</v>
      </c>
      <c r="H1218" s="7">
        <f t="shared" si="51"/>
        <v>0</v>
      </c>
      <c r="I1218" s="7">
        <f t="shared" si="53"/>
        <v>0</v>
      </c>
    </row>
    <row r="1219" spans="1:9" x14ac:dyDescent="0.35">
      <c r="A1219" t="s">
        <v>124</v>
      </c>
      <c r="B1219" t="s">
        <v>125</v>
      </c>
      <c r="C1219" t="s">
        <v>33</v>
      </c>
      <c r="D1219" t="s">
        <v>155</v>
      </c>
      <c r="E1219" t="s">
        <v>126</v>
      </c>
      <c r="F1219" s="4">
        <v>176.332233</v>
      </c>
      <c r="G1219" s="4">
        <f>IFERROR(F1219-alt_Blanks!$I$29,F1219)</f>
        <v>175.72061199999999</v>
      </c>
      <c r="H1219" s="7">
        <f t="shared" si="51"/>
        <v>175.72061199999999</v>
      </c>
      <c r="I1219" s="7">
        <f t="shared" si="53"/>
        <v>285.44608836907076</v>
      </c>
    </row>
    <row r="1220" spans="1:9" x14ac:dyDescent="0.35">
      <c r="A1220" t="s">
        <v>124</v>
      </c>
      <c r="B1220" t="s">
        <v>125</v>
      </c>
      <c r="C1220" t="s">
        <v>34</v>
      </c>
      <c r="D1220" t="s">
        <v>153</v>
      </c>
      <c r="E1220" t="s">
        <v>126</v>
      </c>
      <c r="F1220" s="4">
        <v>0</v>
      </c>
      <c r="G1220" s="4">
        <f>IFERROR(F1220-alt_Blanks!$I$30,F1220)</f>
        <v>0</v>
      </c>
      <c r="H1220" s="7">
        <f t="shared" si="51"/>
        <v>0</v>
      </c>
      <c r="I1220" s="7">
        <f t="shared" si="53"/>
        <v>0</v>
      </c>
    </row>
    <row r="1221" spans="1:9" x14ac:dyDescent="0.35">
      <c r="A1221" t="s">
        <v>124</v>
      </c>
      <c r="B1221" t="s">
        <v>125</v>
      </c>
      <c r="C1221" t="s">
        <v>35</v>
      </c>
      <c r="D1221" t="s">
        <v>154</v>
      </c>
      <c r="E1221" t="s">
        <v>126</v>
      </c>
      <c r="F1221" s="4">
        <v>121.65280560000001</v>
      </c>
      <c r="G1221" s="4">
        <f>IFERROR(F1221-alt_Blanks!$I$31,F1221)</f>
        <v>19.198172000000014</v>
      </c>
      <c r="H1221" s="7">
        <f t="shared" si="51"/>
        <v>19.198172000000014</v>
      </c>
      <c r="I1221" s="7">
        <f t="shared" si="53"/>
        <v>31.186114359974031</v>
      </c>
    </row>
    <row r="1222" spans="1:9" x14ac:dyDescent="0.35">
      <c r="A1222" t="s">
        <v>124</v>
      </c>
      <c r="B1222" t="s">
        <v>125</v>
      </c>
      <c r="C1222" t="s">
        <v>36</v>
      </c>
      <c r="D1222" t="s">
        <v>155</v>
      </c>
      <c r="E1222" t="s">
        <v>126</v>
      </c>
      <c r="F1222" s="4">
        <v>1.9353707</v>
      </c>
      <c r="G1222" s="4">
        <f>IFERROR(F1222-alt_Blanks!$I$32,F1222)</f>
        <v>7.8021999999999814E-3</v>
      </c>
      <c r="H1222" s="7">
        <f t="shared" ref="H1222:H1285" si="54">IF(G1222&lt;0,0,G1222)</f>
        <v>7.8021999999999814E-3</v>
      </c>
      <c r="I1222" s="7">
        <f t="shared" si="53"/>
        <v>1.2674139051332002E-2</v>
      </c>
    </row>
    <row r="1223" spans="1:9" x14ac:dyDescent="0.35">
      <c r="A1223" t="s">
        <v>124</v>
      </c>
      <c r="B1223" t="s">
        <v>125</v>
      </c>
      <c r="C1223" t="s">
        <v>37</v>
      </c>
      <c r="D1223" t="s">
        <v>155</v>
      </c>
      <c r="E1223" t="s">
        <v>126</v>
      </c>
      <c r="F1223" s="4">
        <v>6.9613172999999993</v>
      </c>
      <c r="G1223" s="4">
        <f>IFERROR(F1223-alt_Blanks!$I$33,F1223)</f>
        <v>6.9613172999999993</v>
      </c>
      <c r="H1223" s="7">
        <f t="shared" si="54"/>
        <v>6.9613172999999993</v>
      </c>
      <c r="I1223" s="7">
        <f t="shared" si="53"/>
        <v>11.308182748538011</v>
      </c>
    </row>
    <row r="1224" spans="1:9" x14ac:dyDescent="0.35">
      <c r="A1224" t="s">
        <v>124</v>
      </c>
      <c r="B1224" t="s">
        <v>125</v>
      </c>
      <c r="C1224" t="s">
        <v>38</v>
      </c>
      <c r="D1224" t="s">
        <v>155</v>
      </c>
      <c r="E1224" t="s">
        <v>126</v>
      </c>
      <c r="F1224" s="4">
        <v>6.4502670999999996</v>
      </c>
      <c r="G1224" s="4">
        <f>IFERROR(F1224-alt_Blanks!$I$34,F1224)</f>
        <v>6.4502670999999996</v>
      </c>
      <c r="H1224" s="7">
        <f t="shared" si="54"/>
        <v>6.4502670999999996</v>
      </c>
      <c r="I1224" s="7">
        <f t="shared" si="53"/>
        <v>10.478016731643923</v>
      </c>
    </row>
    <row r="1225" spans="1:9" x14ac:dyDescent="0.35">
      <c r="A1225" t="s">
        <v>124</v>
      </c>
      <c r="B1225" t="s">
        <v>125</v>
      </c>
      <c r="C1225" t="s">
        <v>39</v>
      </c>
      <c r="D1225" t="s">
        <v>153</v>
      </c>
      <c r="E1225" t="s">
        <v>126</v>
      </c>
      <c r="F1225" s="4">
        <v>12.6469337</v>
      </c>
      <c r="G1225" s="4">
        <f>IFERROR(F1225-alt_Blanks!$I$35,F1225)</f>
        <v>12.6469337</v>
      </c>
      <c r="H1225" s="7">
        <f t="shared" si="54"/>
        <v>12.6469337</v>
      </c>
      <c r="I1225" s="7">
        <f t="shared" si="53"/>
        <v>20.544076835607537</v>
      </c>
    </row>
    <row r="1226" spans="1:9" x14ac:dyDescent="0.35">
      <c r="A1226" t="s">
        <v>124</v>
      </c>
      <c r="B1226" t="s">
        <v>125</v>
      </c>
      <c r="C1226" t="s">
        <v>40</v>
      </c>
      <c r="D1226" t="s">
        <v>154</v>
      </c>
      <c r="E1226" t="s">
        <v>126</v>
      </c>
      <c r="F1226" s="4">
        <v>0</v>
      </c>
      <c r="G1226" s="4">
        <f>IFERROR(F1226-alt_Blanks!$I$36,F1226)</f>
        <v>0</v>
      </c>
      <c r="H1226" s="7">
        <f t="shared" si="54"/>
        <v>0</v>
      </c>
      <c r="I1226" s="7">
        <f t="shared" si="53"/>
        <v>0</v>
      </c>
    </row>
    <row r="1227" spans="1:9" x14ac:dyDescent="0.35">
      <c r="A1227" t="s">
        <v>127</v>
      </c>
      <c r="B1227" t="s">
        <v>128</v>
      </c>
      <c r="C1227" t="s">
        <v>6</v>
      </c>
      <c r="D1227" t="s">
        <v>153</v>
      </c>
      <c r="E1227" t="s">
        <v>126</v>
      </c>
      <c r="F1227" s="4">
        <v>6.7009607999999998</v>
      </c>
      <c r="G1227" s="4">
        <f>IFERROR(F1227-alt_Blanks!$I$2,F1227)</f>
        <v>-5.5803000000009817E-3</v>
      </c>
      <c r="H1227" s="7">
        <f t="shared" si="54"/>
        <v>0</v>
      </c>
      <c r="I1227" s="7">
        <f>H1227/0.4067</f>
        <v>0</v>
      </c>
    </row>
    <row r="1228" spans="1:9" x14ac:dyDescent="0.35">
      <c r="A1228" t="s">
        <v>127</v>
      </c>
      <c r="B1228" t="s">
        <v>128</v>
      </c>
      <c r="C1228" t="s">
        <v>7</v>
      </c>
      <c r="D1228" t="s">
        <v>153</v>
      </c>
      <c r="E1228" t="s">
        <v>126</v>
      </c>
      <c r="F1228" s="4">
        <v>0</v>
      </c>
      <c r="G1228" s="4">
        <f>IFERROR(F1228-alt_Blanks!$I$3,F1228)</f>
        <v>0</v>
      </c>
      <c r="H1228" s="7">
        <f t="shared" si="54"/>
        <v>0</v>
      </c>
      <c r="I1228" s="7">
        <f t="shared" ref="I1228:I1261" si="55">H1228/0.4067</f>
        <v>0</v>
      </c>
    </row>
    <row r="1229" spans="1:9" x14ac:dyDescent="0.35">
      <c r="A1229" t="s">
        <v>127</v>
      </c>
      <c r="B1229" t="s">
        <v>128</v>
      </c>
      <c r="C1229" t="s">
        <v>8</v>
      </c>
      <c r="D1229" t="s">
        <v>153</v>
      </c>
      <c r="E1229" t="s">
        <v>126</v>
      </c>
      <c r="F1229" s="4" t="e">
        <v>#N/A</v>
      </c>
      <c r="G1229" s="4" t="e">
        <f>IFERROR(F1229-alt_Blanks!$I$4,F1229)</f>
        <v>#N/A</v>
      </c>
      <c r="H1229" s="7" t="e">
        <f t="shared" si="54"/>
        <v>#N/A</v>
      </c>
      <c r="I1229" s="7" t="e">
        <f t="shared" si="55"/>
        <v>#N/A</v>
      </c>
    </row>
    <row r="1230" spans="1:9" x14ac:dyDescent="0.35">
      <c r="A1230" t="s">
        <v>127</v>
      </c>
      <c r="B1230" t="s">
        <v>128</v>
      </c>
      <c r="C1230" t="s">
        <v>9</v>
      </c>
      <c r="D1230" t="s">
        <v>153</v>
      </c>
      <c r="E1230" t="s">
        <v>126</v>
      </c>
      <c r="F1230" s="4">
        <v>1.8041423000000001</v>
      </c>
      <c r="G1230" s="4">
        <f>IFERROR(F1230-alt_Blanks!$I$5,F1230)</f>
        <v>1.8041423000000001</v>
      </c>
      <c r="H1230" s="7">
        <f t="shared" si="54"/>
        <v>1.8041423000000001</v>
      </c>
      <c r="I1230" s="7">
        <f t="shared" si="55"/>
        <v>4.4360518809933618</v>
      </c>
    </row>
    <row r="1231" spans="1:9" x14ac:dyDescent="0.35">
      <c r="A1231" t="s">
        <v>127</v>
      </c>
      <c r="B1231" t="s">
        <v>128</v>
      </c>
      <c r="C1231" t="s">
        <v>10</v>
      </c>
      <c r="D1231" t="s">
        <v>153</v>
      </c>
      <c r="E1231" t="s">
        <v>126</v>
      </c>
      <c r="F1231" s="4">
        <v>71.632268400000001</v>
      </c>
      <c r="G1231" s="4">
        <f>IFERROR(F1231-alt_Blanks!$I$6,F1231)</f>
        <v>71.632268400000001</v>
      </c>
      <c r="H1231" s="7">
        <f t="shared" si="54"/>
        <v>71.632268400000001</v>
      </c>
      <c r="I1231" s="7">
        <f t="shared" si="55"/>
        <v>176.13048537005164</v>
      </c>
    </row>
    <row r="1232" spans="1:9" x14ac:dyDescent="0.35">
      <c r="A1232" t="s">
        <v>127</v>
      </c>
      <c r="B1232" t="s">
        <v>128</v>
      </c>
      <c r="C1232" t="s">
        <v>11</v>
      </c>
      <c r="D1232" t="s">
        <v>153</v>
      </c>
      <c r="E1232" t="s">
        <v>126</v>
      </c>
      <c r="F1232" s="4">
        <v>44.227004299999997</v>
      </c>
      <c r="G1232" s="4">
        <f>IFERROR(F1232-alt_Blanks!$I$7,F1232)</f>
        <v>44.227004299999997</v>
      </c>
      <c r="H1232" s="7">
        <f t="shared" si="54"/>
        <v>44.227004299999997</v>
      </c>
      <c r="I1232" s="7">
        <f t="shared" si="55"/>
        <v>108.74601499877059</v>
      </c>
    </row>
    <row r="1233" spans="1:9" x14ac:dyDescent="0.35">
      <c r="A1233" t="s">
        <v>127</v>
      </c>
      <c r="B1233" t="s">
        <v>128</v>
      </c>
      <c r="C1233" t="s">
        <v>12</v>
      </c>
      <c r="D1233" t="s">
        <v>154</v>
      </c>
      <c r="E1233" t="s">
        <v>126</v>
      </c>
      <c r="F1233" s="4">
        <v>0</v>
      </c>
      <c r="G1233" s="4">
        <f>IFERROR(F1233-alt_Blanks!$I$8,F1233)</f>
        <v>0</v>
      </c>
      <c r="H1233" s="7">
        <f t="shared" si="54"/>
        <v>0</v>
      </c>
      <c r="I1233" s="7">
        <f t="shared" si="55"/>
        <v>0</v>
      </c>
    </row>
    <row r="1234" spans="1:9" x14ac:dyDescent="0.35">
      <c r="A1234" t="s">
        <v>127</v>
      </c>
      <c r="B1234" t="s">
        <v>128</v>
      </c>
      <c r="C1234" t="s">
        <v>13</v>
      </c>
      <c r="D1234" t="s">
        <v>153</v>
      </c>
      <c r="E1234" t="s">
        <v>126</v>
      </c>
      <c r="F1234" s="4">
        <v>11.7503709</v>
      </c>
      <c r="G1234" s="4">
        <f>IFERROR(F1234-alt_Blanks!$I$9,F1234)</f>
        <v>11.7503709</v>
      </c>
      <c r="H1234" s="7">
        <f t="shared" si="54"/>
        <v>11.7503709</v>
      </c>
      <c r="I1234" s="7">
        <f t="shared" si="55"/>
        <v>28.891986476518319</v>
      </c>
    </row>
    <row r="1235" spans="1:9" x14ac:dyDescent="0.35">
      <c r="A1235" t="s">
        <v>127</v>
      </c>
      <c r="B1235" t="s">
        <v>128</v>
      </c>
      <c r="C1235" t="s">
        <v>14</v>
      </c>
      <c r="D1235" t="s">
        <v>154</v>
      </c>
      <c r="E1235" t="s">
        <v>126</v>
      </c>
      <c r="F1235" s="4">
        <v>0</v>
      </c>
      <c r="G1235" s="4">
        <f>IFERROR(F1235-alt_Blanks!$I$10,F1235)</f>
        <v>0</v>
      </c>
      <c r="H1235" s="7">
        <f t="shared" si="54"/>
        <v>0</v>
      </c>
      <c r="I1235" s="7">
        <f t="shared" si="55"/>
        <v>0</v>
      </c>
    </row>
    <row r="1236" spans="1:9" x14ac:dyDescent="0.35">
      <c r="A1236" t="s">
        <v>127</v>
      </c>
      <c r="B1236" t="s">
        <v>128</v>
      </c>
      <c r="C1236" t="s">
        <v>15</v>
      </c>
      <c r="D1236" t="s">
        <v>153</v>
      </c>
      <c r="E1236" t="s">
        <v>126</v>
      </c>
      <c r="F1236" s="4">
        <v>1889.5194114000001</v>
      </c>
      <c r="G1236" s="4">
        <f>IFERROR(F1236-alt_Blanks!$I$11,F1236)</f>
        <v>1084.3027217000001</v>
      </c>
      <c r="H1236" s="7">
        <f t="shared" si="54"/>
        <v>1084.3027217000001</v>
      </c>
      <c r="I1236" s="7">
        <f t="shared" si="55"/>
        <v>2666.099635357758</v>
      </c>
    </row>
    <row r="1237" spans="1:9" x14ac:dyDescent="0.35">
      <c r="A1237" t="s">
        <v>127</v>
      </c>
      <c r="B1237" t="s">
        <v>128</v>
      </c>
      <c r="C1237" t="s">
        <v>16</v>
      </c>
      <c r="D1237" t="s">
        <v>154</v>
      </c>
      <c r="E1237" t="s">
        <v>126</v>
      </c>
      <c r="F1237" s="4">
        <v>76.218546000000003</v>
      </c>
      <c r="G1237" s="4">
        <f>IFERROR(F1237-alt_Blanks!$I$12,F1237)</f>
        <v>76.218546000000003</v>
      </c>
      <c r="H1237" s="7">
        <f t="shared" si="54"/>
        <v>76.218546000000003</v>
      </c>
      <c r="I1237" s="7">
        <f t="shared" si="55"/>
        <v>187.4072928448488</v>
      </c>
    </row>
    <row r="1238" spans="1:9" x14ac:dyDescent="0.35">
      <c r="A1238" t="s">
        <v>127</v>
      </c>
      <c r="B1238" t="s">
        <v>128</v>
      </c>
      <c r="C1238" t="s">
        <v>17</v>
      </c>
      <c r="D1238" t="s">
        <v>153</v>
      </c>
      <c r="E1238" t="s">
        <v>126</v>
      </c>
      <c r="F1238" s="4">
        <v>14.5516846</v>
      </c>
      <c r="G1238" s="4">
        <f>IFERROR(F1238-alt_Blanks!$I$13,F1238)</f>
        <v>13.6989711</v>
      </c>
      <c r="H1238" s="7">
        <f t="shared" si="54"/>
        <v>13.6989711</v>
      </c>
      <c r="I1238" s="7">
        <f t="shared" si="55"/>
        <v>33.683233587410868</v>
      </c>
    </row>
    <row r="1239" spans="1:9" x14ac:dyDescent="0.35">
      <c r="A1239" t="s">
        <v>127</v>
      </c>
      <c r="B1239" t="s">
        <v>128</v>
      </c>
      <c r="C1239" t="s">
        <v>18</v>
      </c>
      <c r="D1239" t="s">
        <v>154</v>
      </c>
      <c r="E1239" t="s">
        <v>126</v>
      </c>
      <c r="F1239" s="4">
        <v>0</v>
      </c>
      <c r="G1239" s="4">
        <f>IFERROR(F1239-alt_Blanks!$I$14,F1239)</f>
        <v>0</v>
      </c>
      <c r="H1239" s="7">
        <f t="shared" si="54"/>
        <v>0</v>
      </c>
      <c r="I1239" s="7">
        <f t="shared" si="55"/>
        <v>0</v>
      </c>
    </row>
    <row r="1240" spans="1:9" x14ac:dyDescent="0.35">
      <c r="A1240" t="s">
        <v>127</v>
      </c>
      <c r="B1240" t="s">
        <v>128</v>
      </c>
      <c r="C1240" t="s">
        <v>19</v>
      </c>
      <c r="D1240" t="s">
        <v>153</v>
      </c>
      <c r="E1240" t="s">
        <v>126</v>
      </c>
      <c r="F1240" s="4">
        <v>426.28469280000002</v>
      </c>
      <c r="G1240" s="4">
        <f>IFERROR(F1240-alt_Blanks!$I$15,F1240)</f>
        <v>157.66129570000004</v>
      </c>
      <c r="H1240" s="7">
        <f t="shared" si="54"/>
        <v>157.66129570000004</v>
      </c>
      <c r="I1240" s="7">
        <f t="shared" si="55"/>
        <v>387.65993533316953</v>
      </c>
    </row>
    <row r="1241" spans="1:9" x14ac:dyDescent="0.35">
      <c r="A1241" t="s">
        <v>127</v>
      </c>
      <c r="B1241" t="s">
        <v>128</v>
      </c>
      <c r="C1241" t="s">
        <v>20</v>
      </c>
      <c r="D1241" t="s">
        <v>154</v>
      </c>
      <c r="E1241" t="s">
        <v>126</v>
      </c>
      <c r="F1241" s="4">
        <v>285.97256809999999</v>
      </c>
      <c r="G1241" s="4">
        <f>IFERROR(F1241-alt_Blanks!$I$16,F1241)</f>
        <v>267.5066549</v>
      </c>
      <c r="H1241" s="7">
        <f t="shared" si="54"/>
        <v>267.5066549</v>
      </c>
      <c r="I1241" s="7">
        <f t="shared" si="55"/>
        <v>657.74933587410862</v>
      </c>
    </row>
    <row r="1242" spans="1:9" x14ac:dyDescent="0.35">
      <c r="A1242" t="s">
        <v>127</v>
      </c>
      <c r="B1242" t="s">
        <v>128</v>
      </c>
      <c r="C1242" t="s">
        <v>21</v>
      </c>
      <c r="D1242" t="s">
        <v>155</v>
      </c>
      <c r="E1242" t="s">
        <v>126</v>
      </c>
      <c r="F1242" s="4">
        <v>0.34854680000000005</v>
      </c>
      <c r="G1242" s="4">
        <f>IFERROR(F1242-alt_Blanks!$I$17,F1242)</f>
        <v>1.6593400000000036E-2</v>
      </c>
      <c r="H1242" s="7">
        <f t="shared" si="54"/>
        <v>1.6593400000000036E-2</v>
      </c>
      <c r="I1242" s="7">
        <f t="shared" si="55"/>
        <v>4.0800098352594134E-2</v>
      </c>
    </row>
    <row r="1243" spans="1:9" x14ac:dyDescent="0.35">
      <c r="A1243" t="s">
        <v>127</v>
      </c>
      <c r="B1243" t="s">
        <v>128</v>
      </c>
      <c r="C1243" t="s">
        <v>22</v>
      </c>
      <c r="D1243" t="s">
        <v>155</v>
      </c>
      <c r="E1243" t="s">
        <v>126</v>
      </c>
      <c r="F1243" s="4">
        <v>112.635541</v>
      </c>
      <c r="G1243" s="4">
        <f>IFERROR(F1243-alt_Blanks!$I$18,F1243)</f>
        <v>106.6320814</v>
      </c>
      <c r="H1243" s="7">
        <f t="shared" si="54"/>
        <v>106.6320814</v>
      </c>
      <c r="I1243" s="7">
        <f t="shared" si="55"/>
        <v>262.18854536513402</v>
      </c>
    </row>
    <row r="1244" spans="1:9" x14ac:dyDescent="0.35">
      <c r="A1244" t="s">
        <v>127</v>
      </c>
      <c r="B1244" t="s">
        <v>128</v>
      </c>
      <c r="C1244" t="s">
        <v>23</v>
      </c>
      <c r="D1244" t="s">
        <v>155</v>
      </c>
      <c r="E1244" t="s">
        <v>126</v>
      </c>
      <c r="F1244" s="4">
        <v>0.24932679999999999</v>
      </c>
      <c r="G1244" s="4">
        <f>IFERROR(F1244-alt_Blanks!$I$19,F1244)</f>
        <v>0.24932679999999999</v>
      </c>
      <c r="H1244" s="7">
        <f t="shared" si="54"/>
        <v>0.24932679999999999</v>
      </c>
      <c r="I1244" s="7">
        <f t="shared" si="55"/>
        <v>0.61304843865256942</v>
      </c>
    </row>
    <row r="1245" spans="1:9" x14ac:dyDescent="0.35">
      <c r="A1245" t="s">
        <v>127</v>
      </c>
      <c r="B1245" t="s">
        <v>128</v>
      </c>
      <c r="C1245" t="s">
        <v>24</v>
      </c>
      <c r="D1245" t="s">
        <v>155</v>
      </c>
      <c r="E1245" t="s">
        <v>126</v>
      </c>
      <c r="F1245" s="4">
        <v>81.385994499999995</v>
      </c>
      <c r="G1245" s="4">
        <f>IFERROR(F1245-alt_Blanks!$I$20,F1245)</f>
        <v>79.448019099999996</v>
      </c>
      <c r="H1245" s="7">
        <f t="shared" si="54"/>
        <v>79.448019099999996</v>
      </c>
      <c r="I1245" s="7">
        <f t="shared" si="55"/>
        <v>195.34796926481434</v>
      </c>
    </row>
    <row r="1246" spans="1:9" x14ac:dyDescent="0.35">
      <c r="A1246" t="s">
        <v>127</v>
      </c>
      <c r="B1246" t="s">
        <v>128</v>
      </c>
      <c r="C1246" t="s">
        <v>25</v>
      </c>
      <c r="D1246" t="s">
        <v>155</v>
      </c>
      <c r="E1246" t="s">
        <v>126</v>
      </c>
      <c r="F1246" s="4">
        <v>0.47865540000000001</v>
      </c>
      <c r="G1246" s="4">
        <f>IFERROR(F1246-alt_Blanks!$I$21,F1246)</f>
        <v>0.26414630000000006</v>
      </c>
      <c r="H1246" s="7">
        <f t="shared" si="54"/>
        <v>0.26414630000000006</v>
      </c>
      <c r="I1246" s="7">
        <f t="shared" si="55"/>
        <v>0.64948684534054602</v>
      </c>
    </row>
    <row r="1247" spans="1:9" x14ac:dyDescent="0.35">
      <c r="A1247" t="s">
        <v>127</v>
      </c>
      <c r="B1247" t="s">
        <v>128</v>
      </c>
      <c r="C1247" t="s">
        <v>26</v>
      </c>
      <c r="D1247" t="s">
        <v>153</v>
      </c>
      <c r="E1247" t="s">
        <v>126</v>
      </c>
      <c r="F1247" s="4">
        <v>1.8113054</v>
      </c>
      <c r="G1247" s="4">
        <f>IFERROR(F1247-alt_Blanks!$I$22,F1247)</f>
        <v>0.21658400000000011</v>
      </c>
      <c r="H1247" s="7">
        <f t="shared" si="54"/>
        <v>0.21658400000000011</v>
      </c>
      <c r="I1247" s="7">
        <f t="shared" si="55"/>
        <v>0.53253995574133295</v>
      </c>
    </row>
    <row r="1248" spans="1:9" x14ac:dyDescent="0.35">
      <c r="A1248" t="s">
        <v>127</v>
      </c>
      <c r="B1248" t="s">
        <v>128</v>
      </c>
      <c r="C1248" t="s">
        <v>27</v>
      </c>
      <c r="D1248" t="s">
        <v>154</v>
      </c>
      <c r="E1248" t="s">
        <v>126</v>
      </c>
      <c r="F1248" s="4">
        <v>7.4938226999999999</v>
      </c>
      <c r="G1248" s="4">
        <f>IFERROR(F1248-alt_Blanks!$I$23,F1248)</f>
        <v>7.3730852999999996</v>
      </c>
      <c r="H1248" s="7">
        <f t="shared" si="54"/>
        <v>7.3730852999999996</v>
      </c>
      <c r="I1248" s="7">
        <f t="shared" si="55"/>
        <v>18.129051635111875</v>
      </c>
    </row>
    <row r="1249" spans="1:9" x14ac:dyDescent="0.35">
      <c r="A1249" t="s">
        <v>127</v>
      </c>
      <c r="B1249" t="s">
        <v>128</v>
      </c>
      <c r="C1249" t="s">
        <v>28</v>
      </c>
      <c r="D1249" t="s">
        <v>155</v>
      </c>
      <c r="E1249" t="s">
        <v>126</v>
      </c>
      <c r="F1249" s="4">
        <v>14.9099658</v>
      </c>
      <c r="G1249" s="4">
        <f>IFERROR(F1249-alt_Blanks!$I$24,F1249)</f>
        <v>14.662796200000001</v>
      </c>
      <c r="H1249" s="7">
        <f t="shared" si="54"/>
        <v>14.662796200000001</v>
      </c>
      <c r="I1249" s="7">
        <f t="shared" si="55"/>
        <v>36.053101057290384</v>
      </c>
    </row>
    <row r="1250" spans="1:9" x14ac:dyDescent="0.35">
      <c r="A1250" t="s">
        <v>127</v>
      </c>
      <c r="B1250" t="s">
        <v>128</v>
      </c>
      <c r="C1250" t="s">
        <v>29</v>
      </c>
      <c r="D1250" t="s">
        <v>155</v>
      </c>
      <c r="E1250" t="s">
        <v>126</v>
      </c>
      <c r="F1250" s="4">
        <v>0.43153140000000001</v>
      </c>
      <c r="G1250" s="4">
        <f>IFERROR(F1250-alt_Blanks!$I$25,F1250)</f>
        <v>-4.0709399999999951E-2</v>
      </c>
      <c r="H1250" s="7">
        <f t="shared" si="54"/>
        <v>0</v>
      </c>
      <c r="I1250" s="7">
        <f t="shared" si="55"/>
        <v>0</v>
      </c>
    </row>
    <row r="1251" spans="1:9" x14ac:dyDescent="0.35">
      <c r="A1251" t="s">
        <v>127</v>
      </c>
      <c r="B1251" t="s">
        <v>128</v>
      </c>
      <c r="C1251" t="s">
        <v>30</v>
      </c>
      <c r="D1251" t="s">
        <v>155</v>
      </c>
      <c r="E1251" t="s">
        <v>126</v>
      </c>
      <c r="F1251" s="4">
        <v>114.3989926</v>
      </c>
      <c r="G1251" s="4">
        <f>IFERROR(F1251-alt_Blanks!$I$26,F1251)</f>
        <v>113.81881629999999</v>
      </c>
      <c r="H1251" s="7">
        <f t="shared" si="54"/>
        <v>113.81881629999999</v>
      </c>
      <c r="I1251" s="7">
        <f t="shared" si="55"/>
        <v>279.85939586919102</v>
      </c>
    </row>
    <row r="1252" spans="1:9" x14ac:dyDescent="0.35">
      <c r="A1252" t="s">
        <v>127</v>
      </c>
      <c r="B1252" t="s">
        <v>128</v>
      </c>
      <c r="C1252" t="s">
        <v>31</v>
      </c>
      <c r="D1252" t="s">
        <v>155</v>
      </c>
      <c r="E1252" t="s">
        <v>126</v>
      </c>
      <c r="F1252" s="4" t="e">
        <v>#N/A</v>
      </c>
      <c r="G1252" s="4" t="e">
        <f>IFERROR(F1252-alt_Blanks!$I$27,F1252)</f>
        <v>#N/A</v>
      </c>
      <c r="H1252" s="7" t="e">
        <f t="shared" si="54"/>
        <v>#N/A</v>
      </c>
      <c r="I1252" s="7" t="e">
        <f t="shared" si="55"/>
        <v>#N/A</v>
      </c>
    </row>
    <row r="1253" spans="1:9" x14ac:dyDescent="0.35">
      <c r="A1253" t="s">
        <v>127</v>
      </c>
      <c r="B1253" t="s">
        <v>128</v>
      </c>
      <c r="C1253" t="s">
        <v>32</v>
      </c>
      <c r="D1253" t="s">
        <v>153</v>
      </c>
      <c r="E1253" t="s">
        <v>126</v>
      </c>
      <c r="F1253" s="4">
        <v>0</v>
      </c>
      <c r="G1253" s="4">
        <f>IFERROR(F1253-alt_Blanks!$I$28,F1253)</f>
        <v>0</v>
      </c>
      <c r="H1253" s="7">
        <f t="shared" si="54"/>
        <v>0</v>
      </c>
      <c r="I1253" s="7">
        <f t="shared" si="55"/>
        <v>0</v>
      </c>
    </row>
    <row r="1254" spans="1:9" x14ac:dyDescent="0.35">
      <c r="A1254" t="s">
        <v>127</v>
      </c>
      <c r="B1254" t="s">
        <v>128</v>
      </c>
      <c r="C1254" t="s">
        <v>33</v>
      </c>
      <c r="D1254" t="s">
        <v>155</v>
      </c>
      <c r="E1254" t="s">
        <v>126</v>
      </c>
      <c r="F1254" s="4">
        <v>102.3994093</v>
      </c>
      <c r="G1254" s="4">
        <f>IFERROR(F1254-alt_Blanks!$I$29,F1254)</f>
        <v>101.7877883</v>
      </c>
      <c r="H1254" s="7">
        <f t="shared" si="54"/>
        <v>101.7877883</v>
      </c>
      <c r="I1254" s="7">
        <f t="shared" si="55"/>
        <v>250.27732554708632</v>
      </c>
    </row>
    <row r="1255" spans="1:9" x14ac:dyDescent="0.35">
      <c r="A1255" t="s">
        <v>127</v>
      </c>
      <c r="B1255" t="s">
        <v>128</v>
      </c>
      <c r="C1255" t="s">
        <v>34</v>
      </c>
      <c r="D1255" t="s">
        <v>153</v>
      </c>
      <c r="E1255" t="s">
        <v>126</v>
      </c>
      <c r="F1255" s="4">
        <v>0</v>
      </c>
      <c r="G1255" s="4">
        <f>IFERROR(F1255-alt_Blanks!$I$30,F1255)</f>
        <v>0</v>
      </c>
      <c r="H1255" s="7">
        <f t="shared" si="54"/>
        <v>0</v>
      </c>
      <c r="I1255" s="7">
        <f t="shared" si="55"/>
        <v>0</v>
      </c>
    </row>
    <row r="1256" spans="1:9" x14ac:dyDescent="0.35">
      <c r="A1256" t="s">
        <v>127</v>
      </c>
      <c r="B1256" t="s">
        <v>128</v>
      </c>
      <c r="C1256" t="s">
        <v>35</v>
      </c>
      <c r="D1256" t="s">
        <v>154</v>
      </c>
      <c r="E1256" t="s">
        <v>126</v>
      </c>
      <c r="F1256" s="4">
        <v>109.0391614</v>
      </c>
      <c r="G1256" s="4">
        <f>IFERROR(F1256-alt_Blanks!$I$31,F1256)</f>
        <v>6.5845278000000036</v>
      </c>
      <c r="H1256" s="7">
        <f t="shared" si="54"/>
        <v>6.5845278000000036</v>
      </c>
      <c r="I1256" s="7">
        <f t="shared" si="55"/>
        <v>16.190134743053857</v>
      </c>
    </row>
    <row r="1257" spans="1:9" x14ac:dyDescent="0.35">
      <c r="A1257" t="s">
        <v>127</v>
      </c>
      <c r="B1257" t="s">
        <v>128</v>
      </c>
      <c r="C1257" t="s">
        <v>36</v>
      </c>
      <c r="D1257" t="s">
        <v>155</v>
      </c>
      <c r="E1257" t="s">
        <v>126</v>
      </c>
      <c r="F1257" s="4">
        <v>1.9337981</v>
      </c>
      <c r="G1257" s="4">
        <f>IFERROR(F1257-alt_Blanks!$I$32,F1257)</f>
        <v>6.2295999999999463E-3</v>
      </c>
      <c r="H1257" s="7">
        <f t="shared" si="54"/>
        <v>6.2295999999999463E-3</v>
      </c>
      <c r="I1257" s="7">
        <f t="shared" si="55"/>
        <v>1.5317432997295171E-2</v>
      </c>
    </row>
    <row r="1258" spans="1:9" x14ac:dyDescent="0.35">
      <c r="A1258" t="s">
        <v>127</v>
      </c>
      <c r="B1258" t="s">
        <v>128</v>
      </c>
      <c r="C1258" t="s">
        <v>37</v>
      </c>
      <c r="D1258" t="s">
        <v>155</v>
      </c>
      <c r="E1258" t="s">
        <v>126</v>
      </c>
      <c r="F1258" s="4">
        <v>2.3408259999999999</v>
      </c>
      <c r="G1258" s="4">
        <f>IFERROR(F1258-alt_Blanks!$I$33,F1258)</f>
        <v>2.3408259999999999</v>
      </c>
      <c r="H1258" s="7">
        <f t="shared" si="54"/>
        <v>2.3408259999999999</v>
      </c>
      <c r="I1258" s="7">
        <f t="shared" si="55"/>
        <v>5.7556577329727068</v>
      </c>
    </row>
    <row r="1259" spans="1:9" x14ac:dyDescent="0.35">
      <c r="A1259" t="s">
        <v>127</v>
      </c>
      <c r="B1259" t="s">
        <v>128</v>
      </c>
      <c r="C1259" t="s">
        <v>38</v>
      </c>
      <c r="D1259" t="s">
        <v>155</v>
      </c>
      <c r="E1259" t="s">
        <v>126</v>
      </c>
      <c r="F1259" s="4">
        <v>1.0731941999999999</v>
      </c>
      <c r="G1259" s="4">
        <f>IFERROR(F1259-alt_Blanks!$I$34,F1259)</f>
        <v>1.0731941999999999</v>
      </c>
      <c r="H1259" s="7">
        <f t="shared" si="54"/>
        <v>1.0731941999999999</v>
      </c>
      <c r="I1259" s="7">
        <f t="shared" si="55"/>
        <v>2.6387858372264565</v>
      </c>
    </row>
    <row r="1260" spans="1:9" x14ac:dyDescent="0.35">
      <c r="A1260" t="s">
        <v>127</v>
      </c>
      <c r="B1260" t="s">
        <v>128</v>
      </c>
      <c r="C1260" t="s">
        <v>39</v>
      </c>
      <c r="D1260" t="s">
        <v>153</v>
      </c>
      <c r="E1260" t="s">
        <v>126</v>
      </c>
      <c r="F1260" s="4">
        <v>9.0722939</v>
      </c>
      <c r="G1260" s="4">
        <f>IFERROR(F1260-alt_Blanks!$I$35,F1260)</f>
        <v>9.0722939</v>
      </c>
      <c r="H1260" s="7">
        <f t="shared" si="54"/>
        <v>9.0722939</v>
      </c>
      <c r="I1260" s="7">
        <f t="shared" si="55"/>
        <v>22.307090976149496</v>
      </c>
    </row>
    <row r="1261" spans="1:9" x14ac:dyDescent="0.35">
      <c r="A1261" t="s">
        <v>127</v>
      </c>
      <c r="B1261" t="s">
        <v>128</v>
      </c>
      <c r="C1261" t="s">
        <v>40</v>
      </c>
      <c r="D1261" t="s">
        <v>154</v>
      </c>
      <c r="E1261" t="s">
        <v>126</v>
      </c>
      <c r="F1261" s="4">
        <v>0</v>
      </c>
      <c r="G1261" s="4">
        <f>IFERROR(F1261-alt_Blanks!$I$36,F1261)</f>
        <v>0</v>
      </c>
      <c r="H1261" s="7">
        <f t="shared" si="54"/>
        <v>0</v>
      </c>
      <c r="I1261" s="7">
        <f t="shared" si="55"/>
        <v>0</v>
      </c>
    </row>
    <row r="1262" spans="1:9" x14ac:dyDescent="0.35">
      <c r="A1262" t="s">
        <v>129</v>
      </c>
      <c r="B1262" t="s">
        <v>130</v>
      </c>
      <c r="C1262" t="s">
        <v>6</v>
      </c>
      <c r="D1262" t="s">
        <v>153</v>
      </c>
      <c r="E1262" t="s">
        <v>126</v>
      </c>
      <c r="F1262" s="4">
        <v>6.9302637000000002</v>
      </c>
      <c r="G1262" s="4">
        <f>IFERROR(F1262-alt_Blanks!$I$2,F1262)</f>
        <v>0.22372259999999944</v>
      </c>
      <c r="H1262" s="7">
        <f t="shared" si="54"/>
        <v>0.22372259999999944</v>
      </c>
      <c r="I1262" s="7">
        <f>H1262/0.6182</f>
        <v>0.36189356195405931</v>
      </c>
    </row>
    <row r="1263" spans="1:9" x14ac:dyDescent="0.35">
      <c r="A1263" t="s">
        <v>129</v>
      </c>
      <c r="B1263" t="s">
        <v>130</v>
      </c>
      <c r="C1263" t="s">
        <v>7</v>
      </c>
      <c r="D1263" t="s">
        <v>153</v>
      </c>
      <c r="E1263" t="s">
        <v>126</v>
      </c>
      <c r="F1263" s="4">
        <v>0</v>
      </c>
      <c r="G1263" s="4">
        <f>IFERROR(F1263-alt_Blanks!$I$3,F1263)</f>
        <v>0</v>
      </c>
      <c r="H1263" s="7">
        <f t="shared" si="54"/>
        <v>0</v>
      </c>
      <c r="I1263" s="7">
        <f t="shared" ref="I1263:I1296" si="56">H1263/0.6182</f>
        <v>0</v>
      </c>
    </row>
    <row r="1264" spans="1:9" x14ac:dyDescent="0.35">
      <c r="A1264" t="s">
        <v>129</v>
      </c>
      <c r="B1264" t="s">
        <v>130</v>
      </c>
      <c r="C1264" t="s">
        <v>8</v>
      </c>
      <c r="D1264" t="s">
        <v>153</v>
      </c>
      <c r="E1264" t="s">
        <v>126</v>
      </c>
      <c r="F1264" s="4" t="e">
        <v>#N/A</v>
      </c>
      <c r="G1264" s="4" t="e">
        <f>IFERROR(F1264-alt_Blanks!$I$4,F1264)</f>
        <v>#N/A</v>
      </c>
      <c r="H1264" s="7" t="e">
        <f t="shared" si="54"/>
        <v>#N/A</v>
      </c>
      <c r="I1264" s="7" t="e">
        <f t="shared" si="56"/>
        <v>#N/A</v>
      </c>
    </row>
    <row r="1265" spans="1:9" x14ac:dyDescent="0.35">
      <c r="A1265" t="s">
        <v>129</v>
      </c>
      <c r="B1265" t="s">
        <v>130</v>
      </c>
      <c r="C1265" t="s">
        <v>9</v>
      </c>
      <c r="D1265" t="s">
        <v>153</v>
      </c>
      <c r="E1265" t="s">
        <v>126</v>
      </c>
      <c r="F1265" s="4">
        <v>0</v>
      </c>
      <c r="G1265" s="4">
        <f>IFERROR(F1265-alt_Blanks!$I$5,F1265)</f>
        <v>0</v>
      </c>
      <c r="H1265" s="7">
        <f t="shared" si="54"/>
        <v>0</v>
      </c>
      <c r="I1265" s="7">
        <f t="shared" si="56"/>
        <v>0</v>
      </c>
    </row>
    <row r="1266" spans="1:9" x14ac:dyDescent="0.35">
      <c r="A1266" t="s">
        <v>129</v>
      </c>
      <c r="B1266" t="s">
        <v>130</v>
      </c>
      <c r="C1266" t="s">
        <v>10</v>
      </c>
      <c r="D1266" t="s">
        <v>153</v>
      </c>
      <c r="E1266" t="s">
        <v>126</v>
      </c>
      <c r="F1266" s="4">
        <v>58.130237000000001</v>
      </c>
      <c r="G1266" s="4">
        <f>IFERROR(F1266-alt_Blanks!$I$6,F1266)</f>
        <v>58.130237000000001</v>
      </c>
      <c r="H1266" s="7">
        <f t="shared" si="54"/>
        <v>58.130237000000001</v>
      </c>
      <c r="I1266" s="7">
        <f t="shared" si="56"/>
        <v>94.031441281138797</v>
      </c>
    </row>
    <row r="1267" spans="1:9" x14ac:dyDescent="0.35">
      <c r="A1267" t="s">
        <v>129</v>
      </c>
      <c r="B1267" t="s">
        <v>130</v>
      </c>
      <c r="C1267" t="s">
        <v>11</v>
      </c>
      <c r="D1267" t="s">
        <v>153</v>
      </c>
      <c r="E1267" t="s">
        <v>126</v>
      </c>
      <c r="F1267" s="4">
        <v>66.694819499999994</v>
      </c>
      <c r="G1267" s="4">
        <f>IFERROR(F1267-alt_Blanks!$I$7,F1267)</f>
        <v>66.694819499999994</v>
      </c>
      <c r="H1267" s="7">
        <f t="shared" si="54"/>
        <v>66.694819499999994</v>
      </c>
      <c r="I1267" s="7">
        <f t="shared" si="56"/>
        <v>107.88550549983823</v>
      </c>
    </row>
    <row r="1268" spans="1:9" x14ac:dyDescent="0.35">
      <c r="A1268" t="s">
        <v>129</v>
      </c>
      <c r="B1268" t="s">
        <v>130</v>
      </c>
      <c r="C1268" t="s">
        <v>12</v>
      </c>
      <c r="D1268" t="s">
        <v>154</v>
      </c>
      <c r="E1268" t="s">
        <v>126</v>
      </c>
      <c r="F1268" s="4">
        <v>0</v>
      </c>
      <c r="G1268" s="4">
        <f>IFERROR(F1268-alt_Blanks!$I$8,F1268)</f>
        <v>0</v>
      </c>
      <c r="H1268" s="7">
        <f t="shared" si="54"/>
        <v>0</v>
      </c>
      <c r="I1268" s="7">
        <f t="shared" si="56"/>
        <v>0</v>
      </c>
    </row>
    <row r="1269" spans="1:9" x14ac:dyDescent="0.35">
      <c r="A1269" t="s">
        <v>129</v>
      </c>
      <c r="B1269" t="s">
        <v>130</v>
      </c>
      <c r="C1269" t="s">
        <v>13</v>
      </c>
      <c r="D1269" t="s">
        <v>153</v>
      </c>
      <c r="E1269" t="s">
        <v>126</v>
      </c>
      <c r="F1269" s="4">
        <v>12.7353331</v>
      </c>
      <c r="G1269" s="4">
        <f>IFERROR(F1269-alt_Blanks!$I$9,F1269)</f>
        <v>12.7353331</v>
      </c>
      <c r="H1269" s="7">
        <f t="shared" si="54"/>
        <v>12.7353331</v>
      </c>
      <c r="I1269" s="7">
        <f t="shared" si="56"/>
        <v>20.600668230346166</v>
      </c>
    </row>
    <row r="1270" spans="1:9" x14ac:dyDescent="0.35">
      <c r="A1270" t="s">
        <v>129</v>
      </c>
      <c r="B1270" t="s">
        <v>130</v>
      </c>
      <c r="C1270" t="s">
        <v>14</v>
      </c>
      <c r="D1270" t="s">
        <v>154</v>
      </c>
      <c r="E1270" t="s">
        <v>126</v>
      </c>
      <c r="F1270" s="4">
        <v>0</v>
      </c>
      <c r="G1270" s="4">
        <f>IFERROR(F1270-alt_Blanks!$I$10,F1270)</f>
        <v>0</v>
      </c>
      <c r="H1270" s="7">
        <f t="shared" si="54"/>
        <v>0</v>
      </c>
      <c r="I1270" s="7">
        <f t="shared" si="56"/>
        <v>0</v>
      </c>
    </row>
    <row r="1271" spans="1:9" x14ac:dyDescent="0.35">
      <c r="A1271" t="s">
        <v>129</v>
      </c>
      <c r="B1271" t="s">
        <v>130</v>
      </c>
      <c r="C1271" t="s">
        <v>15</v>
      </c>
      <c r="D1271" t="s">
        <v>153</v>
      </c>
      <c r="E1271" t="s">
        <v>126</v>
      </c>
      <c r="F1271" s="4">
        <v>2400.2797278999997</v>
      </c>
      <c r="G1271" s="4">
        <f>IFERROR(F1271-alt_Blanks!$I$11,F1271)</f>
        <v>1595.0630381999997</v>
      </c>
      <c r="H1271" s="7">
        <f t="shared" si="54"/>
        <v>1595.0630381999997</v>
      </c>
      <c r="I1271" s="7">
        <f t="shared" si="56"/>
        <v>2580.1731449369131</v>
      </c>
    </row>
    <row r="1272" spans="1:9" x14ac:dyDescent="0.35">
      <c r="A1272" t="s">
        <v>129</v>
      </c>
      <c r="B1272" t="s">
        <v>130</v>
      </c>
      <c r="C1272" t="s">
        <v>16</v>
      </c>
      <c r="D1272" t="s">
        <v>154</v>
      </c>
      <c r="E1272" t="s">
        <v>126</v>
      </c>
      <c r="F1272" s="4">
        <v>235.98604349999999</v>
      </c>
      <c r="G1272" s="4">
        <f>IFERROR(F1272-alt_Blanks!$I$12,F1272)</f>
        <v>235.98604349999999</v>
      </c>
      <c r="H1272" s="7">
        <f t="shared" si="54"/>
        <v>235.98604349999999</v>
      </c>
      <c r="I1272" s="7">
        <f t="shared" si="56"/>
        <v>381.73090181171142</v>
      </c>
    </row>
    <row r="1273" spans="1:9" x14ac:dyDescent="0.35">
      <c r="A1273" t="s">
        <v>129</v>
      </c>
      <c r="B1273" t="s">
        <v>130</v>
      </c>
      <c r="C1273" t="s">
        <v>17</v>
      </c>
      <c r="D1273" t="s">
        <v>153</v>
      </c>
      <c r="E1273" t="s">
        <v>126</v>
      </c>
      <c r="F1273" s="4">
        <v>19.930199200000001</v>
      </c>
      <c r="G1273" s="4">
        <f>IFERROR(F1273-alt_Blanks!$I$13,F1273)</f>
        <v>19.0774857</v>
      </c>
      <c r="H1273" s="7">
        <f t="shared" si="54"/>
        <v>19.0774857</v>
      </c>
      <c r="I1273" s="7">
        <f t="shared" si="56"/>
        <v>30.859730993206085</v>
      </c>
    </row>
    <row r="1274" spans="1:9" x14ac:dyDescent="0.35">
      <c r="A1274" t="s">
        <v>129</v>
      </c>
      <c r="B1274" t="s">
        <v>130</v>
      </c>
      <c r="C1274" t="s">
        <v>18</v>
      </c>
      <c r="D1274" t="s">
        <v>154</v>
      </c>
      <c r="E1274" t="s">
        <v>126</v>
      </c>
      <c r="F1274" s="4">
        <v>0</v>
      </c>
      <c r="G1274" s="4">
        <f>IFERROR(F1274-alt_Blanks!$I$14,F1274)</f>
        <v>0</v>
      </c>
      <c r="H1274" s="7">
        <f t="shared" si="54"/>
        <v>0</v>
      </c>
      <c r="I1274" s="7">
        <f t="shared" si="56"/>
        <v>0</v>
      </c>
    </row>
    <row r="1275" spans="1:9" x14ac:dyDescent="0.35">
      <c r="A1275" t="s">
        <v>129</v>
      </c>
      <c r="B1275" t="s">
        <v>130</v>
      </c>
      <c r="C1275" t="s">
        <v>19</v>
      </c>
      <c r="D1275" t="s">
        <v>153</v>
      </c>
      <c r="E1275" t="s">
        <v>126</v>
      </c>
      <c r="F1275" s="4">
        <v>508.78927429999999</v>
      </c>
      <c r="G1275" s="4">
        <f>IFERROR(F1275-alt_Blanks!$I$15,F1275)</f>
        <v>240.16587720000001</v>
      </c>
      <c r="H1275" s="7">
        <f t="shared" si="54"/>
        <v>240.16587720000001</v>
      </c>
      <c r="I1275" s="7">
        <f t="shared" si="56"/>
        <v>388.49219864121648</v>
      </c>
    </row>
    <row r="1276" spans="1:9" x14ac:dyDescent="0.35">
      <c r="A1276" t="s">
        <v>129</v>
      </c>
      <c r="B1276" t="s">
        <v>130</v>
      </c>
      <c r="C1276" t="s">
        <v>20</v>
      </c>
      <c r="D1276" t="s">
        <v>154</v>
      </c>
      <c r="E1276" t="s">
        <v>126</v>
      </c>
      <c r="F1276" s="4">
        <v>398.91752480000002</v>
      </c>
      <c r="G1276" s="4">
        <f>IFERROR(F1276-alt_Blanks!$I$16,F1276)</f>
        <v>380.45161160000004</v>
      </c>
      <c r="H1276" s="7">
        <f t="shared" si="54"/>
        <v>380.45161160000004</v>
      </c>
      <c r="I1276" s="7">
        <f t="shared" si="56"/>
        <v>615.41832999029452</v>
      </c>
    </row>
    <row r="1277" spans="1:9" x14ac:dyDescent="0.35">
      <c r="A1277" t="s">
        <v>129</v>
      </c>
      <c r="B1277" t="s">
        <v>130</v>
      </c>
      <c r="C1277" t="s">
        <v>21</v>
      </c>
      <c r="D1277" t="s">
        <v>155</v>
      </c>
      <c r="E1277" t="s">
        <v>126</v>
      </c>
      <c r="F1277" s="4">
        <v>0.34857530000000003</v>
      </c>
      <c r="G1277" s="4">
        <f>IFERROR(F1277-alt_Blanks!$I$17,F1277)</f>
        <v>1.6621900000000023E-2</v>
      </c>
      <c r="H1277" s="7">
        <f t="shared" si="54"/>
        <v>1.6621900000000023E-2</v>
      </c>
      <c r="I1277" s="7">
        <f t="shared" si="56"/>
        <v>2.6887576835975452E-2</v>
      </c>
    </row>
    <row r="1278" spans="1:9" x14ac:dyDescent="0.35">
      <c r="A1278" t="s">
        <v>129</v>
      </c>
      <c r="B1278" t="s">
        <v>130</v>
      </c>
      <c r="C1278" t="s">
        <v>22</v>
      </c>
      <c r="D1278" t="s">
        <v>155</v>
      </c>
      <c r="E1278" t="s">
        <v>126</v>
      </c>
      <c r="F1278" s="4">
        <v>201.41716920000002</v>
      </c>
      <c r="G1278" s="4">
        <f>IFERROR(F1278-alt_Blanks!$I$18,F1278)</f>
        <v>195.4137096</v>
      </c>
      <c r="H1278" s="7">
        <f t="shared" si="54"/>
        <v>195.4137096</v>
      </c>
      <c r="I1278" s="7">
        <f t="shared" si="56"/>
        <v>316.10111549660309</v>
      </c>
    </row>
    <row r="1279" spans="1:9" x14ac:dyDescent="0.35">
      <c r="A1279" t="s">
        <v>129</v>
      </c>
      <c r="B1279" t="s">
        <v>130</v>
      </c>
      <c r="C1279" t="s">
        <v>23</v>
      </c>
      <c r="D1279" t="s">
        <v>155</v>
      </c>
      <c r="E1279" t="s">
        <v>126</v>
      </c>
      <c r="F1279" s="4" t="e">
        <v>#N/A</v>
      </c>
      <c r="G1279" s="4" t="e">
        <f>IFERROR(F1279-alt_Blanks!$I$19,F1279)</f>
        <v>#N/A</v>
      </c>
      <c r="H1279" s="7" t="e">
        <f t="shared" si="54"/>
        <v>#N/A</v>
      </c>
      <c r="I1279" s="7" t="e">
        <f t="shared" si="56"/>
        <v>#N/A</v>
      </c>
    </row>
    <row r="1280" spans="1:9" x14ac:dyDescent="0.35">
      <c r="A1280" t="s">
        <v>129</v>
      </c>
      <c r="B1280" t="s">
        <v>130</v>
      </c>
      <c r="C1280" t="s">
        <v>24</v>
      </c>
      <c r="D1280" t="s">
        <v>155</v>
      </c>
      <c r="E1280" t="s">
        <v>126</v>
      </c>
      <c r="F1280" s="4">
        <v>177.0767367</v>
      </c>
      <c r="G1280" s="4">
        <f>IFERROR(F1280-alt_Blanks!$I$20,F1280)</f>
        <v>175.1387613</v>
      </c>
      <c r="H1280" s="7">
        <f t="shared" si="54"/>
        <v>175.1387613</v>
      </c>
      <c r="I1280" s="7">
        <f t="shared" si="56"/>
        <v>283.30436962148173</v>
      </c>
    </row>
    <row r="1281" spans="1:9" x14ac:dyDescent="0.35">
      <c r="A1281" t="s">
        <v>129</v>
      </c>
      <c r="B1281" t="s">
        <v>130</v>
      </c>
      <c r="C1281" t="s">
        <v>25</v>
      </c>
      <c r="D1281" t="s">
        <v>155</v>
      </c>
      <c r="E1281" t="s">
        <v>126</v>
      </c>
      <c r="F1281" s="4">
        <v>9.7597837999999992</v>
      </c>
      <c r="G1281" s="4">
        <f>IFERROR(F1281-alt_Blanks!$I$21,F1281)</f>
        <v>9.5452746999999984</v>
      </c>
      <c r="H1281" s="7">
        <f t="shared" si="54"/>
        <v>9.5452746999999984</v>
      </c>
      <c r="I1281" s="7">
        <f t="shared" si="56"/>
        <v>15.440431413781946</v>
      </c>
    </row>
    <row r="1282" spans="1:9" x14ac:dyDescent="0.35">
      <c r="A1282" t="s">
        <v>129</v>
      </c>
      <c r="B1282" t="s">
        <v>130</v>
      </c>
      <c r="C1282" t="s">
        <v>26</v>
      </c>
      <c r="D1282" t="s">
        <v>153</v>
      </c>
      <c r="E1282" t="s">
        <v>126</v>
      </c>
      <c r="F1282" s="4">
        <v>6.3919606999999994</v>
      </c>
      <c r="G1282" s="4">
        <f>IFERROR(F1282-alt_Blanks!$I$22,F1282)</f>
        <v>4.7972392999999993</v>
      </c>
      <c r="H1282" s="7">
        <f t="shared" si="54"/>
        <v>4.7972392999999993</v>
      </c>
      <c r="I1282" s="7">
        <f t="shared" si="56"/>
        <v>7.7600118084762206</v>
      </c>
    </row>
    <row r="1283" spans="1:9" x14ac:dyDescent="0.35">
      <c r="A1283" t="s">
        <v>129</v>
      </c>
      <c r="B1283" t="s">
        <v>130</v>
      </c>
      <c r="C1283" t="s">
        <v>27</v>
      </c>
      <c r="D1283" t="s">
        <v>154</v>
      </c>
      <c r="E1283" t="s">
        <v>126</v>
      </c>
      <c r="F1283" s="4">
        <v>8.7549446</v>
      </c>
      <c r="G1283" s="4">
        <f>IFERROR(F1283-alt_Blanks!$I$23,F1283)</f>
        <v>8.6342072000000005</v>
      </c>
      <c r="H1283" s="7">
        <f t="shared" si="54"/>
        <v>8.6342072000000005</v>
      </c>
      <c r="I1283" s="7">
        <f t="shared" si="56"/>
        <v>13.96668909737949</v>
      </c>
    </row>
    <row r="1284" spans="1:9" x14ac:dyDescent="0.35">
      <c r="A1284" t="s">
        <v>129</v>
      </c>
      <c r="B1284" t="s">
        <v>130</v>
      </c>
      <c r="C1284" t="s">
        <v>28</v>
      </c>
      <c r="D1284" t="s">
        <v>155</v>
      </c>
      <c r="E1284" t="s">
        <v>126</v>
      </c>
      <c r="F1284" s="4">
        <v>26.735094799999999</v>
      </c>
      <c r="G1284" s="4">
        <f>IFERROR(F1284-alt_Blanks!$I$24,F1284)</f>
        <v>26.487925199999999</v>
      </c>
      <c r="H1284" s="7">
        <f t="shared" si="54"/>
        <v>26.487925199999999</v>
      </c>
      <c r="I1284" s="7">
        <f t="shared" si="56"/>
        <v>42.846854092526691</v>
      </c>
    </row>
    <row r="1285" spans="1:9" x14ac:dyDescent="0.35">
      <c r="A1285" t="s">
        <v>129</v>
      </c>
      <c r="B1285" t="s">
        <v>130</v>
      </c>
      <c r="C1285" t="s">
        <v>29</v>
      </c>
      <c r="D1285" t="s">
        <v>155</v>
      </c>
      <c r="E1285" t="s">
        <v>126</v>
      </c>
      <c r="F1285" s="4" t="e">
        <v>#N/A</v>
      </c>
      <c r="G1285" s="4" t="e">
        <f>IFERROR(F1285-alt_Blanks!$I$25,F1285)</f>
        <v>#N/A</v>
      </c>
      <c r="H1285" s="7" t="e">
        <f t="shared" si="54"/>
        <v>#N/A</v>
      </c>
      <c r="I1285" s="7" t="e">
        <f t="shared" si="56"/>
        <v>#N/A</v>
      </c>
    </row>
    <row r="1286" spans="1:9" x14ac:dyDescent="0.35">
      <c r="A1286" t="s">
        <v>129</v>
      </c>
      <c r="B1286" t="s">
        <v>130</v>
      </c>
      <c r="C1286" t="s">
        <v>30</v>
      </c>
      <c r="D1286" t="s">
        <v>155</v>
      </c>
      <c r="E1286" t="s">
        <v>126</v>
      </c>
      <c r="F1286" s="4">
        <v>201.34779139999998</v>
      </c>
      <c r="G1286" s="4">
        <f>IFERROR(F1286-alt_Blanks!$I$26,F1286)</f>
        <v>200.76761509999997</v>
      </c>
      <c r="H1286" s="7">
        <f t="shared" ref="H1286:H1349" si="57">IF(G1286&lt;0,0,G1286)</f>
        <v>200.76761509999997</v>
      </c>
      <c r="I1286" s="7">
        <f t="shared" si="56"/>
        <v>324.76159026205107</v>
      </c>
    </row>
    <row r="1287" spans="1:9" x14ac:dyDescent="0.35">
      <c r="A1287" t="s">
        <v>129</v>
      </c>
      <c r="B1287" t="s">
        <v>130</v>
      </c>
      <c r="C1287" t="s">
        <v>31</v>
      </c>
      <c r="D1287" t="s">
        <v>155</v>
      </c>
      <c r="E1287" t="s">
        <v>126</v>
      </c>
      <c r="F1287" s="4" t="e">
        <v>#N/A</v>
      </c>
      <c r="G1287" s="4" t="e">
        <f>IFERROR(F1287-alt_Blanks!$I$27,F1287)</f>
        <v>#N/A</v>
      </c>
      <c r="H1287" s="7" t="e">
        <f t="shared" si="57"/>
        <v>#N/A</v>
      </c>
      <c r="I1287" s="7" t="e">
        <f t="shared" si="56"/>
        <v>#N/A</v>
      </c>
    </row>
    <row r="1288" spans="1:9" x14ac:dyDescent="0.35">
      <c r="A1288" t="s">
        <v>129</v>
      </c>
      <c r="B1288" t="s">
        <v>130</v>
      </c>
      <c r="C1288" t="s">
        <v>32</v>
      </c>
      <c r="D1288" t="s">
        <v>153</v>
      </c>
      <c r="E1288" t="s">
        <v>126</v>
      </c>
      <c r="F1288" s="4">
        <v>0</v>
      </c>
      <c r="G1288" s="4">
        <f>IFERROR(F1288-alt_Blanks!$I$28,F1288)</f>
        <v>0</v>
      </c>
      <c r="H1288" s="7">
        <f t="shared" si="57"/>
        <v>0</v>
      </c>
      <c r="I1288" s="7">
        <f t="shared" si="56"/>
        <v>0</v>
      </c>
    </row>
    <row r="1289" spans="1:9" x14ac:dyDescent="0.35">
      <c r="A1289" t="s">
        <v>129</v>
      </c>
      <c r="B1289" t="s">
        <v>130</v>
      </c>
      <c r="C1289" t="s">
        <v>33</v>
      </c>
      <c r="D1289" t="s">
        <v>155</v>
      </c>
      <c r="E1289" t="s">
        <v>126</v>
      </c>
      <c r="F1289" s="4">
        <v>178.7790397</v>
      </c>
      <c r="G1289" s="4">
        <f>IFERROR(F1289-alt_Blanks!$I$29,F1289)</f>
        <v>178.16741869999998</v>
      </c>
      <c r="H1289" s="7">
        <f t="shared" si="57"/>
        <v>178.16741869999998</v>
      </c>
      <c r="I1289" s="7">
        <f t="shared" si="56"/>
        <v>288.20352426399222</v>
      </c>
    </row>
    <row r="1290" spans="1:9" x14ac:dyDescent="0.35">
      <c r="A1290" t="s">
        <v>129</v>
      </c>
      <c r="B1290" t="s">
        <v>130</v>
      </c>
      <c r="C1290" t="s">
        <v>34</v>
      </c>
      <c r="D1290" t="s">
        <v>153</v>
      </c>
      <c r="E1290" t="s">
        <v>126</v>
      </c>
      <c r="F1290" s="4">
        <v>0</v>
      </c>
      <c r="G1290" s="4">
        <f>IFERROR(F1290-alt_Blanks!$I$30,F1290)</f>
        <v>0</v>
      </c>
      <c r="H1290" s="7">
        <f t="shared" si="57"/>
        <v>0</v>
      </c>
      <c r="I1290" s="7">
        <f t="shared" si="56"/>
        <v>0</v>
      </c>
    </row>
    <row r="1291" spans="1:9" x14ac:dyDescent="0.35">
      <c r="A1291" t="s">
        <v>129</v>
      </c>
      <c r="B1291" t="s">
        <v>130</v>
      </c>
      <c r="C1291" t="s">
        <v>35</v>
      </c>
      <c r="D1291" t="s">
        <v>154</v>
      </c>
      <c r="E1291" t="s">
        <v>126</v>
      </c>
      <c r="F1291" s="4">
        <v>122.6897874</v>
      </c>
      <c r="G1291" s="4">
        <f>IFERROR(F1291-alt_Blanks!$I$31,F1291)</f>
        <v>20.235153800000006</v>
      </c>
      <c r="H1291" s="7">
        <f t="shared" si="57"/>
        <v>20.235153800000006</v>
      </c>
      <c r="I1291" s="7">
        <f t="shared" si="56"/>
        <v>32.732374312520228</v>
      </c>
    </row>
    <row r="1292" spans="1:9" x14ac:dyDescent="0.35">
      <c r="A1292" t="s">
        <v>129</v>
      </c>
      <c r="B1292" t="s">
        <v>130</v>
      </c>
      <c r="C1292" t="s">
        <v>36</v>
      </c>
      <c r="D1292" t="s">
        <v>155</v>
      </c>
      <c r="E1292" t="s">
        <v>126</v>
      </c>
      <c r="F1292" s="4">
        <v>1.9588975</v>
      </c>
      <c r="G1292" s="4">
        <f>IFERROR(F1292-alt_Blanks!$I$32,F1292)</f>
        <v>3.132899999999994E-2</v>
      </c>
      <c r="H1292" s="7">
        <f t="shared" si="57"/>
        <v>3.132899999999994E-2</v>
      </c>
      <c r="I1292" s="7">
        <f t="shared" si="56"/>
        <v>5.0677774183112166E-2</v>
      </c>
    </row>
    <row r="1293" spans="1:9" x14ac:dyDescent="0.35">
      <c r="A1293" t="s">
        <v>129</v>
      </c>
      <c r="B1293" t="s">
        <v>130</v>
      </c>
      <c r="C1293" t="s">
        <v>37</v>
      </c>
      <c r="D1293" t="s">
        <v>155</v>
      </c>
      <c r="E1293" t="s">
        <v>126</v>
      </c>
      <c r="F1293" s="4">
        <v>5.0671295000000001</v>
      </c>
      <c r="G1293" s="4">
        <f>IFERROR(F1293-alt_Blanks!$I$33,F1293)</f>
        <v>5.0671295000000001</v>
      </c>
      <c r="H1293" s="7">
        <f t="shared" si="57"/>
        <v>5.0671295000000001</v>
      </c>
      <c r="I1293" s="7">
        <f t="shared" si="56"/>
        <v>8.1965860562924622</v>
      </c>
    </row>
    <row r="1294" spans="1:9" x14ac:dyDescent="0.35">
      <c r="A1294" t="s">
        <v>129</v>
      </c>
      <c r="B1294" t="s">
        <v>130</v>
      </c>
      <c r="C1294" t="s">
        <v>38</v>
      </c>
      <c r="D1294" t="s">
        <v>155</v>
      </c>
      <c r="E1294" t="s">
        <v>126</v>
      </c>
      <c r="F1294" s="4">
        <v>4.9528833000000008</v>
      </c>
      <c r="G1294" s="4">
        <f>IFERROR(F1294-alt_Blanks!$I$34,F1294)</f>
        <v>4.9528833000000008</v>
      </c>
      <c r="H1294" s="7">
        <f t="shared" si="57"/>
        <v>4.9528833000000008</v>
      </c>
      <c r="I1294" s="7">
        <f t="shared" si="56"/>
        <v>8.0117814623099335</v>
      </c>
    </row>
    <row r="1295" spans="1:9" x14ac:dyDescent="0.35">
      <c r="A1295" t="s">
        <v>129</v>
      </c>
      <c r="B1295" t="s">
        <v>130</v>
      </c>
      <c r="C1295" t="s">
        <v>39</v>
      </c>
      <c r="D1295" t="s">
        <v>153</v>
      </c>
      <c r="E1295" t="s">
        <v>126</v>
      </c>
      <c r="F1295" s="4">
        <v>13.239547</v>
      </c>
      <c r="G1295" s="4">
        <f>IFERROR(F1295-alt_Blanks!$I$35,F1295)</f>
        <v>13.239547</v>
      </c>
      <c r="H1295" s="7">
        <f t="shared" si="57"/>
        <v>13.239547</v>
      </c>
      <c r="I1295" s="7">
        <f t="shared" si="56"/>
        <v>21.416284373989001</v>
      </c>
    </row>
    <row r="1296" spans="1:9" x14ac:dyDescent="0.35">
      <c r="A1296" t="s">
        <v>129</v>
      </c>
      <c r="B1296" t="s">
        <v>130</v>
      </c>
      <c r="C1296" t="s">
        <v>40</v>
      </c>
      <c r="D1296" t="s">
        <v>154</v>
      </c>
      <c r="E1296" t="s">
        <v>126</v>
      </c>
      <c r="F1296" s="4">
        <v>0</v>
      </c>
      <c r="G1296" s="4">
        <f>IFERROR(F1296-alt_Blanks!$I$36,F1296)</f>
        <v>0</v>
      </c>
      <c r="H1296" s="7">
        <f t="shared" si="57"/>
        <v>0</v>
      </c>
      <c r="I1296" s="7">
        <f t="shared" si="56"/>
        <v>0</v>
      </c>
    </row>
    <row r="1297" spans="1:9" x14ac:dyDescent="0.35">
      <c r="A1297" t="s">
        <v>131</v>
      </c>
      <c r="B1297" t="s">
        <v>132</v>
      </c>
      <c r="C1297" t="s">
        <v>6</v>
      </c>
      <c r="D1297" t="s">
        <v>153</v>
      </c>
      <c r="E1297" t="s">
        <v>126</v>
      </c>
      <c r="F1297" s="4">
        <v>7.0599457000000001</v>
      </c>
      <c r="G1297" s="4">
        <f>IFERROR(F1297-alt_Blanks!$I$2,F1297)</f>
        <v>0.35340459999999929</v>
      </c>
      <c r="H1297" s="7">
        <f t="shared" si="57"/>
        <v>0.35340459999999929</v>
      </c>
      <c r="I1297" s="7">
        <f>H1297/0.5169</f>
        <v>0.68370013542271091</v>
      </c>
    </row>
    <row r="1298" spans="1:9" x14ac:dyDescent="0.35">
      <c r="A1298" t="s">
        <v>131</v>
      </c>
      <c r="B1298" t="s">
        <v>132</v>
      </c>
      <c r="C1298" t="s">
        <v>7</v>
      </c>
      <c r="D1298" t="s">
        <v>153</v>
      </c>
      <c r="E1298" t="s">
        <v>126</v>
      </c>
      <c r="F1298" s="4">
        <v>0</v>
      </c>
      <c r="G1298" s="4">
        <f>IFERROR(F1298-alt_Blanks!$I$3,F1298)</f>
        <v>0</v>
      </c>
      <c r="H1298" s="7">
        <f t="shared" si="57"/>
        <v>0</v>
      </c>
      <c r="I1298" s="7">
        <f t="shared" ref="I1298:I1331" si="58">H1298/0.5169</f>
        <v>0</v>
      </c>
    </row>
    <row r="1299" spans="1:9" x14ac:dyDescent="0.35">
      <c r="A1299" t="s">
        <v>131</v>
      </c>
      <c r="B1299" t="s">
        <v>132</v>
      </c>
      <c r="C1299" t="s">
        <v>8</v>
      </c>
      <c r="D1299" t="s">
        <v>153</v>
      </c>
      <c r="E1299" t="s">
        <v>126</v>
      </c>
      <c r="F1299" s="4" t="e">
        <v>#N/A</v>
      </c>
      <c r="G1299" s="4" t="e">
        <f>IFERROR(F1299-alt_Blanks!$I$4,F1299)</f>
        <v>#N/A</v>
      </c>
      <c r="H1299" s="7" t="e">
        <f t="shared" si="57"/>
        <v>#N/A</v>
      </c>
      <c r="I1299" s="7" t="e">
        <f t="shared" si="58"/>
        <v>#N/A</v>
      </c>
    </row>
    <row r="1300" spans="1:9" x14ac:dyDescent="0.35">
      <c r="A1300" t="s">
        <v>131</v>
      </c>
      <c r="B1300" t="s">
        <v>132</v>
      </c>
      <c r="C1300" t="s">
        <v>9</v>
      </c>
      <c r="D1300" t="s">
        <v>153</v>
      </c>
      <c r="E1300" t="s">
        <v>126</v>
      </c>
      <c r="F1300" s="4">
        <v>2.4583841000000004</v>
      </c>
      <c r="G1300" s="4">
        <f>IFERROR(F1300-alt_Blanks!$I$5,F1300)</f>
        <v>2.4583841000000004</v>
      </c>
      <c r="H1300" s="7">
        <f t="shared" si="57"/>
        <v>2.4583841000000004</v>
      </c>
      <c r="I1300" s="7">
        <f t="shared" si="58"/>
        <v>4.756014896498356</v>
      </c>
    </row>
    <row r="1301" spans="1:9" x14ac:dyDescent="0.35">
      <c r="A1301" t="s">
        <v>131</v>
      </c>
      <c r="B1301" t="s">
        <v>132</v>
      </c>
      <c r="C1301" t="s">
        <v>10</v>
      </c>
      <c r="D1301" t="s">
        <v>153</v>
      </c>
      <c r="E1301" t="s">
        <v>126</v>
      </c>
      <c r="F1301" s="4">
        <v>74.712324900000013</v>
      </c>
      <c r="G1301" s="4">
        <f>IFERROR(F1301-alt_Blanks!$I$6,F1301)</f>
        <v>74.712324900000013</v>
      </c>
      <c r="H1301" s="7">
        <f t="shared" si="57"/>
        <v>74.712324900000013</v>
      </c>
      <c r="I1301" s="7">
        <f t="shared" si="58"/>
        <v>144.53922402785841</v>
      </c>
    </row>
    <row r="1302" spans="1:9" x14ac:dyDescent="0.35">
      <c r="A1302" t="s">
        <v>131</v>
      </c>
      <c r="B1302" t="s">
        <v>132</v>
      </c>
      <c r="C1302" t="s">
        <v>11</v>
      </c>
      <c r="D1302" t="s">
        <v>153</v>
      </c>
      <c r="E1302" t="s">
        <v>126</v>
      </c>
      <c r="F1302" s="4">
        <v>54.893558499999997</v>
      </c>
      <c r="G1302" s="4">
        <f>IFERROR(F1302-alt_Blanks!$I$7,F1302)</f>
        <v>54.893558499999997</v>
      </c>
      <c r="H1302" s="7">
        <f t="shared" si="57"/>
        <v>54.893558499999997</v>
      </c>
      <c r="I1302" s="7">
        <f t="shared" si="58"/>
        <v>106.19763687366995</v>
      </c>
    </row>
    <row r="1303" spans="1:9" x14ac:dyDescent="0.35">
      <c r="A1303" t="s">
        <v>131</v>
      </c>
      <c r="B1303" t="s">
        <v>132</v>
      </c>
      <c r="C1303" t="s">
        <v>12</v>
      </c>
      <c r="D1303" t="s">
        <v>154</v>
      </c>
      <c r="E1303" t="s">
        <v>126</v>
      </c>
      <c r="F1303" s="4">
        <v>0</v>
      </c>
      <c r="G1303" s="4">
        <f>IFERROR(F1303-alt_Blanks!$I$8,F1303)</f>
        <v>0</v>
      </c>
      <c r="H1303" s="7">
        <f t="shared" si="57"/>
        <v>0</v>
      </c>
      <c r="I1303" s="7">
        <f t="shared" si="58"/>
        <v>0</v>
      </c>
    </row>
    <row r="1304" spans="1:9" x14ac:dyDescent="0.35">
      <c r="A1304" t="s">
        <v>131</v>
      </c>
      <c r="B1304" t="s">
        <v>132</v>
      </c>
      <c r="C1304" t="s">
        <v>13</v>
      </c>
      <c r="D1304" t="s">
        <v>153</v>
      </c>
      <c r="E1304" t="s">
        <v>126</v>
      </c>
      <c r="F1304" s="4">
        <v>6.449668</v>
      </c>
      <c r="G1304" s="4">
        <f>IFERROR(F1304-alt_Blanks!$I$9,F1304)</f>
        <v>6.449668</v>
      </c>
      <c r="H1304" s="7">
        <f t="shared" si="57"/>
        <v>6.449668</v>
      </c>
      <c r="I1304" s="7">
        <f t="shared" si="58"/>
        <v>12.477593344940994</v>
      </c>
    </row>
    <row r="1305" spans="1:9" x14ac:dyDescent="0.35">
      <c r="A1305" t="s">
        <v>131</v>
      </c>
      <c r="B1305" t="s">
        <v>132</v>
      </c>
      <c r="C1305" t="s">
        <v>14</v>
      </c>
      <c r="D1305" t="s">
        <v>154</v>
      </c>
      <c r="E1305" t="s">
        <v>126</v>
      </c>
      <c r="F1305" s="4">
        <v>0</v>
      </c>
      <c r="G1305" s="4">
        <f>IFERROR(F1305-alt_Blanks!$I$10,F1305)</f>
        <v>0</v>
      </c>
      <c r="H1305" s="7">
        <f t="shared" si="57"/>
        <v>0</v>
      </c>
      <c r="I1305" s="7">
        <f t="shared" si="58"/>
        <v>0</v>
      </c>
    </row>
    <row r="1306" spans="1:9" x14ac:dyDescent="0.35">
      <c r="A1306" t="s">
        <v>131</v>
      </c>
      <c r="B1306" t="s">
        <v>132</v>
      </c>
      <c r="C1306" t="s">
        <v>15</v>
      </c>
      <c r="D1306" t="s">
        <v>153</v>
      </c>
      <c r="E1306" t="s">
        <v>126</v>
      </c>
      <c r="F1306" s="4">
        <v>2264.3087267000001</v>
      </c>
      <c r="G1306" s="4">
        <f>IFERROR(F1306-alt_Blanks!$I$11,F1306)</f>
        <v>1459.0920370000001</v>
      </c>
      <c r="H1306" s="7">
        <f t="shared" si="57"/>
        <v>1459.0920370000001</v>
      </c>
      <c r="I1306" s="7">
        <f t="shared" si="58"/>
        <v>2822.7743025730315</v>
      </c>
    </row>
    <row r="1307" spans="1:9" x14ac:dyDescent="0.35">
      <c r="A1307" t="s">
        <v>131</v>
      </c>
      <c r="B1307" t="s">
        <v>132</v>
      </c>
      <c r="C1307" t="s">
        <v>16</v>
      </c>
      <c r="D1307" t="s">
        <v>154</v>
      </c>
      <c r="E1307" t="s">
        <v>126</v>
      </c>
      <c r="F1307" s="4">
        <v>264.58078869999997</v>
      </c>
      <c r="G1307" s="4">
        <f>IFERROR(F1307-alt_Blanks!$I$12,F1307)</f>
        <v>264.58078869999997</v>
      </c>
      <c r="H1307" s="7">
        <f t="shared" si="57"/>
        <v>264.58078869999997</v>
      </c>
      <c r="I1307" s="7">
        <f t="shared" si="58"/>
        <v>511.86068620622939</v>
      </c>
    </row>
    <row r="1308" spans="1:9" x14ac:dyDescent="0.35">
      <c r="A1308" t="s">
        <v>131</v>
      </c>
      <c r="B1308" t="s">
        <v>132</v>
      </c>
      <c r="C1308" t="s">
        <v>17</v>
      </c>
      <c r="D1308" t="s">
        <v>153</v>
      </c>
      <c r="E1308" t="s">
        <v>126</v>
      </c>
      <c r="F1308" s="4">
        <v>15.7115499</v>
      </c>
      <c r="G1308" s="4">
        <f>IFERROR(F1308-alt_Blanks!$I$13,F1308)</f>
        <v>14.8588364</v>
      </c>
      <c r="H1308" s="7">
        <f t="shared" si="57"/>
        <v>14.8588364</v>
      </c>
      <c r="I1308" s="7">
        <f t="shared" si="58"/>
        <v>28.746056103695103</v>
      </c>
    </row>
    <row r="1309" spans="1:9" x14ac:dyDescent="0.35">
      <c r="A1309" t="s">
        <v>131</v>
      </c>
      <c r="B1309" t="s">
        <v>132</v>
      </c>
      <c r="C1309" t="s">
        <v>18</v>
      </c>
      <c r="D1309" t="s">
        <v>154</v>
      </c>
      <c r="E1309" t="s">
        <v>126</v>
      </c>
      <c r="F1309" s="4">
        <v>0</v>
      </c>
      <c r="G1309" s="4">
        <f>IFERROR(F1309-alt_Blanks!$I$14,F1309)</f>
        <v>0</v>
      </c>
      <c r="H1309" s="7">
        <f t="shared" si="57"/>
        <v>0</v>
      </c>
      <c r="I1309" s="7">
        <f t="shared" si="58"/>
        <v>0</v>
      </c>
    </row>
    <row r="1310" spans="1:9" x14ac:dyDescent="0.35">
      <c r="A1310" t="s">
        <v>131</v>
      </c>
      <c r="B1310" t="s">
        <v>132</v>
      </c>
      <c r="C1310" t="s">
        <v>19</v>
      </c>
      <c r="D1310" t="s">
        <v>153</v>
      </c>
      <c r="E1310" t="s">
        <v>126</v>
      </c>
      <c r="F1310" s="4">
        <v>466.23439809999996</v>
      </c>
      <c r="G1310" s="4">
        <f>IFERROR(F1310-alt_Blanks!$I$15,F1310)</f>
        <v>197.61100099999999</v>
      </c>
      <c r="H1310" s="7">
        <f t="shared" si="57"/>
        <v>197.61100099999999</v>
      </c>
      <c r="I1310" s="7">
        <f t="shared" si="58"/>
        <v>382.30025343393299</v>
      </c>
    </row>
    <row r="1311" spans="1:9" x14ac:dyDescent="0.35">
      <c r="A1311" t="s">
        <v>131</v>
      </c>
      <c r="B1311" t="s">
        <v>132</v>
      </c>
      <c r="C1311" t="s">
        <v>20</v>
      </c>
      <c r="D1311" t="s">
        <v>154</v>
      </c>
      <c r="E1311" t="s">
        <v>126</v>
      </c>
      <c r="F1311" s="4">
        <v>323.44556969999996</v>
      </c>
      <c r="G1311" s="4">
        <f>IFERROR(F1311-alt_Blanks!$I$16,F1311)</f>
        <v>304.97965649999998</v>
      </c>
      <c r="H1311" s="7">
        <f t="shared" si="57"/>
        <v>304.97965649999998</v>
      </c>
      <c r="I1311" s="7">
        <f t="shared" si="58"/>
        <v>590.01674695298891</v>
      </c>
    </row>
    <row r="1312" spans="1:9" x14ac:dyDescent="0.35">
      <c r="A1312" t="s">
        <v>131</v>
      </c>
      <c r="B1312" t="s">
        <v>132</v>
      </c>
      <c r="C1312" t="s">
        <v>21</v>
      </c>
      <c r="D1312" t="s">
        <v>155</v>
      </c>
      <c r="E1312" t="s">
        <v>126</v>
      </c>
      <c r="F1312" s="4">
        <v>0.24411289999999999</v>
      </c>
      <c r="G1312" s="4">
        <f>IFERROR(F1312-alt_Blanks!$I$17,F1312)</f>
        <v>-8.7840500000000016E-2</v>
      </c>
      <c r="H1312" s="7">
        <f t="shared" si="57"/>
        <v>0</v>
      </c>
      <c r="I1312" s="7">
        <f t="shared" si="58"/>
        <v>0</v>
      </c>
    </row>
    <row r="1313" spans="1:9" x14ac:dyDescent="0.35">
      <c r="A1313" t="s">
        <v>131</v>
      </c>
      <c r="B1313" t="s">
        <v>132</v>
      </c>
      <c r="C1313" t="s">
        <v>22</v>
      </c>
      <c r="D1313" t="s">
        <v>155</v>
      </c>
      <c r="E1313" t="s">
        <v>126</v>
      </c>
      <c r="F1313" s="4">
        <v>174.77678969999999</v>
      </c>
      <c r="G1313" s="4">
        <f>IFERROR(F1313-alt_Blanks!$I$18,F1313)</f>
        <v>168.77333009999998</v>
      </c>
      <c r="H1313" s="7">
        <f t="shared" si="57"/>
        <v>168.77333009999998</v>
      </c>
      <c r="I1313" s="7">
        <f t="shared" si="58"/>
        <v>326.51060185722571</v>
      </c>
    </row>
    <row r="1314" spans="1:9" x14ac:dyDescent="0.35">
      <c r="A1314" t="s">
        <v>131</v>
      </c>
      <c r="B1314" t="s">
        <v>132</v>
      </c>
      <c r="C1314" t="s">
        <v>23</v>
      </c>
      <c r="D1314" t="s">
        <v>155</v>
      </c>
      <c r="E1314" t="s">
        <v>126</v>
      </c>
      <c r="F1314" s="4">
        <v>0.23757639999999999</v>
      </c>
      <c r="G1314" s="4">
        <f>IFERROR(F1314-alt_Blanks!$I$19,F1314)</f>
        <v>0.23757639999999999</v>
      </c>
      <c r="H1314" s="7">
        <f t="shared" si="57"/>
        <v>0.23757639999999999</v>
      </c>
      <c r="I1314" s="7">
        <f t="shared" si="58"/>
        <v>0.45961772102921256</v>
      </c>
    </row>
    <row r="1315" spans="1:9" x14ac:dyDescent="0.35">
      <c r="A1315" t="s">
        <v>131</v>
      </c>
      <c r="B1315" t="s">
        <v>132</v>
      </c>
      <c r="C1315" t="s">
        <v>24</v>
      </c>
      <c r="D1315" t="s">
        <v>155</v>
      </c>
      <c r="E1315" t="s">
        <v>126</v>
      </c>
      <c r="F1315" s="4">
        <v>108.2591523</v>
      </c>
      <c r="G1315" s="4">
        <f>IFERROR(F1315-alt_Blanks!$I$20,F1315)</f>
        <v>106.3211769</v>
      </c>
      <c r="H1315" s="7">
        <f t="shared" si="57"/>
        <v>106.3211769</v>
      </c>
      <c r="I1315" s="7">
        <f t="shared" si="58"/>
        <v>205.69003076030179</v>
      </c>
    </row>
    <row r="1316" spans="1:9" x14ac:dyDescent="0.35">
      <c r="A1316" t="s">
        <v>131</v>
      </c>
      <c r="B1316" t="s">
        <v>132</v>
      </c>
      <c r="C1316" t="s">
        <v>25</v>
      </c>
      <c r="D1316" t="s">
        <v>155</v>
      </c>
      <c r="E1316" t="s">
        <v>126</v>
      </c>
      <c r="F1316" s="4">
        <v>0.29718720000000004</v>
      </c>
      <c r="G1316" s="4">
        <f>IFERROR(F1316-alt_Blanks!$I$21,F1316)</f>
        <v>8.267810000000006E-2</v>
      </c>
      <c r="H1316" s="7">
        <f t="shared" si="57"/>
        <v>8.267810000000006E-2</v>
      </c>
      <c r="I1316" s="7">
        <f t="shared" si="58"/>
        <v>0.15994989359644043</v>
      </c>
    </row>
    <row r="1317" spans="1:9" x14ac:dyDescent="0.35">
      <c r="A1317" t="s">
        <v>131</v>
      </c>
      <c r="B1317" t="s">
        <v>132</v>
      </c>
      <c r="C1317" t="s">
        <v>26</v>
      </c>
      <c r="D1317" t="s">
        <v>153</v>
      </c>
      <c r="E1317" t="s">
        <v>126</v>
      </c>
      <c r="F1317" s="4">
        <v>1.6299003000000001</v>
      </c>
      <c r="G1317" s="4">
        <f>IFERROR(F1317-alt_Blanks!$I$22,F1317)</f>
        <v>3.5178900000000235E-2</v>
      </c>
      <c r="H1317" s="7">
        <f t="shared" si="57"/>
        <v>3.5178900000000235E-2</v>
      </c>
      <c r="I1317" s="7">
        <f t="shared" si="58"/>
        <v>6.8057457922229128E-2</v>
      </c>
    </row>
    <row r="1318" spans="1:9" x14ac:dyDescent="0.35">
      <c r="A1318" t="s">
        <v>131</v>
      </c>
      <c r="B1318" t="s">
        <v>132</v>
      </c>
      <c r="C1318" t="s">
        <v>27</v>
      </c>
      <c r="D1318" t="s">
        <v>154</v>
      </c>
      <c r="E1318" t="s">
        <v>126</v>
      </c>
      <c r="F1318" s="4">
        <v>9.4087100000000007E-2</v>
      </c>
      <c r="G1318" s="4">
        <f>IFERROR(F1318-alt_Blanks!$I$23,F1318)</f>
        <v>-2.6650299999999988E-2</v>
      </c>
      <c r="H1318" s="7">
        <f t="shared" si="57"/>
        <v>0</v>
      </c>
      <c r="I1318" s="7">
        <f t="shared" si="58"/>
        <v>0</v>
      </c>
    </row>
    <row r="1319" spans="1:9" x14ac:dyDescent="0.35">
      <c r="A1319" t="s">
        <v>131</v>
      </c>
      <c r="B1319" t="s">
        <v>132</v>
      </c>
      <c r="C1319" t="s">
        <v>28</v>
      </c>
      <c r="D1319" t="s">
        <v>155</v>
      </c>
      <c r="E1319" t="s">
        <v>126</v>
      </c>
      <c r="F1319" s="4">
        <v>33.724539499999999</v>
      </c>
      <c r="G1319" s="4">
        <f>IFERROR(F1319-alt_Blanks!$I$24,F1319)</f>
        <v>33.477369899999999</v>
      </c>
      <c r="H1319" s="7">
        <f t="shared" si="57"/>
        <v>33.477369899999999</v>
      </c>
      <c r="I1319" s="7">
        <f t="shared" si="58"/>
        <v>64.765660475914103</v>
      </c>
    </row>
    <row r="1320" spans="1:9" x14ac:dyDescent="0.35">
      <c r="A1320" t="s">
        <v>131</v>
      </c>
      <c r="B1320" t="s">
        <v>132</v>
      </c>
      <c r="C1320" t="s">
        <v>29</v>
      </c>
      <c r="D1320" t="s">
        <v>155</v>
      </c>
      <c r="E1320" t="s">
        <v>126</v>
      </c>
      <c r="F1320" s="4">
        <v>0.41930090000000003</v>
      </c>
      <c r="G1320" s="4">
        <f>IFERROR(F1320-alt_Blanks!$I$25,F1320)</f>
        <v>-5.2939899999999929E-2</v>
      </c>
      <c r="H1320" s="7">
        <f t="shared" si="57"/>
        <v>0</v>
      </c>
      <c r="I1320" s="7">
        <f t="shared" si="58"/>
        <v>0</v>
      </c>
    </row>
    <row r="1321" spans="1:9" x14ac:dyDescent="0.35">
      <c r="A1321" t="s">
        <v>131</v>
      </c>
      <c r="B1321" t="s">
        <v>132</v>
      </c>
      <c r="C1321" t="s">
        <v>30</v>
      </c>
      <c r="D1321" t="s">
        <v>155</v>
      </c>
      <c r="E1321" t="s">
        <v>126</v>
      </c>
      <c r="F1321" s="4">
        <v>210.168442</v>
      </c>
      <c r="G1321" s="4">
        <f>IFERROR(F1321-alt_Blanks!$I$26,F1321)</f>
        <v>209.58826569999999</v>
      </c>
      <c r="H1321" s="7">
        <f t="shared" si="57"/>
        <v>209.58826569999999</v>
      </c>
      <c r="I1321" s="7">
        <f t="shared" si="58"/>
        <v>405.47159160379181</v>
      </c>
    </row>
    <row r="1322" spans="1:9" x14ac:dyDescent="0.35">
      <c r="A1322" t="s">
        <v>131</v>
      </c>
      <c r="B1322" t="s">
        <v>132</v>
      </c>
      <c r="C1322" t="s">
        <v>31</v>
      </c>
      <c r="D1322" t="s">
        <v>155</v>
      </c>
      <c r="E1322" t="s">
        <v>126</v>
      </c>
      <c r="F1322" s="4" t="e">
        <v>#N/A</v>
      </c>
      <c r="G1322" s="4" t="e">
        <f>IFERROR(F1322-alt_Blanks!$I$27,F1322)</f>
        <v>#N/A</v>
      </c>
      <c r="H1322" s="7" t="e">
        <f t="shared" si="57"/>
        <v>#N/A</v>
      </c>
      <c r="I1322" s="7" t="e">
        <f t="shared" si="58"/>
        <v>#N/A</v>
      </c>
    </row>
    <row r="1323" spans="1:9" x14ac:dyDescent="0.35">
      <c r="A1323" t="s">
        <v>131</v>
      </c>
      <c r="B1323" t="s">
        <v>132</v>
      </c>
      <c r="C1323" t="s">
        <v>32</v>
      </c>
      <c r="D1323" t="s">
        <v>153</v>
      </c>
      <c r="E1323" t="s">
        <v>126</v>
      </c>
      <c r="F1323" s="4">
        <v>0</v>
      </c>
      <c r="G1323" s="4">
        <f>IFERROR(F1323-alt_Blanks!$I$28,F1323)</f>
        <v>0</v>
      </c>
      <c r="H1323" s="7">
        <f t="shared" si="57"/>
        <v>0</v>
      </c>
      <c r="I1323" s="7">
        <f t="shared" si="58"/>
        <v>0</v>
      </c>
    </row>
    <row r="1324" spans="1:9" x14ac:dyDescent="0.35">
      <c r="A1324" t="s">
        <v>131</v>
      </c>
      <c r="B1324" t="s">
        <v>132</v>
      </c>
      <c r="C1324" t="s">
        <v>33</v>
      </c>
      <c r="D1324" t="s">
        <v>155</v>
      </c>
      <c r="E1324" t="s">
        <v>126</v>
      </c>
      <c r="F1324" s="4">
        <v>175.02227770000002</v>
      </c>
      <c r="G1324" s="4">
        <f>IFERROR(F1324-alt_Blanks!$I$29,F1324)</f>
        <v>174.4106567</v>
      </c>
      <c r="H1324" s="7">
        <f t="shared" si="57"/>
        <v>174.4106567</v>
      </c>
      <c r="I1324" s="7">
        <f t="shared" si="58"/>
        <v>337.41663126330042</v>
      </c>
    </row>
    <row r="1325" spans="1:9" x14ac:dyDescent="0.35">
      <c r="A1325" t="s">
        <v>131</v>
      </c>
      <c r="B1325" t="s">
        <v>132</v>
      </c>
      <c r="C1325" t="s">
        <v>34</v>
      </c>
      <c r="D1325" t="s">
        <v>153</v>
      </c>
      <c r="E1325" t="s">
        <v>126</v>
      </c>
      <c r="F1325" s="4">
        <v>0</v>
      </c>
      <c r="G1325" s="4">
        <f>IFERROR(F1325-alt_Blanks!$I$30,F1325)</f>
        <v>0</v>
      </c>
      <c r="H1325" s="7">
        <f t="shared" si="57"/>
        <v>0</v>
      </c>
      <c r="I1325" s="7">
        <f t="shared" si="58"/>
        <v>0</v>
      </c>
    </row>
    <row r="1326" spans="1:9" x14ac:dyDescent="0.35">
      <c r="A1326" t="s">
        <v>131</v>
      </c>
      <c r="B1326" t="s">
        <v>132</v>
      </c>
      <c r="C1326" t="s">
        <v>35</v>
      </c>
      <c r="D1326" t="s">
        <v>154</v>
      </c>
      <c r="E1326" t="s">
        <v>126</v>
      </c>
      <c r="F1326" s="4">
        <v>99.914845900000003</v>
      </c>
      <c r="G1326" s="4">
        <f>IFERROR(F1326-alt_Blanks!$I$31,F1326)</f>
        <v>-2.5397876999999909</v>
      </c>
      <c r="H1326" s="7">
        <f t="shared" si="57"/>
        <v>0</v>
      </c>
      <c r="I1326" s="7">
        <f t="shared" si="58"/>
        <v>0</v>
      </c>
    </row>
    <row r="1327" spans="1:9" x14ac:dyDescent="0.35">
      <c r="A1327" t="s">
        <v>131</v>
      </c>
      <c r="B1327" t="s">
        <v>132</v>
      </c>
      <c r="C1327" t="s">
        <v>36</v>
      </c>
      <c r="D1327" t="s">
        <v>155</v>
      </c>
      <c r="E1327" t="s">
        <v>126</v>
      </c>
      <c r="F1327" s="4">
        <v>1.9156862000000001</v>
      </c>
      <c r="G1327" s="4">
        <f>IFERROR(F1327-alt_Blanks!$I$32,F1327)</f>
        <v>-1.1882299999999901E-2</v>
      </c>
      <c r="H1327" s="7">
        <f t="shared" si="57"/>
        <v>0</v>
      </c>
      <c r="I1327" s="7">
        <f t="shared" si="58"/>
        <v>0</v>
      </c>
    </row>
    <row r="1328" spans="1:9" x14ac:dyDescent="0.35">
      <c r="A1328" t="s">
        <v>131</v>
      </c>
      <c r="B1328" t="s">
        <v>132</v>
      </c>
      <c r="C1328" t="s">
        <v>37</v>
      </c>
      <c r="D1328" t="s">
        <v>155</v>
      </c>
      <c r="E1328" t="s">
        <v>126</v>
      </c>
      <c r="F1328" s="4">
        <v>5.3807232999999997</v>
      </c>
      <c r="G1328" s="4">
        <f>IFERROR(F1328-alt_Blanks!$I$33,F1328)</f>
        <v>5.3807232999999997</v>
      </c>
      <c r="H1328" s="7">
        <f t="shared" si="57"/>
        <v>5.3807232999999997</v>
      </c>
      <c r="I1328" s="7">
        <f t="shared" si="58"/>
        <v>10.409602050686786</v>
      </c>
    </row>
    <row r="1329" spans="1:9" x14ac:dyDescent="0.35">
      <c r="A1329" t="s">
        <v>131</v>
      </c>
      <c r="B1329" t="s">
        <v>132</v>
      </c>
      <c r="C1329" t="s">
        <v>38</v>
      </c>
      <c r="D1329" t="s">
        <v>155</v>
      </c>
      <c r="E1329" t="s">
        <v>126</v>
      </c>
      <c r="F1329" s="4">
        <v>5.8417789000000004</v>
      </c>
      <c r="G1329" s="4">
        <f>IFERROR(F1329-alt_Blanks!$I$34,F1329)</f>
        <v>5.8417789000000004</v>
      </c>
      <c r="H1329" s="7">
        <f t="shared" si="57"/>
        <v>5.8417789000000004</v>
      </c>
      <c r="I1329" s="7">
        <f t="shared" si="58"/>
        <v>11.301564906171407</v>
      </c>
    </row>
    <row r="1330" spans="1:9" x14ac:dyDescent="0.35">
      <c r="A1330" t="s">
        <v>131</v>
      </c>
      <c r="B1330" t="s">
        <v>132</v>
      </c>
      <c r="C1330" t="s">
        <v>39</v>
      </c>
      <c r="D1330" t="s">
        <v>153</v>
      </c>
      <c r="E1330" t="s">
        <v>126</v>
      </c>
      <c r="F1330" s="4">
        <v>0</v>
      </c>
      <c r="G1330" s="4">
        <f>IFERROR(F1330-alt_Blanks!$I$35,F1330)</f>
        <v>0</v>
      </c>
      <c r="H1330" s="7">
        <f t="shared" si="57"/>
        <v>0</v>
      </c>
      <c r="I1330" s="7">
        <f t="shared" si="58"/>
        <v>0</v>
      </c>
    </row>
    <row r="1331" spans="1:9" x14ac:dyDescent="0.35">
      <c r="A1331" t="s">
        <v>131</v>
      </c>
      <c r="B1331" t="s">
        <v>132</v>
      </c>
      <c r="C1331" t="s">
        <v>40</v>
      </c>
      <c r="D1331" t="s">
        <v>154</v>
      </c>
      <c r="E1331" t="s">
        <v>126</v>
      </c>
      <c r="F1331" s="4">
        <v>0</v>
      </c>
      <c r="G1331" s="4">
        <f>IFERROR(F1331-alt_Blanks!$I$36,F1331)</f>
        <v>0</v>
      </c>
      <c r="H1331" s="7">
        <f t="shared" si="57"/>
        <v>0</v>
      </c>
      <c r="I1331" s="7">
        <f t="shared" si="58"/>
        <v>0</v>
      </c>
    </row>
    <row r="1332" spans="1:9" x14ac:dyDescent="0.35">
      <c r="A1332" t="s">
        <v>133</v>
      </c>
      <c r="B1332" t="s">
        <v>134</v>
      </c>
      <c r="C1332" t="s">
        <v>6</v>
      </c>
      <c r="D1332" t="s">
        <v>153</v>
      </c>
      <c r="E1332" t="s">
        <v>126</v>
      </c>
      <c r="F1332" s="4">
        <v>6.7010839999999998</v>
      </c>
      <c r="G1332" s="4">
        <f>IFERROR(F1332-alt_Blanks!$I$2,F1332)</f>
        <v>-5.4571000000009917E-3</v>
      </c>
      <c r="H1332" s="7">
        <f t="shared" si="57"/>
        <v>0</v>
      </c>
      <c r="I1332" s="7">
        <f>H1332/0.5367</f>
        <v>0</v>
      </c>
    </row>
    <row r="1333" spans="1:9" x14ac:dyDescent="0.35">
      <c r="A1333" t="s">
        <v>133</v>
      </c>
      <c r="B1333" t="s">
        <v>134</v>
      </c>
      <c r="C1333" t="s">
        <v>7</v>
      </c>
      <c r="D1333" t="s">
        <v>153</v>
      </c>
      <c r="E1333" t="s">
        <v>126</v>
      </c>
      <c r="F1333" s="4">
        <v>0</v>
      </c>
      <c r="G1333" s="4">
        <f>IFERROR(F1333-alt_Blanks!$I$3,F1333)</f>
        <v>0</v>
      </c>
      <c r="H1333" s="7">
        <f t="shared" si="57"/>
        <v>0</v>
      </c>
      <c r="I1333" s="7">
        <f t="shared" ref="I1333:I1366" si="59">H1333/0.5367</f>
        <v>0</v>
      </c>
    </row>
    <row r="1334" spans="1:9" x14ac:dyDescent="0.35">
      <c r="A1334" t="s">
        <v>133</v>
      </c>
      <c r="B1334" t="s">
        <v>134</v>
      </c>
      <c r="C1334" t="s">
        <v>8</v>
      </c>
      <c r="D1334" t="s">
        <v>153</v>
      </c>
      <c r="E1334" t="s">
        <v>126</v>
      </c>
      <c r="F1334" s="4" t="e">
        <v>#N/A</v>
      </c>
      <c r="G1334" s="4" t="e">
        <f>IFERROR(F1334-alt_Blanks!$I$4,F1334)</f>
        <v>#N/A</v>
      </c>
      <c r="H1334" s="7" t="e">
        <f t="shared" si="57"/>
        <v>#N/A</v>
      </c>
      <c r="I1334" s="7" t="e">
        <f t="shared" si="59"/>
        <v>#N/A</v>
      </c>
    </row>
    <row r="1335" spans="1:9" x14ac:dyDescent="0.35">
      <c r="A1335" t="s">
        <v>133</v>
      </c>
      <c r="B1335" t="s">
        <v>134</v>
      </c>
      <c r="C1335" t="s">
        <v>9</v>
      </c>
      <c r="D1335" t="s">
        <v>153</v>
      </c>
      <c r="E1335" t="s">
        <v>126</v>
      </c>
      <c r="F1335" s="4">
        <v>1.1361460999999999</v>
      </c>
      <c r="G1335" s="4">
        <f>IFERROR(F1335-alt_Blanks!$I$5,F1335)</f>
        <v>1.1361460999999999</v>
      </c>
      <c r="H1335" s="7">
        <f t="shared" si="57"/>
        <v>1.1361460999999999</v>
      </c>
      <c r="I1335" s="7">
        <f t="shared" si="59"/>
        <v>2.116910937208869</v>
      </c>
    </row>
    <row r="1336" spans="1:9" x14ac:dyDescent="0.35">
      <c r="A1336" t="s">
        <v>133</v>
      </c>
      <c r="B1336" t="s">
        <v>134</v>
      </c>
      <c r="C1336" t="s">
        <v>10</v>
      </c>
      <c r="D1336" t="s">
        <v>153</v>
      </c>
      <c r="E1336" t="s">
        <v>126</v>
      </c>
      <c r="F1336" s="4">
        <v>71.046942200000004</v>
      </c>
      <c r="G1336" s="4">
        <f>IFERROR(F1336-alt_Blanks!$I$6,F1336)</f>
        <v>71.046942200000004</v>
      </c>
      <c r="H1336" s="7">
        <f t="shared" si="57"/>
        <v>71.046942200000004</v>
      </c>
      <c r="I1336" s="7">
        <f t="shared" si="59"/>
        <v>132.377384386063</v>
      </c>
    </row>
    <row r="1337" spans="1:9" x14ac:dyDescent="0.35">
      <c r="A1337" t="s">
        <v>133</v>
      </c>
      <c r="B1337" t="s">
        <v>134</v>
      </c>
      <c r="C1337" t="s">
        <v>11</v>
      </c>
      <c r="D1337" t="s">
        <v>153</v>
      </c>
      <c r="E1337" t="s">
        <v>126</v>
      </c>
      <c r="F1337" s="4">
        <v>66.590006799999998</v>
      </c>
      <c r="G1337" s="4">
        <f>IFERROR(F1337-alt_Blanks!$I$7,F1337)</f>
        <v>66.590006799999998</v>
      </c>
      <c r="H1337" s="7">
        <f t="shared" si="57"/>
        <v>66.590006799999998</v>
      </c>
      <c r="I1337" s="7">
        <f t="shared" si="59"/>
        <v>124.07305161170115</v>
      </c>
    </row>
    <row r="1338" spans="1:9" x14ac:dyDescent="0.35">
      <c r="A1338" t="s">
        <v>133</v>
      </c>
      <c r="B1338" t="s">
        <v>134</v>
      </c>
      <c r="C1338" t="s">
        <v>12</v>
      </c>
      <c r="D1338" t="s">
        <v>154</v>
      </c>
      <c r="E1338" t="s">
        <v>126</v>
      </c>
      <c r="F1338" s="4">
        <v>1.2378943</v>
      </c>
      <c r="G1338" s="4">
        <f>IFERROR(F1338-alt_Blanks!$I$8,F1338)</f>
        <v>1.2378943</v>
      </c>
      <c r="H1338" s="7">
        <f t="shared" si="57"/>
        <v>1.2378943</v>
      </c>
      <c r="I1338" s="7">
        <f t="shared" si="59"/>
        <v>2.3064920812371903</v>
      </c>
    </row>
    <row r="1339" spans="1:9" x14ac:dyDescent="0.35">
      <c r="A1339" t="s">
        <v>133</v>
      </c>
      <c r="B1339" t="s">
        <v>134</v>
      </c>
      <c r="C1339" t="s">
        <v>13</v>
      </c>
      <c r="D1339" t="s">
        <v>153</v>
      </c>
      <c r="E1339" t="s">
        <v>126</v>
      </c>
      <c r="F1339" s="4">
        <v>10.521297500000001</v>
      </c>
      <c r="G1339" s="4">
        <f>IFERROR(F1339-alt_Blanks!$I$9,F1339)</f>
        <v>10.521297500000001</v>
      </c>
      <c r="H1339" s="7">
        <f t="shared" si="57"/>
        <v>10.521297500000001</v>
      </c>
      <c r="I1339" s="7">
        <f t="shared" si="59"/>
        <v>19.60368455375443</v>
      </c>
    </row>
    <row r="1340" spans="1:9" x14ac:dyDescent="0.35">
      <c r="A1340" t="s">
        <v>133</v>
      </c>
      <c r="B1340" t="s">
        <v>134</v>
      </c>
      <c r="C1340" t="s">
        <v>14</v>
      </c>
      <c r="D1340" t="s">
        <v>154</v>
      </c>
      <c r="E1340" t="s">
        <v>126</v>
      </c>
      <c r="F1340" s="4">
        <v>0</v>
      </c>
      <c r="G1340" s="4">
        <f>IFERROR(F1340-alt_Blanks!$I$10,F1340)</f>
        <v>0</v>
      </c>
      <c r="H1340" s="7">
        <f t="shared" si="57"/>
        <v>0</v>
      </c>
      <c r="I1340" s="7">
        <f t="shared" si="59"/>
        <v>0</v>
      </c>
    </row>
    <row r="1341" spans="1:9" x14ac:dyDescent="0.35">
      <c r="A1341" t="s">
        <v>133</v>
      </c>
      <c r="B1341" t="s">
        <v>134</v>
      </c>
      <c r="C1341" t="s">
        <v>15</v>
      </c>
      <c r="D1341" t="s">
        <v>153</v>
      </c>
      <c r="E1341" t="s">
        <v>126</v>
      </c>
      <c r="F1341" s="4">
        <v>2176.9346734999999</v>
      </c>
      <c r="G1341" s="4">
        <f>IFERROR(F1341-alt_Blanks!$I$11,F1341)</f>
        <v>1371.7179838</v>
      </c>
      <c r="H1341" s="7">
        <f t="shared" si="57"/>
        <v>1371.7179838</v>
      </c>
      <c r="I1341" s="7">
        <f t="shared" si="59"/>
        <v>2555.8374954350661</v>
      </c>
    </row>
    <row r="1342" spans="1:9" x14ac:dyDescent="0.35">
      <c r="A1342" t="s">
        <v>133</v>
      </c>
      <c r="B1342" t="s">
        <v>134</v>
      </c>
      <c r="C1342" t="s">
        <v>16</v>
      </c>
      <c r="D1342" t="s">
        <v>154</v>
      </c>
      <c r="E1342" t="s">
        <v>126</v>
      </c>
      <c r="F1342" s="4">
        <v>206.1811222</v>
      </c>
      <c r="G1342" s="4">
        <f>IFERROR(F1342-alt_Blanks!$I$12,F1342)</f>
        <v>206.1811222</v>
      </c>
      <c r="H1342" s="7">
        <f t="shared" si="57"/>
        <v>206.1811222</v>
      </c>
      <c r="I1342" s="7">
        <f t="shared" si="59"/>
        <v>384.16456530650277</v>
      </c>
    </row>
    <row r="1343" spans="1:9" x14ac:dyDescent="0.35">
      <c r="A1343" t="s">
        <v>133</v>
      </c>
      <c r="B1343" t="s">
        <v>134</v>
      </c>
      <c r="C1343" t="s">
        <v>17</v>
      </c>
      <c r="D1343" t="s">
        <v>153</v>
      </c>
      <c r="E1343" t="s">
        <v>126</v>
      </c>
      <c r="F1343" s="4">
        <v>16.219138300000001</v>
      </c>
      <c r="G1343" s="4">
        <f>IFERROR(F1343-alt_Blanks!$I$13,F1343)</f>
        <v>15.366424800000001</v>
      </c>
      <c r="H1343" s="7">
        <f t="shared" si="57"/>
        <v>15.366424800000001</v>
      </c>
      <c r="I1343" s="7">
        <f t="shared" si="59"/>
        <v>28.631311347121301</v>
      </c>
    </row>
    <row r="1344" spans="1:9" x14ac:dyDescent="0.35">
      <c r="A1344" t="s">
        <v>133</v>
      </c>
      <c r="B1344" t="s">
        <v>134</v>
      </c>
      <c r="C1344" t="s">
        <v>18</v>
      </c>
      <c r="D1344" t="s">
        <v>154</v>
      </c>
      <c r="E1344" t="s">
        <v>126</v>
      </c>
      <c r="F1344" s="4" t="e">
        <v>#N/A</v>
      </c>
      <c r="G1344" s="4" t="e">
        <f>IFERROR(F1344-alt_Blanks!$I$14,F1344)</f>
        <v>#N/A</v>
      </c>
      <c r="H1344" s="7" t="e">
        <f t="shared" si="57"/>
        <v>#N/A</v>
      </c>
      <c r="I1344" s="7" t="e">
        <f t="shared" si="59"/>
        <v>#N/A</v>
      </c>
    </row>
    <row r="1345" spans="1:9" x14ac:dyDescent="0.35">
      <c r="A1345" t="s">
        <v>133</v>
      </c>
      <c r="B1345" t="s">
        <v>134</v>
      </c>
      <c r="C1345" t="s">
        <v>19</v>
      </c>
      <c r="D1345" t="s">
        <v>153</v>
      </c>
      <c r="E1345" t="s">
        <v>126</v>
      </c>
      <c r="F1345" s="4">
        <v>464.6292072</v>
      </c>
      <c r="G1345" s="4">
        <f>IFERROR(F1345-alt_Blanks!$I$15,F1345)</f>
        <v>196.00581010000002</v>
      </c>
      <c r="H1345" s="7">
        <f t="shared" si="57"/>
        <v>196.00581010000002</v>
      </c>
      <c r="I1345" s="7">
        <f t="shared" si="59"/>
        <v>365.20553400409921</v>
      </c>
    </row>
    <row r="1346" spans="1:9" x14ac:dyDescent="0.35">
      <c r="A1346" t="s">
        <v>133</v>
      </c>
      <c r="B1346" t="s">
        <v>134</v>
      </c>
      <c r="C1346" t="s">
        <v>20</v>
      </c>
      <c r="D1346" t="s">
        <v>154</v>
      </c>
      <c r="E1346" t="s">
        <v>126</v>
      </c>
      <c r="F1346" s="4">
        <v>393.180453</v>
      </c>
      <c r="G1346" s="4">
        <f>IFERROR(F1346-alt_Blanks!$I$16,F1346)</f>
        <v>374.71453980000001</v>
      </c>
      <c r="H1346" s="7">
        <f t="shared" si="57"/>
        <v>374.71453980000001</v>
      </c>
      <c r="I1346" s="7">
        <f t="shared" si="59"/>
        <v>698.18248518725557</v>
      </c>
    </row>
    <row r="1347" spans="1:9" x14ac:dyDescent="0.35">
      <c r="A1347" t="s">
        <v>133</v>
      </c>
      <c r="B1347" t="s">
        <v>134</v>
      </c>
      <c r="C1347" t="s">
        <v>21</v>
      </c>
      <c r="D1347" t="s">
        <v>155</v>
      </c>
      <c r="E1347" t="s">
        <v>126</v>
      </c>
      <c r="F1347" s="4">
        <v>0.55528319999999998</v>
      </c>
      <c r="G1347" s="4">
        <f>IFERROR(F1347-alt_Blanks!$I$17,F1347)</f>
        <v>0.22332979999999997</v>
      </c>
      <c r="H1347" s="7">
        <f t="shared" si="57"/>
        <v>0.22332979999999997</v>
      </c>
      <c r="I1347" s="7">
        <f t="shared" si="59"/>
        <v>0.41611663871809201</v>
      </c>
    </row>
    <row r="1348" spans="1:9" x14ac:dyDescent="0.35">
      <c r="A1348" t="s">
        <v>133</v>
      </c>
      <c r="B1348" t="s">
        <v>134</v>
      </c>
      <c r="C1348" t="s">
        <v>22</v>
      </c>
      <c r="D1348" t="s">
        <v>155</v>
      </c>
      <c r="E1348" t="s">
        <v>126</v>
      </c>
      <c r="F1348" s="4">
        <v>147.4145571</v>
      </c>
      <c r="G1348" s="4">
        <f>IFERROR(F1348-alt_Blanks!$I$18,F1348)</f>
        <v>141.41109749999998</v>
      </c>
      <c r="H1348" s="7">
        <f t="shared" si="57"/>
        <v>141.41109749999998</v>
      </c>
      <c r="I1348" s="7">
        <f t="shared" si="59"/>
        <v>263.48257406372272</v>
      </c>
    </row>
    <row r="1349" spans="1:9" x14ac:dyDescent="0.35">
      <c r="A1349" t="s">
        <v>133</v>
      </c>
      <c r="B1349" t="s">
        <v>134</v>
      </c>
      <c r="C1349" t="s">
        <v>23</v>
      </c>
      <c r="D1349" t="s">
        <v>155</v>
      </c>
      <c r="E1349" t="s">
        <v>126</v>
      </c>
      <c r="F1349" s="4">
        <v>0.10090449999999999</v>
      </c>
      <c r="G1349" s="4">
        <f>IFERROR(F1349-alt_Blanks!$I$19,F1349)</f>
        <v>0.10090449999999999</v>
      </c>
      <c r="H1349" s="7">
        <f t="shared" si="57"/>
        <v>0.10090449999999999</v>
      </c>
      <c r="I1349" s="7">
        <f t="shared" si="59"/>
        <v>0.1880091298677101</v>
      </c>
    </row>
    <row r="1350" spans="1:9" x14ac:dyDescent="0.35">
      <c r="A1350" t="s">
        <v>133</v>
      </c>
      <c r="B1350" t="s">
        <v>134</v>
      </c>
      <c r="C1350" t="s">
        <v>24</v>
      </c>
      <c r="D1350" t="s">
        <v>155</v>
      </c>
      <c r="E1350" t="s">
        <v>126</v>
      </c>
      <c r="F1350" s="4">
        <v>108.1641024</v>
      </c>
      <c r="G1350" s="4">
        <f>IFERROR(F1350-alt_Blanks!$I$20,F1350)</f>
        <v>106.22612700000001</v>
      </c>
      <c r="H1350" s="7">
        <f t="shared" ref="H1350:H1413" si="60">IF(G1350&lt;0,0,G1350)</f>
        <v>106.22612700000001</v>
      </c>
      <c r="I1350" s="7">
        <f t="shared" si="59"/>
        <v>197.92458915595307</v>
      </c>
    </row>
    <row r="1351" spans="1:9" x14ac:dyDescent="0.35">
      <c r="A1351" t="s">
        <v>133</v>
      </c>
      <c r="B1351" t="s">
        <v>134</v>
      </c>
      <c r="C1351" t="s">
        <v>25</v>
      </c>
      <c r="D1351" t="s">
        <v>155</v>
      </c>
      <c r="E1351" t="s">
        <v>126</v>
      </c>
      <c r="F1351" s="4">
        <v>0.66443730000000001</v>
      </c>
      <c r="G1351" s="4">
        <f>IFERROR(F1351-alt_Blanks!$I$21,F1351)</f>
        <v>0.4499282</v>
      </c>
      <c r="H1351" s="7">
        <f t="shared" si="60"/>
        <v>0.4499282</v>
      </c>
      <c r="I1351" s="7">
        <f t="shared" si="59"/>
        <v>0.83832345817030007</v>
      </c>
    </row>
    <row r="1352" spans="1:9" x14ac:dyDescent="0.35">
      <c r="A1352" t="s">
        <v>133</v>
      </c>
      <c r="B1352" t="s">
        <v>134</v>
      </c>
      <c r="C1352" t="s">
        <v>26</v>
      </c>
      <c r="D1352" t="s">
        <v>153</v>
      </c>
      <c r="E1352" t="s">
        <v>126</v>
      </c>
      <c r="F1352" s="4">
        <v>1.6217752000000001</v>
      </c>
      <c r="G1352" s="4">
        <f>IFERROR(F1352-alt_Blanks!$I$22,F1352)</f>
        <v>2.7053800000000239E-2</v>
      </c>
      <c r="H1352" s="7">
        <f t="shared" si="60"/>
        <v>2.7053800000000239E-2</v>
      </c>
      <c r="I1352" s="7">
        <f t="shared" si="59"/>
        <v>5.0407676541830149E-2</v>
      </c>
    </row>
    <row r="1353" spans="1:9" x14ac:dyDescent="0.35">
      <c r="A1353" t="s">
        <v>133</v>
      </c>
      <c r="B1353" t="s">
        <v>134</v>
      </c>
      <c r="C1353" t="s">
        <v>27</v>
      </c>
      <c r="D1353" t="s">
        <v>154</v>
      </c>
      <c r="E1353" t="s">
        <v>126</v>
      </c>
      <c r="F1353" s="4">
        <v>10.371822</v>
      </c>
      <c r="G1353" s="4">
        <f>IFERROR(F1353-alt_Blanks!$I$23,F1353)</f>
        <v>10.2510846</v>
      </c>
      <c r="H1353" s="7">
        <f t="shared" si="60"/>
        <v>10.2510846</v>
      </c>
      <c r="I1353" s="7">
        <f t="shared" si="59"/>
        <v>19.100213527110121</v>
      </c>
    </row>
    <row r="1354" spans="1:9" x14ac:dyDescent="0.35">
      <c r="A1354" t="s">
        <v>133</v>
      </c>
      <c r="B1354" t="s">
        <v>134</v>
      </c>
      <c r="C1354" t="s">
        <v>28</v>
      </c>
      <c r="D1354" t="s">
        <v>155</v>
      </c>
      <c r="E1354" t="s">
        <v>126</v>
      </c>
      <c r="F1354" s="4">
        <v>13.381612199999999</v>
      </c>
      <c r="G1354" s="4">
        <f>IFERROR(F1354-alt_Blanks!$I$24,F1354)</f>
        <v>13.1344426</v>
      </c>
      <c r="H1354" s="7">
        <f t="shared" si="60"/>
        <v>13.1344426</v>
      </c>
      <c r="I1354" s="7">
        <f t="shared" si="59"/>
        <v>24.472596608906279</v>
      </c>
    </row>
    <row r="1355" spans="1:9" x14ac:dyDescent="0.35">
      <c r="A1355" t="s">
        <v>133</v>
      </c>
      <c r="B1355" t="s">
        <v>134</v>
      </c>
      <c r="C1355" t="s">
        <v>29</v>
      </c>
      <c r="D1355" t="s">
        <v>155</v>
      </c>
      <c r="E1355" t="s">
        <v>126</v>
      </c>
      <c r="F1355" s="4">
        <v>0.41200680000000001</v>
      </c>
      <c r="G1355" s="4">
        <f>IFERROR(F1355-alt_Blanks!$I$25,F1355)</f>
        <v>-6.0233999999999954E-2</v>
      </c>
      <c r="H1355" s="7">
        <f t="shared" si="60"/>
        <v>0</v>
      </c>
      <c r="I1355" s="7">
        <f t="shared" si="59"/>
        <v>0</v>
      </c>
    </row>
    <row r="1356" spans="1:9" x14ac:dyDescent="0.35">
      <c r="A1356" t="s">
        <v>133</v>
      </c>
      <c r="B1356" t="s">
        <v>134</v>
      </c>
      <c r="C1356" t="s">
        <v>30</v>
      </c>
      <c r="D1356" t="s">
        <v>155</v>
      </c>
      <c r="E1356" t="s">
        <v>126</v>
      </c>
      <c r="F1356" s="4">
        <v>101.86172789999999</v>
      </c>
      <c r="G1356" s="4">
        <f>IFERROR(F1356-alt_Blanks!$I$26,F1356)</f>
        <v>101.28155159999999</v>
      </c>
      <c r="H1356" s="7">
        <f t="shared" si="60"/>
        <v>101.28155159999999</v>
      </c>
      <c r="I1356" s="7">
        <f t="shared" si="59"/>
        <v>188.71166685299048</v>
      </c>
    </row>
    <row r="1357" spans="1:9" x14ac:dyDescent="0.35">
      <c r="A1357" t="s">
        <v>133</v>
      </c>
      <c r="B1357" t="s">
        <v>134</v>
      </c>
      <c r="C1357" t="s">
        <v>31</v>
      </c>
      <c r="D1357" t="s">
        <v>155</v>
      </c>
      <c r="E1357" t="s">
        <v>126</v>
      </c>
      <c r="F1357" s="4" t="e">
        <v>#N/A</v>
      </c>
      <c r="G1357" s="4" t="e">
        <f>IFERROR(F1357-alt_Blanks!$I$27,F1357)</f>
        <v>#N/A</v>
      </c>
      <c r="H1357" s="7" t="e">
        <f t="shared" si="60"/>
        <v>#N/A</v>
      </c>
      <c r="I1357" s="7" t="e">
        <f t="shared" si="59"/>
        <v>#N/A</v>
      </c>
    </row>
    <row r="1358" spans="1:9" x14ac:dyDescent="0.35">
      <c r="A1358" t="s">
        <v>133</v>
      </c>
      <c r="B1358" t="s">
        <v>134</v>
      </c>
      <c r="C1358" t="s">
        <v>32</v>
      </c>
      <c r="D1358" t="s">
        <v>153</v>
      </c>
      <c r="E1358" t="s">
        <v>126</v>
      </c>
      <c r="F1358" s="4">
        <v>0</v>
      </c>
      <c r="G1358" s="4">
        <f>IFERROR(F1358-alt_Blanks!$I$28,F1358)</f>
        <v>0</v>
      </c>
      <c r="H1358" s="7">
        <f t="shared" si="60"/>
        <v>0</v>
      </c>
      <c r="I1358" s="7">
        <f t="shared" si="59"/>
        <v>0</v>
      </c>
    </row>
    <row r="1359" spans="1:9" x14ac:dyDescent="0.35">
      <c r="A1359" t="s">
        <v>133</v>
      </c>
      <c r="B1359" t="s">
        <v>134</v>
      </c>
      <c r="C1359" t="s">
        <v>33</v>
      </c>
      <c r="D1359" t="s">
        <v>155</v>
      </c>
      <c r="E1359" t="s">
        <v>126</v>
      </c>
      <c r="F1359" s="4">
        <v>109.0812284</v>
      </c>
      <c r="G1359" s="4">
        <f>IFERROR(F1359-alt_Blanks!$I$29,F1359)</f>
        <v>108.4696074</v>
      </c>
      <c r="H1359" s="7">
        <f t="shared" si="60"/>
        <v>108.4696074</v>
      </c>
      <c r="I1359" s="7">
        <f t="shared" si="59"/>
        <v>202.1047277808832</v>
      </c>
    </row>
    <row r="1360" spans="1:9" x14ac:dyDescent="0.35">
      <c r="A1360" t="s">
        <v>133</v>
      </c>
      <c r="B1360" t="s">
        <v>134</v>
      </c>
      <c r="C1360" t="s">
        <v>34</v>
      </c>
      <c r="D1360" t="s">
        <v>153</v>
      </c>
      <c r="E1360" t="s">
        <v>126</v>
      </c>
      <c r="F1360" s="4">
        <v>0</v>
      </c>
      <c r="G1360" s="4">
        <f>IFERROR(F1360-alt_Blanks!$I$30,F1360)</f>
        <v>0</v>
      </c>
      <c r="H1360" s="7">
        <f t="shared" si="60"/>
        <v>0</v>
      </c>
      <c r="I1360" s="7">
        <f t="shared" si="59"/>
        <v>0</v>
      </c>
    </row>
    <row r="1361" spans="1:9" x14ac:dyDescent="0.35">
      <c r="A1361" t="s">
        <v>133</v>
      </c>
      <c r="B1361" t="s">
        <v>134</v>
      </c>
      <c r="C1361" t="s">
        <v>35</v>
      </c>
      <c r="D1361" t="s">
        <v>154</v>
      </c>
      <c r="E1361" t="s">
        <v>126</v>
      </c>
      <c r="F1361" s="4">
        <v>117.46670810000001</v>
      </c>
      <c r="G1361" s="4">
        <f>IFERROR(F1361-alt_Blanks!$I$31,F1361)</f>
        <v>15.012074500000011</v>
      </c>
      <c r="H1361" s="7">
        <f t="shared" si="60"/>
        <v>15.012074500000011</v>
      </c>
      <c r="I1361" s="7">
        <f t="shared" si="59"/>
        <v>27.97107229364638</v>
      </c>
    </row>
    <row r="1362" spans="1:9" x14ac:dyDescent="0.35">
      <c r="A1362" t="s">
        <v>133</v>
      </c>
      <c r="B1362" t="s">
        <v>134</v>
      </c>
      <c r="C1362" t="s">
        <v>36</v>
      </c>
      <c r="D1362" t="s">
        <v>155</v>
      </c>
      <c r="E1362" t="s">
        <v>126</v>
      </c>
      <c r="F1362" s="4">
        <v>1.8754280000000001</v>
      </c>
      <c r="G1362" s="4">
        <f>IFERROR(F1362-alt_Blanks!$I$32,F1362)</f>
        <v>-5.2140499999999923E-2</v>
      </c>
      <c r="H1362" s="7">
        <f t="shared" si="60"/>
        <v>0</v>
      </c>
      <c r="I1362" s="7">
        <f t="shared" si="59"/>
        <v>0</v>
      </c>
    </row>
    <row r="1363" spans="1:9" x14ac:dyDescent="0.35">
      <c r="A1363" t="s">
        <v>133</v>
      </c>
      <c r="B1363" t="s">
        <v>134</v>
      </c>
      <c r="C1363" t="s">
        <v>37</v>
      </c>
      <c r="D1363" t="s">
        <v>155</v>
      </c>
      <c r="E1363" t="s">
        <v>126</v>
      </c>
      <c r="F1363" s="4">
        <v>2.6542840000000001</v>
      </c>
      <c r="G1363" s="4">
        <f>IFERROR(F1363-alt_Blanks!$I$33,F1363)</f>
        <v>2.6542840000000001</v>
      </c>
      <c r="H1363" s="7">
        <f t="shared" si="60"/>
        <v>2.6542840000000001</v>
      </c>
      <c r="I1363" s="7">
        <f t="shared" si="59"/>
        <v>4.945563629588225</v>
      </c>
    </row>
    <row r="1364" spans="1:9" x14ac:dyDescent="0.35">
      <c r="A1364" t="s">
        <v>133</v>
      </c>
      <c r="B1364" t="s">
        <v>134</v>
      </c>
      <c r="C1364" t="s">
        <v>38</v>
      </c>
      <c r="D1364" t="s">
        <v>155</v>
      </c>
      <c r="E1364" t="s">
        <v>126</v>
      </c>
      <c r="F1364" s="4">
        <v>1.7200401999999999</v>
      </c>
      <c r="G1364" s="4">
        <f>IFERROR(F1364-alt_Blanks!$I$34,F1364)</f>
        <v>1.7200401999999999</v>
      </c>
      <c r="H1364" s="7">
        <f t="shared" si="60"/>
        <v>1.7200401999999999</v>
      </c>
      <c r="I1364" s="7">
        <f t="shared" si="59"/>
        <v>3.2048447922489287</v>
      </c>
    </row>
    <row r="1365" spans="1:9" x14ac:dyDescent="0.35">
      <c r="A1365" t="s">
        <v>133</v>
      </c>
      <c r="B1365" t="s">
        <v>134</v>
      </c>
      <c r="C1365" t="s">
        <v>39</v>
      </c>
      <c r="D1365" t="s">
        <v>153</v>
      </c>
      <c r="E1365" t="s">
        <v>126</v>
      </c>
      <c r="F1365" s="4">
        <v>0</v>
      </c>
      <c r="G1365" s="4">
        <f>IFERROR(F1365-alt_Blanks!$I$35,F1365)</f>
        <v>0</v>
      </c>
      <c r="H1365" s="7">
        <f t="shared" si="60"/>
        <v>0</v>
      </c>
      <c r="I1365" s="7">
        <f t="shared" si="59"/>
        <v>0</v>
      </c>
    </row>
    <row r="1366" spans="1:9" x14ac:dyDescent="0.35">
      <c r="A1366" t="s">
        <v>133</v>
      </c>
      <c r="B1366" t="s">
        <v>134</v>
      </c>
      <c r="C1366" t="s">
        <v>40</v>
      </c>
      <c r="D1366" t="s">
        <v>154</v>
      </c>
      <c r="E1366" t="s">
        <v>126</v>
      </c>
      <c r="F1366" s="4">
        <v>0</v>
      </c>
      <c r="G1366" s="4">
        <f>IFERROR(F1366-alt_Blanks!$I$36,F1366)</f>
        <v>0</v>
      </c>
      <c r="H1366" s="7">
        <f t="shared" si="60"/>
        <v>0</v>
      </c>
      <c r="I1366" s="7">
        <f t="shared" si="59"/>
        <v>0</v>
      </c>
    </row>
    <row r="1367" spans="1:9" x14ac:dyDescent="0.35">
      <c r="A1367" t="s">
        <v>135</v>
      </c>
      <c r="B1367" t="s">
        <v>136</v>
      </c>
      <c r="C1367" t="s">
        <v>6</v>
      </c>
      <c r="D1367" t="s">
        <v>153</v>
      </c>
      <c r="E1367" t="s">
        <v>126</v>
      </c>
      <c r="F1367" s="4">
        <v>6.7255191000000005</v>
      </c>
      <c r="G1367" s="4">
        <f>IFERROR(F1367-alt_Blanks!$I$2,F1367)</f>
        <v>1.8977999999999717E-2</v>
      </c>
      <c r="H1367" s="7">
        <f t="shared" si="60"/>
        <v>1.8977999999999717E-2</v>
      </c>
      <c r="I1367" s="7">
        <f>H1367/0.7141</f>
        <v>2.6576109788544626E-2</v>
      </c>
    </row>
    <row r="1368" spans="1:9" x14ac:dyDescent="0.35">
      <c r="A1368" t="s">
        <v>135</v>
      </c>
      <c r="B1368" t="s">
        <v>136</v>
      </c>
      <c r="C1368" t="s">
        <v>7</v>
      </c>
      <c r="D1368" t="s">
        <v>153</v>
      </c>
      <c r="E1368" t="s">
        <v>126</v>
      </c>
      <c r="F1368" s="4">
        <v>0</v>
      </c>
      <c r="G1368" s="4">
        <f>IFERROR(F1368-alt_Blanks!$I$3,F1368)</f>
        <v>0</v>
      </c>
      <c r="H1368" s="7">
        <f t="shared" si="60"/>
        <v>0</v>
      </c>
      <c r="I1368" s="7">
        <f t="shared" ref="I1368:I1401" si="61">H1368/0.7141</f>
        <v>0</v>
      </c>
    </row>
    <row r="1369" spans="1:9" x14ac:dyDescent="0.35">
      <c r="A1369" t="s">
        <v>135</v>
      </c>
      <c r="B1369" t="s">
        <v>136</v>
      </c>
      <c r="C1369" t="s">
        <v>8</v>
      </c>
      <c r="D1369" t="s">
        <v>153</v>
      </c>
      <c r="E1369" t="s">
        <v>126</v>
      </c>
      <c r="F1369" s="4" t="e">
        <v>#N/A</v>
      </c>
      <c r="G1369" s="4" t="e">
        <f>IFERROR(F1369-alt_Blanks!$I$4,F1369)</f>
        <v>#N/A</v>
      </c>
      <c r="H1369" s="7" t="e">
        <f t="shared" si="60"/>
        <v>#N/A</v>
      </c>
      <c r="I1369" s="7" t="e">
        <f t="shared" si="61"/>
        <v>#N/A</v>
      </c>
    </row>
    <row r="1370" spans="1:9" x14ac:dyDescent="0.35">
      <c r="A1370" t="s">
        <v>135</v>
      </c>
      <c r="B1370" t="s">
        <v>136</v>
      </c>
      <c r="C1370" t="s">
        <v>9</v>
      </c>
      <c r="D1370" t="s">
        <v>153</v>
      </c>
      <c r="E1370" t="s">
        <v>126</v>
      </c>
      <c r="F1370" s="4">
        <v>16.954508499999999</v>
      </c>
      <c r="G1370" s="4">
        <f>IFERROR(F1370-alt_Blanks!$I$5,F1370)</f>
        <v>16.954508499999999</v>
      </c>
      <c r="H1370" s="7">
        <f t="shared" si="60"/>
        <v>16.954508499999999</v>
      </c>
      <c r="I1370" s="7">
        <f t="shared" si="61"/>
        <v>23.742484946085984</v>
      </c>
    </row>
    <row r="1371" spans="1:9" x14ac:dyDescent="0.35">
      <c r="A1371" t="s">
        <v>135</v>
      </c>
      <c r="B1371" t="s">
        <v>136</v>
      </c>
      <c r="C1371" t="s">
        <v>10</v>
      </c>
      <c r="D1371" t="s">
        <v>153</v>
      </c>
      <c r="E1371" t="s">
        <v>126</v>
      </c>
      <c r="F1371" s="4">
        <v>98.337982699999998</v>
      </c>
      <c r="G1371" s="4">
        <f>IFERROR(F1371-alt_Blanks!$I$6,F1371)</f>
        <v>98.337982699999998</v>
      </c>
      <c r="H1371" s="7">
        <f t="shared" si="60"/>
        <v>98.337982699999998</v>
      </c>
      <c r="I1371" s="7">
        <f t="shared" si="61"/>
        <v>137.70898011482987</v>
      </c>
    </row>
    <row r="1372" spans="1:9" x14ac:dyDescent="0.35">
      <c r="A1372" t="s">
        <v>135</v>
      </c>
      <c r="B1372" t="s">
        <v>136</v>
      </c>
      <c r="C1372" t="s">
        <v>11</v>
      </c>
      <c r="D1372" t="s">
        <v>153</v>
      </c>
      <c r="E1372" t="s">
        <v>126</v>
      </c>
      <c r="F1372" s="4">
        <v>111.37034600000001</v>
      </c>
      <c r="G1372" s="4">
        <f>IFERROR(F1372-alt_Blanks!$I$7,F1372)</f>
        <v>111.37034600000001</v>
      </c>
      <c r="H1372" s="7">
        <f t="shared" si="60"/>
        <v>111.37034600000001</v>
      </c>
      <c r="I1372" s="7">
        <f t="shared" si="61"/>
        <v>155.95903374877471</v>
      </c>
    </row>
    <row r="1373" spans="1:9" x14ac:dyDescent="0.35">
      <c r="A1373" t="s">
        <v>135</v>
      </c>
      <c r="B1373" t="s">
        <v>136</v>
      </c>
      <c r="C1373" t="s">
        <v>12</v>
      </c>
      <c r="D1373" t="s">
        <v>154</v>
      </c>
      <c r="E1373" t="s">
        <v>126</v>
      </c>
      <c r="F1373" s="4">
        <v>0</v>
      </c>
      <c r="G1373" s="4">
        <f>IFERROR(F1373-alt_Blanks!$I$8,F1373)</f>
        <v>0</v>
      </c>
      <c r="H1373" s="7">
        <f t="shared" si="60"/>
        <v>0</v>
      </c>
      <c r="I1373" s="7">
        <f t="shared" si="61"/>
        <v>0</v>
      </c>
    </row>
    <row r="1374" spans="1:9" x14ac:dyDescent="0.35">
      <c r="A1374" t="s">
        <v>135</v>
      </c>
      <c r="B1374" t="s">
        <v>136</v>
      </c>
      <c r="C1374" t="s">
        <v>13</v>
      </c>
      <c r="D1374" t="s">
        <v>153</v>
      </c>
      <c r="E1374" t="s">
        <v>126</v>
      </c>
      <c r="F1374" s="4">
        <v>19.481494600000001</v>
      </c>
      <c r="G1374" s="4">
        <f>IFERROR(F1374-alt_Blanks!$I$9,F1374)</f>
        <v>19.481494600000001</v>
      </c>
      <c r="H1374" s="7">
        <f t="shared" si="60"/>
        <v>19.481494600000001</v>
      </c>
      <c r="I1374" s="7">
        <f t="shared" si="61"/>
        <v>27.281185548242547</v>
      </c>
    </row>
    <row r="1375" spans="1:9" x14ac:dyDescent="0.35">
      <c r="A1375" t="s">
        <v>135</v>
      </c>
      <c r="B1375" t="s">
        <v>136</v>
      </c>
      <c r="C1375" t="s">
        <v>14</v>
      </c>
      <c r="D1375" t="s">
        <v>154</v>
      </c>
      <c r="E1375" t="s">
        <v>126</v>
      </c>
      <c r="F1375" s="4">
        <v>0</v>
      </c>
      <c r="G1375" s="4">
        <f>IFERROR(F1375-alt_Blanks!$I$10,F1375)</f>
        <v>0</v>
      </c>
      <c r="H1375" s="7">
        <f t="shared" si="60"/>
        <v>0</v>
      </c>
      <c r="I1375" s="7">
        <f t="shared" si="61"/>
        <v>0</v>
      </c>
    </row>
    <row r="1376" spans="1:9" x14ac:dyDescent="0.35">
      <c r="A1376" t="s">
        <v>135</v>
      </c>
      <c r="B1376" t="s">
        <v>136</v>
      </c>
      <c r="C1376" t="s">
        <v>15</v>
      </c>
      <c r="D1376" t="s">
        <v>153</v>
      </c>
      <c r="E1376" t="s">
        <v>126</v>
      </c>
      <c r="F1376" s="4">
        <v>2738.5680073000003</v>
      </c>
      <c r="G1376" s="4">
        <f>IFERROR(F1376-alt_Blanks!$I$11,F1376)</f>
        <v>1933.3513176000004</v>
      </c>
      <c r="H1376" s="7">
        <f t="shared" si="60"/>
        <v>1933.3513176000004</v>
      </c>
      <c r="I1376" s="7">
        <f t="shared" si="61"/>
        <v>2707.3957675395609</v>
      </c>
    </row>
    <row r="1377" spans="1:9" x14ac:dyDescent="0.35">
      <c r="A1377" t="s">
        <v>135</v>
      </c>
      <c r="B1377" t="s">
        <v>136</v>
      </c>
      <c r="C1377" t="s">
        <v>16</v>
      </c>
      <c r="D1377" t="s">
        <v>154</v>
      </c>
      <c r="E1377" t="s">
        <v>126</v>
      </c>
      <c r="F1377" s="4">
        <v>347.50973759999999</v>
      </c>
      <c r="G1377" s="4">
        <f>IFERROR(F1377-alt_Blanks!$I$12,F1377)</f>
        <v>347.50973759999999</v>
      </c>
      <c r="H1377" s="7">
        <f t="shared" si="60"/>
        <v>347.50973759999999</v>
      </c>
      <c r="I1377" s="7">
        <f t="shared" si="61"/>
        <v>486.64015908136116</v>
      </c>
    </row>
    <row r="1378" spans="1:9" x14ac:dyDescent="0.35">
      <c r="A1378" t="s">
        <v>135</v>
      </c>
      <c r="B1378" t="s">
        <v>136</v>
      </c>
      <c r="C1378" t="s">
        <v>17</v>
      </c>
      <c r="D1378" t="s">
        <v>153</v>
      </c>
      <c r="E1378" t="s">
        <v>126</v>
      </c>
      <c r="F1378" s="4">
        <v>25.551999199999997</v>
      </c>
      <c r="G1378" s="4">
        <f>IFERROR(F1378-alt_Blanks!$I$13,F1378)</f>
        <v>24.699285699999997</v>
      </c>
      <c r="H1378" s="7">
        <f t="shared" si="60"/>
        <v>24.699285699999997</v>
      </c>
      <c r="I1378" s="7">
        <f t="shared" si="61"/>
        <v>34.587992858143117</v>
      </c>
    </row>
    <row r="1379" spans="1:9" x14ac:dyDescent="0.35">
      <c r="A1379" t="s">
        <v>135</v>
      </c>
      <c r="B1379" t="s">
        <v>136</v>
      </c>
      <c r="C1379" t="s">
        <v>18</v>
      </c>
      <c r="D1379" t="s">
        <v>154</v>
      </c>
      <c r="E1379" t="s">
        <v>126</v>
      </c>
      <c r="F1379" s="4">
        <v>0</v>
      </c>
      <c r="G1379" s="4">
        <f>IFERROR(F1379-alt_Blanks!$I$14,F1379)</f>
        <v>0</v>
      </c>
      <c r="H1379" s="7">
        <f t="shared" si="60"/>
        <v>0</v>
      </c>
      <c r="I1379" s="7">
        <f t="shared" si="61"/>
        <v>0</v>
      </c>
    </row>
    <row r="1380" spans="1:9" x14ac:dyDescent="0.35">
      <c r="A1380" t="s">
        <v>135</v>
      </c>
      <c r="B1380" t="s">
        <v>136</v>
      </c>
      <c r="C1380" t="s">
        <v>19</v>
      </c>
      <c r="D1380" t="s">
        <v>153</v>
      </c>
      <c r="E1380" t="s">
        <v>126</v>
      </c>
      <c r="F1380" s="4">
        <v>549.42976870000007</v>
      </c>
      <c r="G1380" s="4">
        <f>IFERROR(F1380-alt_Blanks!$I$15,F1380)</f>
        <v>280.80637160000009</v>
      </c>
      <c r="H1380" s="7">
        <f t="shared" si="60"/>
        <v>280.80637160000009</v>
      </c>
      <c r="I1380" s="7">
        <f t="shared" si="61"/>
        <v>393.23116034168896</v>
      </c>
    </row>
    <row r="1381" spans="1:9" x14ac:dyDescent="0.35">
      <c r="A1381" t="s">
        <v>135</v>
      </c>
      <c r="B1381" t="s">
        <v>136</v>
      </c>
      <c r="C1381" t="s">
        <v>20</v>
      </c>
      <c r="D1381" t="s">
        <v>154</v>
      </c>
      <c r="E1381" t="s">
        <v>126</v>
      </c>
      <c r="F1381" s="4">
        <v>477.99272210000004</v>
      </c>
      <c r="G1381" s="4">
        <f>IFERROR(F1381-alt_Blanks!$I$16,F1381)</f>
        <v>459.52680890000005</v>
      </c>
      <c r="H1381" s="7">
        <f t="shared" si="60"/>
        <v>459.52680890000005</v>
      </c>
      <c r="I1381" s="7">
        <f t="shared" si="61"/>
        <v>643.50484371936716</v>
      </c>
    </row>
    <row r="1382" spans="1:9" x14ac:dyDescent="0.35">
      <c r="A1382" t="s">
        <v>135</v>
      </c>
      <c r="B1382" t="s">
        <v>136</v>
      </c>
      <c r="C1382" t="s">
        <v>21</v>
      </c>
      <c r="D1382" t="s">
        <v>155</v>
      </c>
      <c r="E1382" t="s">
        <v>126</v>
      </c>
      <c r="F1382" s="4">
        <v>1.9112914000000001</v>
      </c>
      <c r="G1382" s="4">
        <f>IFERROR(F1382-alt_Blanks!$I$17,F1382)</f>
        <v>1.5793380000000001</v>
      </c>
      <c r="H1382" s="7">
        <f t="shared" si="60"/>
        <v>1.5793380000000001</v>
      </c>
      <c r="I1382" s="7">
        <f t="shared" si="61"/>
        <v>2.2116482285394206</v>
      </c>
    </row>
    <row r="1383" spans="1:9" x14ac:dyDescent="0.35">
      <c r="A1383" t="s">
        <v>135</v>
      </c>
      <c r="B1383" t="s">
        <v>136</v>
      </c>
      <c r="C1383" t="s">
        <v>22</v>
      </c>
      <c r="D1383" t="s">
        <v>155</v>
      </c>
      <c r="E1383" t="s">
        <v>126</v>
      </c>
      <c r="F1383" s="4">
        <v>286.14591769999998</v>
      </c>
      <c r="G1383" s="4">
        <f>IFERROR(F1383-alt_Blanks!$I$18,F1383)</f>
        <v>280.1424581</v>
      </c>
      <c r="H1383" s="7">
        <f t="shared" si="60"/>
        <v>280.1424581</v>
      </c>
      <c r="I1383" s="7">
        <f t="shared" si="61"/>
        <v>392.30143971432574</v>
      </c>
    </row>
    <row r="1384" spans="1:9" x14ac:dyDescent="0.35">
      <c r="A1384" t="s">
        <v>135</v>
      </c>
      <c r="B1384" t="s">
        <v>136</v>
      </c>
      <c r="C1384" t="s">
        <v>23</v>
      </c>
      <c r="D1384" t="s">
        <v>155</v>
      </c>
      <c r="E1384" t="s">
        <v>126</v>
      </c>
      <c r="F1384" s="4">
        <v>0</v>
      </c>
      <c r="G1384" s="4">
        <f>IFERROR(F1384-alt_Blanks!$I$19,F1384)</f>
        <v>0</v>
      </c>
      <c r="H1384" s="7">
        <f t="shared" si="60"/>
        <v>0</v>
      </c>
      <c r="I1384" s="7">
        <f t="shared" si="61"/>
        <v>0</v>
      </c>
    </row>
    <row r="1385" spans="1:9" x14ac:dyDescent="0.35">
      <c r="A1385" t="s">
        <v>135</v>
      </c>
      <c r="B1385" t="s">
        <v>136</v>
      </c>
      <c r="C1385" t="s">
        <v>24</v>
      </c>
      <c r="D1385" t="s">
        <v>155</v>
      </c>
      <c r="E1385" t="s">
        <v>126</v>
      </c>
      <c r="F1385" s="4">
        <v>274.66328340000001</v>
      </c>
      <c r="G1385" s="4">
        <f>IFERROR(F1385-alt_Blanks!$I$20,F1385)</f>
        <v>272.72530799999998</v>
      </c>
      <c r="H1385" s="7">
        <f t="shared" si="60"/>
        <v>272.72530799999998</v>
      </c>
      <c r="I1385" s="7">
        <f t="shared" si="61"/>
        <v>381.91472902954769</v>
      </c>
    </row>
    <row r="1386" spans="1:9" x14ac:dyDescent="0.35">
      <c r="A1386" t="s">
        <v>135</v>
      </c>
      <c r="B1386" t="s">
        <v>136</v>
      </c>
      <c r="C1386" t="s">
        <v>25</v>
      </c>
      <c r="D1386" t="s">
        <v>155</v>
      </c>
      <c r="E1386" t="s">
        <v>126</v>
      </c>
      <c r="F1386" s="4">
        <v>16.514241900000002</v>
      </c>
      <c r="G1386" s="4">
        <f>IFERROR(F1386-alt_Blanks!$I$21,F1386)</f>
        <v>16.299732800000001</v>
      </c>
      <c r="H1386" s="7">
        <f t="shared" si="60"/>
        <v>16.299732800000001</v>
      </c>
      <c r="I1386" s="7">
        <f t="shared" si="61"/>
        <v>22.825560565747097</v>
      </c>
    </row>
    <row r="1387" spans="1:9" x14ac:dyDescent="0.35">
      <c r="A1387" t="s">
        <v>135</v>
      </c>
      <c r="B1387" t="s">
        <v>136</v>
      </c>
      <c r="C1387" t="s">
        <v>26</v>
      </c>
      <c r="D1387" t="s">
        <v>153</v>
      </c>
      <c r="E1387" t="s">
        <v>126</v>
      </c>
      <c r="F1387" s="4">
        <v>1.69143</v>
      </c>
      <c r="G1387" s="4">
        <f>IFERROR(F1387-alt_Blanks!$I$22,F1387)</f>
        <v>9.6708600000000144E-2</v>
      </c>
      <c r="H1387" s="7">
        <f t="shared" si="60"/>
        <v>9.6708600000000144E-2</v>
      </c>
      <c r="I1387" s="7">
        <f t="shared" si="61"/>
        <v>0.13542725108528239</v>
      </c>
    </row>
    <row r="1388" spans="1:9" x14ac:dyDescent="0.35">
      <c r="A1388" t="s">
        <v>135</v>
      </c>
      <c r="B1388" t="s">
        <v>136</v>
      </c>
      <c r="C1388" t="s">
        <v>27</v>
      </c>
      <c r="D1388" t="s">
        <v>154</v>
      </c>
      <c r="E1388" t="s">
        <v>126</v>
      </c>
      <c r="F1388" s="4">
        <v>16.010990799999998</v>
      </c>
      <c r="G1388" s="4">
        <f>IFERROR(F1388-alt_Blanks!$I$23,F1388)</f>
        <v>15.890253399999999</v>
      </c>
      <c r="H1388" s="7">
        <f t="shared" si="60"/>
        <v>15.890253399999999</v>
      </c>
      <c r="I1388" s="7">
        <f t="shared" si="61"/>
        <v>22.252140316482286</v>
      </c>
    </row>
    <row r="1389" spans="1:9" x14ac:dyDescent="0.35">
      <c r="A1389" t="s">
        <v>135</v>
      </c>
      <c r="B1389" t="s">
        <v>136</v>
      </c>
      <c r="C1389" t="s">
        <v>28</v>
      </c>
      <c r="D1389" t="s">
        <v>155</v>
      </c>
      <c r="E1389" t="s">
        <v>126</v>
      </c>
      <c r="F1389" s="4">
        <v>38.918843699999996</v>
      </c>
      <c r="G1389" s="4">
        <f>IFERROR(F1389-alt_Blanks!$I$24,F1389)</f>
        <v>38.671674099999997</v>
      </c>
      <c r="H1389" s="7">
        <f t="shared" si="60"/>
        <v>38.671674099999997</v>
      </c>
      <c r="I1389" s="7">
        <f t="shared" si="61"/>
        <v>54.154423890211454</v>
      </c>
    </row>
    <row r="1390" spans="1:9" x14ac:dyDescent="0.35">
      <c r="A1390" t="s">
        <v>135</v>
      </c>
      <c r="B1390" t="s">
        <v>136</v>
      </c>
      <c r="C1390" t="s">
        <v>29</v>
      </c>
      <c r="D1390" t="s">
        <v>155</v>
      </c>
      <c r="E1390" t="s">
        <v>126</v>
      </c>
      <c r="F1390" s="4">
        <v>0.91557699999999997</v>
      </c>
      <c r="G1390" s="4">
        <f>IFERROR(F1390-alt_Blanks!$I$25,F1390)</f>
        <v>0.44333620000000001</v>
      </c>
      <c r="H1390" s="7">
        <f t="shared" si="60"/>
        <v>0.44333620000000001</v>
      </c>
      <c r="I1390" s="7">
        <f t="shared" si="61"/>
        <v>0.62083209634504977</v>
      </c>
    </row>
    <row r="1391" spans="1:9" x14ac:dyDescent="0.35">
      <c r="A1391" t="s">
        <v>135</v>
      </c>
      <c r="B1391" t="s">
        <v>136</v>
      </c>
      <c r="C1391" t="s">
        <v>30</v>
      </c>
      <c r="D1391" t="s">
        <v>155</v>
      </c>
      <c r="E1391" t="s">
        <v>126</v>
      </c>
      <c r="F1391" s="4">
        <v>263.19871120000005</v>
      </c>
      <c r="G1391" s="4">
        <f>IFERROR(F1391-alt_Blanks!$I$26,F1391)</f>
        <v>262.61853490000004</v>
      </c>
      <c r="H1391" s="7">
        <f t="shared" si="60"/>
        <v>262.61853490000004</v>
      </c>
      <c r="I1391" s="7">
        <f t="shared" si="61"/>
        <v>367.76156686738562</v>
      </c>
    </row>
    <row r="1392" spans="1:9" x14ac:dyDescent="0.35">
      <c r="A1392" t="s">
        <v>135</v>
      </c>
      <c r="B1392" t="s">
        <v>136</v>
      </c>
      <c r="C1392" t="s">
        <v>31</v>
      </c>
      <c r="D1392" t="s">
        <v>155</v>
      </c>
      <c r="E1392" t="s">
        <v>126</v>
      </c>
      <c r="F1392" s="4">
        <v>9.8058727999999995</v>
      </c>
      <c r="G1392" s="4">
        <f>IFERROR(F1392-alt_Blanks!$I$27,F1392)</f>
        <v>9.8058727999999995</v>
      </c>
      <c r="H1392" s="7">
        <f t="shared" si="60"/>
        <v>9.8058727999999995</v>
      </c>
      <c r="I1392" s="7">
        <f t="shared" si="61"/>
        <v>13.731792185968352</v>
      </c>
    </row>
    <row r="1393" spans="1:9" x14ac:dyDescent="0.35">
      <c r="A1393" t="s">
        <v>135</v>
      </c>
      <c r="B1393" t="s">
        <v>136</v>
      </c>
      <c r="C1393" t="s">
        <v>32</v>
      </c>
      <c r="D1393" t="s">
        <v>153</v>
      </c>
      <c r="E1393" t="s">
        <v>126</v>
      </c>
      <c r="F1393" s="4">
        <v>0</v>
      </c>
      <c r="G1393" s="4">
        <f>IFERROR(F1393-alt_Blanks!$I$28,F1393)</f>
        <v>0</v>
      </c>
      <c r="H1393" s="7">
        <f t="shared" si="60"/>
        <v>0</v>
      </c>
      <c r="I1393" s="7">
        <f t="shared" si="61"/>
        <v>0</v>
      </c>
    </row>
    <row r="1394" spans="1:9" x14ac:dyDescent="0.35">
      <c r="A1394" t="s">
        <v>135</v>
      </c>
      <c r="B1394" t="s">
        <v>136</v>
      </c>
      <c r="C1394" t="s">
        <v>33</v>
      </c>
      <c r="D1394" t="s">
        <v>155</v>
      </c>
      <c r="E1394" t="s">
        <v>126</v>
      </c>
      <c r="F1394" s="4">
        <v>213.88310750000002</v>
      </c>
      <c r="G1394" s="4">
        <f>IFERROR(F1394-alt_Blanks!$I$29,F1394)</f>
        <v>213.27148650000001</v>
      </c>
      <c r="H1394" s="7">
        <f t="shared" si="60"/>
        <v>213.27148650000001</v>
      </c>
      <c r="I1394" s="7">
        <f t="shared" si="61"/>
        <v>298.65773211034872</v>
      </c>
    </row>
    <row r="1395" spans="1:9" x14ac:dyDescent="0.35">
      <c r="A1395" t="s">
        <v>135</v>
      </c>
      <c r="B1395" t="s">
        <v>136</v>
      </c>
      <c r="C1395" t="s">
        <v>34</v>
      </c>
      <c r="D1395" t="s">
        <v>153</v>
      </c>
      <c r="E1395" t="s">
        <v>126</v>
      </c>
      <c r="F1395" s="4">
        <v>0</v>
      </c>
      <c r="G1395" s="4">
        <f>IFERROR(F1395-alt_Blanks!$I$30,F1395)</f>
        <v>0</v>
      </c>
      <c r="H1395" s="7">
        <f t="shared" si="60"/>
        <v>0</v>
      </c>
      <c r="I1395" s="7">
        <f t="shared" si="61"/>
        <v>0</v>
      </c>
    </row>
    <row r="1396" spans="1:9" x14ac:dyDescent="0.35">
      <c r="A1396" t="s">
        <v>135</v>
      </c>
      <c r="B1396" t="s">
        <v>136</v>
      </c>
      <c r="C1396" t="s">
        <v>35</v>
      </c>
      <c r="D1396" t="s">
        <v>154</v>
      </c>
      <c r="E1396" t="s">
        <v>126</v>
      </c>
      <c r="F1396" s="4">
        <v>116.80064160000001</v>
      </c>
      <c r="G1396" s="4">
        <f>IFERROR(F1396-alt_Blanks!$I$31,F1396)</f>
        <v>14.346008000000012</v>
      </c>
      <c r="H1396" s="7">
        <f t="shared" si="60"/>
        <v>14.346008000000012</v>
      </c>
      <c r="I1396" s="7">
        <f t="shared" si="61"/>
        <v>20.089634504971311</v>
      </c>
    </row>
    <row r="1397" spans="1:9" x14ac:dyDescent="0.35">
      <c r="A1397" t="s">
        <v>135</v>
      </c>
      <c r="B1397" t="s">
        <v>136</v>
      </c>
      <c r="C1397" t="s">
        <v>36</v>
      </c>
      <c r="D1397" t="s">
        <v>155</v>
      </c>
      <c r="E1397" t="s">
        <v>126</v>
      </c>
      <c r="F1397" s="4">
        <v>1.9571567000000001</v>
      </c>
      <c r="G1397" s="4">
        <f>IFERROR(F1397-alt_Blanks!$I$32,F1397)</f>
        <v>2.9588200000000064E-2</v>
      </c>
      <c r="H1397" s="7">
        <f t="shared" si="60"/>
        <v>2.9588200000000064E-2</v>
      </c>
      <c r="I1397" s="7">
        <f t="shared" si="61"/>
        <v>4.1434252905755586E-2</v>
      </c>
    </row>
    <row r="1398" spans="1:9" x14ac:dyDescent="0.35">
      <c r="A1398" t="s">
        <v>135</v>
      </c>
      <c r="B1398" t="s">
        <v>136</v>
      </c>
      <c r="C1398" t="s">
        <v>37</v>
      </c>
      <c r="D1398" t="s">
        <v>155</v>
      </c>
      <c r="E1398" t="s">
        <v>126</v>
      </c>
      <c r="F1398" s="4">
        <v>7.7411357000000001</v>
      </c>
      <c r="G1398" s="4">
        <f>IFERROR(F1398-alt_Blanks!$I$33,F1398)</f>
        <v>7.7411357000000001</v>
      </c>
      <c r="H1398" s="7">
        <f t="shared" si="60"/>
        <v>7.7411357000000001</v>
      </c>
      <c r="I1398" s="7">
        <f t="shared" si="61"/>
        <v>10.840408486206414</v>
      </c>
    </row>
    <row r="1399" spans="1:9" x14ac:dyDescent="0.35">
      <c r="A1399" t="s">
        <v>135</v>
      </c>
      <c r="B1399" t="s">
        <v>136</v>
      </c>
      <c r="C1399" t="s">
        <v>38</v>
      </c>
      <c r="D1399" t="s">
        <v>155</v>
      </c>
      <c r="E1399" t="s">
        <v>126</v>
      </c>
      <c r="F1399" s="4">
        <v>8.2331139000000011</v>
      </c>
      <c r="G1399" s="4">
        <f>IFERROR(F1399-alt_Blanks!$I$34,F1399)</f>
        <v>8.2331139000000011</v>
      </c>
      <c r="H1399" s="7">
        <f t="shared" si="60"/>
        <v>8.2331139000000011</v>
      </c>
      <c r="I1399" s="7">
        <f t="shared" si="61"/>
        <v>11.529357092844142</v>
      </c>
    </row>
    <row r="1400" spans="1:9" x14ac:dyDescent="0.35">
      <c r="A1400" t="s">
        <v>135</v>
      </c>
      <c r="B1400" t="s">
        <v>136</v>
      </c>
      <c r="C1400" t="s">
        <v>39</v>
      </c>
      <c r="D1400" t="s">
        <v>153</v>
      </c>
      <c r="E1400" t="s">
        <v>126</v>
      </c>
      <c r="F1400" s="4">
        <v>0</v>
      </c>
      <c r="G1400" s="4">
        <f>IFERROR(F1400-alt_Blanks!$I$35,F1400)</f>
        <v>0</v>
      </c>
      <c r="H1400" s="7">
        <f t="shared" si="60"/>
        <v>0</v>
      </c>
      <c r="I1400" s="7">
        <f t="shared" si="61"/>
        <v>0</v>
      </c>
    </row>
    <row r="1401" spans="1:9" x14ac:dyDescent="0.35">
      <c r="A1401" t="s">
        <v>135</v>
      </c>
      <c r="B1401" t="s">
        <v>136</v>
      </c>
      <c r="C1401" t="s">
        <v>40</v>
      </c>
      <c r="D1401" t="s">
        <v>154</v>
      </c>
      <c r="E1401" t="s">
        <v>126</v>
      </c>
      <c r="F1401" s="4">
        <v>0</v>
      </c>
      <c r="G1401" s="4">
        <f>IFERROR(F1401-alt_Blanks!$I$36,F1401)</f>
        <v>0</v>
      </c>
      <c r="H1401" s="7">
        <f t="shared" si="60"/>
        <v>0</v>
      </c>
      <c r="I1401" s="7">
        <f t="shared" si="61"/>
        <v>0</v>
      </c>
    </row>
    <row r="1402" spans="1:9" x14ac:dyDescent="0.35">
      <c r="A1402" t="s">
        <v>137</v>
      </c>
      <c r="B1402" t="s">
        <v>138</v>
      </c>
      <c r="C1402" t="s">
        <v>6</v>
      </c>
      <c r="D1402" t="s">
        <v>153</v>
      </c>
      <c r="E1402" t="s">
        <v>126</v>
      </c>
      <c r="F1402" s="4">
        <v>6.7232431999999998</v>
      </c>
      <c r="G1402" s="4">
        <f>IFERROR(F1402-alt_Blanks!$I$2,F1402)</f>
        <v>1.6702099999998943E-2</v>
      </c>
      <c r="H1402" s="7">
        <f t="shared" si="60"/>
        <v>1.6702099999998943E-2</v>
      </c>
      <c r="I1402" s="7">
        <f>H1402/0.4128</f>
        <v>4.0460513565888909E-2</v>
      </c>
    </row>
    <row r="1403" spans="1:9" x14ac:dyDescent="0.35">
      <c r="A1403" t="s">
        <v>137</v>
      </c>
      <c r="B1403" t="s">
        <v>138</v>
      </c>
      <c r="C1403" t="s">
        <v>7</v>
      </c>
      <c r="D1403" t="s">
        <v>153</v>
      </c>
      <c r="E1403" t="s">
        <v>126</v>
      </c>
      <c r="F1403" s="4">
        <v>0</v>
      </c>
      <c r="G1403" s="4">
        <f>IFERROR(F1403-alt_Blanks!$I$3,F1403)</f>
        <v>0</v>
      </c>
      <c r="H1403" s="7">
        <f t="shared" si="60"/>
        <v>0</v>
      </c>
      <c r="I1403" s="7">
        <f t="shared" ref="I1403:I1436" si="62">H1403/0.4128</f>
        <v>0</v>
      </c>
    </row>
    <row r="1404" spans="1:9" x14ac:dyDescent="0.35">
      <c r="A1404" t="s">
        <v>137</v>
      </c>
      <c r="B1404" t="s">
        <v>138</v>
      </c>
      <c r="C1404" t="s">
        <v>8</v>
      </c>
      <c r="D1404" t="s">
        <v>153</v>
      </c>
      <c r="E1404" t="s">
        <v>126</v>
      </c>
      <c r="F1404" s="4" t="e">
        <v>#N/A</v>
      </c>
      <c r="G1404" s="4" t="e">
        <f>IFERROR(F1404-alt_Blanks!$I$4,F1404)</f>
        <v>#N/A</v>
      </c>
      <c r="H1404" s="7" t="e">
        <f t="shared" si="60"/>
        <v>#N/A</v>
      </c>
      <c r="I1404" s="7" t="e">
        <f t="shared" si="62"/>
        <v>#N/A</v>
      </c>
    </row>
    <row r="1405" spans="1:9" x14ac:dyDescent="0.35">
      <c r="A1405" t="s">
        <v>137</v>
      </c>
      <c r="B1405" t="s">
        <v>138</v>
      </c>
      <c r="C1405" t="s">
        <v>9</v>
      </c>
      <c r="D1405" t="s">
        <v>153</v>
      </c>
      <c r="E1405" t="s">
        <v>126</v>
      </c>
      <c r="F1405" s="4">
        <v>7.1924260000000002</v>
      </c>
      <c r="G1405" s="4">
        <f>IFERROR(F1405-alt_Blanks!$I$5,F1405)</f>
        <v>7.1924260000000002</v>
      </c>
      <c r="H1405" s="7">
        <f t="shared" si="60"/>
        <v>7.1924260000000002</v>
      </c>
      <c r="I1405" s="7">
        <f t="shared" si="62"/>
        <v>17.423512596899226</v>
      </c>
    </row>
    <row r="1406" spans="1:9" x14ac:dyDescent="0.35">
      <c r="A1406" t="s">
        <v>137</v>
      </c>
      <c r="B1406" t="s">
        <v>138</v>
      </c>
      <c r="C1406" t="s">
        <v>10</v>
      </c>
      <c r="D1406" t="s">
        <v>153</v>
      </c>
      <c r="E1406" t="s">
        <v>126</v>
      </c>
      <c r="F1406" s="4">
        <v>89.016080299999999</v>
      </c>
      <c r="G1406" s="4">
        <f>IFERROR(F1406-alt_Blanks!$I$6,F1406)</f>
        <v>89.016080299999999</v>
      </c>
      <c r="H1406" s="7">
        <f t="shared" si="60"/>
        <v>89.016080299999999</v>
      </c>
      <c r="I1406" s="7">
        <f t="shared" si="62"/>
        <v>215.63972940891472</v>
      </c>
    </row>
    <row r="1407" spans="1:9" x14ac:dyDescent="0.35">
      <c r="A1407" t="s">
        <v>137</v>
      </c>
      <c r="B1407" t="s">
        <v>138</v>
      </c>
      <c r="C1407" t="s">
        <v>11</v>
      </c>
      <c r="D1407" t="s">
        <v>153</v>
      </c>
      <c r="E1407" t="s">
        <v>126</v>
      </c>
      <c r="F1407" s="4">
        <v>56.979877600000002</v>
      </c>
      <c r="G1407" s="4">
        <f>IFERROR(F1407-alt_Blanks!$I$7,F1407)</f>
        <v>56.979877600000002</v>
      </c>
      <c r="H1407" s="7">
        <f t="shared" si="60"/>
        <v>56.979877600000002</v>
      </c>
      <c r="I1407" s="7">
        <f t="shared" si="62"/>
        <v>138.03264922480619</v>
      </c>
    </row>
    <row r="1408" spans="1:9" x14ac:dyDescent="0.35">
      <c r="A1408" t="s">
        <v>137</v>
      </c>
      <c r="B1408" t="s">
        <v>138</v>
      </c>
      <c r="C1408" t="s">
        <v>12</v>
      </c>
      <c r="D1408" t="s">
        <v>154</v>
      </c>
      <c r="E1408" t="s">
        <v>126</v>
      </c>
      <c r="F1408" s="4">
        <v>0</v>
      </c>
      <c r="G1408" s="4">
        <f>IFERROR(F1408-alt_Blanks!$I$8,F1408)</f>
        <v>0</v>
      </c>
      <c r="H1408" s="7">
        <f t="shared" si="60"/>
        <v>0</v>
      </c>
      <c r="I1408" s="7">
        <f t="shared" si="62"/>
        <v>0</v>
      </c>
    </row>
    <row r="1409" spans="1:9" x14ac:dyDescent="0.35">
      <c r="A1409" t="s">
        <v>137</v>
      </c>
      <c r="B1409" t="s">
        <v>138</v>
      </c>
      <c r="C1409" t="s">
        <v>13</v>
      </c>
      <c r="D1409" t="s">
        <v>153</v>
      </c>
      <c r="E1409" t="s">
        <v>126</v>
      </c>
      <c r="F1409" s="4">
        <v>9.3105071000000006</v>
      </c>
      <c r="G1409" s="4">
        <f>IFERROR(F1409-alt_Blanks!$I$9,F1409)</f>
        <v>9.3105071000000006</v>
      </c>
      <c r="H1409" s="7">
        <f t="shared" si="60"/>
        <v>9.3105071000000006</v>
      </c>
      <c r="I1409" s="7">
        <f t="shared" si="62"/>
        <v>22.554523013565891</v>
      </c>
    </row>
    <row r="1410" spans="1:9" x14ac:dyDescent="0.35">
      <c r="A1410" t="s">
        <v>137</v>
      </c>
      <c r="B1410" t="s">
        <v>138</v>
      </c>
      <c r="C1410" t="s">
        <v>14</v>
      </c>
      <c r="D1410" t="s">
        <v>154</v>
      </c>
      <c r="E1410" t="s">
        <v>126</v>
      </c>
      <c r="F1410" s="4">
        <v>0</v>
      </c>
      <c r="G1410" s="4">
        <f>IFERROR(F1410-alt_Blanks!$I$10,F1410)</f>
        <v>0</v>
      </c>
      <c r="H1410" s="7">
        <f t="shared" si="60"/>
        <v>0</v>
      </c>
      <c r="I1410" s="7">
        <f t="shared" si="62"/>
        <v>0</v>
      </c>
    </row>
    <row r="1411" spans="1:9" x14ac:dyDescent="0.35">
      <c r="A1411" t="s">
        <v>137</v>
      </c>
      <c r="B1411" t="s">
        <v>138</v>
      </c>
      <c r="C1411" t="s">
        <v>15</v>
      </c>
      <c r="D1411" t="s">
        <v>153</v>
      </c>
      <c r="E1411" t="s">
        <v>126</v>
      </c>
      <c r="F1411" s="4">
        <v>1936.7175377999999</v>
      </c>
      <c r="G1411" s="4">
        <f>IFERROR(F1411-alt_Blanks!$I$11,F1411)</f>
        <v>1131.5008481</v>
      </c>
      <c r="H1411" s="7">
        <f t="shared" si="60"/>
        <v>1131.5008481</v>
      </c>
      <c r="I1411" s="7">
        <f t="shared" si="62"/>
        <v>2741.0388762112402</v>
      </c>
    </row>
    <row r="1412" spans="1:9" x14ac:dyDescent="0.35">
      <c r="A1412" t="s">
        <v>137</v>
      </c>
      <c r="B1412" t="s">
        <v>138</v>
      </c>
      <c r="C1412" t="s">
        <v>16</v>
      </c>
      <c r="D1412" t="s">
        <v>154</v>
      </c>
      <c r="E1412" t="s">
        <v>126</v>
      </c>
      <c r="F1412" s="4">
        <v>159.33959250000001</v>
      </c>
      <c r="G1412" s="4">
        <f>IFERROR(F1412-alt_Blanks!$I$12,F1412)</f>
        <v>159.33959250000001</v>
      </c>
      <c r="H1412" s="7">
        <f t="shared" si="60"/>
        <v>159.33959250000001</v>
      </c>
      <c r="I1412" s="7">
        <f t="shared" si="62"/>
        <v>385.9970748546512</v>
      </c>
    </row>
    <row r="1413" spans="1:9" x14ac:dyDescent="0.35">
      <c r="A1413" t="s">
        <v>137</v>
      </c>
      <c r="B1413" t="s">
        <v>138</v>
      </c>
      <c r="C1413" t="s">
        <v>17</v>
      </c>
      <c r="D1413" t="s">
        <v>153</v>
      </c>
      <c r="E1413" t="s">
        <v>126</v>
      </c>
      <c r="F1413" s="4">
        <v>12.3473097</v>
      </c>
      <c r="G1413" s="4">
        <f>IFERROR(F1413-alt_Blanks!$I$13,F1413)</f>
        <v>11.4945962</v>
      </c>
      <c r="H1413" s="7">
        <f t="shared" si="60"/>
        <v>11.4945962</v>
      </c>
      <c r="I1413" s="7">
        <f t="shared" si="62"/>
        <v>27.845436531007753</v>
      </c>
    </row>
    <row r="1414" spans="1:9" x14ac:dyDescent="0.35">
      <c r="A1414" t="s">
        <v>137</v>
      </c>
      <c r="B1414" t="s">
        <v>138</v>
      </c>
      <c r="C1414" t="s">
        <v>18</v>
      </c>
      <c r="D1414" t="s">
        <v>154</v>
      </c>
      <c r="E1414" t="s">
        <v>126</v>
      </c>
      <c r="F1414" s="4">
        <v>0</v>
      </c>
      <c r="G1414" s="4">
        <f>IFERROR(F1414-alt_Blanks!$I$14,F1414)</f>
        <v>0</v>
      </c>
      <c r="H1414" s="7">
        <f t="shared" ref="H1414:H1477" si="63">IF(G1414&lt;0,0,G1414)</f>
        <v>0</v>
      </c>
      <c r="I1414" s="7">
        <f t="shared" si="62"/>
        <v>0</v>
      </c>
    </row>
    <row r="1415" spans="1:9" x14ac:dyDescent="0.35">
      <c r="A1415" t="s">
        <v>137</v>
      </c>
      <c r="B1415" t="s">
        <v>138</v>
      </c>
      <c r="C1415" t="s">
        <v>19</v>
      </c>
      <c r="D1415" t="s">
        <v>153</v>
      </c>
      <c r="E1415" t="s">
        <v>126</v>
      </c>
      <c r="F1415" s="4">
        <v>442.89497649999998</v>
      </c>
      <c r="G1415" s="4">
        <f>IFERROR(F1415-alt_Blanks!$I$15,F1415)</f>
        <v>174.27157940000001</v>
      </c>
      <c r="H1415" s="7">
        <f t="shared" si="63"/>
        <v>174.27157940000001</v>
      </c>
      <c r="I1415" s="7">
        <f t="shared" si="62"/>
        <v>422.16952374031007</v>
      </c>
    </row>
    <row r="1416" spans="1:9" x14ac:dyDescent="0.35">
      <c r="A1416" t="s">
        <v>137</v>
      </c>
      <c r="B1416" t="s">
        <v>138</v>
      </c>
      <c r="C1416" t="s">
        <v>20</v>
      </c>
      <c r="D1416" t="s">
        <v>154</v>
      </c>
      <c r="E1416" t="s">
        <v>126</v>
      </c>
      <c r="F1416" s="4">
        <v>335.34007030000004</v>
      </c>
      <c r="G1416" s="4">
        <f>IFERROR(F1416-alt_Blanks!$I$16,F1416)</f>
        <v>316.87415710000005</v>
      </c>
      <c r="H1416" s="7">
        <f t="shared" si="63"/>
        <v>316.87415710000005</v>
      </c>
      <c r="I1416" s="7">
        <f t="shared" si="62"/>
        <v>767.62150460271334</v>
      </c>
    </row>
    <row r="1417" spans="1:9" x14ac:dyDescent="0.35">
      <c r="A1417" t="s">
        <v>137</v>
      </c>
      <c r="B1417" t="s">
        <v>138</v>
      </c>
      <c r="C1417" t="s">
        <v>21</v>
      </c>
      <c r="D1417" t="s">
        <v>155</v>
      </c>
      <c r="E1417" t="s">
        <v>126</v>
      </c>
      <c r="F1417" s="4">
        <v>0.3407386</v>
      </c>
      <c r="G1417" s="4">
        <f>IFERROR(F1417-alt_Blanks!$I$17,F1417)</f>
        <v>8.785199999999993E-3</v>
      </c>
      <c r="H1417" s="7">
        <f t="shared" si="63"/>
        <v>8.785199999999993E-3</v>
      </c>
      <c r="I1417" s="7">
        <f t="shared" si="62"/>
        <v>2.128197674418603E-2</v>
      </c>
    </row>
    <row r="1418" spans="1:9" x14ac:dyDescent="0.35">
      <c r="A1418" t="s">
        <v>137</v>
      </c>
      <c r="B1418" t="s">
        <v>138</v>
      </c>
      <c r="C1418" t="s">
        <v>22</v>
      </c>
      <c r="D1418" t="s">
        <v>155</v>
      </c>
      <c r="E1418" t="s">
        <v>126</v>
      </c>
      <c r="F1418" s="4">
        <v>117.20800689999999</v>
      </c>
      <c r="G1418" s="4">
        <f>IFERROR(F1418-alt_Blanks!$I$18,F1418)</f>
        <v>111.20454729999999</v>
      </c>
      <c r="H1418" s="7">
        <f t="shared" si="63"/>
        <v>111.20454729999999</v>
      </c>
      <c r="I1418" s="7">
        <f t="shared" si="62"/>
        <v>269.39086070736431</v>
      </c>
    </row>
    <row r="1419" spans="1:9" x14ac:dyDescent="0.35">
      <c r="A1419" t="s">
        <v>137</v>
      </c>
      <c r="B1419" t="s">
        <v>138</v>
      </c>
      <c r="C1419" t="s">
        <v>23</v>
      </c>
      <c r="D1419" t="s">
        <v>155</v>
      </c>
      <c r="E1419" t="s">
        <v>126</v>
      </c>
      <c r="F1419" s="4">
        <v>0.13098089999999998</v>
      </c>
      <c r="G1419" s="4">
        <f>IFERROR(F1419-alt_Blanks!$I$19,F1419)</f>
        <v>0.13098089999999998</v>
      </c>
      <c r="H1419" s="7">
        <f t="shared" si="63"/>
        <v>0.13098089999999998</v>
      </c>
      <c r="I1419" s="7">
        <f t="shared" si="62"/>
        <v>0.31729869186046505</v>
      </c>
    </row>
    <row r="1420" spans="1:9" x14ac:dyDescent="0.35">
      <c r="A1420" t="s">
        <v>137</v>
      </c>
      <c r="B1420" t="s">
        <v>138</v>
      </c>
      <c r="C1420" t="s">
        <v>24</v>
      </c>
      <c r="D1420" t="s">
        <v>155</v>
      </c>
      <c r="E1420" t="s">
        <v>126</v>
      </c>
      <c r="F1420" s="4">
        <v>88.699407199999996</v>
      </c>
      <c r="G1420" s="4">
        <f>IFERROR(F1420-alt_Blanks!$I$20,F1420)</f>
        <v>86.761431799999997</v>
      </c>
      <c r="H1420" s="7">
        <f t="shared" si="63"/>
        <v>86.761431799999997</v>
      </c>
      <c r="I1420" s="7">
        <f t="shared" si="62"/>
        <v>210.17788711240308</v>
      </c>
    </row>
    <row r="1421" spans="1:9" x14ac:dyDescent="0.35">
      <c r="A1421" t="s">
        <v>137</v>
      </c>
      <c r="B1421" t="s">
        <v>138</v>
      </c>
      <c r="C1421" t="s">
        <v>25</v>
      </c>
      <c r="D1421" t="s">
        <v>155</v>
      </c>
      <c r="E1421" t="s">
        <v>126</v>
      </c>
      <c r="F1421" s="4">
        <v>0.75011329999999998</v>
      </c>
      <c r="G1421" s="4">
        <f>IFERROR(F1421-alt_Blanks!$I$21,F1421)</f>
        <v>0.53560419999999997</v>
      </c>
      <c r="H1421" s="7">
        <f t="shared" si="63"/>
        <v>0.53560419999999997</v>
      </c>
      <c r="I1421" s="7">
        <f t="shared" si="62"/>
        <v>1.2974907945736434</v>
      </c>
    </row>
    <row r="1422" spans="1:9" x14ac:dyDescent="0.35">
      <c r="A1422" t="s">
        <v>137</v>
      </c>
      <c r="B1422" t="s">
        <v>138</v>
      </c>
      <c r="C1422" t="s">
        <v>26</v>
      </c>
      <c r="D1422" t="s">
        <v>153</v>
      </c>
      <c r="E1422" t="s">
        <v>126</v>
      </c>
      <c r="F1422" s="4">
        <v>1.6099726000000001</v>
      </c>
      <c r="G1422" s="4">
        <f>IFERROR(F1422-alt_Blanks!$I$22,F1422)</f>
        <v>1.5251200000000242E-2</v>
      </c>
      <c r="H1422" s="7">
        <f t="shared" si="63"/>
        <v>1.5251200000000242E-2</v>
      </c>
      <c r="I1422" s="7">
        <f t="shared" si="62"/>
        <v>3.6945736434109117E-2</v>
      </c>
    </row>
    <row r="1423" spans="1:9" x14ac:dyDescent="0.35">
      <c r="A1423" t="s">
        <v>137</v>
      </c>
      <c r="B1423" t="s">
        <v>138</v>
      </c>
      <c r="C1423" t="s">
        <v>27</v>
      </c>
      <c r="D1423" t="s">
        <v>154</v>
      </c>
      <c r="E1423" t="s">
        <v>126</v>
      </c>
      <c r="F1423" s="4">
        <v>8.6810985999999986</v>
      </c>
      <c r="G1423" s="4">
        <f>IFERROR(F1423-alt_Blanks!$I$23,F1423)</f>
        <v>8.5603611999999991</v>
      </c>
      <c r="H1423" s="7">
        <f t="shared" si="63"/>
        <v>8.5603611999999991</v>
      </c>
      <c r="I1423" s="7">
        <f t="shared" si="62"/>
        <v>20.737309108527128</v>
      </c>
    </row>
    <row r="1424" spans="1:9" x14ac:dyDescent="0.35">
      <c r="A1424" t="s">
        <v>137</v>
      </c>
      <c r="B1424" t="s">
        <v>138</v>
      </c>
      <c r="C1424" t="s">
        <v>28</v>
      </c>
      <c r="D1424" t="s">
        <v>155</v>
      </c>
      <c r="E1424" t="s">
        <v>126</v>
      </c>
      <c r="F1424" s="4">
        <v>13.280417999999999</v>
      </c>
      <c r="G1424" s="4">
        <f>IFERROR(F1424-alt_Blanks!$I$24,F1424)</f>
        <v>13.0332484</v>
      </c>
      <c r="H1424" s="7">
        <f t="shared" si="63"/>
        <v>13.0332484</v>
      </c>
      <c r="I1424" s="7">
        <f t="shared" si="62"/>
        <v>31.572791666666667</v>
      </c>
    </row>
    <row r="1425" spans="1:9" x14ac:dyDescent="0.35">
      <c r="A1425" t="s">
        <v>137</v>
      </c>
      <c r="B1425" t="s">
        <v>138</v>
      </c>
      <c r="C1425" t="s">
        <v>29</v>
      </c>
      <c r="D1425" t="s">
        <v>155</v>
      </c>
      <c r="E1425" t="s">
        <v>126</v>
      </c>
      <c r="F1425" s="4">
        <v>14.096272900000001</v>
      </c>
      <c r="G1425" s="4">
        <f>IFERROR(F1425-alt_Blanks!$I$25,F1425)</f>
        <v>13.624032100000001</v>
      </c>
      <c r="H1425" s="7">
        <f t="shared" si="63"/>
        <v>13.624032100000001</v>
      </c>
      <c r="I1425" s="7">
        <f t="shared" si="62"/>
        <v>33.003953730620154</v>
      </c>
    </row>
    <row r="1426" spans="1:9" x14ac:dyDescent="0.35">
      <c r="A1426" t="s">
        <v>137</v>
      </c>
      <c r="B1426" t="s">
        <v>138</v>
      </c>
      <c r="C1426" t="s">
        <v>30</v>
      </c>
      <c r="D1426" t="s">
        <v>155</v>
      </c>
      <c r="E1426" t="s">
        <v>126</v>
      </c>
      <c r="F1426" s="4">
        <v>91.994641600000008</v>
      </c>
      <c r="G1426" s="4">
        <f>IFERROR(F1426-alt_Blanks!$I$26,F1426)</f>
        <v>91.414465300000003</v>
      </c>
      <c r="H1426" s="7">
        <f t="shared" si="63"/>
        <v>91.414465300000003</v>
      </c>
      <c r="I1426" s="7">
        <f t="shared" si="62"/>
        <v>221.44977059108527</v>
      </c>
    </row>
    <row r="1427" spans="1:9" x14ac:dyDescent="0.35">
      <c r="A1427" t="s">
        <v>137</v>
      </c>
      <c r="B1427" t="s">
        <v>138</v>
      </c>
      <c r="C1427" t="s">
        <v>31</v>
      </c>
      <c r="D1427" t="s">
        <v>155</v>
      </c>
      <c r="E1427" t="s">
        <v>126</v>
      </c>
      <c r="F1427" s="4" t="e">
        <v>#N/A</v>
      </c>
      <c r="G1427" s="4" t="e">
        <f>IFERROR(F1427-alt_Blanks!$I$27,F1427)</f>
        <v>#N/A</v>
      </c>
      <c r="H1427" s="7" t="e">
        <f t="shared" si="63"/>
        <v>#N/A</v>
      </c>
      <c r="I1427" s="7" t="e">
        <f t="shared" si="62"/>
        <v>#N/A</v>
      </c>
    </row>
    <row r="1428" spans="1:9" x14ac:dyDescent="0.35">
      <c r="A1428" t="s">
        <v>137</v>
      </c>
      <c r="B1428" t="s">
        <v>138</v>
      </c>
      <c r="C1428" t="s">
        <v>32</v>
      </c>
      <c r="D1428" t="s">
        <v>153</v>
      </c>
      <c r="E1428" t="s">
        <v>126</v>
      </c>
      <c r="F1428" s="4">
        <v>0</v>
      </c>
      <c r="G1428" s="4">
        <f>IFERROR(F1428-alt_Blanks!$I$28,F1428)</f>
        <v>0</v>
      </c>
      <c r="H1428" s="7">
        <f t="shared" si="63"/>
        <v>0</v>
      </c>
      <c r="I1428" s="7">
        <f t="shared" si="62"/>
        <v>0</v>
      </c>
    </row>
    <row r="1429" spans="1:9" x14ac:dyDescent="0.35">
      <c r="A1429" t="s">
        <v>137</v>
      </c>
      <c r="B1429" t="s">
        <v>138</v>
      </c>
      <c r="C1429" t="s">
        <v>33</v>
      </c>
      <c r="D1429" t="s">
        <v>155</v>
      </c>
      <c r="E1429" t="s">
        <v>126</v>
      </c>
      <c r="F1429" s="4">
        <v>98.284169699999993</v>
      </c>
      <c r="G1429" s="4">
        <f>IFERROR(F1429-alt_Blanks!$I$29,F1429)</f>
        <v>97.672548699999993</v>
      </c>
      <c r="H1429" s="7">
        <f t="shared" si="63"/>
        <v>97.672548699999993</v>
      </c>
      <c r="I1429" s="7">
        <f t="shared" si="62"/>
        <v>236.60985634689922</v>
      </c>
    </row>
    <row r="1430" spans="1:9" x14ac:dyDescent="0.35">
      <c r="A1430" t="s">
        <v>137</v>
      </c>
      <c r="B1430" t="s">
        <v>138</v>
      </c>
      <c r="C1430" t="s">
        <v>34</v>
      </c>
      <c r="D1430" t="s">
        <v>153</v>
      </c>
      <c r="E1430" t="s">
        <v>126</v>
      </c>
      <c r="F1430" s="4">
        <v>0</v>
      </c>
      <c r="G1430" s="4">
        <f>IFERROR(F1430-alt_Blanks!$I$30,F1430)</f>
        <v>0</v>
      </c>
      <c r="H1430" s="7">
        <f t="shared" si="63"/>
        <v>0</v>
      </c>
      <c r="I1430" s="7">
        <f t="shared" si="62"/>
        <v>0</v>
      </c>
    </row>
    <row r="1431" spans="1:9" x14ac:dyDescent="0.35">
      <c r="A1431" t="s">
        <v>137</v>
      </c>
      <c r="B1431" t="s">
        <v>138</v>
      </c>
      <c r="C1431" t="s">
        <v>35</v>
      </c>
      <c r="D1431" t="s">
        <v>154</v>
      </c>
      <c r="E1431" t="s">
        <v>126</v>
      </c>
      <c r="F1431" s="4">
        <v>119.90831080000001</v>
      </c>
      <c r="G1431" s="4">
        <f>IFERROR(F1431-alt_Blanks!$I$31,F1431)</f>
        <v>17.453677200000016</v>
      </c>
      <c r="H1431" s="7">
        <f t="shared" si="63"/>
        <v>17.453677200000016</v>
      </c>
      <c r="I1431" s="7">
        <f t="shared" si="62"/>
        <v>42.281194767441896</v>
      </c>
    </row>
    <row r="1432" spans="1:9" x14ac:dyDescent="0.35">
      <c r="A1432" t="s">
        <v>137</v>
      </c>
      <c r="B1432" t="s">
        <v>138</v>
      </c>
      <c r="C1432" t="s">
        <v>36</v>
      </c>
      <c r="D1432" t="s">
        <v>155</v>
      </c>
      <c r="E1432" t="s">
        <v>126</v>
      </c>
      <c r="F1432" s="4">
        <v>1.972998</v>
      </c>
      <c r="G1432" s="4">
        <f>IFERROR(F1432-alt_Blanks!$I$32,F1432)</f>
        <v>4.5429500000000012E-2</v>
      </c>
      <c r="H1432" s="7">
        <f t="shared" si="63"/>
        <v>4.5429500000000012E-2</v>
      </c>
      <c r="I1432" s="7">
        <f t="shared" si="62"/>
        <v>0.11005208333333336</v>
      </c>
    </row>
    <row r="1433" spans="1:9" x14ac:dyDescent="0.35">
      <c r="A1433" t="s">
        <v>137</v>
      </c>
      <c r="B1433" t="s">
        <v>138</v>
      </c>
      <c r="C1433" t="s">
        <v>37</v>
      </c>
      <c r="D1433" t="s">
        <v>155</v>
      </c>
      <c r="E1433" t="s">
        <v>126</v>
      </c>
      <c r="F1433" s="4">
        <v>2.6072953000000001</v>
      </c>
      <c r="G1433" s="4">
        <f>IFERROR(F1433-alt_Blanks!$I$33,F1433)</f>
        <v>2.6072953000000001</v>
      </c>
      <c r="H1433" s="7">
        <f t="shared" si="63"/>
        <v>2.6072953000000001</v>
      </c>
      <c r="I1433" s="7">
        <f t="shared" si="62"/>
        <v>6.3161223352713183</v>
      </c>
    </row>
    <row r="1434" spans="1:9" x14ac:dyDescent="0.35">
      <c r="A1434" t="s">
        <v>137</v>
      </c>
      <c r="B1434" t="s">
        <v>138</v>
      </c>
      <c r="C1434" t="s">
        <v>38</v>
      </c>
      <c r="D1434" t="s">
        <v>155</v>
      </c>
      <c r="E1434" t="s">
        <v>126</v>
      </c>
      <c r="F1434" s="4">
        <v>0.49858179999999996</v>
      </c>
      <c r="G1434" s="4">
        <f>IFERROR(F1434-alt_Blanks!$I$34,F1434)</f>
        <v>0.49858179999999996</v>
      </c>
      <c r="H1434" s="7">
        <f t="shared" si="63"/>
        <v>0.49858179999999996</v>
      </c>
      <c r="I1434" s="7">
        <f t="shared" si="62"/>
        <v>1.2078047480620153</v>
      </c>
    </row>
    <row r="1435" spans="1:9" x14ac:dyDescent="0.35">
      <c r="A1435" t="s">
        <v>137</v>
      </c>
      <c r="B1435" t="s">
        <v>138</v>
      </c>
      <c r="C1435" t="s">
        <v>39</v>
      </c>
      <c r="D1435" t="s">
        <v>153</v>
      </c>
      <c r="E1435" t="s">
        <v>126</v>
      </c>
      <c r="F1435" s="4">
        <v>0</v>
      </c>
      <c r="G1435" s="4">
        <f>IFERROR(F1435-alt_Blanks!$I$35,F1435)</f>
        <v>0</v>
      </c>
      <c r="H1435" s="7">
        <f t="shared" si="63"/>
        <v>0</v>
      </c>
      <c r="I1435" s="7">
        <f t="shared" si="62"/>
        <v>0</v>
      </c>
    </row>
    <row r="1436" spans="1:9" x14ac:dyDescent="0.35">
      <c r="A1436" t="s">
        <v>137</v>
      </c>
      <c r="B1436" t="s">
        <v>138</v>
      </c>
      <c r="C1436" t="s">
        <v>40</v>
      </c>
      <c r="D1436" t="s">
        <v>154</v>
      </c>
      <c r="E1436" t="s">
        <v>126</v>
      </c>
      <c r="F1436" s="4">
        <v>0</v>
      </c>
      <c r="G1436" s="4">
        <f>IFERROR(F1436-alt_Blanks!$I$36,F1436)</f>
        <v>0</v>
      </c>
      <c r="H1436" s="7">
        <f t="shared" si="63"/>
        <v>0</v>
      </c>
      <c r="I1436" s="7">
        <f t="shared" si="62"/>
        <v>0</v>
      </c>
    </row>
    <row r="1437" spans="1:9" x14ac:dyDescent="0.35">
      <c r="A1437" t="s">
        <v>139</v>
      </c>
      <c r="B1437" t="s">
        <v>140</v>
      </c>
      <c r="C1437" t="s">
        <v>6</v>
      </c>
      <c r="D1437" t="s">
        <v>153</v>
      </c>
      <c r="E1437" t="s">
        <v>126</v>
      </c>
      <c r="F1437" s="4">
        <v>6.8768636000000001</v>
      </c>
      <c r="G1437" s="4">
        <f>IFERROR(F1437-alt_Blanks!$I$2,F1437)</f>
        <v>0.17032249999999927</v>
      </c>
      <c r="H1437" s="7">
        <f t="shared" si="63"/>
        <v>0.17032249999999927</v>
      </c>
      <c r="I1437" s="7">
        <f>H1437/0.4579</f>
        <v>0.37196440270801329</v>
      </c>
    </row>
    <row r="1438" spans="1:9" x14ac:dyDescent="0.35">
      <c r="A1438" t="s">
        <v>139</v>
      </c>
      <c r="B1438" t="s">
        <v>140</v>
      </c>
      <c r="C1438" t="s">
        <v>7</v>
      </c>
      <c r="D1438" t="s">
        <v>153</v>
      </c>
      <c r="E1438" t="s">
        <v>126</v>
      </c>
      <c r="F1438" s="4">
        <v>0</v>
      </c>
      <c r="G1438" s="4">
        <f>IFERROR(F1438-alt_Blanks!$I$3,F1438)</f>
        <v>0</v>
      </c>
      <c r="H1438" s="7">
        <f t="shared" si="63"/>
        <v>0</v>
      </c>
      <c r="I1438" s="7">
        <f t="shared" ref="I1438:I1471" si="64">H1438/0.4579</f>
        <v>0</v>
      </c>
    </row>
    <row r="1439" spans="1:9" x14ac:dyDescent="0.35">
      <c r="A1439" t="s">
        <v>139</v>
      </c>
      <c r="B1439" t="s">
        <v>140</v>
      </c>
      <c r="C1439" t="s">
        <v>8</v>
      </c>
      <c r="D1439" t="s">
        <v>153</v>
      </c>
      <c r="E1439" t="s">
        <v>126</v>
      </c>
      <c r="F1439" s="4" t="e">
        <v>#N/A</v>
      </c>
      <c r="G1439" s="4" t="e">
        <f>IFERROR(F1439-alt_Blanks!$I$4,F1439)</f>
        <v>#N/A</v>
      </c>
      <c r="H1439" s="7" t="e">
        <f t="shared" si="63"/>
        <v>#N/A</v>
      </c>
      <c r="I1439" s="7" t="e">
        <f t="shared" si="64"/>
        <v>#N/A</v>
      </c>
    </row>
    <row r="1440" spans="1:9" x14ac:dyDescent="0.35">
      <c r="A1440" t="s">
        <v>139</v>
      </c>
      <c r="B1440" t="s">
        <v>140</v>
      </c>
      <c r="C1440" t="s">
        <v>9</v>
      </c>
      <c r="D1440" t="s">
        <v>153</v>
      </c>
      <c r="E1440" t="s">
        <v>126</v>
      </c>
      <c r="F1440" s="4">
        <v>5.7644688999999998</v>
      </c>
      <c r="G1440" s="4">
        <f>IFERROR(F1440-alt_Blanks!$I$5,F1440)</f>
        <v>5.7644688999999998</v>
      </c>
      <c r="H1440" s="7">
        <f t="shared" si="63"/>
        <v>5.7644688999999998</v>
      </c>
      <c r="I1440" s="7">
        <f t="shared" si="64"/>
        <v>12.588925311203321</v>
      </c>
    </row>
    <row r="1441" spans="1:9" x14ac:dyDescent="0.35">
      <c r="A1441" t="s">
        <v>139</v>
      </c>
      <c r="B1441" t="s">
        <v>140</v>
      </c>
      <c r="C1441" t="s">
        <v>10</v>
      </c>
      <c r="D1441" t="s">
        <v>153</v>
      </c>
      <c r="E1441" t="s">
        <v>126</v>
      </c>
      <c r="F1441" s="4">
        <v>80.764719700000001</v>
      </c>
      <c r="G1441" s="4">
        <f>IFERROR(F1441-alt_Blanks!$I$6,F1441)</f>
        <v>80.764719700000001</v>
      </c>
      <c r="H1441" s="7">
        <f t="shared" si="63"/>
        <v>80.764719700000001</v>
      </c>
      <c r="I1441" s="7">
        <f t="shared" si="64"/>
        <v>176.38069381961128</v>
      </c>
    </row>
    <row r="1442" spans="1:9" x14ac:dyDescent="0.35">
      <c r="A1442" t="s">
        <v>139</v>
      </c>
      <c r="B1442" t="s">
        <v>140</v>
      </c>
      <c r="C1442" t="s">
        <v>11</v>
      </c>
      <c r="D1442" t="s">
        <v>153</v>
      </c>
      <c r="E1442" t="s">
        <v>126</v>
      </c>
      <c r="F1442" s="4">
        <v>76.653050700000009</v>
      </c>
      <c r="G1442" s="4">
        <f>IFERROR(F1442-alt_Blanks!$I$7,F1442)</f>
        <v>76.653050700000009</v>
      </c>
      <c r="H1442" s="7">
        <f t="shared" si="63"/>
        <v>76.653050700000009</v>
      </c>
      <c r="I1442" s="7">
        <f t="shared" si="64"/>
        <v>167.40129001965497</v>
      </c>
    </row>
    <row r="1443" spans="1:9" x14ac:dyDescent="0.35">
      <c r="A1443" t="s">
        <v>139</v>
      </c>
      <c r="B1443" t="s">
        <v>140</v>
      </c>
      <c r="C1443" t="s">
        <v>12</v>
      </c>
      <c r="D1443" t="s">
        <v>154</v>
      </c>
      <c r="E1443" t="s">
        <v>126</v>
      </c>
      <c r="F1443" s="4">
        <v>0</v>
      </c>
      <c r="G1443" s="4">
        <f>IFERROR(F1443-alt_Blanks!$I$8,F1443)</f>
        <v>0</v>
      </c>
      <c r="H1443" s="7">
        <f t="shared" si="63"/>
        <v>0</v>
      </c>
      <c r="I1443" s="7">
        <f t="shared" si="64"/>
        <v>0</v>
      </c>
    </row>
    <row r="1444" spans="1:9" x14ac:dyDescent="0.35">
      <c r="A1444" t="s">
        <v>139</v>
      </c>
      <c r="B1444" t="s">
        <v>140</v>
      </c>
      <c r="C1444" t="s">
        <v>13</v>
      </c>
      <c r="D1444" t="s">
        <v>153</v>
      </c>
      <c r="E1444" t="s">
        <v>126</v>
      </c>
      <c r="F1444" s="4">
        <v>13.141641600000002</v>
      </c>
      <c r="G1444" s="4">
        <f>IFERROR(F1444-alt_Blanks!$I$9,F1444)</f>
        <v>13.141641600000002</v>
      </c>
      <c r="H1444" s="7">
        <f t="shared" si="63"/>
        <v>13.141641600000002</v>
      </c>
      <c r="I1444" s="7">
        <f t="shared" si="64"/>
        <v>28.699806944747767</v>
      </c>
    </row>
    <row r="1445" spans="1:9" x14ac:dyDescent="0.35">
      <c r="A1445" t="s">
        <v>139</v>
      </c>
      <c r="B1445" t="s">
        <v>140</v>
      </c>
      <c r="C1445" t="s">
        <v>14</v>
      </c>
      <c r="D1445" t="s">
        <v>154</v>
      </c>
      <c r="E1445" t="s">
        <v>126</v>
      </c>
      <c r="F1445" s="4">
        <v>0</v>
      </c>
      <c r="G1445" s="4">
        <f>IFERROR(F1445-alt_Blanks!$I$10,F1445)</f>
        <v>0</v>
      </c>
      <c r="H1445" s="7">
        <f t="shared" si="63"/>
        <v>0</v>
      </c>
      <c r="I1445" s="7">
        <f t="shared" si="64"/>
        <v>0</v>
      </c>
    </row>
    <row r="1446" spans="1:9" x14ac:dyDescent="0.35">
      <c r="A1446" t="s">
        <v>139</v>
      </c>
      <c r="B1446" t="s">
        <v>140</v>
      </c>
      <c r="C1446" t="s">
        <v>15</v>
      </c>
      <c r="D1446" t="s">
        <v>153</v>
      </c>
      <c r="E1446" t="s">
        <v>126</v>
      </c>
      <c r="F1446" s="4">
        <v>2267.1541937000002</v>
      </c>
      <c r="G1446" s="4">
        <f>IFERROR(F1446-alt_Blanks!$I$11,F1446)</f>
        <v>1461.9375040000002</v>
      </c>
      <c r="H1446" s="7">
        <f t="shared" si="63"/>
        <v>1461.9375040000002</v>
      </c>
      <c r="I1446" s="7">
        <f t="shared" si="64"/>
        <v>3192.7003799956328</v>
      </c>
    </row>
    <row r="1447" spans="1:9" x14ac:dyDescent="0.35">
      <c r="A1447" t="s">
        <v>139</v>
      </c>
      <c r="B1447" t="s">
        <v>140</v>
      </c>
      <c r="C1447" t="s">
        <v>16</v>
      </c>
      <c r="D1447" t="s">
        <v>154</v>
      </c>
      <c r="E1447" t="s">
        <v>126</v>
      </c>
      <c r="F1447" s="4">
        <v>292.75304090000003</v>
      </c>
      <c r="G1447" s="4">
        <f>IFERROR(F1447-alt_Blanks!$I$12,F1447)</f>
        <v>292.75304090000003</v>
      </c>
      <c r="H1447" s="7">
        <f t="shared" si="63"/>
        <v>292.75304090000003</v>
      </c>
      <c r="I1447" s="7">
        <f t="shared" si="64"/>
        <v>639.33837278881867</v>
      </c>
    </row>
    <row r="1448" spans="1:9" x14ac:dyDescent="0.35">
      <c r="A1448" t="s">
        <v>139</v>
      </c>
      <c r="B1448" t="s">
        <v>140</v>
      </c>
      <c r="C1448" t="s">
        <v>17</v>
      </c>
      <c r="D1448" t="s">
        <v>153</v>
      </c>
      <c r="E1448" t="s">
        <v>126</v>
      </c>
      <c r="F1448" s="4">
        <v>15.8492145</v>
      </c>
      <c r="G1448" s="4">
        <f>IFERROR(F1448-alt_Blanks!$I$13,F1448)</f>
        <v>14.996501</v>
      </c>
      <c r="H1448" s="7">
        <f t="shared" si="63"/>
        <v>14.996501</v>
      </c>
      <c r="I1448" s="7">
        <f t="shared" si="64"/>
        <v>32.750602751692512</v>
      </c>
    </row>
    <row r="1449" spans="1:9" x14ac:dyDescent="0.35">
      <c r="A1449" t="s">
        <v>139</v>
      </c>
      <c r="B1449" t="s">
        <v>140</v>
      </c>
      <c r="C1449" t="s">
        <v>18</v>
      </c>
      <c r="D1449" t="s">
        <v>154</v>
      </c>
      <c r="E1449" t="s">
        <v>126</v>
      </c>
      <c r="F1449" s="4">
        <v>0.53909699999999994</v>
      </c>
      <c r="G1449" s="4">
        <f>IFERROR(F1449-alt_Blanks!$I$14,F1449)</f>
        <v>0.53909699999999994</v>
      </c>
      <c r="H1449" s="7">
        <f t="shared" si="63"/>
        <v>0.53909699999999994</v>
      </c>
      <c r="I1449" s="7">
        <f t="shared" si="64"/>
        <v>1.1773247433937539</v>
      </c>
    </row>
    <row r="1450" spans="1:9" x14ac:dyDescent="0.35">
      <c r="A1450" t="s">
        <v>139</v>
      </c>
      <c r="B1450" t="s">
        <v>140</v>
      </c>
      <c r="C1450" t="s">
        <v>19</v>
      </c>
      <c r="D1450" t="s">
        <v>153</v>
      </c>
      <c r="E1450" t="s">
        <v>126</v>
      </c>
      <c r="F1450" s="4">
        <v>466.51220490000003</v>
      </c>
      <c r="G1450" s="4">
        <f>IFERROR(F1450-alt_Blanks!$I$15,F1450)</f>
        <v>197.88880780000005</v>
      </c>
      <c r="H1450" s="7">
        <f t="shared" si="63"/>
        <v>197.88880780000005</v>
      </c>
      <c r="I1450" s="7">
        <f t="shared" si="64"/>
        <v>432.16599213802152</v>
      </c>
    </row>
    <row r="1451" spans="1:9" x14ac:dyDescent="0.35">
      <c r="A1451" t="s">
        <v>139</v>
      </c>
      <c r="B1451" t="s">
        <v>140</v>
      </c>
      <c r="C1451" t="s">
        <v>20</v>
      </c>
      <c r="D1451" t="s">
        <v>154</v>
      </c>
      <c r="E1451" t="s">
        <v>126</v>
      </c>
      <c r="F1451" s="4">
        <v>336.1057563</v>
      </c>
      <c r="G1451" s="4">
        <f>IFERROR(F1451-alt_Blanks!$I$16,F1451)</f>
        <v>317.63984310000001</v>
      </c>
      <c r="H1451" s="7">
        <f t="shared" si="63"/>
        <v>317.63984310000001</v>
      </c>
      <c r="I1451" s="7">
        <f t="shared" si="64"/>
        <v>693.68823564096965</v>
      </c>
    </row>
    <row r="1452" spans="1:9" x14ac:dyDescent="0.35">
      <c r="A1452" t="s">
        <v>139</v>
      </c>
      <c r="B1452" t="s">
        <v>140</v>
      </c>
      <c r="C1452" t="s">
        <v>21</v>
      </c>
      <c r="D1452" t="s">
        <v>155</v>
      </c>
      <c r="E1452" t="s">
        <v>126</v>
      </c>
      <c r="F1452" s="4">
        <v>0.29446349999999999</v>
      </c>
      <c r="G1452" s="4">
        <f>IFERROR(F1452-alt_Blanks!$I$17,F1452)</f>
        <v>-3.748990000000002E-2</v>
      </c>
      <c r="H1452" s="7">
        <f t="shared" si="63"/>
        <v>0</v>
      </c>
      <c r="I1452" s="7">
        <f t="shared" si="64"/>
        <v>0</v>
      </c>
    </row>
    <row r="1453" spans="1:9" x14ac:dyDescent="0.35">
      <c r="A1453" t="s">
        <v>139</v>
      </c>
      <c r="B1453" t="s">
        <v>140</v>
      </c>
      <c r="C1453" t="s">
        <v>22</v>
      </c>
      <c r="D1453" t="s">
        <v>155</v>
      </c>
      <c r="E1453" t="s">
        <v>126</v>
      </c>
      <c r="F1453" s="4">
        <v>153.96691179999999</v>
      </c>
      <c r="G1453" s="4">
        <f>IFERROR(F1453-alt_Blanks!$I$18,F1453)</f>
        <v>147.96345219999998</v>
      </c>
      <c r="H1453" s="7">
        <f t="shared" si="63"/>
        <v>147.96345219999998</v>
      </c>
      <c r="I1453" s="7">
        <f t="shared" si="64"/>
        <v>323.13485957632668</v>
      </c>
    </row>
    <row r="1454" spans="1:9" x14ac:dyDescent="0.35">
      <c r="A1454" t="s">
        <v>139</v>
      </c>
      <c r="B1454" t="s">
        <v>140</v>
      </c>
      <c r="C1454" t="s">
        <v>23</v>
      </c>
      <c r="D1454" t="s">
        <v>155</v>
      </c>
      <c r="E1454" t="s">
        <v>126</v>
      </c>
      <c r="F1454" s="4">
        <v>0</v>
      </c>
      <c r="G1454" s="4">
        <f>IFERROR(F1454-alt_Blanks!$I$19,F1454)</f>
        <v>0</v>
      </c>
      <c r="H1454" s="7">
        <f t="shared" si="63"/>
        <v>0</v>
      </c>
      <c r="I1454" s="7">
        <f t="shared" si="64"/>
        <v>0</v>
      </c>
    </row>
    <row r="1455" spans="1:9" x14ac:dyDescent="0.35">
      <c r="A1455" t="s">
        <v>139</v>
      </c>
      <c r="B1455" t="s">
        <v>140</v>
      </c>
      <c r="C1455" t="s">
        <v>24</v>
      </c>
      <c r="D1455" t="s">
        <v>155</v>
      </c>
      <c r="E1455" t="s">
        <v>126</v>
      </c>
      <c r="F1455" s="4">
        <v>117.5720901</v>
      </c>
      <c r="G1455" s="4">
        <f>IFERROR(F1455-alt_Blanks!$I$20,F1455)</f>
        <v>115.6341147</v>
      </c>
      <c r="H1455" s="7">
        <f t="shared" si="63"/>
        <v>115.6341147</v>
      </c>
      <c r="I1455" s="7">
        <f t="shared" si="64"/>
        <v>252.53137082332387</v>
      </c>
    </row>
    <row r="1456" spans="1:9" x14ac:dyDescent="0.35">
      <c r="A1456" t="s">
        <v>139</v>
      </c>
      <c r="B1456" t="s">
        <v>140</v>
      </c>
      <c r="C1456" t="s">
        <v>25</v>
      </c>
      <c r="D1456" t="s">
        <v>155</v>
      </c>
      <c r="E1456" t="s">
        <v>126</v>
      </c>
      <c r="F1456" s="4">
        <v>10.186507799999999</v>
      </c>
      <c r="G1456" s="4">
        <f>IFERROR(F1456-alt_Blanks!$I$21,F1456)</f>
        <v>9.9719986999999985</v>
      </c>
      <c r="H1456" s="7">
        <f t="shared" si="63"/>
        <v>9.9719986999999985</v>
      </c>
      <c r="I1456" s="7">
        <f t="shared" si="64"/>
        <v>21.777677877265777</v>
      </c>
    </row>
    <row r="1457" spans="1:9" x14ac:dyDescent="0.35">
      <c r="A1457" t="s">
        <v>139</v>
      </c>
      <c r="B1457" t="s">
        <v>140</v>
      </c>
      <c r="C1457" t="s">
        <v>26</v>
      </c>
      <c r="D1457" t="s">
        <v>153</v>
      </c>
      <c r="E1457" t="s">
        <v>126</v>
      </c>
      <c r="F1457" s="4">
        <v>2.4318781</v>
      </c>
      <c r="G1457" s="4">
        <f>IFERROR(F1457-alt_Blanks!$I$22,F1457)</f>
        <v>0.8371567000000002</v>
      </c>
      <c r="H1457" s="7">
        <f t="shared" si="63"/>
        <v>0.8371567000000002</v>
      </c>
      <c r="I1457" s="7">
        <f t="shared" si="64"/>
        <v>1.8282522384800179</v>
      </c>
    </row>
    <row r="1458" spans="1:9" x14ac:dyDescent="0.35">
      <c r="A1458" t="s">
        <v>139</v>
      </c>
      <c r="B1458" t="s">
        <v>140</v>
      </c>
      <c r="C1458" t="s">
        <v>27</v>
      </c>
      <c r="D1458" t="s">
        <v>154</v>
      </c>
      <c r="E1458" t="s">
        <v>126</v>
      </c>
      <c r="F1458" s="4">
        <v>0.25653680000000001</v>
      </c>
      <c r="G1458" s="4">
        <f>IFERROR(F1458-alt_Blanks!$I$23,F1458)</f>
        <v>0.13579940000000001</v>
      </c>
      <c r="H1458" s="7">
        <f t="shared" si="63"/>
        <v>0.13579940000000001</v>
      </c>
      <c r="I1458" s="7">
        <f t="shared" si="64"/>
        <v>0.29656999344835122</v>
      </c>
    </row>
    <row r="1459" spans="1:9" x14ac:dyDescent="0.35">
      <c r="A1459" t="s">
        <v>139</v>
      </c>
      <c r="B1459" t="s">
        <v>140</v>
      </c>
      <c r="C1459" t="s">
        <v>28</v>
      </c>
      <c r="D1459" t="s">
        <v>155</v>
      </c>
      <c r="E1459" t="s">
        <v>126</v>
      </c>
      <c r="F1459" s="4">
        <v>16.474373200000002</v>
      </c>
      <c r="G1459" s="4">
        <f>IFERROR(F1459-alt_Blanks!$I$24,F1459)</f>
        <v>16.227203600000003</v>
      </c>
      <c r="H1459" s="7">
        <f t="shared" si="63"/>
        <v>16.227203600000003</v>
      </c>
      <c r="I1459" s="7">
        <f t="shared" si="64"/>
        <v>35.438313168814162</v>
      </c>
    </row>
    <row r="1460" spans="1:9" x14ac:dyDescent="0.35">
      <c r="A1460" t="s">
        <v>139</v>
      </c>
      <c r="B1460" t="s">
        <v>140</v>
      </c>
      <c r="C1460" t="s">
        <v>29</v>
      </c>
      <c r="D1460" t="s">
        <v>155</v>
      </c>
      <c r="E1460" t="s">
        <v>126</v>
      </c>
      <c r="F1460" s="4">
        <v>0.42555770000000004</v>
      </c>
      <c r="G1460" s="4">
        <f>IFERROR(F1460-alt_Blanks!$I$25,F1460)</f>
        <v>-4.6683099999999922E-2</v>
      </c>
      <c r="H1460" s="7">
        <f t="shared" si="63"/>
        <v>0</v>
      </c>
      <c r="I1460" s="7">
        <f t="shared" si="64"/>
        <v>0</v>
      </c>
    </row>
    <row r="1461" spans="1:9" x14ac:dyDescent="0.35">
      <c r="A1461" t="s">
        <v>139</v>
      </c>
      <c r="B1461" t="s">
        <v>140</v>
      </c>
      <c r="C1461" t="s">
        <v>30</v>
      </c>
      <c r="D1461" t="s">
        <v>155</v>
      </c>
      <c r="E1461" t="s">
        <v>126</v>
      </c>
      <c r="F1461" s="4">
        <v>140.12785200000002</v>
      </c>
      <c r="G1461" s="4">
        <f>IFERROR(F1461-alt_Blanks!$I$26,F1461)</f>
        <v>139.54767570000001</v>
      </c>
      <c r="H1461" s="7">
        <f t="shared" si="63"/>
        <v>139.54767570000001</v>
      </c>
      <c r="I1461" s="7">
        <f t="shared" si="64"/>
        <v>304.75578881851936</v>
      </c>
    </row>
    <row r="1462" spans="1:9" x14ac:dyDescent="0.35">
      <c r="A1462" t="s">
        <v>139</v>
      </c>
      <c r="B1462" t="s">
        <v>140</v>
      </c>
      <c r="C1462" t="s">
        <v>31</v>
      </c>
      <c r="D1462" t="s">
        <v>155</v>
      </c>
      <c r="E1462" t="s">
        <v>126</v>
      </c>
      <c r="F1462" s="4" t="e">
        <v>#N/A</v>
      </c>
      <c r="G1462" s="4" t="e">
        <f>IFERROR(F1462-alt_Blanks!$I$27,F1462)</f>
        <v>#N/A</v>
      </c>
      <c r="H1462" s="7" t="e">
        <f t="shared" si="63"/>
        <v>#N/A</v>
      </c>
      <c r="I1462" s="7" t="e">
        <f t="shared" si="64"/>
        <v>#N/A</v>
      </c>
    </row>
    <row r="1463" spans="1:9" x14ac:dyDescent="0.35">
      <c r="A1463" t="s">
        <v>139</v>
      </c>
      <c r="B1463" t="s">
        <v>140</v>
      </c>
      <c r="C1463" t="s">
        <v>32</v>
      </c>
      <c r="D1463" t="s">
        <v>153</v>
      </c>
      <c r="E1463" t="s">
        <v>126</v>
      </c>
      <c r="F1463" s="4">
        <v>0</v>
      </c>
      <c r="G1463" s="4">
        <f>IFERROR(F1463-alt_Blanks!$I$28,F1463)</f>
        <v>0</v>
      </c>
      <c r="H1463" s="7">
        <f t="shared" si="63"/>
        <v>0</v>
      </c>
      <c r="I1463" s="7">
        <f t="shared" si="64"/>
        <v>0</v>
      </c>
    </row>
    <row r="1464" spans="1:9" x14ac:dyDescent="0.35">
      <c r="A1464" t="s">
        <v>139</v>
      </c>
      <c r="B1464" t="s">
        <v>140</v>
      </c>
      <c r="C1464" t="s">
        <v>33</v>
      </c>
      <c r="D1464" t="s">
        <v>155</v>
      </c>
      <c r="E1464" t="s">
        <v>126</v>
      </c>
      <c r="F1464" s="4">
        <v>155.76380570000001</v>
      </c>
      <c r="G1464" s="4">
        <f>IFERROR(F1464-alt_Blanks!$I$29,F1464)</f>
        <v>155.15218469999999</v>
      </c>
      <c r="H1464" s="7">
        <f t="shared" si="63"/>
        <v>155.15218469999999</v>
      </c>
      <c r="I1464" s="7">
        <f t="shared" si="64"/>
        <v>338.8342098711509</v>
      </c>
    </row>
    <row r="1465" spans="1:9" x14ac:dyDescent="0.35">
      <c r="A1465" t="s">
        <v>139</v>
      </c>
      <c r="B1465" t="s">
        <v>140</v>
      </c>
      <c r="C1465" t="s">
        <v>34</v>
      </c>
      <c r="D1465" t="s">
        <v>153</v>
      </c>
      <c r="E1465" t="s">
        <v>126</v>
      </c>
      <c r="F1465" s="4">
        <v>0</v>
      </c>
      <c r="G1465" s="4">
        <f>IFERROR(F1465-alt_Blanks!$I$30,F1465)</f>
        <v>0</v>
      </c>
      <c r="H1465" s="7">
        <f t="shared" si="63"/>
        <v>0</v>
      </c>
      <c r="I1465" s="7">
        <f t="shared" si="64"/>
        <v>0</v>
      </c>
    </row>
    <row r="1466" spans="1:9" x14ac:dyDescent="0.35">
      <c r="A1466" t="s">
        <v>139</v>
      </c>
      <c r="B1466" t="s">
        <v>140</v>
      </c>
      <c r="C1466" t="s">
        <v>35</v>
      </c>
      <c r="D1466" t="s">
        <v>154</v>
      </c>
      <c r="E1466" t="s">
        <v>126</v>
      </c>
      <c r="F1466" s="4">
        <v>118.8679376</v>
      </c>
      <c r="G1466" s="4">
        <f>IFERROR(F1466-alt_Blanks!$I$31,F1466)</f>
        <v>16.413304000000011</v>
      </c>
      <c r="H1466" s="7">
        <f t="shared" si="63"/>
        <v>16.413304000000011</v>
      </c>
      <c r="I1466" s="7">
        <f t="shared" si="64"/>
        <v>35.844734658222343</v>
      </c>
    </row>
    <row r="1467" spans="1:9" x14ac:dyDescent="0.35">
      <c r="A1467" t="s">
        <v>139</v>
      </c>
      <c r="B1467" t="s">
        <v>140</v>
      </c>
      <c r="C1467" t="s">
        <v>36</v>
      </c>
      <c r="D1467" t="s">
        <v>155</v>
      </c>
      <c r="E1467" t="s">
        <v>126</v>
      </c>
      <c r="F1467" s="4">
        <v>1.9537872000000001</v>
      </c>
      <c r="G1467" s="4">
        <f>IFERROR(F1467-alt_Blanks!$I$32,F1467)</f>
        <v>2.6218700000000039E-2</v>
      </c>
      <c r="H1467" s="7">
        <f t="shared" si="63"/>
        <v>2.6218700000000039E-2</v>
      </c>
      <c r="I1467" s="7">
        <f t="shared" si="64"/>
        <v>5.7258571740554792E-2</v>
      </c>
    </row>
    <row r="1468" spans="1:9" x14ac:dyDescent="0.35">
      <c r="A1468" t="s">
        <v>139</v>
      </c>
      <c r="B1468" t="s">
        <v>140</v>
      </c>
      <c r="C1468" t="s">
        <v>37</v>
      </c>
      <c r="D1468" t="s">
        <v>155</v>
      </c>
      <c r="E1468" t="s">
        <v>126</v>
      </c>
      <c r="F1468" s="4">
        <v>4.3420641</v>
      </c>
      <c r="G1468" s="4">
        <f>IFERROR(F1468-alt_Blanks!$I$33,F1468)</f>
        <v>4.3420641</v>
      </c>
      <c r="H1468" s="7">
        <f t="shared" si="63"/>
        <v>4.3420641</v>
      </c>
      <c r="I1468" s="7">
        <f t="shared" si="64"/>
        <v>9.4825597291985151</v>
      </c>
    </row>
    <row r="1469" spans="1:9" x14ac:dyDescent="0.35">
      <c r="A1469" t="s">
        <v>139</v>
      </c>
      <c r="B1469" t="s">
        <v>140</v>
      </c>
      <c r="C1469" t="s">
        <v>38</v>
      </c>
      <c r="D1469" t="s">
        <v>155</v>
      </c>
      <c r="E1469" t="s">
        <v>126</v>
      </c>
      <c r="F1469" s="4">
        <v>2.4813516</v>
      </c>
      <c r="G1469" s="4">
        <f>IFERROR(F1469-alt_Blanks!$I$34,F1469)</f>
        <v>2.4813516</v>
      </c>
      <c r="H1469" s="7">
        <f t="shared" si="63"/>
        <v>2.4813516</v>
      </c>
      <c r="I1469" s="7">
        <f t="shared" si="64"/>
        <v>5.4189814369949776</v>
      </c>
    </row>
    <row r="1470" spans="1:9" x14ac:dyDescent="0.35">
      <c r="A1470" t="s">
        <v>139</v>
      </c>
      <c r="B1470" t="s">
        <v>140</v>
      </c>
      <c r="C1470" t="s">
        <v>39</v>
      </c>
      <c r="D1470" t="s">
        <v>153</v>
      </c>
      <c r="E1470" t="s">
        <v>126</v>
      </c>
      <c r="F1470" s="4">
        <v>14.3991209</v>
      </c>
      <c r="G1470" s="4">
        <f>IFERROR(F1470-alt_Blanks!$I$35,F1470)</f>
        <v>14.3991209</v>
      </c>
      <c r="H1470" s="7">
        <f t="shared" si="63"/>
        <v>14.3991209</v>
      </c>
      <c r="I1470" s="7">
        <f t="shared" si="64"/>
        <v>31.445994540292642</v>
      </c>
    </row>
    <row r="1471" spans="1:9" x14ac:dyDescent="0.35">
      <c r="A1471" t="s">
        <v>139</v>
      </c>
      <c r="B1471" t="s">
        <v>140</v>
      </c>
      <c r="C1471" t="s">
        <v>40</v>
      </c>
      <c r="D1471" t="s">
        <v>154</v>
      </c>
      <c r="E1471" t="s">
        <v>126</v>
      </c>
      <c r="F1471" s="4">
        <v>0</v>
      </c>
      <c r="G1471" s="4">
        <f>IFERROR(F1471-alt_Blanks!$I$36,F1471)</f>
        <v>0</v>
      </c>
      <c r="H1471" s="7">
        <f t="shared" si="63"/>
        <v>0</v>
      </c>
      <c r="I1471" s="7">
        <f t="shared" si="64"/>
        <v>0</v>
      </c>
    </row>
    <row r="1472" spans="1:9" x14ac:dyDescent="0.35">
      <c r="A1472" t="s">
        <v>141</v>
      </c>
      <c r="B1472" t="s">
        <v>142</v>
      </c>
      <c r="C1472" t="s">
        <v>6</v>
      </c>
      <c r="D1472" t="s">
        <v>153</v>
      </c>
      <c r="E1472" t="s">
        <v>126</v>
      </c>
      <c r="F1472" s="4">
        <v>6.7338294999999997</v>
      </c>
      <c r="G1472" s="4">
        <f>IFERROR(F1472-alt_Blanks!$I$2,F1472)</f>
        <v>2.728839999999888E-2</v>
      </c>
      <c r="H1472" s="7">
        <f t="shared" si="63"/>
        <v>2.728839999999888E-2</v>
      </c>
      <c r="I1472" s="7">
        <f>H1472/0.5688</f>
        <v>4.7975386779182283E-2</v>
      </c>
    </row>
    <row r="1473" spans="1:9" x14ac:dyDescent="0.35">
      <c r="A1473" t="s">
        <v>141</v>
      </c>
      <c r="B1473" t="s">
        <v>142</v>
      </c>
      <c r="C1473" t="s">
        <v>7</v>
      </c>
      <c r="D1473" t="s">
        <v>153</v>
      </c>
      <c r="E1473" t="s">
        <v>126</v>
      </c>
      <c r="F1473" s="4">
        <v>1.5662897</v>
      </c>
      <c r="G1473" s="4">
        <f>IFERROR(F1473-alt_Blanks!$I$3,F1473)</f>
        <v>1.5662897</v>
      </c>
      <c r="H1473" s="7">
        <f t="shared" si="63"/>
        <v>1.5662897</v>
      </c>
      <c r="I1473" s="7">
        <f t="shared" ref="I1473:I1506" si="65">H1473/0.5688</f>
        <v>2.7536738748241913</v>
      </c>
    </row>
    <row r="1474" spans="1:9" x14ac:dyDescent="0.35">
      <c r="A1474" t="s">
        <v>141</v>
      </c>
      <c r="B1474" t="s">
        <v>142</v>
      </c>
      <c r="C1474" t="s">
        <v>8</v>
      </c>
      <c r="D1474" t="s">
        <v>153</v>
      </c>
      <c r="E1474" t="s">
        <v>126</v>
      </c>
      <c r="F1474" s="4" t="e">
        <v>#N/A</v>
      </c>
      <c r="G1474" s="4" t="e">
        <f>IFERROR(F1474-alt_Blanks!$I$4,F1474)</f>
        <v>#N/A</v>
      </c>
      <c r="H1474" s="7" t="e">
        <f t="shared" si="63"/>
        <v>#N/A</v>
      </c>
      <c r="I1474" s="7" t="e">
        <f t="shared" si="65"/>
        <v>#N/A</v>
      </c>
    </row>
    <row r="1475" spans="1:9" x14ac:dyDescent="0.35">
      <c r="A1475" t="s">
        <v>141</v>
      </c>
      <c r="B1475" t="s">
        <v>142</v>
      </c>
      <c r="C1475" t="s">
        <v>9</v>
      </c>
      <c r="D1475" t="s">
        <v>153</v>
      </c>
      <c r="E1475" t="s">
        <v>126</v>
      </c>
      <c r="F1475" s="4">
        <v>15.172462299999999</v>
      </c>
      <c r="G1475" s="4">
        <f>IFERROR(F1475-alt_Blanks!$I$5,F1475)</f>
        <v>15.172462299999999</v>
      </c>
      <c r="H1475" s="7">
        <f t="shared" si="63"/>
        <v>15.172462299999999</v>
      </c>
      <c r="I1475" s="7">
        <f t="shared" si="65"/>
        <v>26.674511779184247</v>
      </c>
    </row>
    <row r="1476" spans="1:9" x14ac:dyDescent="0.35">
      <c r="A1476" t="s">
        <v>141</v>
      </c>
      <c r="B1476" t="s">
        <v>142</v>
      </c>
      <c r="C1476" t="s">
        <v>10</v>
      </c>
      <c r="D1476" t="s">
        <v>153</v>
      </c>
      <c r="E1476" t="s">
        <v>126</v>
      </c>
      <c r="F1476" s="4">
        <v>96.950537999999995</v>
      </c>
      <c r="G1476" s="4">
        <f>IFERROR(F1476-alt_Blanks!$I$6,F1476)</f>
        <v>96.950537999999995</v>
      </c>
      <c r="H1476" s="7">
        <f t="shared" si="63"/>
        <v>96.950537999999995</v>
      </c>
      <c r="I1476" s="7">
        <f t="shared" si="65"/>
        <v>170.44749999999999</v>
      </c>
    </row>
    <row r="1477" spans="1:9" x14ac:dyDescent="0.35">
      <c r="A1477" t="s">
        <v>141</v>
      </c>
      <c r="B1477" t="s">
        <v>142</v>
      </c>
      <c r="C1477" t="s">
        <v>11</v>
      </c>
      <c r="D1477" t="s">
        <v>153</v>
      </c>
      <c r="E1477" t="s">
        <v>126</v>
      </c>
      <c r="F1477" s="4">
        <v>90.808160099999995</v>
      </c>
      <c r="G1477" s="4">
        <f>IFERROR(F1477-alt_Blanks!$I$7,F1477)</f>
        <v>90.808160099999995</v>
      </c>
      <c r="H1477" s="7">
        <f t="shared" si="63"/>
        <v>90.808160099999995</v>
      </c>
      <c r="I1477" s="7">
        <f t="shared" si="65"/>
        <v>159.64866402953587</v>
      </c>
    </row>
    <row r="1478" spans="1:9" x14ac:dyDescent="0.35">
      <c r="A1478" t="s">
        <v>141</v>
      </c>
      <c r="B1478" t="s">
        <v>142</v>
      </c>
      <c r="C1478" t="s">
        <v>12</v>
      </c>
      <c r="D1478" t="s">
        <v>154</v>
      </c>
      <c r="E1478" t="s">
        <v>126</v>
      </c>
      <c r="F1478" s="4">
        <v>0</v>
      </c>
      <c r="G1478" s="4">
        <f>IFERROR(F1478-alt_Blanks!$I$8,F1478)</f>
        <v>0</v>
      </c>
      <c r="H1478" s="7">
        <f t="shared" ref="H1478:H1541" si="66">IF(G1478&lt;0,0,G1478)</f>
        <v>0</v>
      </c>
      <c r="I1478" s="7">
        <f t="shared" si="65"/>
        <v>0</v>
      </c>
    </row>
    <row r="1479" spans="1:9" x14ac:dyDescent="0.35">
      <c r="A1479" t="s">
        <v>141</v>
      </c>
      <c r="B1479" t="s">
        <v>142</v>
      </c>
      <c r="C1479" t="s">
        <v>13</v>
      </c>
      <c r="D1479" t="s">
        <v>153</v>
      </c>
      <c r="E1479" t="s">
        <v>126</v>
      </c>
      <c r="F1479" s="4">
        <v>11.251206399999999</v>
      </c>
      <c r="G1479" s="4">
        <f>IFERROR(F1479-alt_Blanks!$I$9,F1479)</f>
        <v>11.251206399999999</v>
      </c>
      <c r="H1479" s="7">
        <f t="shared" si="66"/>
        <v>11.251206399999999</v>
      </c>
      <c r="I1479" s="7">
        <f t="shared" si="65"/>
        <v>19.780601969057663</v>
      </c>
    </row>
    <row r="1480" spans="1:9" x14ac:dyDescent="0.35">
      <c r="A1480" t="s">
        <v>141</v>
      </c>
      <c r="B1480" t="s">
        <v>142</v>
      </c>
      <c r="C1480" t="s">
        <v>14</v>
      </c>
      <c r="D1480" t="s">
        <v>154</v>
      </c>
      <c r="E1480" t="s">
        <v>126</v>
      </c>
      <c r="F1480" s="4">
        <v>0</v>
      </c>
      <c r="G1480" s="4">
        <f>IFERROR(F1480-alt_Blanks!$I$10,F1480)</f>
        <v>0</v>
      </c>
      <c r="H1480" s="7">
        <f t="shared" si="66"/>
        <v>0</v>
      </c>
      <c r="I1480" s="7">
        <f t="shared" si="65"/>
        <v>0</v>
      </c>
    </row>
    <row r="1481" spans="1:9" x14ac:dyDescent="0.35">
      <c r="A1481" t="s">
        <v>141</v>
      </c>
      <c r="B1481" t="s">
        <v>142</v>
      </c>
      <c r="C1481" t="s">
        <v>15</v>
      </c>
      <c r="D1481" t="s">
        <v>153</v>
      </c>
      <c r="E1481" t="s">
        <v>126</v>
      </c>
      <c r="F1481" s="4">
        <v>2681.8350313000001</v>
      </c>
      <c r="G1481" s="4">
        <f>IFERROR(F1481-alt_Blanks!$I$11,F1481)</f>
        <v>1876.6183416000001</v>
      </c>
      <c r="H1481" s="7">
        <f t="shared" si="66"/>
        <v>1876.6183416000001</v>
      </c>
      <c r="I1481" s="7">
        <f t="shared" si="65"/>
        <v>3299.2586877637136</v>
      </c>
    </row>
    <row r="1482" spans="1:9" x14ac:dyDescent="0.35">
      <c r="A1482" t="s">
        <v>141</v>
      </c>
      <c r="B1482" t="s">
        <v>142</v>
      </c>
      <c r="C1482" t="s">
        <v>16</v>
      </c>
      <c r="D1482" t="s">
        <v>154</v>
      </c>
      <c r="E1482" t="s">
        <v>126</v>
      </c>
      <c r="F1482" s="4">
        <v>418.14089680000001</v>
      </c>
      <c r="G1482" s="4">
        <f>IFERROR(F1482-alt_Blanks!$I$12,F1482)</f>
        <v>418.14089680000001</v>
      </c>
      <c r="H1482" s="7">
        <f t="shared" si="66"/>
        <v>418.14089680000001</v>
      </c>
      <c r="I1482" s="7">
        <f t="shared" si="65"/>
        <v>735.12815893108302</v>
      </c>
    </row>
    <row r="1483" spans="1:9" x14ac:dyDescent="0.35">
      <c r="A1483" t="s">
        <v>141</v>
      </c>
      <c r="B1483" t="s">
        <v>142</v>
      </c>
      <c r="C1483" t="s">
        <v>17</v>
      </c>
      <c r="D1483" t="s">
        <v>153</v>
      </c>
      <c r="E1483" t="s">
        <v>126</v>
      </c>
      <c r="F1483" s="4">
        <v>16.984158799999999</v>
      </c>
      <c r="G1483" s="4">
        <f>IFERROR(F1483-alt_Blanks!$I$13,F1483)</f>
        <v>16.131445299999999</v>
      </c>
      <c r="H1483" s="7">
        <f t="shared" si="66"/>
        <v>16.131445299999999</v>
      </c>
      <c r="I1483" s="7">
        <f t="shared" si="65"/>
        <v>28.360487517580871</v>
      </c>
    </row>
    <row r="1484" spans="1:9" x14ac:dyDescent="0.35">
      <c r="A1484" t="s">
        <v>141</v>
      </c>
      <c r="B1484" t="s">
        <v>142</v>
      </c>
      <c r="C1484" t="s">
        <v>18</v>
      </c>
      <c r="D1484" t="s">
        <v>154</v>
      </c>
      <c r="E1484" t="s">
        <v>126</v>
      </c>
      <c r="F1484" s="4">
        <v>0</v>
      </c>
      <c r="G1484" s="4">
        <f>IFERROR(F1484-alt_Blanks!$I$14,F1484)</f>
        <v>0</v>
      </c>
      <c r="H1484" s="7">
        <f t="shared" si="66"/>
        <v>0</v>
      </c>
      <c r="I1484" s="7">
        <f t="shared" si="65"/>
        <v>0</v>
      </c>
    </row>
    <row r="1485" spans="1:9" x14ac:dyDescent="0.35">
      <c r="A1485" t="s">
        <v>141</v>
      </c>
      <c r="B1485" t="s">
        <v>142</v>
      </c>
      <c r="C1485" t="s">
        <v>19</v>
      </c>
      <c r="D1485" t="s">
        <v>153</v>
      </c>
      <c r="E1485" t="s">
        <v>126</v>
      </c>
      <c r="F1485" s="4">
        <v>510.02374609999998</v>
      </c>
      <c r="G1485" s="4">
        <f>IFERROR(F1485-alt_Blanks!$I$15,F1485)</f>
        <v>241.40034900000001</v>
      </c>
      <c r="H1485" s="7">
        <f t="shared" si="66"/>
        <v>241.40034900000001</v>
      </c>
      <c r="I1485" s="7">
        <f t="shared" si="65"/>
        <v>424.40286392405068</v>
      </c>
    </row>
    <row r="1486" spans="1:9" x14ac:dyDescent="0.35">
      <c r="A1486" t="s">
        <v>141</v>
      </c>
      <c r="B1486" t="s">
        <v>142</v>
      </c>
      <c r="C1486" t="s">
        <v>20</v>
      </c>
      <c r="D1486" t="s">
        <v>154</v>
      </c>
      <c r="E1486" t="s">
        <v>126</v>
      </c>
      <c r="F1486" s="4">
        <v>433.0092123</v>
      </c>
      <c r="G1486" s="4">
        <f>IFERROR(F1486-alt_Blanks!$I$16,F1486)</f>
        <v>414.54329910000001</v>
      </c>
      <c r="H1486" s="7">
        <f t="shared" si="66"/>
        <v>414.54329910000001</v>
      </c>
      <c r="I1486" s="7">
        <f t="shared" si="65"/>
        <v>728.80326845991567</v>
      </c>
    </row>
    <row r="1487" spans="1:9" x14ac:dyDescent="0.35">
      <c r="A1487" t="s">
        <v>141</v>
      </c>
      <c r="B1487" t="s">
        <v>142</v>
      </c>
      <c r="C1487" t="s">
        <v>21</v>
      </c>
      <c r="D1487" t="s">
        <v>155</v>
      </c>
      <c r="E1487" t="s">
        <v>126</v>
      </c>
      <c r="F1487" s="4">
        <v>2.2944054999999999</v>
      </c>
      <c r="G1487" s="4">
        <f>IFERROR(F1487-alt_Blanks!$I$17,F1487)</f>
        <v>1.9624520999999999</v>
      </c>
      <c r="H1487" s="7">
        <f t="shared" si="66"/>
        <v>1.9624520999999999</v>
      </c>
      <c r="I1487" s="7">
        <f t="shared" si="65"/>
        <v>3.4501619198312237</v>
      </c>
    </row>
    <row r="1488" spans="1:9" x14ac:dyDescent="0.35">
      <c r="A1488" t="s">
        <v>141</v>
      </c>
      <c r="B1488" t="s">
        <v>142</v>
      </c>
      <c r="C1488" t="s">
        <v>22</v>
      </c>
      <c r="D1488" t="s">
        <v>155</v>
      </c>
      <c r="E1488" t="s">
        <v>126</v>
      </c>
      <c r="F1488" s="4">
        <v>231.05647769999999</v>
      </c>
      <c r="G1488" s="4">
        <f>IFERROR(F1488-alt_Blanks!$I$18,F1488)</f>
        <v>225.05301809999997</v>
      </c>
      <c r="H1488" s="7">
        <f t="shared" si="66"/>
        <v>225.05301809999997</v>
      </c>
      <c r="I1488" s="7">
        <f t="shared" si="65"/>
        <v>395.66283069620249</v>
      </c>
    </row>
    <row r="1489" spans="1:9" x14ac:dyDescent="0.35">
      <c r="A1489" t="s">
        <v>141</v>
      </c>
      <c r="B1489" t="s">
        <v>142</v>
      </c>
      <c r="C1489" t="s">
        <v>23</v>
      </c>
      <c r="D1489" t="s">
        <v>155</v>
      </c>
      <c r="E1489" t="s">
        <v>126</v>
      </c>
      <c r="F1489" s="4">
        <v>22.888521900000001</v>
      </c>
      <c r="G1489" s="4">
        <f>IFERROR(F1489-alt_Blanks!$I$19,F1489)</f>
        <v>22.888521900000001</v>
      </c>
      <c r="H1489" s="7">
        <f t="shared" si="66"/>
        <v>22.888521900000001</v>
      </c>
      <c r="I1489" s="7">
        <f t="shared" si="65"/>
        <v>40.240017405063291</v>
      </c>
    </row>
    <row r="1490" spans="1:9" x14ac:dyDescent="0.35">
      <c r="A1490" t="s">
        <v>141</v>
      </c>
      <c r="B1490" t="s">
        <v>142</v>
      </c>
      <c r="C1490" t="s">
        <v>24</v>
      </c>
      <c r="D1490" t="s">
        <v>155</v>
      </c>
      <c r="E1490" t="s">
        <v>126</v>
      </c>
      <c r="F1490" s="4">
        <v>225.59529709999998</v>
      </c>
      <c r="G1490" s="4">
        <f>IFERROR(F1490-alt_Blanks!$I$20,F1490)</f>
        <v>223.65732169999998</v>
      </c>
      <c r="H1490" s="7">
        <f t="shared" si="66"/>
        <v>223.65732169999998</v>
      </c>
      <c r="I1490" s="7">
        <f t="shared" si="65"/>
        <v>393.20907471870606</v>
      </c>
    </row>
    <row r="1491" spans="1:9" x14ac:dyDescent="0.35">
      <c r="A1491" t="s">
        <v>141</v>
      </c>
      <c r="B1491" t="s">
        <v>142</v>
      </c>
      <c r="C1491" t="s">
        <v>25</v>
      </c>
      <c r="D1491" t="s">
        <v>155</v>
      </c>
      <c r="E1491" t="s">
        <v>126</v>
      </c>
      <c r="F1491" s="4">
        <v>18.420323400000001</v>
      </c>
      <c r="G1491" s="4">
        <f>IFERROR(F1491-alt_Blanks!$I$21,F1491)</f>
        <v>18.2058143</v>
      </c>
      <c r="H1491" s="7">
        <f t="shared" si="66"/>
        <v>18.2058143</v>
      </c>
      <c r="I1491" s="7">
        <f t="shared" si="65"/>
        <v>32.007409106891707</v>
      </c>
    </row>
    <row r="1492" spans="1:9" x14ac:dyDescent="0.35">
      <c r="A1492" t="s">
        <v>141</v>
      </c>
      <c r="B1492" t="s">
        <v>142</v>
      </c>
      <c r="C1492" t="s">
        <v>26</v>
      </c>
      <c r="D1492" t="s">
        <v>153</v>
      </c>
      <c r="E1492" t="s">
        <v>126</v>
      </c>
      <c r="F1492" s="4">
        <v>1.6016769</v>
      </c>
      <c r="G1492" s="4">
        <f>IFERROR(F1492-alt_Blanks!$I$22,F1492)</f>
        <v>6.9555000000001144E-3</v>
      </c>
      <c r="H1492" s="7">
        <f t="shared" si="66"/>
        <v>6.9555000000001144E-3</v>
      </c>
      <c r="I1492" s="7">
        <f t="shared" si="65"/>
        <v>1.2228375527426363E-2</v>
      </c>
    </row>
    <row r="1493" spans="1:9" x14ac:dyDescent="0.35">
      <c r="A1493" t="s">
        <v>141</v>
      </c>
      <c r="B1493" t="s">
        <v>142</v>
      </c>
      <c r="C1493" t="s">
        <v>27</v>
      </c>
      <c r="D1493" t="s">
        <v>154</v>
      </c>
      <c r="E1493" t="s">
        <v>126</v>
      </c>
      <c r="F1493" s="4">
        <v>7.7440865999999993</v>
      </c>
      <c r="G1493" s="4">
        <f>IFERROR(F1493-alt_Blanks!$I$23,F1493)</f>
        <v>7.6233491999999989</v>
      </c>
      <c r="H1493" s="7">
        <f t="shared" si="66"/>
        <v>7.6233491999999989</v>
      </c>
      <c r="I1493" s="7">
        <f t="shared" si="65"/>
        <v>13.402512658227847</v>
      </c>
    </row>
    <row r="1494" spans="1:9" x14ac:dyDescent="0.35">
      <c r="A1494" t="s">
        <v>141</v>
      </c>
      <c r="B1494" t="s">
        <v>142</v>
      </c>
      <c r="C1494" t="s">
        <v>28</v>
      </c>
      <c r="D1494" t="s">
        <v>155</v>
      </c>
      <c r="E1494" t="s">
        <v>126</v>
      </c>
      <c r="F1494" s="4">
        <v>29.200894599999998</v>
      </c>
      <c r="G1494" s="4">
        <f>IFERROR(F1494-alt_Blanks!$I$24,F1494)</f>
        <v>28.953724999999999</v>
      </c>
      <c r="H1494" s="7">
        <f t="shared" si="66"/>
        <v>28.953724999999999</v>
      </c>
      <c r="I1494" s="7">
        <f t="shared" si="65"/>
        <v>50.903173347398031</v>
      </c>
    </row>
    <row r="1495" spans="1:9" x14ac:dyDescent="0.35">
      <c r="A1495" t="s">
        <v>141</v>
      </c>
      <c r="B1495" t="s">
        <v>142</v>
      </c>
      <c r="C1495" t="s">
        <v>29</v>
      </c>
      <c r="D1495" t="s">
        <v>155</v>
      </c>
      <c r="E1495" t="s">
        <v>126</v>
      </c>
      <c r="F1495" s="4">
        <v>1.2008975</v>
      </c>
      <c r="G1495" s="4">
        <f>IFERROR(F1495-alt_Blanks!$I$25,F1495)</f>
        <v>0.72865669999999994</v>
      </c>
      <c r="H1495" s="7">
        <f t="shared" si="66"/>
        <v>0.72865669999999994</v>
      </c>
      <c r="I1495" s="7">
        <f t="shared" si="65"/>
        <v>1.2810420182841069</v>
      </c>
    </row>
    <row r="1496" spans="1:9" x14ac:dyDescent="0.35">
      <c r="A1496" t="s">
        <v>141</v>
      </c>
      <c r="B1496" t="s">
        <v>142</v>
      </c>
      <c r="C1496" t="s">
        <v>30</v>
      </c>
      <c r="D1496" t="s">
        <v>155</v>
      </c>
      <c r="E1496" t="s">
        <v>126</v>
      </c>
      <c r="F1496" s="4">
        <v>252.48778760000002</v>
      </c>
      <c r="G1496" s="4">
        <f>IFERROR(F1496-alt_Blanks!$I$26,F1496)</f>
        <v>251.90761130000001</v>
      </c>
      <c r="H1496" s="7">
        <f t="shared" si="66"/>
        <v>251.90761130000001</v>
      </c>
      <c r="I1496" s="7">
        <f t="shared" si="65"/>
        <v>442.87554729254578</v>
      </c>
    </row>
    <row r="1497" spans="1:9" x14ac:dyDescent="0.35">
      <c r="A1497" t="s">
        <v>141</v>
      </c>
      <c r="B1497" t="s">
        <v>142</v>
      </c>
      <c r="C1497" t="s">
        <v>31</v>
      </c>
      <c r="D1497" t="s">
        <v>155</v>
      </c>
      <c r="E1497" t="s">
        <v>126</v>
      </c>
      <c r="F1497" s="4">
        <v>8.6348212000000011</v>
      </c>
      <c r="G1497" s="4">
        <f>IFERROR(F1497-alt_Blanks!$I$27,F1497)</f>
        <v>8.6348212000000011</v>
      </c>
      <c r="H1497" s="7">
        <f t="shared" si="66"/>
        <v>8.6348212000000011</v>
      </c>
      <c r="I1497" s="7">
        <f t="shared" si="65"/>
        <v>15.180768635724334</v>
      </c>
    </row>
    <row r="1498" spans="1:9" x14ac:dyDescent="0.35">
      <c r="A1498" t="s">
        <v>141</v>
      </c>
      <c r="B1498" t="s">
        <v>142</v>
      </c>
      <c r="C1498" t="s">
        <v>32</v>
      </c>
      <c r="D1498" t="s">
        <v>153</v>
      </c>
      <c r="E1498" t="s">
        <v>126</v>
      </c>
      <c r="F1498" s="4">
        <v>0</v>
      </c>
      <c r="G1498" s="4">
        <f>IFERROR(F1498-alt_Blanks!$I$28,F1498)</f>
        <v>0</v>
      </c>
      <c r="H1498" s="7">
        <f t="shared" si="66"/>
        <v>0</v>
      </c>
      <c r="I1498" s="7">
        <f t="shared" si="65"/>
        <v>0</v>
      </c>
    </row>
    <row r="1499" spans="1:9" x14ac:dyDescent="0.35">
      <c r="A1499" t="s">
        <v>141</v>
      </c>
      <c r="B1499" t="s">
        <v>142</v>
      </c>
      <c r="C1499" t="s">
        <v>33</v>
      </c>
      <c r="D1499" t="s">
        <v>155</v>
      </c>
      <c r="E1499" t="s">
        <v>126</v>
      </c>
      <c r="F1499" s="4">
        <v>240.54604749999999</v>
      </c>
      <c r="G1499" s="4">
        <f>IFERROR(F1499-alt_Blanks!$I$29,F1499)</f>
        <v>239.93442649999997</v>
      </c>
      <c r="H1499" s="7">
        <f t="shared" si="66"/>
        <v>239.93442649999997</v>
      </c>
      <c r="I1499" s="7">
        <f t="shared" si="65"/>
        <v>421.82564433895919</v>
      </c>
    </row>
    <row r="1500" spans="1:9" x14ac:dyDescent="0.35">
      <c r="A1500" t="s">
        <v>141</v>
      </c>
      <c r="B1500" t="s">
        <v>142</v>
      </c>
      <c r="C1500" t="s">
        <v>34</v>
      </c>
      <c r="D1500" t="s">
        <v>153</v>
      </c>
      <c r="E1500" t="s">
        <v>126</v>
      </c>
      <c r="F1500" s="4">
        <v>0</v>
      </c>
      <c r="G1500" s="4">
        <f>IFERROR(F1500-alt_Blanks!$I$30,F1500)</f>
        <v>0</v>
      </c>
      <c r="H1500" s="7">
        <f t="shared" si="66"/>
        <v>0</v>
      </c>
      <c r="I1500" s="7">
        <f t="shared" si="65"/>
        <v>0</v>
      </c>
    </row>
    <row r="1501" spans="1:9" x14ac:dyDescent="0.35">
      <c r="A1501" t="s">
        <v>141</v>
      </c>
      <c r="B1501" t="s">
        <v>142</v>
      </c>
      <c r="C1501" t="s">
        <v>35</v>
      </c>
      <c r="D1501" t="s">
        <v>154</v>
      </c>
      <c r="E1501" t="s">
        <v>126</v>
      </c>
      <c r="F1501" s="4">
        <v>107.9605569</v>
      </c>
      <c r="G1501" s="4">
        <f>IFERROR(F1501-alt_Blanks!$I$31,F1501)</f>
        <v>5.5059233000000063</v>
      </c>
      <c r="H1501" s="7">
        <f t="shared" si="66"/>
        <v>5.5059233000000063</v>
      </c>
      <c r="I1501" s="7">
        <f t="shared" si="65"/>
        <v>9.6798932841069032</v>
      </c>
    </row>
    <row r="1502" spans="1:9" x14ac:dyDescent="0.35">
      <c r="A1502" t="s">
        <v>141</v>
      </c>
      <c r="B1502" t="s">
        <v>142</v>
      </c>
      <c r="C1502" t="s">
        <v>36</v>
      </c>
      <c r="D1502" t="s">
        <v>155</v>
      </c>
      <c r="E1502" t="s">
        <v>126</v>
      </c>
      <c r="F1502" s="4">
        <v>7.4573210999999997</v>
      </c>
      <c r="G1502" s="4">
        <f>IFERROR(F1502-alt_Blanks!$I$32,F1502)</f>
        <v>5.5297526000000001</v>
      </c>
      <c r="H1502" s="7">
        <f t="shared" si="66"/>
        <v>5.5297526000000001</v>
      </c>
      <c r="I1502" s="7">
        <f t="shared" si="65"/>
        <v>9.7217872714486653</v>
      </c>
    </row>
    <row r="1503" spans="1:9" x14ac:dyDescent="0.35">
      <c r="A1503" t="s">
        <v>141</v>
      </c>
      <c r="B1503" t="s">
        <v>142</v>
      </c>
      <c r="C1503" t="s">
        <v>37</v>
      </c>
      <c r="D1503" t="s">
        <v>155</v>
      </c>
      <c r="E1503" t="s">
        <v>126</v>
      </c>
      <c r="F1503" s="4">
        <v>7.6749007000000002</v>
      </c>
      <c r="G1503" s="4">
        <f>IFERROR(F1503-alt_Blanks!$I$33,F1503)</f>
        <v>7.6749007000000002</v>
      </c>
      <c r="H1503" s="7">
        <f t="shared" si="66"/>
        <v>7.6749007000000002</v>
      </c>
      <c r="I1503" s="7">
        <f t="shared" si="65"/>
        <v>13.493144690576655</v>
      </c>
    </row>
    <row r="1504" spans="1:9" x14ac:dyDescent="0.35">
      <c r="A1504" t="s">
        <v>141</v>
      </c>
      <c r="B1504" t="s">
        <v>142</v>
      </c>
      <c r="C1504" t="s">
        <v>38</v>
      </c>
      <c r="D1504" t="s">
        <v>155</v>
      </c>
      <c r="E1504" t="s">
        <v>126</v>
      </c>
      <c r="F1504" s="4">
        <v>6.7180198999999998</v>
      </c>
      <c r="G1504" s="4">
        <f>IFERROR(F1504-alt_Blanks!$I$34,F1504)</f>
        <v>6.7180198999999998</v>
      </c>
      <c r="H1504" s="7">
        <f t="shared" si="66"/>
        <v>6.7180198999999998</v>
      </c>
      <c r="I1504" s="7">
        <f t="shared" si="65"/>
        <v>11.810864803094233</v>
      </c>
    </row>
    <row r="1505" spans="1:9" x14ac:dyDescent="0.35">
      <c r="A1505" t="s">
        <v>141</v>
      </c>
      <c r="B1505" t="s">
        <v>142</v>
      </c>
      <c r="C1505" t="s">
        <v>39</v>
      </c>
      <c r="D1505" t="s">
        <v>153</v>
      </c>
      <c r="E1505" t="s">
        <v>126</v>
      </c>
      <c r="F1505" s="4">
        <v>10.869472999999999</v>
      </c>
      <c r="G1505" s="4">
        <f>IFERROR(F1505-alt_Blanks!$I$35,F1505)</f>
        <v>10.869472999999999</v>
      </c>
      <c r="H1505" s="7">
        <f t="shared" si="66"/>
        <v>10.869472999999999</v>
      </c>
      <c r="I1505" s="7">
        <f t="shared" si="65"/>
        <v>19.109481364275666</v>
      </c>
    </row>
    <row r="1506" spans="1:9" x14ac:dyDescent="0.35">
      <c r="A1506" t="s">
        <v>141</v>
      </c>
      <c r="B1506" t="s">
        <v>142</v>
      </c>
      <c r="C1506" t="s">
        <v>40</v>
      </c>
      <c r="D1506" t="s">
        <v>154</v>
      </c>
      <c r="E1506" t="s">
        <v>126</v>
      </c>
      <c r="F1506" s="4">
        <v>0</v>
      </c>
      <c r="G1506" s="4">
        <f>IFERROR(F1506-alt_Blanks!$I$36,F1506)</f>
        <v>0</v>
      </c>
      <c r="H1506" s="7">
        <f t="shared" si="66"/>
        <v>0</v>
      </c>
      <c r="I1506" s="7">
        <f t="shared" si="65"/>
        <v>0</v>
      </c>
    </row>
    <row r="1507" spans="1:9" x14ac:dyDescent="0.35">
      <c r="A1507" t="s">
        <v>143</v>
      </c>
      <c r="B1507" t="s">
        <v>144</v>
      </c>
      <c r="C1507" t="s">
        <v>6</v>
      </c>
      <c r="D1507" t="s">
        <v>153</v>
      </c>
      <c r="E1507" t="s">
        <v>126</v>
      </c>
      <c r="F1507" s="4">
        <v>6.8677396000000002</v>
      </c>
      <c r="G1507" s="4">
        <f>IFERROR(F1507-alt_Blanks!$I$2,F1507)</f>
        <v>0.16119849999999936</v>
      </c>
      <c r="H1507" s="7">
        <f t="shared" si="66"/>
        <v>0.16119849999999936</v>
      </c>
      <c r="I1507" s="7">
        <f>H1507/0.4954</f>
        <v>0.32539059345982912</v>
      </c>
    </row>
    <row r="1508" spans="1:9" x14ac:dyDescent="0.35">
      <c r="A1508" t="s">
        <v>143</v>
      </c>
      <c r="B1508" t="s">
        <v>144</v>
      </c>
      <c r="C1508" t="s">
        <v>7</v>
      </c>
      <c r="D1508" t="s">
        <v>153</v>
      </c>
      <c r="E1508" t="s">
        <v>126</v>
      </c>
      <c r="F1508" s="4">
        <v>1.0888094000000001</v>
      </c>
      <c r="G1508" s="4">
        <f>IFERROR(F1508-alt_Blanks!$I$3,F1508)</f>
        <v>1.0888094000000001</v>
      </c>
      <c r="H1508" s="7">
        <f t="shared" si="66"/>
        <v>1.0888094000000001</v>
      </c>
      <c r="I1508" s="7">
        <f t="shared" ref="I1508:I1541" si="67">H1508/0.4954</f>
        <v>2.1978389180460236</v>
      </c>
    </row>
    <row r="1509" spans="1:9" x14ac:dyDescent="0.35">
      <c r="A1509" t="s">
        <v>143</v>
      </c>
      <c r="B1509" t="s">
        <v>144</v>
      </c>
      <c r="C1509" t="s">
        <v>8</v>
      </c>
      <c r="D1509" t="s">
        <v>153</v>
      </c>
      <c r="E1509" t="s">
        <v>126</v>
      </c>
      <c r="F1509" s="4" t="e">
        <v>#N/A</v>
      </c>
      <c r="G1509" s="4" t="e">
        <f>IFERROR(F1509-alt_Blanks!$I$4,F1509)</f>
        <v>#N/A</v>
      </c>
      <c r="H1509" s="7" t="e">
        <f t="shared" si="66"/>
        <v>#N/A</v>
      </c>
      <c r="I1509" s="7" t="e">
        <f t="shared" si="67"/>
        <v>#N/A</v>
      </c>
    </row>
    <row r="1510" spans="1:9" x14ac:dyDescent="0.35">
      <c r="A1510" t="s">
        <v>143</v>
      </c>
      <c r="B1510" t="s">
        <v>144</v>
      </c>
      <c r="C1510" t="s">
        <v>9</v>
      </c>
      <c r="D1510" t="s">
        <v>153</v>
      </c>
      <c r="E1510" t="s">
        <v>126</v>
      </c>
      <c r="F1510" s="4">
        <v>16.6845298</v>
      </c>
      <c r="G1510" s="4">
        <f>IFERROR(F1510-alt_Blanks!$I$5,F1510)</f>
        <v>16.6845298</v>
      </c>
      <c r="H1510" s="7">
        <f t="shared" si="66"/>
        <v>16.6845298</v>
      </c>
      <c r="I1510" s="7">
        <f t="shared" si="67"/>
        <v>33.678905530884137</v>
      </c>
    </row>
    <row r="1511" spans="1:9" x14ac:dyDescent="0.35">
      <c r="A1511" t="s">
        <v>143</v>
      </c>
      <c r="B1511" t="s">
        <v>144</v>
      </c>
      <c r="C1511" t="s">
        <v>10</v>
      </c>
      <c r="D1511" t="s">
        <v>153</v>
      </c>
      <c r="E1511" t="s">
        <v>126</v>
      </c>
      <c r="F1511" s="4">
        <v>100.9588437</v>
      </c>
      <c r="G1511" s="4">
        <f>IFERROR(F1511-alt_Blanks!$I$6,F1511)</f>
        <v>100.9588437</v>
      </c>
      <c r="H1511" s="7">
        <f t="shared" si="66"/>
        <v>100.9588437</v>
      </c>
      <c r="I1511" s="7">
        <f t="shared" si="67"/>
        <v>203.7925791279774</v>
      </c>
    </row>
    <row r="1512" spans="1:9" x14ac:dyDescent="0.35">
      <c r="A1512" t="s">
        <v>143</v>
      </c>
      <c r="B1512" t="s">
        <v>144</v>
      </c>
      <c r="C1512" t="s">
        <v>11</v>
      </c>
      <c r="D1512" t="s">
        <v>153</v>
      </c>
      <c r="E1512" t="s">
        <v>126</v>
      </c>
      <c r="F1512" s="4">
        <v>84.719422399999999</v>
      </c>
      <c r="G1512" s="4">
        <f>IFERROR(F1512-alt_Blanks!$I$7,F1512)</f>
        <v>84.719422399999999</v>
      </c>
      <c r="H1512" s="7">
        <f t="shared" si="66"/>
        <v>84.719422399999999</v>
      </c>
      <c r="I1512" s="7">
        <f t="shared" si="67"/>
        <v>171.0121566410981</v>
      </c>
    </row>
    <row r="1513" spans="1:9" x14ac:dyDescent="0.35">
      <c r="A1513" t="s">
        <v>143</v>
      </c>
      <c r="B1513" t="s">
        <v>144</v>
      </c>
      <c r="C1513" t="s">
        <v>12</v>
      </c>
      <c r="D1513" t="s">
        <v>154</v>
      </c>
      <c r="E1513" t="s">
        <v>126</v>
      </c>
      <c r="F1513" s="4">
        <v>0</v>
      </c>
      <c r="G1513" s="4">
        <f>IFERROR(F1513-alt_Blanks!$I$8,F1513)</f>
        <v>0</v>
      </c>
      <c r="H1513" s="7">
        <f t="shared" si="66"/>
        <v>0</v>
      </c>
      <c r="I1513" s="7">
        <f t="shared" si="67"/>
        <v>0</v>
      </c>
    </row>
    <row r="1514" spans="1:9" x14ac:dyDescent="0.35">
      <c r="A1514" t="s">
        <v>143</v>
      </c>
      <c r="B1514" t="s">
        <v>144</v>
      </c>
      <c r="C1514" t="s">
        <v>13</v>
      </c>
      <c r="D1514" t="s">
        <v>153</v>
      </c>
      <c r="E1514" t="s">
        <v>126</v>
      </c>
      <c r="F1514" s="4">
        <v>14.5837579</v>
      </c>
      <c r="G1514" s="4">
        <f>IFERROR(F1514-alt_Blanks!$I$9,F1514)</f>
        <v>14.5837579</v>
      </c>
      <c r="H1514" s="7">
        <f t="shared" si="66"/>
        <v>14.5837579</v>
      </c>
      <c r="I1514" s="7">
        <f t="shared" si="67"/>
        <v>29.438348607186111</v>
      </c>
    </row>
    <row r="1515" spans="1:9" x14ac:dyDescent="0.35">
      <c r="A1515" t="s">
        <v>143</v>
      </c>
      <c r="B1515" t="s">
        <v>144</v>
      </c>
      <c r="C1515" t="s">
        <v>14</v>
      </c>
      <c r="D1515" t="s">
        <v>154</v>
      </c>
      <c r="E1515" t="s">
        <v>126</v>
      </c>
      <c r="F1515" s="4">
        <v>0</v>
      </c>
      <c r="G1515" s="4">
        <f>IFERROR(F1515-alt_Blanks!$I$10,F1515)</f>
        <v>0</v>
      </c>
      <c r="H1515" s="7">
        <f t="shared" si="66"/>
        <v>0</v>
      </c>
      <c r="I1515" s="7">
        <f t="shared" si="67"/>
        <v>0</v>
      </c>
    </row>
    <row r="1516" spans="1:9" x14ac:dyDescent="0.35">
      <c r="A1516" t="s">
        <v>143</v>
      </c>
      <c r="B1516" t="s">
        <v>144</v>
      </c>
      <c r="C1516" t="s">
        <v>15</v>
      </c>
      <c r="D1516" t="s">
        <v>153</v>
      </c>
      <c r="E1516" t="s">
        <v>126</v>
      </c>
      <c r="F1516" s="4">
        <v>2450.7073688</v>
      </c>
      <c r="G1516" s="4">
        <f>IFERROR(F1516-alt_Blanks!$I$11,F1516)</f>
        <v>1645.4906791000001</v>
      </c>
      <c r="H1516" s="7">
        <f t="shared" si="66"/>
        <v>1645.4906791000001</v>
      </c>
      <c r="I1516" s="7">
        <f t="shared" si="67"/>
        <v>3321.5395218005651</v>
      </c>
    </row>
    <row r="1517" spans="1:9" x14ac:dyDescent="0.35">
      <c r="A1517" t="s">
        <v>143</v>
      </c>
      <c r="B1517" t="s">
        <v>144</v>
      </c>
      <c r="C1517" t="s">
        <v>16</v>
      </c>
      <c r="D1517" t="s">
        <v>154</v>
      </c>
      <c r="E1517" t="s">
        <v>126</v>
      </c>
      <c r="F1517" s="4">
        <v>323.61403789999997</v>
      </c>
      <c r="G1517" s="4">
        <f>IFERROR(F1517-alt_Blanks!$I$12,F1517)</f>
        <v>323.61403789999997</v>
      </c>
      <c r="H1517" s="7">
        <f t="shared" si="66"/>
        <v>323.61403789999997</v>
      </c>
      <c r="I1517" s="7">
        <f t="shared" si="67"/>
        <v>653.23786415018162</v>
      </c>
    </row>
    <row r="1518" spans="1:9" x14ac:dyDescent="0.35">
      <c r="A1518" t="s">
        <v>143</v>
      </c>
      <c r="B1518" t="s">
        <v>144</v>
      </c>
      <c r="C1518" t="s">
        <v>17</v>
      </c>
      <c r="D1518" t="s">
        <v>153</v>
      </c>
      <c r="E1518" t="s">
        <v>126</v>
      </c>
      <c r="F1518" s="4">
        <v>18.0907062</v>
      </c>
      <c r="G1518" s="4">
        <f>IFERROR(F1518-alt_Blanks!$I$13,F1518)</f>
        <v>17.2379927</v>
      </c>
      <c r="H1518" s="7">
        <f t="shared" si="66"/>
        <v>17.2379927</v>
      </c>
      <c r="I1518" s="7">
        <f t="shared" si="67"/>
        <v>34.796109608397252</v>
      </c>
    </row>
    <row r="1519" spans="1:9" x14ac:dyDescent="0.35">
      <c r="A1519" t="s">
        <v>143</v>
      </c>
      <c r="B1519" t="s">
        <v>144</v>
      </c>
      <c r="C1519" t="s">
        <v>18</v>
      </c>
      <c r="D1519" t="s">
        <v>154</v>
      </c>
      <c r="E1519" t="s">
        <v>126</v>
      </c>
      <c r="F1519" s="4" t="e">
        <v>#N/A</v>
      </c>
      <c r="G1519" s="4" t="e">
        <f>IFERROR(F1519-alt_Blanks!$I$14,F1519)</f>
        <v>#N/A</v>
      </c>
      <c r="H1519" s="7" t="e">
        <f t="shared" si="66"/>
        <v>#N/A</v>
      </c>
      <c r="I1519" s="7" t="e">
        <f t="shared" si="67"/>
        <v>#N/A</v>
      </c>
    </row>
    <row r="1520" spans="1:9" x14ac:dyDescent="0.35">
      <c r="A1520" t="s">
        <v>143</v>
      </c>
      <c r="B1520" t="s">
        <v>144</v>
      </c>
      <c r="C1520" t="s">
        <v>19</v>
      </c>
      <c r="D1520" t="s">
        <v>153</v>
      </c>
      <c r="E1520" t="s">
        <v>126</v>
      </c>
      <c r="F1520" s="4">
        <v>501.55448200000001</v>
      </c>
      <c r="G1520" s="4">
        <f>IFERROR(F1520-alt_Blanks!$I$15,F1520)</f>
        <v>232.93108490000003</v>
      </c>
      <c r="H1520" s="7">
        <f t="shared" si="66"/>
        <v>232.93108490000003</v>
      </c>
      <c r="I1520" s="7">
        <f t="shared" si="67"/>
        <v>470.18789846588624</v>
      </c>
    </row>
    <row r="1521" spans="1:9" x14ac:dyDescent="0.35">
      <c r="A1521" t="s">
        <v>143</v>
      </c>
      <c r="B1521" t="s">
        <v>144</v>
      </c>
      <c r="C1521" t="s">
        <v>20</v>
      </c>
      <c r="D1521" t="s">
        <v>154</v>
      </c>
      <c r="E1521" t="s">
        <v>126</v>
      </c>
      <c r="F1521" s="4">
        <v>484.74813510000001</v>
      </c>
      <c r="G1521" s="4">
        <f>IFERROR(F1521-alt_Blanks!$I$16,F1521)</f>
        <v>466.28222190000002</v>
      </c>
      <c r="H1521" s="7">
        <f t="shared" si="66"/>
        <v>466.28222190000002</v>
      </c>
      <c r="I1521" s="7">
        <f t="shared" si="67"/>
        <v>941.22370185708519</v>
      </c>
    </row>
    <row r="1522" spans="1:9" x14ac:dyDescent="0.35">
      <c r="A1522" t="s">
        <v>143</v>
      </c>
      <c r="B1522" t="s">
        <v>144</v>
      </c>
      <c r="C1522" t="s">
        <v>21</v>
      </c>
      <c r="D1522" t="s">
        <v>155</v>
      </c>
      <c r="E1522" t="s">
        <v>126</v>
      </c>
      <c r="F1522" s="4">
        <v>0.1108309</v>
      </c>
      <c r="G1522" s="4">
        <f>IFERROR(F1522-alt_Blanks!$I$17,F1522)</f>
        <v>-0.2211225</v>
      </c>
      <c r="H1522" s="7">
        <f t="shared" si="66"/>
        <v>0</v>
      </c>
      <c r="I1522" s="7">
        <f t="shared" si="67"/>
        <v>0</v>
      </c>
    </row>
    <row r="1523" spans="1:9" x14ac:dyDescent="0.35">
      <c r="A1523" t="s">
        <v>143</v>
      </c>
      <c r="B1523" t="s">
        <v>144</v>
      </c>
      <c r="C1523" t="s">
        <v>22</v>
      </c>
      <c r="D1523" t="s">
        <v>155</v>
      </c>
      <c r="E1523" t="s">
        <v>126</v>
      </c>
      <c r="F1523" s="4">
        <v>258.65551099999999</v>
      </c>
      <c r="G1523" s="4">
        <f>IFERROR(F1523-alt_Blanks!$I$18,F1523)</f>
        <v>252.65205139999998</v>
      </c>
      <c r="H1523" s="7">
        <f t="shared" si="66"/>
        <v>252.65205139999998</v>
      </c>
      <c r="I1523" s="7">
        <f t="shared" si="67"/>
        <v>509.99606661283804</v>
      </c>
    </row>
    <row r="1524" spans="1:9" x14ac:dyDescent="0.35">
      <c r="A1524" t="s">
        <v>143</v>
      </c>
      <c r="B1524" t="s">
        <v>144</v>
      </c>
      <c r="C1524" t="s">
        <v>23</v>
      </c>
      <c r="D1524" t="s">
        <v>155</v>
      </c>
      <c r="E1524" t="s">
        <v>126</v>
      </c>
      <c r="F1524" s="4">
        <v>0</v>
      </c>
      <c r="G1524" s="4">
        <f>IFERROR(F1524-alt_Blanks!$I$19,F1524)</f>
        <v>0</v>
      </c>
      <c r="H1524" s="7">
        <f t="shared" si="66"/>
        <v>0</v>
      </c>
      <c r="I1524" s="7">
        <f t="shared" si="67"/>
        <v>0</v>
      </c>
    </row>
    <row r="1525" spans="1:9" x14ac:dyDescent="0.35">
      <c r="A1525" t="s">
        <v>143</v>
      </c>
      <c r="B1525" t="s">
        <v>144</v>
      </c>
      <c r="C1525" t="s">
        <v>24</v>
      </c>
      <c r="D1525" t="s">
        <v>155</v>
      </c>
      <c r="E1525" t="s">
        <v>126</v>
      </c>
      <c r="F1525" s="4">
        <v>264.73478769999997</v>
      </c>
      <c r="G1525" s="4">
        <f>IFERROR(F1525-alt_Blanks!$I$20,F1525)</f>
        <v>262.79681229999994</v>
      </c>
      <c r="H1525" s="7">
        <f t="shared" si="66"/>
        <v>262.79681229999994</v>
      </c>
      <c r="I1525" s="7">
        <f t="shared" si="67"/>
        <v>530.47398526443271</v>
      </c>
    </row>
    <row r="1526" spans="1:9" x14ac:dyDescent="0.35">
      <c r="A1526" t="s">
        <v>143</v>
      </c>
      <c r="B1526" t="s">
        <v>144</v>
      </c>
      <c r="C1526" t="s">
        <v>25</v>
      </c>
      <c r="D1526" t="s">
        <v>155</v>
      </c>
      <c r="E1526" t="s">
        <v>126</v>
      </c>
      <c r="F1526" s="4">
        <v>12.528589</v>
      </c>
      <c r="G1526" s="4">
        <f>IFERROR(F1526-alt_Blanks!$I$21,F1526)</f>
        <v>12.314079899999999</v>
      </c>
      <c r="H1526" s="7">
        <f t="shared" si="66"/>
        <v>12.314079899999999</v>
      </c>
      <c r="I1526" s="7">
        <f t="shared" si="67"/>
        <v>24.856842753330639</v>
      </c>
    </row>
    <row r="1527" spans="1:9" x14ac:dyDescent="0.35">
      <c r="A1527" t="s">
        <v>143</v>
      </c>
      <c r="B1527" t="s">
        <v>144</v>
      </c>
      <c r="C1527" t="s">
        <v>26</v>
      </c>
      <c r="D1527" t="s">
        <v>153</v>
      </c>
      <c r="E1527" t="s">
        <v>126</v>
      </c>
      <c r="F1527" s="4">
        <v>1.7239437</v>
      </c>
      <c r="G1527" s="4">
        <f>IFERROR(F1527-alt_Blanks!$I$22,F1527)</f>
        <v>0.12922230000000012</v>
      </c>
      <c r="H1527" s="7">
        <f t="shared" si="66"/>
        <v>0.12922230000000012</v>
      </c>
      <c r="I1527" s="7">
        <f t="shared" si="67"/>
        <v>0.26084436818732359</v>
      </c>
    </row>
    <row r="1528" spans="1:9" x14ac:dyDescent="0.35">
      <c r="A1528" t="s">
        <v>143</v>
      </c>
      <c r="B1528" t="s">
        <v>144</v>
      </c>
      <c r="C1528" t="s">
        <v>27</v>
      </c>
      <c r="D1528" t="s">
        <v>154</v>
      </c>
      <c r="E1528" t="s">
        <v>126</v>
      </c>
      <c r="F1528" s="4">
        <v>15.196997799999998</v>
      </c>
      <c r="G1528" s="4">
        <f>IFERROR(F1528-alt_Blanks!$I$23,F1528)</f>
        <v>15.076260399999999</v>
      </c>
      <c r="H1528" s="7">
        <f t="shared" si="66"/>
        <v>15.076260399999999</v>
      </c>
      <c r="I1528" s="7">
        <f t="shared" si="67"/>
        <v>30.432499798142914</v>
      </c>
    </row>
    <row r="1529" spans="1:9" x14ac:dyDescent="0.35">
      <c r="A1529" t="s">
        <v>143</v>
      </c>
      <c r="B1529" t="s">
        <v>144</v>
      </c>
      <c r="C1529" t="s">
        <v>28</v>
      </c>
      <c r="D1529" t="s">
        <v>155</v>
      </c>
      <c r="E1529" t="s">
        <v>126</v>
      </c>
      <c r="F1529" s="4">
        <v>36.381873500000005</v>
      </c>
      <c r="G1529" s="4">
        <f>IFERROR(F1529-alt_Blanks!$I$24,F1529)</f>
        <v>36.134703900000005</v>
      </c>
      <c r="H1529" s="7">
        <f t="shared" si="66"/>
        <v>36.134703900000005</v>
      </c>
      <c r="I1529" s="7">
        <f t="shared" si="67"/>
        <v>72.940460032297139</v>
      </c>
    </row>
    <row r="1530" spans="1:9" x14ac:dyDescent="0.35">
      <c r="A1530" t="s">
        <v>143</v>
      </c>
      <c r="B1530" t="s">
        <v>144</v>
      </c>
      <c r="C1530" t="s">
        <v>29</v>
      </c>
      <c r="D1530" t="s">
        <v>155</v>
      </c>
      <c r="E1530" t="s">
        <v>126</v>
      </c>
      <c r="F1530" s="4">
        <v>0.29078519999999997</v>
      </c>
      <c r="G1530" s="4">
        <f>IFERROR(F1530-alt_Blanks!$I$25,F1530)</f>
        <v>-0.18145559999999999</v>
      </c>
      <c r="H1530" s="7">
        <f t="shared" si="66"/>
        <v>0</v>
      </c>
      <c r="I1530" s="7">
        <f t="shared" si="67"/>
        <v>0</v>
      </c>
    </row>
    <row r="1531" spans="1:9" x14ac:dyDescent="0.35">
      <c r="A1531" t="s">
        <v>143</v>
      </c>
      <c r="B1531" t="s">
        <v>144</v>
      </c>
      <c r="C1531" t="s">
        <v>30</v>
      </c>
      <c r="D1531" t="s">
        <v>155</v>
      </c>
      <c r="E1531" t="s">
        <v>126</v>
      </c>
      <c r="F1531" s="4">
        <v>216.8623528</v>
      </c>
      <c r="G1531" s="4">
        <f>IFERROR(F1531-alt_Blanks!$I$26,F1531)</f>
        <v>216.28217649999999</v>
      </c>
      <c r="H1531" s="7">
        <f t="shared" si="66"/>
        <v>216.28217649999999</v>
      </c>
      <c r="I1531" s="7">
        <f t="shared" si="67"/>
        <v>436.5808972547436</v>
      </c>
    </row>
    <row r="1532" spans="1:9" x14ac:dyDescent="0.35">
      <c r="A1532" t="s">
        <v>143</v>
      </c>
      <c r="B1532" t="s">
        <v>144</v>
      </c>
      <c r="C1532" t="s">
        <v>31</v>
      </c>
      <c r="D1532" t="s">
        <v>155</v>
      </c>
      <c r="E1532" t="s">
        <v>126</v>
      </c>
      <c r="F1532" s="4" t="e">
        <v>#N/A</v>
      </c>
      <c r="G1532" s="4" t="e">
        <f>IFERROR(F1532-alt_Blanks!$I$27,F1532)</f>
        <v>#N/A</v>
      </c>
      <c r="H1532" s="7" t="e">
        <f t="shared" si="66"/>
        <v>#N/A</v>
      </c>
      <c r="I1532" s="7" t="e">
        <f t="shared" si="67"/>
        <v>#N/A</v>
      </c>
    </row>
    <row r="1533" spans="1:9" x14ac:dyDescent="0.35">
      <c r="A1533" t="s">
        <v>143</v>
      </c>
      <c r="B1533" t="s">
        <v>144</v>
      </c>
      <c r="C1533" t="s">
        <v>32</v>
      </c>
      <c r="D1533" t="s">
        <v>153</v>
      </c>
      <c r="E1533" t="s">
        <v>126</v>
      </c>
      <c r="F1533" s="4">
        <v>0</v>
      </c>
      <c r="G1533" s="4">
        <f>IFERROR(F1533-alt_Blanks!$I$28,F1533)</f>
        <v>0</v>
      </c>
      <c r="H1533" s="7">
        <f t="shared" si="66"/>
        <v>0</v>
      </c>
      <c r="I1533" s="7">
        <f t="shared" si="67"/>
        <v>0</v>
      </c>
    </row>
    <row r="1534" spans="1:9" x14ac:dyDescent="0.35">
      <c r="A1534" t="s">
        <v>143</v>
      </c>
      <c r="B1534" t="s">
        <v>144</v>
      </c>
      <c r="C1534" t="s">
        <v>33</v>
      </c>
      <c r="D1534" t="s">
        <v>155</v>
      </c>
      <c r="E1534" t="s">
        <v>126</v>
      </c>
      <c r="F1534" s="4">
        <v>190.06237760000002</v>
      </c>
      <c r="G1534" s="4">
        <f>IFERROR(F1534-alt_Blanks!$I$29,F1534)</f>
        <v>189.45075660000001</v>
      </c>
      <c r="H1534" s="7">
        <f t="shared" si="66"/>
        <v>189.45075660000001</v>
      </c>
      <c r="I1534" s="7">
        <f t="shared" si="67"/>
        <v>382.41977513120713</v>
      </c>
    </row>
    <row r="1535" spans="1:9" x14ac:dyDescent="0.35">
      <c r="A1535" t="s">
        <v>143</v>
      </c>
      <c r="B1535" t="s">
        <v>144</v>
      </c>
      <c r="C1535" t="s">
        <v>34</v>
      </c>
      <c r="D1535" t="s">
        <v>153</v>
      </c>
      <c r="E1535" t="s">
        <v>126</v>
      </c>
      <c r="F1535" s="4">
        <v>0</v>
      </c>
      <c r="G1535" s="4">
        <f>IFERROR(F1535-alt_Blanks!$I$30,F1535)</f>
        <v>0</v>
      </c>
      <c r="H1535" s="7">
        <f t="shared" si="66"/>
        <v>0</v>
      </c>
      <c r="I1535" s="7">
        <f t="shared" si="67"/>
        <v>0</v>
      </c>
    </row>
    <row r="1536" spans="1:9" x14ac:dyDescent="0.35">
      <c r="A1536" t="s">
        <v>143</v>
      </c>
      <c r="B1536" t="s">
        <v>144</v>
      </c>
      <c r="C1536" t="s">
        <v>35</v>
      </c>
      <c r="D1536" t="s">
        <v>154</v>
      </c>
      <c r="E1536" t="s">
        <v>126</v>
      </c>
      <c r="F1536" s="4">
        <v>120.5201481</v>
      </c>
      <c r="G1536" s="4">
        <f>IFERROR(F1536-alt_Blanks!$I$31,F1536)</f>
        <v>18.065514500000006</v>
      </c>
      <c r="H1536" s="7">
        <f t="shared" si="66"/>
        <v>18.065514500000006</v>
      </c>
      <c r="I1536" s="7">
        <f t="shared" si="67"/>
        <v>36.466520993136868</v>
      </c>
    </row>
    <row r="1537" spans="1:9" x14ac:dyDescent="0.35">
      <c r="A1537" t="s">
        <v>143</v>
      </c>
      <c r="B1537" t="s">
        <v>144</v>
      </c>
      <c r="C1537" t="s">
        <v>36</v>
      </c>
      <c r="D1537" t="s">
        <v>155</v>
      </c>
      <c r="E1537" t="s">
        <v>126</v>
      </c>
      <c r="F1537" s="4">
        <v>1.9489389000000001</v>
      </c>
      <c r="G1537" s="4">
        <f>IFERROR(F1537-alt_Blanks!$I$32,F1537)</f>
        <v>2.1370400000000123E-2</v>
      </c>
      <c r="H1537" s="7">
        <f t="shared" si="66"/>
        <v>2.1370400000000123E-2</v>
      </c>
      <c r="I1537" s="7">
        <f t="shared" si="67"/>
        <v>4.3137666532095525E-2</v>
      </c>
    </row>
    <row r="1538" spans="1:9" x14ac:dyDescent="0.35">
      <c r="A1538" t="s">
        <v>143</v>
      </c>
      <c r="B1538" t="s">
        <v>144</v>
      </c>
      <c r="C1538" t="s">
        <v>37</v>
      </c>
      <c r="D1538" t="s">
        <v>155</v>
      </c>
      <c r="E1538" t="s">
        <v>126</v>
      </c>
      <c r="F1538" s="4">
        <v>6.7048836000000005</v>
      </c>
      <c r="G1538" s="4">
        <f>IFERROR(F1538-alt_Blanks!$I$33,F1538)</f>
        <v>6.7048836000000005</v>
      </c>
      <c r="H1538" s="7">
        <f t="shared" si="66"/>
        <v>6.7048836000000005</v>
      </c>
      <c r="I1538" s="7">
        <f t="shared" si="67"/>
        <v>13.534282599919258</v>
      </c>
    </row>
    <row r="1539" spans="1:9" x14ac:dyDescent="0.35">
      <c r="A1539" t="s">
        <v>143</v>
      </c>
      <c r="B1539" t="s">
        <v>144</v>
      </c>
      <c r="C1539" t="s">
        <v>38</v>
      </c>
      <c r="D1539" t="s">
        <v>155</v>
      </c>
      <c r="E1539" t="s">
        <v>126</v>
      </c>
      <c r="F1539" s="4">
        <v>4.7687079000000008</v>
      </c>
      <c r="G1539" s="4">
        <f>IFERROR(F1539-alt_Blanks!$I$34,F1539)</f>
        <v>4.7687079000000008</v>
      </c>
      <c r="H1539" s="7">
        <f t="shared" si="66"/>
        <v>4.7687079000000008</v>
      </c>
      <c r="I1539" s="7">
        <f t="shared" si="67"/>
        <v>9.6259747678643528</v>
      </c>
    </row>
    <row r="1540" spans="1:9" x14ac:dyDescent="0.35">
      <c r="A1540" t="s">
        <v>143</v>
      </c>
      <c r="B1540" t="s">
        <v>144</v>
      </c>
      <c r="C1540" t="s">
        <v>39</v>
      </c>
      <c r="D1540" t="s">
        <v>153</v>
      </c>
      <c r="E1540" t="s">
        <v>126</v>
      </c>
      <c r="F1540" s="4">
        <v>13.1466727</v>
      </c>
      <c r="G1540" s="4">
        <f>IFERROR(F1540-alt_Blanks!$I$35,F1540)</f>
        <v>13.1466727</v>
      </c>
      <c r="H1540" s="7">
        <f t="shared" si="66"/>
        <v>13.1466727</v>
      </c>
      <c r="I1540" s="7">
        <f t="shared" si="67"/>
        <v>26.537490310859912</v>
      </c>
    </row>
    <row r="1541" spans="1:9" x14ac:dyDescent="0.35">
      <c r="A1541" t="s">
        <v>143</v>
      </c>
      <c r="B1541" t="s">
        <v>144</v>
      </c>
      <c r="C1541" t="s">
        <v>40</v>
      </c>
      <c r="D1541" t="s">
        <v>154</v>
      </c>
      <c r="E1541" t="s">
        <v>126</v>
      </c>
      <c r="F1541" s="4">
        <v>0</v>
      </c>
      <c r="G1541" s="4">
        <f>IFERROR(F1541-alt_Blanks!$I$36,F1541)</f>
        <v>0</v>
      </c>
      <c r="H1541" s="7">
        <f t="shared" si="66"/>
        <v>0</v>
      </c>
      <c r="I1541" s="7">
        <f t="shared" si="67"/>
        <v>0</v>
      </c>
    </row>
  </sheetData>
  <autoFilter ref="A1:I1541" xr:uid="{A125DC8B-D028-43D4-986E-62F9C1EF4FB5}"/>
  <phoneticPr fontId="1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0BE31-0DE3-4489-9858-312B636154ED}">
  <dimension ref="A1:I171"/>
  <sheetViews>
    <sheetView workbookViewId="0">
      <selection activeCell="I12" sqref="I12"/>
    </sheetView>
  </sheetViews>
  <sheetFormatPr baseColWidth="10" defaultRowHeight="14.5" x14ac:dyDescent="0.35"/>
  <cols>
    <col min="6" max="6" width="19.90625" customWidth="1"/>
  </cols>
  <sheetData>
    <row r="1" spans="1:9" x14ac:dyDescent="0.35">
      <c r="A1" t="s">
        <v>44</v>
      </c>
      <c r="B1" s="1" t="s">
        <v>1</v>
      </c>
      <c r="C1" s="2" t="s">
        <v>2</v>
      </c>
      <c r="D1" s="1" t="s">
        <v>0</v>
      </c>
      <c r="E1" s="1" t="s">
        <v>3</v>
      </c>
      <c r="F1" s="3" t="s">
        <v>42</v>
      </c>
      <c r="G1" s="1" t="s">
        <v>4</v>
      </c>
    </row>
    <row r="2" spans="1:9" x14ac:dyDescent="0.35">
      <c r="A2" t="s">
        <v>105</v>
      </c>
      <c r="C2" t="s">
        <v>6</v>
      </c>
      <c r="F2" s="3">
        <v>0.74884669377632873</v>
      </c>
    </row>
    <row r="3" spans="1:9" x14ac:dyDescent="0.35">
      <c r="A3" t="s">
        <v>105</v>
      </c>
      <c r="C3" t="s">
        <v>7</v>
      </c>
      <c r="F3" s="18">
        <v>-0.10552340560159634</v>
      </c>
      <c r="I3" t="s">
        <v>145</v>
      </c>
    </row>
    <row r="4" spans="1:9" x14ac:dyDescent="0.35">
      <c r="A4" t="s">
        <v>105</v>
      </c>
      <c r="C4" t="s">
        <v>8</v>
      </c>
      <c r="F4" s="18">
        <v>-4.2365544364169894E-2</v>
      </c>
    </row>
    <row r="5" spans="1:9" x14ac:dyDescent="0.35">
      <c r="A5" t="s">
        <v>105</v>
      </c>
      <c r="C5" t="s">
        <v>9</v>
      </c>
      <c r="F5" s="18">
        <v>-0.39463837663162571</v>
      </c>
    </row>
    <row r="6" spans="1:9" x14ac:dyDescent="0.35">
      <c r="A6" t="s">
        <v>105</v>
      </c>
      <c r="C6" t="s">
        <v>10</v>
      </c>
      <c r="F6" s="18">
        <v>-9.4757782816572184E-2</v>
      </c>
    </row>
    <row r="7" spans="1:9" x14ac:dyDescent="0.35">
      <c r="A7" t="s">
        <v>105</v>
      </c>
      <c r="C7" t="s">
        <v>11</v>
      </c>
      <c r="F7" s="18">
        <v>1.25389652188832</v>
      </c>
    </row>
    <row r="8" spans="1:9" x14ac:dyDescent="0.35">
      <c r="A8" t="s">
        <v>105</v>
      </c>
      <c r="C8" t="s">
        <v>12</v>
      </c>
      <c r="F8" s="18">
        <v>-5.4083704582012365E-2</v>
      </c>
    </row>
    <row r="9" spans="1:9" x14ac:dyDescent="0.35">
      <c r="A9" t="s">
        <v>105</v>
      </c>
      <c r="C9" t="s">
        <v>13</v>
      </c>
      <c r="F9" s="18">
        <v>-5.2346870135721826E-2</v>
      </c>
    </row>
    <row r="10" spans="1:9" x14ac:dyDescent="0.35">
      <c r="A10" t="s">
        <v>105</v>
      </c>
      <c r="C10" t="s">
        <v>14</v>
      </c>
      <c r="F10" s="18">
        <v>-3.9897742024330579E-2</v>
      </c>
    </row>
    <row r="11" spans="1:9" x14ac:dyDescent="0.35">
      <c r="A11" t="s">
        <v>105</v>
      </c>
      <c r="C11" t="s">
        <v>15</v>
      </c>
      <c r="F11" s="18">
        <v>107.8288016284481</v>
      </c>
    </row>
    <row r="12" spans="1:9" x14ac:dyDescent="0.35">
      <c r="A12" t="s">
        <v>105</v>
      </c>
      <c r="C12" t="s">
        <v>16</v>
      </c>
      <c r="F12" s="18">
        <v>8.3030492786995111</v>
      </c>
    </row>
    <row r="13" spans="1:9" x14ac:dyDescent="0.35">
      <c r="A13" t="s">
        <v>105</v>
      </c>
      <c r="C13" t="s">
        <v>18</v>
      </c>
      <c r="F13" s="18">
        <v>-3.8329393176949153E-2</v>
      </c>
    </row>
    <row r="14" spans="1:9" x14ac:dyDescent="0.35">
      <c r="A14" t="s">
        <v>105</v>
      </c>
      <c r="C14" t="s">
        <v>19</v>
      </c>
      <c r="F14" s="18">
        <v>34.195856385059017</v>
      </c>
    </row>
    <row r="15" spans="1:9" x14ac:dyDescent="0.35">
      <c r="A15" t="s">
        <v>105</v>
      </c>
      <c r="C15" t="s">
        <v>20</v>
      </c>
      <c r="F15" s="18">
        <v>32.642108751614145</v>
      </c>
    </row>
    <row r="16" spans="1:9" x14ac:dyDescent="0.35">
      <c r="A16" t="s">
        <v>105</v>
      </c>
      <c r="C16" t="s">
        <v>21</v>
      </c>
      <c r="F16" s="18">
        <v>7.2481155369351194E-2</v>
      </c>
    </row>
    <row r="17" spans="1:6" x14ac:dyDescent="0.35">
      <c r="A17" t="s">
        <v>105</v>
      </c>
      <c r="C17" t="s">
        <v>22</v>
      </c>
      <c r="F17" s="18">
        <v>17.810664014391087</v>
      </c>
    </row>
    <row r="18" spans="1:6" x14ac:dyDescent="0.35">
      <c r="A18" t="s">
        <v>105</v>
      </c>
      <c r="C18" t="s">
        <v>23</v>
      </c>
      <c r="F18" s="18">
        <v>0.17631788590096237</v>
      </c>
    </row>
    <row r="19" spans="1:6" x14ac:dyDescent="0.35">
      <c r="A19" t="s">
        <v>105</v>
      </c>
      <c r="C19" t="s">
        <v>24</v>
      </c>
      <c r="F19" s="18">
        <v>2.3611920229839463</v>
      </c>
    </row>
    <row r="20" spans="1:6" x14ac:dyDescent="0.35">
      <c r="A20" t="s">
        <v>105</v>
      </c>
      <c r="C20" t="s">
        <v>25</v>
      </c>
      <c r="F20" s="18">
        <v>0.15843572143078472</v>
      </c>
    </row>
    <row r="21" spans="1:6" x14ac:dyDescent="0.35">
      <c r="A21" t="s">
        <v>105</v>
      </c>
      <c r="C21" t="s">
        <v>26</v>
      </c>
      <c r="F21" s="18">
        <v>-3.4246272021777158E-2</v>
      </c>
    </row>
    <row r="22" spans="1:6" x14ac:dyDescent="0.35">
      <c r="A22" t="s">
        <v>105</v>
      </c>
      <c r="C22" t="s">
        <v>27</v>
      </c>
      <c r="F22" s="18">
        <v>0.40538041065200231</v>
      </c>
    </row>
    <row r="23" spans="1:6" x14ac:dyDescent="0.35">
      <c r="A23" t="s">
        <v>105</v>
      </c>
      <c r="C23" t="s">
        <v>28</v>
      </c>
      <c r="F23" s="18">
        <v>4.275942451913485</v>
      </c>
    </row>
    <row r="24" spans="1:6" x14ac:dyDescent="0.35">
      <c r="A24" t="s">
        <v>105</v>
      </c>
      <c r="C24" t="s">
        <v>29</v>
      </c>
      <c r="F24" s="18">
        <v>9.3497495896832081E-2</v>
      </c>
    </row>
    <row r="25" spans="1:6" x14ac:dyDescent="0.35">
      <c r="A25" t="s">
        <v>105</v>
      </c>
      <c r="C25" t="s">
        <v>30</v>
      </c>
      <c r="F25" s="18">
        <v>30.006216355772118</v>
      </c>
    </row>
    <row r="26" spans="1:6" x14ac:dyDescent="0.35">
      <c r="A26" t="s">
        <v>105</v>
      </c>
      <c r="C26" t="s">
        <v>31</v>
      </c>
      <c r="F26" s="18">
        <v>6.9900853940313784E-2</v>
      </c>
    </row>
    <row r="27" spans="1:6" x14ac:dyDescent="0.35">
      <c r="A27" t="s">
        <v>105</v>
      </c>
      <c r="C27" t="s">
        <v>32</v>
      </c>
      <c r="F27" s="18">
        <v>2.1473840427228871E-2</v>
      </c>
    </row>
    <row r="28" spans="1:6" x14ac:dyDescent="0.35">
      <c r="A28" t="s">
        <v>105</v>
      </c>
      <c r="C28" t="s">
        <v>33</v>
      </c>
      <c r="F28" s="18">
        <v>9.7173017331557858</v>
      </c>
    </row>
    <row r="29" spans="1:6" x14ac:dyDescent="0.35">
      <c r="A29" t="s">
        <v>105</v>
      </c>
      <c r="C29" t="s">
        <v>34</v>
      </c>
      <c r="F29" s="18">
        <v>-0.15719262144034613</v>
      </c>
    </row>
    <row r="30" spans="1:6" x14ac:dyDescent="0.35">
      <c r="A30" t="s">
        <v>105</v>
      </c>
      <c r="C30" t="s">
        <v>35</v>
      </c>
      <c r="F30" s="18">
        <v>33.26328690187826</v>
      </c>
    </row>
    <row r="31" spans="1:6" x14ac:dyDescent="0.35">
      <c r="A31" t="s">
        <v>105</v>
      </c>
      <c r="C31" t="s">
        <v>36</v>
      </c>
      <c r="F31" s="18">
        <v>0.17497570860802103</v>
      </c>
    </row>
    <row r="32" spans="1:6" x14ac:dyDescent="0.35">
      <c r="A32" t="s">
        <v>105</v>
      </c>
      <c r="C32" t="s">
        <v>37</v>
      </c>
      <c r="F32" s="18">
        <v>1.8815190317920674</v>
      </c>
    </row>
    <row r="33" spans="1:6" x14ac:dyDescent="0.35">
      <c r="A33" t="s">
        <v>105</v>
      </c>
      <c r="C33" t="s">
        <v>38</v>
      </c>
      <c r="F33" s="18">
        <v>0.63952698288273269</v>
      </c>
    </row>
    <row r="34" spans="1:6" x14ac:dyDescent="0.35">
      <c r="A34" t="s">
        <v>105</v>
      </c>
      <c r="C34" t="s">
        <v>39</v>
      </c>
      <c r="F34" s="18">
        <v>-0.41843509013300206</v>
      </c>
    </row>
    <row r="35" spans="1:6" s="19" customFormat="1" x14ac:dyDescent="0.35">
      <c r="A35" s="19" t="s">
        <v>105</v>
      </c>
      <c r="C35" s="19" t="s">
        <v>40</v>
      </c>
      <c r="F35" s="20">
        <v>2.8770272607028493E-2</v>
      </c>
    </row>
    <row r="36" spans="1:6" x14ac:dyDescent="0.35">
      <c r="A36" t="s">
        <v>106</v>
      </c>
      <c r="C36" t="s">
        <v>6</v>
      </c>
      <c r="F36" s="3">
        <v>0.7506363201941112</v>
      </c>
    </row>
    <row r="37" spans="1:6" x14ac:dyDescent="0.35">
      <c r="A37" t="s">
        <v>106</v>
      </c>
      <c r="C37" t="s">
        <v>7</v>
      </c>
      <c r="F37" s="18">
        <v>-0.10739133439470594</v>
      </c>
    </row>
    <row r="38" spans="1:6" x14ac:dyDescent="0.35">
      <c r="A38" t="s">
        <v>106</v>
      </c>
      <c r="C38" t="s">
        <v>8</v>
      </c>
      <c r="F38" s="18">
        <v>-4.1445031912228376E-2</v>
      </c>
    </row>
    <row r="39" spans="1:6" x14ac:dyDescent="0.35">
      <c r="A39" t="s">
        <v>106</v>
      </c>
      <c r="C39" t="s">
        <v>9</v>
      </c>
      <c r="F39" s="18">
        <v>-0.39298333814670128</v>
      </c>
    </row>
    <row r="40" spans="1:6" x14ac:dyDescent="0.35">
      <c r="A40" t="s">
        <v>106</v>
      </c>
      <c r="C40" t="s">
        <v>10</v>
      </c>
      <c r="F40" s="18">
        <v>-9.5708786593419887E-2</v>
      </c>
    </row>
    <row r="41" spans="1:6" x14ac:dyDescent="0.35">
      <c r="A41" t="s">
        <v>106</v>
      </c>
      <c r="C41" t="s">
        <v>11</v>
      </c>
      <c r="F41" s="18">
        <v>2.9514265752582496</v>
      </c>
    </row>
    <row r="42" spans="1:6" x14ac:dyDescent="0.35">
      <c r="A42" t="s">
        <v>106</v>
      </c>
      <c r="C42" t="s">
        <v>12</v>
      </c>
      <c r="F42" s="18">
        <v>-6.8439106513212861E-2</v>
      </c>
    </row>
    <row r="43" spans="1:6" x14ac:dyDescent="0.35">
      <c r="A43" t="s">
        <v>106</v>
      </c>
      <c r="C43" t="s">
        <v>13</v>
      </c>
      <c r="F43" s="18">
        <v>0.15654312212738525</v>
      </c>
    </row>
    <row r="44" spans="1:6" x14ac:dyDescent="0.35">
      <c r="A44" t="s">
        <v>106</v>
      </c>
      <c r="C44" t="s">
        <v>14</v>
      </c>
      <c r="F44" s="18">
        <v>3.1854447391118638E-2</v>
      </c>
    </row>
    <row r="45" spans="1:6" x14ac:dyDescent="0.35">
      <c r="A45" t="s">
        <v>106</v>
      </c>
      <c r="C45" t="s">
        <v>15</v>
      </c>
      <c r="F45" s="18">
        <v>106.31076420985225</v>
      </c>
    </row>
    <row r="46" spans="1:6" x14ac:dyDescent="0.35">
      <c r="A46" t="s">
        <v>106</v>
      </c>
      <c r="C46" t="s">
        <v>16</v>
      </c>
      <c r="F46" s="18">
        <v>13.784802936775487</v>
      </c>
    </row>
    <row r="47" spans="1:6" x14ac:dyDescent="0.35">
      <c r="A47" t="s">
        <v>106</v>
      </c>
      <c r="C47" t="s">
        <v>18</v>
      </c>
      <c r="F47" s="18">
        <v>0.12076609928989727</v>
      </c>
    </row>
    <row r="48" spans="1:6" x14ac:dyDescent="0.35">
      <c r="A48" t="s">
        <v>106</v>
      </c>
      <c r="C48" t="s">
        <v>19</v>
      </c>
      <c r="F48" s="18">
        <v>34.24115300444582</v>
      </c>
    </row>
    <row r="49" spans="1:6" x14ac:dyDescent="0.35">
      <c r="A49" t="s">
        <v>106</v>
      </c>
      <c r="C49" t="s">
        <v>20</v>
      </c>
      <c r="F49" s="18">
        <v>29.90715993178673</v>
      </c>
    </row>
    <row r="50" spans="1:6" x14ac:dyDescent="0.35">
      <c r="A50" t="s">
        <v>106</v>
      </c>
      <c r="C50" t="s">
        <v>21</v>
      </c>
      <c r="F50" s="18">
        <v>8.9009766349363334E-2</v>
      </c>
    </row>
    <row r="51" spans="1:6" x14ac:dyDescent="0.35">
      <c r="A51" t="s">
        <v>106</v>
      </c>
      <c r="C51" t="s">
        <v>22</v>
      </c>
      <c r="F51" s="18">
        <v>13.693342796456974</v>
      </c>
    </row>
    <row r="52" spans="1:6" x14ac:dyDescent="0.35">
      <c r="A52" t="s">
        <v>106</v>
      </c>
      <c r="C52" t="s">
        <v>23</v>
      </c>
      <c r="F52" s="18">
        <v>0.22120260764578309</v>
      </c>
    </row>
    <row r="53" spans="1:6" x14ac:dyDescent="0.35">
      <c r="A53" t="s">
        <v>106</v>
      </c>
      <c r="C53" t="s">
        <v>24</v>
      </c>
      <c r="F53" s="18">
        <v>1.0120915458298125</v>
      </c>
    </row>
    <row r="54" spans="1:6" x14ac:dyDescent="0.35">
      <c r="A54" t="s">
        <v>106</v>
      </c>
      <c r="C54" t="s">
        <v>25</v>
      </c>
      <c r="F54" s="18">
        <v>0.15111152443715489</v>
      </c>
    </row>
    <row r="55" spans="1:6" x14ac:dyDescent="0.35">
      <c r="A55" t="s">
        <v>106</v>
      </c>
      <c r="C55" t="s">
        <v>26</v>
      </c>
      <c r="F55" s="18">
        <v>-3.8186403041257186E-2</v>
      </c>
    </row>
    <row r="56" spans="1:6" x14ac:dyDescent="0.35">
      <c r="A56" t="s">
        <v>106</v>
      </c>
      <c r="C56" t="s">
        <v>27</v>
      </c>
      <c r="F56" s="18">
        <v>2.3683940936707077E-2</v>
      </c>
    </row>
    <row r="57" spans="1:6" x14ac:dyDescent="0.35">
      <c r="A57" t="s">
        <v>106</v>
      </c>
      <c r="C57" t="s">
        <v>28</v>
      </c>
      <c r="F57" s="18">
        <v>2.5272627939863379</v>
      </c>
    </row>
    <row r="58" spans="1:6" x14ac:dyDescent="0.35">
      <c r="A58" t="s">
        <v>106</v>
      </c>
      <c r="C58" t="s">
        <v>29</v>
      </c>
      <c r="F58" s="18">
        <v>9.3267407147043485E-2</v>
      </c>
    </row>
    <row r="59" spans="1:6" x14ac:dyDescent="0.35">
      <c r="A59" t="s">
        <v>106</v>
      </c>
      <c r="C59" t="s">
        <v>30</v>
      </c>
      <c r="F59" s="18">
        <v>16.859234826823833</v>
      </c>
    </row>
    <row r="60" spans="1:6" x14ac:dyDescent="0.35">
      <c r="A60" t="s">
        <v>106</v>
      </c>
      <c r="C60" t="s">
        <v>31</v>
      </c>
      <c r="F60" s="18">
        <v>7.2076938764227022E-2</v>
      </c>
    </row>
    <row r="61" spans="1:6" x14ac:dyDescent="0.35">
      <c r="A61" t="s">
        <v>106</v>
      </c>
      <c r="C61" t="s">
        <v>32</v>
      </c>
      <c r="F61" s="18">
        <v>2.6176879630032311E-2</v>
      </c>
    </row>
    <row r="62" spans="1:6" x14ac:dyDescent="0.35">
      <c r="A62" t="s">
        <v>106</v>
      </c>
      <c r="C62" t="s">
        <v>33</v>
      </c>
      <c r="F62" s="18">
        <v>5.0462152270417064</v>
      </c>
    </row>
    <row r="63" spans="1:6" x14ac:dyDescent="0.35">
      <c r="A63" t="s">
        <v>106</v>
      </c>
      <c r="C63" t="s">
        <v>34</v>
      </c>
      <c r="F63" s="18">
        <v>-0.15871521976035713</v>
      </c>
    </row>
    <row r="64" spans="1:6" x14ac:dyDescent="0.35">
      <c r="A64" t="s">
        <v>106</v>
      </c>
      <c r="C64" t="s">
        <v>35</v>
      </c>
      <c r="F64" s="18">
        <v>53.31234747179608</v>
      </c>
    </row>
    <row r="65" spans="1:6" x14ac:dyDescent="0.35">
      <c r="A65" t="s">
        <v>106</v>
      </c>
      <c r="C65" t="s">
        <v>36</v>
      </c>
      <c r="F65" s="18">
        <v>0.16915797589754966</v>
      </c>
    </row>
    <row r="66" spans="1:6" x14ac:dyDescent="0.35">
      <c r="A66" t="s">
        <v>106</v>
      </c>
      <c r="C66" t="s">
        <v>37</v>
      </c>
      <c r="F66" s="18">
        <v>1.0831041742230518</v>
      </c>
    </row>
    <row r="67" spans="1:6" x14ac:dyDescent="0.35">
      <c r="A67" t="s">
        <v>106</v>
      </c>
      <c r="C67" t="s">
        <v>38</v>
      </c>
      <c r="F67" s="18">
        <v>0.27177298040958892</v>
      </c>
    </row>
    <row r="68" spans="1:6" x14ac:dyDescent="0.35">
      <c r="A68" t="s">
        <v>106</v>
      </c>
      <c r="C68" t="s">
        <v>39</v>
      </c>
      <c r="F68" s="18">
        <v>-0.42125165637768386</v>
      </c>
    </row>
    <row r="69" spans="1:6" s="19" customFormat="1" x14ac:dyDescent="0.35">
      <c r="A69" s="19" t="s">
        <v>106</v>
      </c>
      <c r="C69" s="19" t="s">
        <v>40</v>
      </c>
      <c r="F69" s="20">
        <v>-8.7110919570222295E-2</v>
      </c>
    </row>
    <row r="70" spans="1:6" x14ac:dyDescent="0.35">
      <c r="A70" t="s">
        <v>107</v>
      </c>
      <c r="C70" t="s">
        <v>6</v>
      </c>
      <c r="F70" s="3">
        <v>0.75270458764020565</v>
      </c>
    </row>
    <row r="71" spans="1:6" x14ac:dyDescent="0.35">
      <c r="A71" t="s">
        <v>107</v>
      </c>
      <c r="C71" t="s">
        <v>7</v>
      </c>
      <c r="F71" s="18">
        <v>-0.10816128822510832</v>
      </c>
    </row>
    <row r="72" spans="1:6" x14ac:dyDescent="0.35">
      <c r="A72" t="s">
        <v>107</v>
      </c>
      <c r="C72" t="s">
        <v>8</v>
      </c>
      <c r="F72" s="18">
        <v>-4.2164412007584792E-2</v>
      </c>
    </row>
    <row r="73" spans="1:6" x14ac:dyDescent="0.35">
      <c r="A73" t="s">
        <v>107</v>
      </c>
      <c r="C73" t="s">
        <v>9</v>
      </c>
      <c r="F73" s="18">
        <v>-0.39459446167804557</v>
      </c>
    </row>
    <row r="74" spans="1:6" x14ac:dyDescent="0.35">
      <c r="A74" t="s">
        <v>107</v>
      </c>
      <c r="C74" t="s">
        <v>10</v>
      </c>
      <c r="F74" s="18">
        <v>-9.0193896821158331E-2</v>
      </c>
    </row>
    <row r="75" spans="1:6" x14ac:dyDescent="0.35">
      <c r="A75" t="s">
        <v>107</v>
      </c>
      <c r="C75" t="s">
        <v>11</v>
      </c>
      <c r="F75" s="18">
        <v>1.5221990141036175</v>
      </c>
    </row>
    <row r="76" spans="1:6" x14ac:dyDescent="0.35">
      <c r="A76" t="s">
        <v>107</v>
      </c>
      <c r="C76" t="s">
        <v>12</v>
      </c>
      <c r="F76" s="18">
        <v>-6.7132552229066417E-2</v>
      </c>
    </row>
    <row r="77" spans="1:6" x14ac:dyDescent="0.35">
      <c r="A77" t="s">
        <v>107</v>
      </c>
      <c r="C77" t="s">
        <v>13</v>
      </c>
      <c r="F77" s="18">
        <v>0.15110712672982107</v>
      </c>
    </row>
    <row r="78" spans="1:6" x14ac:dyDescent="0.35">
      <c r="A78" t="s">
        <v>107</v>
      </c>
      <c r="C78" t="s">
        <v>14</v>
      </c>
      <c r="F78" s="18">
        <v>0.12218703895504535</v>
      </c>
    </row>
    <row r="79" spans="1:6" x14ac:dyDescent="0.35">
      <c r="A79" t="s">
        <v>107</v>
      </c>
      <c r="C79" t="s">
        <v>15</v>
      </c>
      <c r="F79" s="18">
        <v>103.57988187176646</v>
      </c>
    </row>
    <row r="80" spans="1:6" x14ac:dyDescent="0.35">
      <c r="A80" t="s">
        <v>107</v>
      </c>
      <c r="C80" t="s">
        <v>16</v>
      </c>
      <c r="F80" s="18">
        <v>4.5413552962935126</v>
      </c>
    </row>
    <row r="81" spans="1:6" x14ac:dyDescent="0.35">
      <c r="A81" t="s">
        <v>107</v>
      </c>
      <c r="C81" t="s">
        <v>18</v>
      </c>
      <c r="F81" s="18">
        <v>-3.2341451671332247E-2</v>
      </c>
    </row>
    <row r="82" spans="1:6" x14ac:dyDescent="0.35">
      <c r="A82" t="s">
        <v>107</v>
      </c>
      <c r="C82" t="s">
        <v>19</v>
      </c>
      <c r="F82" s="18">
        <v>33.455589080269291</v>
      </c>
    </row>
    <row r="83" spans="1:6" x14ac:dyDescent="0.35">
      <c r="A83" t="s">
        <v>107</v>
      </c>
      <c r="C83" t="s">
        <v>20</v>
      </c>
      <c r="F83" s="18">
        <v>35.45223322487152</v>
      </c>
    </row>
    <row r="84" spans="1:6" x14ac:dyDescent="0.35">
      <c r="A84" t="s">
        <v>107</v>
      </c>
      <c r="C84" t="s">
        <v>21</v>
      </c>
      <c r="F84" s="18">
        <v>0.15660799136871376</v>
      </c>
    </row>
    <row r="85" spans="1:6" x14ac:dyDescent="0.35">
      <c r="A85" t="s">
        <v>107</v>
      </c>
      <c r="C85" t="s">
        <v>22</v>
      </c>
      <c r="F85" s="18">
        <v>15.22416796295937</v>
      </c>
    </row>
    <row r="86" spans="1:6" x14ac:dyDescent="0.35">
      <c r="A86" t="s">
        <v>107</v>
      </c>
      <c r="C86" t="s">
        <v>23</v>
      </c>
      <c r="F86" s="18">
        <v>5.1895635541252538E-2</v>
      </c>
    </row>
    <row r="87" spans="1:6" x14ac:dyDescent="0.35">
      <c r="A87" t="s">
        <v>107</v>
      </c>
      <c r="C87" t="s">
        <v>24</v>
      </c>
      <c r="F87" s="18">
        <v>1.6361835485238592</v>
      </c>
    </row>
    <row r="88" spans="1:6" x14ac:dyDescent="0.35">
      <c r="A88" t="s">
        <v>107</v>
      </c>
      <c r="C88" t="s">
        <v>25</v>
      </c>
      <c r="F88" s="18">
        <v>0.15131134753559911</v>
      </c>
    </row>
    <row r="89" spans="1:6" x14ac:dyDescent="0.35">
      <c r="A89" t="s">
        <v>107</v>
      </c>
      <c r="C89" t="s">
        <v>26</v>
      </c>
      <c r="F89" s="18">
        <v>-3.8187837679585626E-2</v>
      </c>
    </row>
    <row r="90" spans="1:6" x14ac:dyDescent="0.35">
      <c r="A90" t="s">
        <v>107</v>
      </c>
      <c r="C90" t="s">
        <v>27</v>
      </c>
      <c r="F90" s="18">
        <v>0.16268393159412198</v>
      </c>
    </row>
    <row r="91" spans="1:6" x14ac:dyDescent="0.35">
      <c r="A91" t="s">
        <v>107</v>
      </c>
      <c r="C91" t="s">
        <v>28</v>
      </c>
      <c r="F91" s="18">
        <v>2.781952506315617</v>
      </c>
    </row>
    <row r="92" spans="1:6" x14ac:dyDescent="0.35">
      <c r="A92" t="s">
        <v>107</v>
      </c>
      <c r="C92" t="s">
        <v>29</v>
      </c>
      <c r="F92" s="18">
        <v>9.3032903922929566E-2</v>
      </c>
    </row>
    <row r="93" spans="1:6" x14ac:dyDescent="0.35">
      <c r="A93" t="s">
        <v>107</v>
      </c>
      <c r="C93" t="s">
        <v>30</v>
      </c>
      <c r="F93" s="18">
        <v>15.570384146465413</v>
      </c>
    </row>
    <row r="94" spans="1:6" x14ac:dyDescent="0.35">
      <c r="A94" t="s">
        <v>107</v>
      </c>
      <c r="C94" t="s">
        <v>31</v>
      </c>
      <c r="F94" s="18">
        <v>6.9733231780274199E-2</v>
      </c>
    </row>
    <row r="95" spans="1:6" x14ac:dyDescent="0.35">
      <c r="A95" t="s">
        <v>107</v>
      </c>
      <c r="C95" t="s">
        <v>32</v>
      </c>
      <c r="F95" s="18">
        <v>4.626320488595502E-2</v>
      </c>
    </row>
    <row r="96" spans="1:6" x14ac:dyDescent="0.35">
      <c r="A96" t="s">
        <v>107</v>
      </c>
      <c r="C96" t="s">
        <v>33</v>
      </c>
      <c r="F96" s="18">
        <v>4.1781121278265241</v>
      </c>
    </row>
    <row r="97" spans="1:6" x14ac:dyDescent="0.35">
      <c r="A97" t="s">
        <v>107</v>
      </c>
      <c r="C97" t="s">
        <v>34</v>
      </c>
      <c r="F97" s="18">
        <v>-0.15724273591917531</v>
      </c>
    </row>
    <row r="98" spans="1:6" x14ac:dyDescent="0.35">
      <c r="A98" t="s">
        <v>107</v>
      </c>
      <c r="C98" t="s">
        <v>35</v>
      </c>
      <c r="F98" s="18">
        <v>49.082807297756695</v>
      </c>
    </row>
    <row r="99" spans="1:6" x14ac:dyDescent="0.35">
      <c r="A99" t="s">
        <v>107</v>
      </c>
      <c r="C99" t="s">
        <v>36</v>
      </c>
      <c r="F99" s="18">
        <v>0.17276797275118944</v>
      </c>
    </row>
    <row r="100" spans="1:6" x14ac:dyDescent="0.35">
      <c r="A100" t="s">
        <v>107</v>
      </c>
      <c r="C100" t="s">
        <v>37</v>
      </c>
      <c r="F100" s="18">
        <v>0.78695200973531887</v>
      </c>
    </row>
    <row r="101" spans="1:6" x14ac:dyDescent="0.35">
      <c r="A101" t="s">
        <v>107</v>
      </c>
      <c r="C101" t="s">
        <v>38</v>
      </c>
      <c r="F101" s="18">
        <v>0.29643341043754839</v>
      </c>
    </row>
    <row r="102" spans="1:6" x14ac:dyDescent="0.35">
      <c r="A102" t="s">
        <v>107</v>
      </c>
      <c r="C102" t="s">
        <v>39</v>
      </c>
      <c r="F102" s="18">
        <v>-0.41791574317831437</v>
      </c>
    </row>
    <row r="103" spans="1:6" s="19" customFormat="1" x14ac:dyDescent="0.35">
      <c r="A103" s="19" t="s">
        <v>107</v>
      </c>
      <c r="C103" s="19" t="s">
        <v>40</v>
      </c>
      <c r="F103" s="20">
        <v>0.98076935380905939</v>
      </c>
    </row>
    <row r="104" spans="1:6" x14ac:dyDescent="0.35">
      <c r="A104" t="s">
        <v>108</v>
      </c>
      <c r="C104" t="s">
        <v>6</v>
      </c>
      <c r="F104" s="3">
        <v>0.75184252445499478</v>
      </c>
    </row>
    <row r="105" spans="1:6" x14ac:dyDescent="0.35">
      <c r="A105" t="s">
        <v>108</v>
      </c>
      <c r="C105" t="s">
        <v>7</v>
      </c>
      <c r="F105" s="18">
        <v>-0.10819139326947223</v>
      </c>
    </row>
    <row r="106" spans="1:6" x14ac:dyDescent="0.35">
      <c r="A106" t="s">
        <v>108</v>
      </c>
      <c r="C106" t="s">
        <v>8</v>
      </c>
      <c r="F106" s="18">
        <v>-4.1010960172683922E-2</v>
      </c>
    </row>
    <row r="107" spans="1:6" x14ac:dyDescent="0.35">
      <c r="A107" t="s">
        <v>108</v>
      </c>
      <c r="C107" t="s">
        <v>9</v>
      </c>
      <c r="F107" s="18">
        <v>-0.39460225383195002</v>
      </c>
    </row>
    <row r="108" spans="1:6" x14ac:dyDescent="0.35">
      <c r="A108" t="s">
        <v>108</v>
      </c>
      <c r="C108" t="s">
        <v>10</v>
      </c>
      <c r="F108" s="18">
        <v>-9.5271821602361778E-2</v>
      </c>
    </row>
    <row r="109" spans="1:6" x14ac:dyDescent="0.35">
      <c r="A109" t="s">
        <v>108</v>
      </c>
      <c r="C109" t="s">
        <v>11</v>
      </c>
      <c r="F109" s="18">
        <v>1.594336865874793</v>
      </c>
    </row>
    <row r="110" spans="1:6" x14ac:dyDescent="0.35">
      <c r="A110" t="s">
        <v>108</v>
      </c>
      <c r="C110" t="s">
        <v>12</v>
      </c>
      <c r="F110" s="18">
        <v>-7.563098147268929E-2</v>
      </c>
    </row>
    <row r="111" spans="1:6" x14ac:dyDescent="0.35">
      <c r="A111" t="s">
        <v>108</v>
      </c>
      <c r="C111" t="s">
        <v>13</v>
      </c>
      <c r="F111" s="18">
        <v>-5.1323023226671524E-2</v>
      </c>
    </row>
    <row r="112" spans="1:6" x14ac:dyDescent="0.35">
      <c r="A112" t="s">
        <v>108</v>
      </c>
      <c r="C112" t="s">
        <v>14</v>
      </c>
      <c r="F112" s="18">
        <v>-5.3225065987539198E-2</v>
      </c>
    </row>
    <row r="113" spans="1:6" x14ac:dyDescent="0.35">
      <c r="A113" t="s">
        <v>108</v>
      </c>
      <c r="C113" t="s">
        <v>15</v>
      </c>
      <c r="F113" s="18">
        <v>89.07971728682854</v>
      </c>
    </row>
    <row r="114" spans="1:6" x14ac:dyDescent="0.35">
      <c r="A114" t="s">
        <v>108</v>
      </c>
      <c r="C114" t="s">
        <v>16</v>
      </c>
      <c r="F114" s="18">
        <v>3.4032211100267107</v>
      </c>
    </row>
    <row r="115" spans="1:6" x14ac:dyDescent="0.35">
      <c r="A115" t="s">
        <v>108</v>
      </c>
      <c r="C115" t="s">
        <v>18</v>
      </c>
      <c r="F115" s="18">
        <v>-3.7838674162103444E-2</v>
      </c>
    </row>
    <row r="116" spans="1:6" x14ac:dyDescent="0.35">
      <c r="A116" t="s">
        <v>108</v>
      </c>
      <c r="C116" t="s">
        <v>19</v>
      </c>
      <c r="F116" s="18">
        <v>29.823026623326228</v>
      </c>
    </row>
    <row r="117" spans="1:6" x14ac:dyDescent="0.35">
      <c r="A117" t="s">
        <v>108</v>
      </c>
      <c r="C117" t="s">
        <v>20</v>
      </c>
      <c r="F117" s="18">
        <v>42.434088862559662</v>
      </c>
    </row>
    <row r="118" spans="1:6" x14ac:dyDescent="0.35">
      <c r="A118" t="s">
        <v>108</v>
      </c>
      <c r="C118" t="s">
        <v>21</v>
      </c>
      <c r="F118" s="18">
        <v>0.18897824001504976</v>
      </c>
    </row>
    <row r="119" spans="1:6" x14ac:dyDescent="0.35">
      <c r="A119" t="s">
        <v>108</v>
      </c>
      <c r="C119" t="s">
        <v>22</v>
      </c>
      <c r="F119" s="18">
        <v>23.768755096650281</v>
      </c>
    </row>
    <row r="120" spans="1:6" x14ac:dyDescent="0.35">
      <c r="A120" t="s">
        <v>108</v>
      </c>
      <c r="C120" t="s">
        <v>23</v>
      </c>
      <c r="F120" s="18">
        <v>2.0824233522028848E-2</v>
      </c>
    </row>
    <row r="121" spans="1:6" x14ac:dyDescent="0.35">
      <c r="A121" t="s">
        <v>108</v>
      </c>
      <c r="C121" t="s">
        <v>24</v>
      </c>
      <c r="F121" s="18">
        <v>2.3560013195654497</v>
      </c>
    </row>
    <row r="122" spans="1:6" x14ac:dyDescent="0.35">
      <c r="A122" t="s">
        <v>108</v>
      </c>
      <c r="C122" t="s">
        <v>25</v>
      </c>
      <c r="F122" s="18">
        <v>0.17069142999257592</v>
      </c>
    </row>
    <row r="123" spans="1:6" x14ac:dyDescent="0.35">
      <c r="A123" t="s">
        <v>108</v>
      </c>
      <c r="C123" t="s">
        <v>26</v>
      </c>
      <c r="F123" s="18">
        <v>2.4176044769013586E-2</v>
      </c>
    </row>
    <row r="124" spans="1:6" x14ac:dyDescent="0.35">
      <c r="A124" t="s">
        <v>108</v>
      </c>
      <c r="C124" t="s">
        <v>27</v>
      </c>
      <c r="F124" s="18">
        <v>1.1323246845149777</v>
      </c>
    </row>
    <row r="125" spans="1:6" x14ac:dyDescent="0.35">
      <c r="A125" t="s">
        <v>108</v>
      </c>
      <c r="C125" t="s">
        <v>28</v>
      </c>
      <c r="F125" s="18">
        <v>3.8869658748824425</v>
      </c>
    </row>
    <row r="126" spans="1:6" x14ac:dyDescent="0.35">
      <c r="A126" t="s">
        <v>108</v>
      </c>
      <c r="C126" t="s">
        <v>29</v>
      </c>
      <c r="F126" s="18">
        <v>8.1917305498605125E-2</v>
      </c>
    </row>
    <row r="127" spans="1:6" x14ac:dyDescent="0.35">
      <c r="A127" t="s">
        <v>108</v>
      </c>
      <c r="C127" t="s">
        <v>30</v>
      </c>
      <c r="F127" s="18">
        <v>19.975326411109592</v>
      </c>
    </row>
    <row r="128" spans="1:6" x14ac:dyDescent="0.35">
      <c r="A128" t="s">
        <v>108</v>
      </c>
      <c r="C128" t="s">
        <v>31</v>
      </c>
      <c r="F128" s="18">
        <v>7.427589098655292E-2</v>
      </c>
    </row>
    <row r="129" spans="1:6" x14ac:dyDescent="0.35">
      <c r="A129" t="s">
        <v>108</v>
      </c>
      <c r="C129" t="s">
        <v>32</v>
      </c>
      <c r="F129" s="18">
        <v>1.5650960338919561E-2</v>
      </c>
    </row>
    <row r="130" spans="1:6" x14ac:dyDescent="0.35">
      <c r="A130" t="s">
        <v>108</v>
      </c>
      <c r="C130" t="s">
        <v>33</v>
      </c>
      <c r="F130" s="18">
        <v>6.1342079102208178</v>
      </c>
    </row>
    <row r="131" spans="1:6" x14ac:dyDescent="0.35">
      <c r="A131" t="s">
        <v>108</v>
      </c>
      <c r="C131" t="s">
        <v>34</v>
      </c>
      <c r="F131" s="18">
        <v>-0.15487385551447447</v>
      </c>
    </row>
    <row r="132" spans="1:6" x14ac:dyDescent="0.35">
      <c r="A132" t="s">
        <v>108</v>
      </c>
      <c r="C132" t="s">
        <v>35</v>
      </c>
      <c r="F132" s="18">
        <v>31.99752827250936</v>
      </c>
    </row>
    <row r="133" spans="1:6" x14ac:dyDescent="0.35">
      <c r="A133" t="s">
        <v>108</v>
      </c>
      <c r="C133" t="s">
        <v>36</v>
      </c>
      <c r="F133" s="18">
        <v>0.18278169041117326</v>
      </c>
    </row>
    <row r="134" spans="1:6" x14ac:dyDescent="0.35">
      <c r="A134" t="s">
        <v>108</v>
      </c>
      <c r="C134" t="s">
        <v>37</v>
      </c>
      <c r="F134" s="18">
        <v>1.1158097504195181</v>
      </c>
    </row>
    <row r="135" spans="1:6" x14ac:dyDescent="0.35">
      <c r="A135" t="s">
        <v>108</v>
      </c>
      <c r="C135" t="s">
        <v>38</v>
      </c>
      <c r="F135" s="18">
        <v>0.70381084723915244</v>
      </c>
    </row>
    <row r="136" spans="1:6" x14ac:dyDescent="0.35">
      <c r="A136" t="s">
        <v>108</v>
      </c>
      <c r="C136" t="s">
        <v>39</v>
      </c>
      <c r="F136" s="18">
        <v>-0.41900251182391213</v>
      </c>
    </row>
    <row r="137" spans="1:6" s="19" customFormat="1" x14ac:dyDescent="0.35">
      <c r="A137" s="19" t="s">
        <v>108</v>
      </c>
      <c r="C137" s="19" t="s">
        <v>40</v>
      </c>
      <c r="F137" s="20">
        <v>-0.16759093431690009</v>
      </c>
    </row>
    <row r="138" spans="1:6" x14ac:dyDescent="0.35">
      <c r="A138" t="s">
        <v>109</v>
      </c>
      <c r="C138" t="s">
        <v>6</v>
      </c>
      <c r="F138" s="3">
        <v>0.75463587697749324</v>
      </c>
    </row>
    <row r="139" spans="1:6" x14ac:dyDescent="0.35">
      <c r="A139" t="s">
        <v>109</v>
      </c>
      <c r="C139" t="s">
        <v>7</v>
      </c>
      <c r="F139" s="18">
        <v>-0.10288380857703416</v>
      </c>
    </row>
    <row r="140" spans="1:6" x14ac:dyDescent="0.35">
      <c r="A140" t="s">
        <v>109</v>
      </c>
      <c r="C140" t="s">
        <v>8</v>
      </c>
      <c r="F140" s="18">
        <v>-3.8648731759576505E-2</v>
      </c>
    </row>
    <row r="141" spans="1:6" x14ac:dyDescent="0.35">
      <c r="A141" t="s">
        <v>109</v>
      </c>
      <c r="C141" t="s">
        <v>9</v>
      </c>
      <c r="F141" s="18">
        <v>-0.39613445499343342</v>
      </c>
    </row>
    <row r="142" spans="1:6" x14ac:dyDescent="0.35">
      <c r="A142" t="s">
        <v>109</v>
      </c>
      <c r="C142" t="s">
        <v>10</v>
      </c>
      <c r="F142" s="18">
        <v>-9.4682736549942928E-2</v>
      </c>
    </row>
    <row r="143" spans="1:6" x14ac:dyDescent="0.35">
      <c r="A143" t="s">
        <v>109</v>
      </c>
      <c r="C143" t="s">
        <v>11</v>
      </c>
      <c r="F143" s="18">
        <v>1.1366583257418099</v>
      </c>
    </row>
    <row r="144" spans="1:6" x14ac:dyDescent="0.35">
      <c r="A144" t="s">
        <v>109</v>
      </c>
      <c r="C144" t="s">
        <v>12</v>
      </c>
      <c r="F144" s="18">
        <v>-8.3525929440795427E-3</v>
      </c>
    </row>
    <row r="145" spans="1:6" x14ac:dyDescent="0.35">
      <c r="A145" t="s">
        <v>109</v>
      </c>
      <c r="C145" t="s">
        <v>13</v>
      </c>
      <c r="F145" s="18">
        <v>-3.5695454967417814E-2</v>
      </c>
    </row>
    <row r="146" spans="1:6" x14ac:dyDescent="0.35">
      <c r="A146" t="s">
        <v>109</v>
      </c>
      <c r="C146" t="s">
        <v>14</v>
      </c>
      <c r="F146" s="18">
        <v>-5.0691023613516184E-2</v>
      </c>
    </row>
    <row r="147" spans="1:6" x14ac:dyDescent="0.35">
      <c r="A147" t="s">
        <v>109</v>
      </c>
      <c r="C147" t="s">
        <v>15</v>
      </c>
      <c r="F147" s="18">
        <v>87.780582712138909</v>
      </c>
    </row>
    <row r="148" spans="1:6" x14ac:dyDescent="0.35">
      <c r="A148" t="s">
        <v>109</v>
      </c>
      <c r="C148" t="s">
        <v>16</v>
      </c>
      <c r="F148" s="18">
        <v>2.2021280213785426</v>
      </c>
    </row>
    <row r="149" spans="1:6" x14ac:dyDescent="0.35">
      <c r="A149" t="s">
        <v>109</v>
      </c>
      <c r="C149" t="s">
        <v>18</v>
      </c>
      <c r="F149" s="18">
        <v>-2.8154532457981586E-2</v>
      </c>
    </row>
    <row r="150" spans="1:6" x14ac:dyDescent="0.35">
      <c r="A150" t="s">
        <v>109</v>
      </c>
      <c r="C150" t="s">
        <v>19</v>
      </c>
      <c r="F150" s="18">
        <v>25.058292837882249</v>
      </c>
    </row>
    <row r="151" spans="1:6" x14ac:dyDescent="0.35">
      <c r="A151" t="s">
        <v>109</v>
      </c>
      <c r="C151" t="s">
        <v>20</v>
      </c>
      <c r="F151" s="18">
        <v>36.315098477422708</v>
      </c>
    </row>
    <row r="152" spans="1:6" x14ac:dyDescent="0.35">
      <c r="A152" t="s">
        <v>109</v>
      </c>
      <c r="C152" t="s">
        <v>21</v>
      </c>
      <c r="F152" s="18">
        <v>9.1931048221943909E-2</v>
      </c>
    </row>
    <row r="153" spans="1:6" x14ac:dyDescent="0.35">
      <c r="A153" t="s">
        <v>109</v>
      </c>
      <c r="C153" t="s">
        <v>22</v>
      </c>
      <c r="F153" s="18">
        <v>16.392195004569007</v>
      </c>
    </row>
    <row r="154" spans="1:6" x14ac:dyDescent="0.35">
      <c r="A154" t="s">
        <v>109</v>
      </c>
      <c r="C154" t="s">
        <v>23</v>
      </c>
      <c r="F154" s="18">
        <v>5.0944645351526846E-2</v>
      </c>
    </row>
    <row r="155" spans="1:6" x14ac:dyDescent="0.35">
      <c r="A155" t="s">
        <v>109</v>
      </c>
      <c r="C155" t="s">
        <v>24</v>
      </c>
      <c r="F155" s="18">
        <v>1.6420272868643451</v>
      </c>
    </row>
    <row r="156" spans="1:6" x14ac:dyDescent="0.35">
      <c r="A156" t="s">
        <v>109</v>
      </c>
      <c r="C156" t="s">
        <v>25</v>
      </c>
      <c r="F156" s="18">
        <v>0.15482270813352805</v>
      </c>
    </row>
    <row r="157" spans="1:6" x14ac:dyDescent="0.35">
      <c r="A157" t="s">
        <v>109</v>
      </c>
      <c r="C157" t="s">
        <v>26</v>
      </c>
      <c r="F157" s="18">
        <v>-3.966438164713721E-2</v>
      </c>
    </row>
    <row r="158" spans="1:6" x14ac:dyDescent="0.35">
      <c r="A158" t="s">
        <v>109</v>
      </c>
      <c r="C158" t="s">
        <v>27</v>
      </c>
      <c r="F158" s="18">
        <v>8.096226059105302E-2</v>
      </c>
    </row>
    <row r="159" spans="1:6" x14ac:dyDescent="0.35">
      <c r="A159" t="s">
        <v>109</v>
      </c>
      <c r="C159" t="s">
        <v>28</v>
      </c>
      <c r="F159" s="18">
        <v>2.1519395507614956</v>
      </c>
    </row>
    <row r="160" spans="1:6" x14ac:dyDescent="0.35">
      <c r="A160" t="s">
        <v>109</v>
      </c>
      <c r="C160" t="s">
        <v>29</v>
      </c>
      <c r="F160" s="18">
        <v>0.13838981986676374</v>
      </c>
    </row>
    <row r="161" spans="1:6" x14ac:dyDescent="0.35">
      <c r="A161" t="s">
        <v>109</v>
      </c>
      <c r="C161" t="s">
        <v>30</v>
      </c>
      <c r="F161" s="18">
        <v>15.535132425094185</v>
      </c>
    </row>
    <row r="162" spans="1:6" x14ac:dyDescent="0.35">
      <c r="A162" t="s">
        <v>109</v>
      </c>
      <c r="C162" t="s">
        <v>31</v>
      </c>
      <c r="F162" s="18">
        <v>6.3698244892511108E-2</v>
      </c>
    </row>
    <row r="163" spans="1:6" x14ac:dyDescent="0.35">
      <c r="A163" t="s">
        <v>109</v>
      </c>
      <c r="C163" t="s">
        <v>32</v>
      </c>
      <c r="F163" s="18">
        <v>1.9920857842288187E-2</v>
      </c>
    </row>
    <row r="164" spans="1:6" x14ac:dyDescent="0.35">
      <c r="A164" t="s">
        <v>109</v>
      </c>
      <c r="C164" t="s">
        <v>33</v>
      </c>
      <c r="F164" s="18">
        <v>4.1452364304169969</v>
      </c>
    </row>
    <row r="165" spans="1:6" x14ac:dyDescent="0.35">
      <c r="A165" t="s">
        <v>109</v>
      </c>
      <c r="C165" t="s">
        <v>34</v>
      </c>
      <c r="F165" s="18">
        <v>-0.15354356472842998</v>
      </c>
    </row>
    <row r="166" spans="1:6" x14ac:dyDescent="0.35">
      <c r="A166" t="s">
        <v>109</v>
      </c>
      <c r="C166" t="s">
        <v>35</v>
      </c>
      <c r="F166" s="18">
        <v>25.642914693379325</v>
      </c>
    </row>
    <row r="167" spans="1:6" x14ac:dyDescent="0.35">
      <c r="A167" t="s">
        <v>109</v>
      </c>
      <c r="C167" t="s">
        <v>36</v>
      </c>
      <c r="F167" s="18">
        <v>0.17625713704094922</v>
      </c>
    </row>
    <row r="168" spans="1:6" x14ac:dyDescent="0.35">
      <c r="A168" t="s">
        <v>109</v>
      </c>
      <c r="C168" t="s">
        <v>37</v>
      </c>
      <c r="F168" s="18">
        <v>1.0091487859765984</v>
      </c>
    </row>
    <row r="169" spans="1:6" x14ac:dyDescent="0.35">
      <c r="A169" t="s">
        <v>109</v>
      </c>
      <c r="C169" t="s">
        <v>38</v>
      </c>
      <c r="F169" s="18">
        <v>0.37459634822142918</v>
      </c>
    </row>
    <row r="170" spans="1:6" x14ac:dyDescent="0.35">
      <c r="A170" t="s">
        <v>109</v>
      </c>
      <c r="C170" t="s">
        <v>39</v>
      </c>
      <c r="F170" s="18">
        <v>-0.41449644433307148</v>
      </c>
    </row>
    <row r="171" spans="1:6" x14ac:dyDescent="0.35">
      <c r="A171" t="s">
        <v>109</v>
      </c>
      <c r="C171" t="s">
        <v>40</v>
      </c>
      <c r="F171" s="18">
        <v>-0.1521660994896239</v>
      </c>
    </row>
  </sheetData>
  <phoneticPr fontId="1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2FE93-40E5-4BCE-A0FB-27DC74D66E0B}">
  <dimension ref="A1:N106"/>
  <sheetViews>
    <sheetView topLeftCell="A43" zoomScale="80" zoomScaleNormal="80" workbookViewId="0">
      <selection activeCell="K38" sqref="K38"/>
    </sheetView>
  </sheetViews>
  <sheetFormatPr baseColWidth="10" defaultRowHeight="14.5" x14ac:dyDescent="0.35"/>
  <cols>
    <col min="6" max="6" width="15.08984375" customWidth="1"/>
    <col min="8" max="8" width="16.26953125" customWidth="1"/>
  </cols>
  <sheetData>
    <row r="1" spans="1:14" x14ac:dyDescent="0.35">
      <c r="A1" t="s">
        <v>44</v>
      </c>
      <c r="B1" s="1" t="s">
        <v>1</v>
      </c>
      <c r="C1" s="2" t="s">
        <v>2</v>
      </c>
      <c r="D1" s="1" t="s">
        <v>0</v>
      </c>
      <c r="E1" s="1" t="s">
        <v>3</v>
      </c>
      <c r="F1" s="3" t="s">
        <v>42</v>
      </c>
      <c r="G1" s="1"/>
      <c r="H1" s="5"/>
      <c r="I1" s="6" t="s">
        <v>147</v>
      </c>
    </row>
    <row r="2" spans="1:14" x14ac:dyDescent="0.35">
      <c r="A2" t="s">
        <v>110</v>
      </c>
      <c r="C2" t="s">
        <v>6</v>
      </c>
      <c r="F2">
        <v>6.7065411000000008</v>
      </c>
      <c r="H2" s="5" t="s">
        <v>6</v>
      </c>
      <c r="I2" s="5">
        <f>MEDIAN(F2,F37,F72)</f>
        <v>6.7065411000000008</v>
      </c>
      <c r="K2" s="14" t="s">
        <v>157</v>
      </c>
      <c r="L2" s="14"/>
      <c r="M2" s="14"/>
      <c r="N2" s="14"/>
    </row>
    <row r="3" spans="1:14" x14ac:dyDescent="0.35">
      <c r="A3" t="s">
        <v>110</v>
      </c>
      <c r="C3" t="s">
        <v>7</v>
      </c>
      <c r="F3">
        <v>4.5137454999999997</v>
      </c>
      <c r="H3" s="5" t="s">
        <v>7</v>
      </c>
      <c r="I3" s="5">
        <f>MEDIAN(F3,F38,F73)</f>
        <v>0</v>
      </c>
    </row>
    <row r="4" spans="1:14" x14ac:dyDescent="0.35">
      <c r="A4" t="s">
        <v>110</v>
      </c>
      <c r="C4" t="s">
        <v>8</v>
      </c>
      <c r="F4">
        <v>0.56057370000000006</v>
      </c>
      <c r="H4" s="5" t="s">
        <v>8</v>
      </c>
      <c r="I4" s="5">
        <f>MEDIAN(F4,F39,F74)</f>
        <v>0</v>
      </c>
    </row>
    <row r="5" spans="1:14" x14ac:dyDescent="0.35">
      <c r="A5" t="s">
        <v>110</v>
      </c>
      <c r="C5" t="s">
        <v>9</v>
      </c>
      <c r="F5">
        <v>16.0796074</v>
      </c>
      <c r="H5" s="5" t="s">
        <v>9</v>
      </c>
      <c r="I5" s="5">
        <f>MEDIAN(F5,F40,F75)</f>
        <v>0</v>
      </c>
    </row>
    <row r="6" spans="1:14" x14ac:dyDescent="0.35">
      <c r="A6" t="s">
        <v>110</v>
      </c>
      <c r="C6" t="s">
        <v>10</v>
      </c>
      <c r="F6">
        <v>104.06351609999999</v>
      </c>
      <c r="H6" s="5" t="s">
        <v>10</v>
      </c>
      <c r="I6" s="5">
        <f t="shared" ref="I6:I36" si="0">MEDIAN(F6,F41,F76)</f>
        <v>0</v>
      </c>
    </row>
    <row r="7" spans="1:14" x14ac:dyDescent="0.35">
      <c r="A7" t="s">
        <v>110</v>
      </c>
      <c r="C7" t="s">
        <v>11</v>
      </c>
      <c r="F7">
        <v>28.730075299999999</v>
      </c>
      <c r="H7" s="5" t="s">
        <v>11</v>
      </c>
      <c r="I7" s="5">
        <f t="shared" si="0"/>
        <v>0</v>
      </c>
    </row>
    <row r="8" spans="1:14" x14ac:dyDescent="0.35">
      <c r="A8" t="s">
        <v>110</v>
      </c>
      <c r="C8" t="s">
        <v>12</v>
      </c>
      <c r="F8">
        <v>0</v>
      </c>
      <c r="H8" s="5" t="s">
        <v>12</v>
      </c>
      <c r="I8" s="5">
        <f t="shared" si="0"/>
        <v>0</v>
      </c>
    </row>
    <row r="9" spans="1:14" x14ac:dyDescent="0.35">
      <c r="A9" t="s">
        <v>110</v>
      </c>
      <c r="C9" t="s">
        <v>13</v>
      </c>
      <c r="F9">
        <v>6.5478559999999995</v>
      </c>
      <c r="H9" s="5" t="s">
        <v>13</v>
      </c>
      <c r="I9" s="5">
        <f t="shared" si="0"/>
        <v>0</v>
      </c>
    </row>
    <row r="10" spans="1:14" x14ac:dyDescent="0.35">
      <c r="A10" t="s">
        <v>110</v>
      </c>
      <c r="C10" t="s">
        <v>14</v>
      </c>
      <c r="F10">
        <v>0</v>
      </c>
      <c r="H10" s="5" t="s">
        <v>14</v>
      </c>
      <c r="I10" s="5">
        <f t="shared" si="0"/>
        <v>0</v>
      </c>
    </row>
    <row r="11" spans="1:14" x14ac:dyDescent="0.35">
      <c r="A11" t="s">
        <v>110</v>
      </c>
      <c r="C11" t="s">
        <v>15</v>
      </c>
      <c r="F11">
        <v>1489.3189308999999</v>
      </c>
      <c r="H11" s="5" t="s">
        <v>15</v>
      </c>
      <c r="I11" s="5">
        <f>MEDIAN(F11,F46,F81)</f>
        <v>805.21668969999996</v>
      </c>
    </row>
    <row r="12" spans="1:14" x14ac:dyDescent="0.35">
      <c r="A12" t="s">
        <v>110</v>
      </c>
      <c r="C12" t="s">
        <v>16</v>
      </c>
      <c r="F12">
        <v>0</v>
      </c>
      <c r="H12" s="5" t="s">
        <v>16</v>
      </c>
      <c r="I12" s="5">
        <f t="shared" si="0"/>
        <v>0</v>
      </c>
    </row>
    <row r="13" spans="1:14" x14ac:dyDescent="0.35">
      <c r="A13" t="s">
        <v>110</v>
      </c>
      <c r="C13" t="s">
        <v>17</v>
      </c>
      <c r="F13">
        <v>3.3850266000000002</v>
      </c>
      <c r="H13" s="5" t="s">
        <v>17</v>
      </c>
      <c r="I13" s="5">
        <f t="shared" si="0"/>
        <v>0.8527134999999999</v>
      </c>
    </row>
    <row r="14" spans="1:14" x14ac:dyDescent="0.35">
      <c r="A14" t="s">
        <v>110</v>
      </c>
      <c r="C14" t="s">
        <v>18</v>
      </c>
      <c r="F14" t="s">
        <v>146</v>
      </c>
      <c r="H14" s="5" t="s">
        <v>18</v>
      </c>
      <c r="I14" s="5">
        <f>MEDIAN(F14,F49,F84)</f>
        <v>0</v>
      </c>
    </row>
    <row r="15" spans="1:14" x14ac:dyDescent="0.35">
      <c r="A15" t="s">
        <v>110</v>
      </c>
      <c r="C15" t="s">
        <v>19</v>
      </c>
      <c r="F15">
        <v>448.6346413</v>
      </c>
      <c r="H15" s="5" t="s">
        <v>19</v>
      </c>
      <c r="I15" s="5">
        <f t="shared" si="0"/>
        <v>268.62339709999998</v>
      </c>
    </row>
    <row r="16" spans="1:14" x14ac:dyDescent="0.35">
      <c r="A16" t="s">
        <v>110</v>
      </c>
      <c r="C16" t="s">
        <v>20</v>
      </c>
      <c r="F16">
        <v>16.423911700000001</v>
      </c>
      <c r="H16" s="5" t="s">
        <v>20</v>
      </c>
      <c r="I16" s="5">
        <f t="shared" si="0"/>
        <v>18.465913199999999</v>
      </c>
    </row>
    <row r="17" spans="1:9" x14ac:dyDescent="0.35">
      <c r="A17" t="s">
        <v>110</v>
      </c>
      <c r="C17" t="s">
        <v>21</v>
      </c>
      <c r="F17">
        <v>0.33195340000000001</v>
      </c>
      <c r="H17" s="5" t="s">
        <v>21</v>
      </c>
      <c r="I17" s="5">
        <f t="shared" si="0"/>
        <v>0.33195340000000001</v>
      </c>
    </row>
    <row r="18" spans="1:9" x14ac:dyDescent="0.35">
      <c r="A18" t="s">
        <v>110</v>
      </c>
      <c r="C18" t="s">
        <v>22</v>
      </c>
      <c r="F18">
        <v>6.0034596000000002</v>
      </c>
      <c r="H18" s="5" t="s">
        <v>22</v>
      </c>
      <c r="I18" s="5">
        <f t="shared" si="0"/>
        <v>6.0034596000000002</v>
      </c>
    </row>
    <row r="19" spans="1:9" x14ac:dyDescent="0.35">
      <c r="A19" t="s">
        <v>110</v>
      </c>
      <c r="C19" t="s">
        <v>23</v>
      </c>
      <c r="F19">
        <v>0</v>
      </c>
      <c r="H19" s="5" t="s">
        <v>23</v>
      </c>
      <c r="I19" s="5">
        <f t="shared" si="0"/>
        <v>0</v>
      </c>
    </row>
    <row r="20" spans="1:9" x14ac:dyDescent="0.35">
      <c r="A20" t="s">
        <v>110</v>
      </c>
      <c r="C20" t="s">
        <v>24</v>
      </c>
      <c r="F20">
        <v>1.9379754</v>
      </c>
      <c r="H20" s="5" t="s">
        <v>24</v>
      </c>
      <c r="I20" s="5">
        <f t="shared" si="0"/>
        <v>1.9379754</v>
      </c>
    </row>
    <row r="21" spans="1:9" x14ac:dyDescent="0.35">
      <c r="A21" t="s">
        <v>110</v>
      </c>
      <c r="C21" t="s">
        <v>25</v>
      </c>
      <c r="F21">
        <v>0.21450909999999998</v>
      </c>
      <c r="H21" s="5" t="s">
        <v>25</v>
      </c>
      <c r="I21" s="5">
        <f t="shared" si="0"/>
        <v>0.21450909999999998</v>
      </c>
    </row>
    <row r="22" spans="1:9" x14ac:dyDescent="0.35">
      <c r="A22" t="s">
        <v>110</v>
      </c>
      <c r="C22" t="s">
        <v>26</v>
      </c>
      <c r="F22">
        <v>8.7528489999999994</v>
      </c>
      <c r="H22" s="5" t="s">
        <v>26</v>
      </c>
      <c r="I22" s="5">
        <f t="shared" si="0"/>
        <v>1.5947213999999998</v>
      </c>
    </row>
    <row r="23" spans="1:9" x14ac:dyDescent="0.35">
      <c r="A23" t="s">
        <v>110</v>
      </c>
      <c r="C23" t="s">
        <v>27</v>
      </c>
      <c r="F23">
        <v>0.14937790000000001</v>
      </c>
      <c r="H23" s="5" t="s">
        <v>27</v>
      </c>
      <c r="I23" s="5">
        <f t="shared" si="0"/>
        <v>0.12073739999999999</v>
      </c>
    </row>
    <row r="24" spans="1:9" x14ac:dyDescent="0.35">
      <c r="A24" t="s">
        <v>110</v>
      </c>
      <c r="C24" t="s">
        <v>28</v>
      </c>
      <c r="F24">
        <v>0.24374760000000001</v>
      </c>
      <c r="H24" s="5" t="s">
        <v>28</v>
      </c>
      <c r="I24" s="5">
        <f t="shared" si="0"/>
        <v>0.24716959999999999</v>
      </c>
    </row>
    <row r="25" spans="1:9" x14ac:dyDescent="0.35">
      <c r="A25" t="s">
        <v>110</v>
      </c>
      <c r="C25" t="s">
        <v>29</v>
      </c>
      <c r="F25">
        <v>0.4401581</v>
      </c>
      <c r="H25" s="5" t="s">
        <v>29</v>
      </c>
      <c r="I25" s="5">
        <f>MEDIAN(F25,F60,F95)</f>
        <v>0.47224079999999996</v>
      </c>
    </row>
    <row r="26" spans="1:9" x14ac:dyDescent="0.35">
      <c r="A26" t="s">
        <v>110</v>
      </c>
      <c r="C26" t="s">
        <v>30</v>
      </c>
      <c r="F26">
        <v>0.58017629999999998</v>
      </c>
      <c r="H26" s="5" t="s">
        <v>30</v>
      </c>
      <c r="I26" s="5">
        <f t="shared" si="0"/>
        <v>0.58017629999999998</v>
      </c>
    </row>
    <row r="27" spans="1:9" x14ac:dyDescent="0.35">
      <c r="A27" t="s">
        <v>110</v>
      </c>
      <c r="C27" t="s">
        <v>31</v>
      </c>
      <c r="F27" t="s">
        <v>146</v>
      </c>
      <c r="H27" s="5" t="s">
        <v>31</v>
      </c>
      <c r="I27" s="5" t="e">
        <v>#N/A</v>
      </c>
    </row>
    <row r="28" spans="1:9" x14ac:dyDescent="0.35">
      <c r="A28" t="s">
        <v>110</v>
      </c>
      <c r="C28" t="s">
        <v>32</v>
      </c>
      <c r="F28">
        <v>7.5239999999999997E-4</v>
      </c>
      <c r="H28" s="5" t="s">
        <v>32</v>
      </c>
      <c r="I28" s="5">
        <f t="shared" si="0"/>
        <v>0</v>
      </c>
    </row>
    <row r="29" spans="1:9" x14ac:dyDescent="0.35">
      <c r="A29" t="s">
        <v>110</v>
      </c>
      <c r="C29" t="s">
        <v>33</v>
      </c>
      <c r="F29">
        <v>0.535825</v>
      </c>
      <c r="H29" s="5" t="s">
        <v>33</v>
      </c>
      <c r="I29" s="5">
        <f t="shared" si="0"/>
        <v>0.61162099999999997</v>
      </c>
    </row>
    <row r="30" spans="1:9" x14ac:dyDescent="0.35">
      <c r="A30" t="s">
        <v>110</v>
      </c>
      <c r="C30" t="s">
        <v>34</v>
      </c>
      <c r="F30">
        <v>0</v>
      </c>
      <c r="H30" s="5" t="s">
        <v>34</v>
      </c>
      <c r="I30" s="5">
        <f t="shared" si="0"/>
        <v>0</v>
      </c>
    </row>
    <row r="31" spans="1:9" x14ac:dyDescent="0.35">
      <c r="A31" t="s">
        <v>110</v>
      </c>
      <c r="C31" t="s">
        <v>35</v>
      </c>
      <c r="F31">
        <v>165.91263119999999</v>
      </c>
      <c r="H31" s="5" t="s">
        <v>35</v>
      </c>
      <c r="I31" s="5">
        <f t="shared" si="0"/>
        <v>102.45463359999999</v>
      </c>
    </row>
    <row r="32" spans="1:9" x14ac:dyDescent="0.35">
      <c r="A32" t="s">
        <v>110</v>
      </c>
      <c r="C32" t="s">
        <v>36</v>
      </c>
      <c r="F32">
        <v>1.9244386999999998</v>
      </c>
      <c r="H32" s="5" t="s">
        <v>36</v>
      </c>
      <c r="I32" s="5">
        <f t="shared" si="0"/>
        <v>1.9275685</v>
      </c>
    </row>
    <row r="33" spans="1:9" x14ac:dyDescent="0.35">
      <c r="A33" t="s">
        <v>110</v>
      </c>
      <c r="C33" t="s">
        <v>37</v>
      </c>
      <c r="F33">
        <v>0</v>
      </c>
      <c r="H33" s="5" t="s">
        <v>37</v>
      </c>
      <c r="I33" s="5">
        <f t="shared" si="0"/>
        <v>0</v>
      </c>
    </row>
    <row r="34" spans="1:9" x14ac:dyDescent="0.35">
      <c r="A34" t="s">
        <v>110</v>
      </c>
      <c r="C34" t="s">
        <v>38</v>
      </c>
      <c r="F34">
        <v>0</v>
      </c>
      <c r="H34" s="5" t="s">
        <v>38</v>
      </c>
      <c r="I34" s="5">
        <f t="shared" si="0"/>
        <v>0</v>
      </c>
    </row>
    <row r="35" spans="1:9" x14ac:dyDescent="0.35">
      <c r="A35" t="s">
        <v>110</v>
      </c>
      <c r="C35" t="s">
        <v>39</v>
      </c>
      <c r="F35">
        <v>6.9332250999999996</v>
      </c>
      <c r="H35" s="5" t="s">
        <v>39</v>
      </c>
      <c r="I35" s="5">
        <f t="shared" si="0"/>
        <v>0</v>
      </c>
    </row>
    <row r="36" spans="1:9" x14ac:dyDescent="0.35">
      <c r="A36" t="s">
        <v>110</v>
      </c>
      <c r="C36" t="s">
        <v>40</v>
      </c>
      <c r="F36">
        <v>0</v>
      </c>
      <c r="H36" s="5" t="s">
        <v>40</v>
      </c>
      <c r="I36" s="5">
        <f t="shared" si="0"/>
        <v>0</v>
      </c>
    </row>
    <row r="37" spans="1:9" x14ac:dyDescent="0.35">
      <c r="A37" t="s">
        <v>111</v>
      </c>
      <c r="C37" t="s">
        <v>6</v>
      </c>
      <c r="F37">
        <v>6.7179712</v>
      </c>
    </row>
    <row r="38" spans="1:9" x14ac:dyDescent="0.35">
      <c r="A38" t="s">
        <v>111</v>
      </c>
      <c r="C38" t="s">
        <v>7</v>
      </c>
      <c r="F38">
        <v>0</v>
      </c>
    </row>
    <row r="39" spans="1:9" x14ac:dyDescent="0.35">
      <c r="A39" t="s">
        <v>111</v>
      </c>
      <c r="C39" t="s">
        <v>8</v>
      </c>
      <c r="F39">
        <v>0</v>
      </c>
    </row>
    <row r="40" spans="1:9" x14ac:dyDescent="0.35">
      <c r="A40" t="s">
        <v>111</v>
      </c>
      <c r="C40" t="s">
        <v>9</v>
      </c>
      <c r="F40">
        <v>0</v>
      </c>
    </row>
    <row r="41" spans="1:9" x14ac:dyDescent="0.35">
      <c r="A41" t="s">
        <v>111</v>
      </c>
      <c r="C41" t="s">
        <v>10</v>
      </c>
      <c r="F41">
        <v>0</v>
      </c>
    </row>
    <row r="42" spans="1:9" x14ac:dyDescent="0.35">
      <c r="A42" t="s">
        <v>111</v>
      </c>
      <c r="C42" t="s">
        <v>11</v>
      </c>
      <c r="F42">
        <v>0</v>
      </c>
    </row>
    <row r="43" spans="1:9" x14ac:dyDescent="0.35">
      <c r="A43" t="s">
        <v>111</v>
      </c>
      <c r="C43" t="s">
        <v>12</v>
      </c>
      <c r="F43">
        <v>0</v>
      </c>
    </row>
    <row r="44" spans="1:9" x14ac:dyDescent="0.35">
      <c r="A44" t="s">
        <v>111</v>
      </c>
      <c r="C44" t="s">
        <v>13</v>
      </c>
      <c r="F44">
        <v>0</v>
      </c>
    </row>
    <row r="45" spans="1:9" x14ac:dyDescent="0.35">
      <c r="A45" t="s">
        <v>111</v>
      </c>
      <c r="C45" t="s">
        <v>14</v>
      </c>
      <c r="F45">
        <v>0</v>
      </c>
    </row>
    <row r="46" spans="1:9" x14ac:dyDescent="0.35">
      <c r="A46" t="s">
        <v>111</v>
      </c>
      <c r="C46" t="s">
        <v>15</v>
      </c>
      <c r="F46">
        <v>724.14679680000006</v>
      </c>
    </row>
    <row r="47" spans="1:9" x14ac:dyDescent="0.35">
      <c r="A47" t="s">
        <v>111</v>
      </c>
      <c r="C47" t="s">
        <v>16</v>
      </c>
      <c r="F47">
        <v>12.660918299999999</v>
      </c>
    </row>
    <row r="48" spans="1:9" x14ac:dyDescent="0.35">
      <c r="A48" t="s">
        <v>111</v>
      </c>
      <c r="C48" t="s">
        <v>17</v>
      </c>
      <c r="F48">
        <v>0.76429809999999998</v>
      </c>
    </row>
    <row r="49" spans="1:6" x14ac:dyDescent="0.35">
      <c r="A49" t="s">
        <v>111</v>
      </c>
      <c r="C49" t="s">
        <v>18</v>
      </c>
      <c r="F49">
        <v>0</v>
      </c>
    </row>
    <row r="50" spans="1:6" x14ac:dyDescent="0.35">
      <c r="A50" t="s">
        <v>111</v>
      </c>
      <c r="C50" t="s">
        <v>19</v>
      </c>
      <c r="F50">
        <v>252.38966529999999</v>
      </c>
    </row>
    <row r="51" spans="1:6" x14ac:dyDescent="0.35">
      <c r="A51" t="s">
        <v>111</v>
      </c>
      <c r="C51" t="s">
        <v>20</v>
      </c>
      <c r="F51">
        <v>37.959586399999999</v>
      </c>
    </row>
    <row r="52" spans="1:6" x14ac:dyDescent="0.35">
      <c r="A52" t="s">
        <v>111</v>
      </c>
      <c r="C52" t="s">
        <v>21</v>
      </c>
      <c r="F52">
        <v>0.31427690000000003</v>
      </c>
    </row>
    <row r="53" spans="1:6" x14ac:dyDescent="0.35">
      <c r="A53" t="s">
        <v>111</v>
      </c>
      <c r="C53" t="s">
        <v>22</v>
      </c>
      <c r="F53">
        <v>12.344928700000001</v>
      </c>
    </row>
    <row r="54" spans="1:6" x14ac:dyDescent="0.35">
      <c r="A54" t="s">
        <v>111</v>
      </c>
      <c r="C54" t="s">
        <v>23</v>
      </c>
      <c r="F54">
        <v>2.9613299999999999E-2</v>
      </c>
    </row>
    <row r="55" spans="1:6" x14ac:dyDescent="0.35">
      <c r="A55" t="s">
        <v>111</v>
      </c>
      <c r="C55" t="s">
        <v>24</v>
      </c>
      <c r="F55">
        <v>2.0167388000000002</v>
      </c>
    </row>
    <row r="56" spans="1:6" x14ac:dyDescent="0.35">
      <c r="A56" t="s">
        <v>111</v>
      </c>
      <c r="C56" t="s">
        <v>25</v>
      </c>
      <c r="F56">
        <v>0.32107799999999997</v>
      </c>
    </row>
    <row r="57" spans="1:6" x14ac:dyDescent="0.35">
      <c r="A57" t="s">
        <v>111</v>
      </c>
      <c r="C57" t="s">
        <v>26</v>
      </c>
      <c r="F57">
        <v>1.5310637999999999</v>
      </c>
    </row>
    <row r="58" spans="1:6" x14ac:dyDescent="0.35">
      <c r="A58" t="s">
        <v>111</v>
      </c>
      <c r="C58" t="s">
        <v>27</v>
      </c>
      <c r="F58">
        <v>0.12073739999999999</v>
      </c>
    </row>
    <row r="59" spans="1:6" x14ac:dyDescent="0.35">
      <c r="A59" t="s">
        <v>111</v>
      </c>
      <c r="C59" t="s">
        <v>28</v>
      </c>
      <c r="F59">
        <v>0.24716959999999999</v>
      </c>
    </row>
    <row r="60" spans="1:6" x14ac:dyDescent="0.35">
      <c r="A60" t="s">
        <v>111</v>
      </c>
      <c r="C60" t="s">
        <v>29</v>
      </c>
      <c r="F60">
        <v>0.47375009999999995</v>
      </c>
    </row>
    <row r="61" spans="1:6" x14ac:dyDescent="0.35">
      <c r="A61" t="s">
        <v>111</v>
      </c>
      <c r="C61" t="s">
        <v>30</v>
      </c>
      <c r="F61">
        <v>10.539918200000001</v>
      </c>
    </row>
    <row r="62" spans="1:6" x14ac:dyDescent="0.35">
      <c r="A62" t="s">
        <v>111</v>
      </c>
      <c r="C62" t="s">
        <v>31</v>
      </c>
      <c r="F62" t="s">
        <v>146</v>
      </c>
    </row>
    <row r="63" spans="1:6" x14ac:dyDescent="0.35">
      <c r="A63" t="s">
        <v>111</v>
      </c>
      <c r="C63" t="s">
        <v>32</v>
      </c>
      <c r="F63">
        <v>0</v>
      </c>
    </row>
    <row r="64" spans="1:6" x14ac:dyDescent="0.35">
      <c r="A64" t="s">
        <v>111</v>
      </c>
      <c r="C64" t="s">
        <v>33</v>
      </c>
      <c r="F64">
        <v>13.649474700000001</v>
      </c>
    </row>
    <row r="65" spans="1:6" x14ac:dyDescent="0.35">
      <c r="A65" t="s">
        <v>111</v>
      </c>
      <c r="C65" t="s">
        <v>34</v>
      </c>
      <c r="F65">
        <v>0</v>
      </c>
    </row>
    <row r="66" spans="1:6" x14ac:dyDescent="0.35">
      <c r="A66" t="s">
        <v>111</v>
      </c>
      <c r="C66" t="s">
        <v>35</v>
      </c>
      <c r="F66">
        <v>102.45463359999999</v>
      </c>
    </row>
    <row r="67" spans="1:6" x14ac:dyDescent="0.35">
      <c r="A67" t="s">
        <v>111</v>
      </c>
      <c r="C67" t="s">
        <v>36</v>
      </c>
      <c r="F67">
        <v>1.9664429999999999</v>
      </c>
    </row>
    <row r="68" spans="1:6" x14ac:dyDescent="0.35">
      <c r="A68" t="s">
        <v>111</v>
      </c>
      <c r="C68" t="s">
        <v>37</v>
      </c>
      <c r="F68">
        <v>0</v>
      </c>
    </row>
    <row r="69" spans="1:6" x14ac:dyDescent="0.35">
      <c r="A69" t="s">
        <v>111</v>
      </c>
      <c r="C69" t="s">
        <v>38</v>
      </c>
      <c r="F69">
        <v>0</v>
      </c>
    </row>
    <row r="70" spans="1:6" x14ac:dyDescent="0.35">
      <c r="A70" t="s">
        <v>111</v>
      </c>
      <c r="C70" t="s">
        <v>39</v>
      </c>
      <c r="F70">
        <v>0</v>
      </c>
    </row>
    <row r="71" spans="1:6" x14ac:dyDescent="0.35">
      <c r="A71" t="s">
        <v>111</v>
      </c>
      <c r="C71" t="s">
        <v>40</v>
      </c>
      <c r="F71">
        <v>0</v>
      </c>
    </row>
    <row r="72" spans="1:6" x14ac:dyDescent="0.35">
      <c r="A72" t="s">
        <v>112</v>
      </c>
      <c r="C72" t="s">
        <v>6</v>
      </c>
      <c r="F72">
        <v>6.671278</v>
      </c>
    </row>
    <row r="73" spans="1:6" x14ac:dyDescent="0.35">
      <c r="A73" t="s">
        <v>112</v>
      </c>
      <c r="C73" t="s">
        <v>7</v>
      </c>
      <c r="F73">
        <v>0</v>
      </c>
    </row>
    <row r="74" spans="1:6" x14ac:dyDescent="0.35">
      <c r="A74" t="s">
        <v>112</v>
      </c>
      <c r="C74" t="s">
        <v>8</v>
      </c>
      <c r="F74">
        <v>0</v>
      </c>
    </row>
    <row r="75" spans="1:6" x14ac:dyDescent="0.35">
      <c r="A75" t="s">
        <v>112</v>
      </c>
      <c r="C75" t="s">
        <v>9</v>
      </c>
      <c r="F75">
        <v>0</v>
      </c>
    </row>
    <row r="76" spans="1:6" x14ac:dyDescent="0.35">
      <c r="A76" t="s">
        <v>112</v>
      </c>
      <c r="C76" t="s">
        <v>10</v>
      </c>
      <c r="F76">
        <v>0</v>
      </c>
    </row>
    <row r="77" spans="1:6" x14ac:dyDescent="0.35">
      <c r="A77" t="s">
        <v>112</v>
      </c>
      <c r="C77" t="s">
        <v>11</v>
      </c>
      <c r="F77">
        <v>0</v>
      </c>
    </row>
    <row r="78" spans="1:6" x14ac:dyDescent="0.35">
      <c r="A78" t="s">
        <v>112</v>
      </c>
      <c r="C78" t="s">
        <v>12</v>
      </c>
      <c r="F78">
        <v>0</v>
      </c>
    </row>
    <row r="79" spans="1:6" x14ac:dyDescent="0.35">
      <c r="A79" t="s">
        <v>112</v>
      </c>
      <c r="C79" t="s">
        <v>13</v>
      </c>
      <c r="F79">
        <v>0</v>
      </c>
    </row>
    <row r="80" spans="1:6" x14ac:dyDescent="0.35">
      <c r="A80" t="s">
        <v>112</v>
      </c>
      <c r="C80" t="s">
        <v>14</v>
      </c>
      <c r="F80">
        <v>0</v>
      </c>
    </row>
    <row r="81" spans="1:6" x14ac:dyDescent="0.35">
      <c r="A81" t="s">
        <v>112</v>
      </c>
      <c r="C81" t="s">
        <v>15</v>
      </c>
      <c r="F81">
        <v>805.21668969999996</v>
      </c>
    </row>
    <row r="82" spans="1:6" x14ac:dyDescent="0.35">
      <c r="A82" t="s">
        <v>112</v>
      </c>
      <c r="C82" t="s">
        <v>16</v>
      </c>
      <c r="F82">
        <v>0</v>
      </c>
    </row>
    <row r="83" spans="1:6" x14ac:dyDescent="0.35">
      <c r="A83" t="s">
        <v>112</v>
      </c>
      <c r="C83" t="s">
        <v>17</v>
      </c>
      <c r="F83">
        <v>0.8527134999999999</v>
      </c>
    </row>
    <row r="84" spans="1:6" x14ac:dyDescent="0.35">
      <c r="A84" t="s">
        <v>112</v>
      </c>
      <c r="C84" t="s">
        <v>18</v>
      </c>
      <c r="F84">
        <v>0</v>
      </c>
    </row>
    <row r="85" spans="1:6" x14ac:dyDescent="0.35">
      <c r="A85" t="s">
        <v>112</v>
      </c>
      <c r="C85" t="s">
        <v>19</v>
      </c>
      <c r="F85">
        <v>268.62339709999998</v>
      </c>
    </row>
    <row r="86" spans="1:6" x14ac:dyDescent="0.35">
      <c r="A86" t="s">
        <v>112</v>
      </c>
      <c r="C86" t="s">
        <v>20</v>
      </c>
      <c r="F86">
        <v>18.465913199999999</v>
      </c>
    </row>
    <row r="87" spans="1:6" x14ac:dyDescent="0.35">
      <c r="A87" t="s">
        <v>112</v>
      </c>
      <c r="C87" t="s">
        <v>21</v>
      </c>
      <c r="F87">
        <v>0.37901389999999996</v>
      </c>
    </row>
    <row r="88" spans="1:6" x14ac:dyDescent="0.35">
      <c r="A88" t="s">
        <v>112</v>
      </c>
      <c r="C88" t="s">
        <v>22</v>
      </c>
      <c r="F88">
        <v>4.3819413999999997</v>
      </c>
    </row>
    <row r="89" spans="1:6" x14ac:dyDescent="0.35">
      <c r="A89" t="s">
        <v>112</v>
      </c>
      <c r="C89" t="s">
        <v>23</v>
      </c>
      <c r="F89">
        <v>0</v>
      </c>
    </row>
    <row r="90" spans="1:6" x14ac:dyDescent="0.35">
      <c r="A90" t="s">
        <v>112</v>
      </c>
      <c r="C90" t="s">
        <v>24</v>
      </c>
      <c r="F90">
        <v>1.9239938999999999</v>
      </c>
    </row>
    <row r="91" spans="1:6" x14ac:dyDescent="0.35">
      <c r="A91" t="s">
        <v>112</v>
      </c>
      <c r="C91" t="s">
        <v>25</v>
      </c>
      <c r="F91">
        <v>0.18784030000000002</v>
      </c>
    </row>
    <row r="92" spans="1:6" x14ac:dyDescent="0.35">
      <c r="A92" t="s">
        <v>112</v>
      </c>
      <c r="C92" t="s">
        <v>26</v>
      </c>
      <c r="F92">
        <v>1.5947213999999998</v>
      </c>
    </row>
    <row r="93" spans="1:6" x14ac:dyDescent="0.35">
      <c r="A93" t="s">
        <v>112</v>
      </c>
      <c r="C93" t="s">
        <v>27</v>
      </c>
      <c r="F93">
        <v>0.113223</v>
      </c>
    </row>
    <row r="94" spans="1:6" x14ac:dyDescent="0.35">
      <c r="A94" t="s">
        <v>112</v>
      </c>
      <c r="C94" t="s">
        <v>28</v>
      </c>
      <c r="F94">
        <v>0.27242099999999997</v>
      </c>
    </row>
    <row r="95" spans="1:6" x14ac:dyDescent="0.35">
      <c r="A95" t="s">
        <v>112</v>
      </c>
      <c r="C95" t="s">
        <v>29</v>
      </c>
      <c r="F95">
        <v>0.47224079999999996</v>
      </c>
    </row>
    <row r="96" spans="1:6" x14ac:dyDescent="0.35">
      <c r="A96" t="s">
        <v>112</v>
      </c>
      <c r="C96" t="s">
        <v>30</v>
      </c>
      <c r="F96">
        <v>0.5551678000000001</v>
      </c>
    </row>
    <row r="97" spans="1:6" x14ac:dyDescent="0.35">
      <c r="A97" t="s">
        <v>112</v>
      </c>
      <c r="C97" t="s">
        <v>31</v>
      </c>
      <c r="F97" t="s">
        <v>146</v>
      </c>
    </row>
    <row r="98" spans="1:6" x14ac:dyDescent="0.35">
      <c r="A98" t="s">
        <v>112</v>
      </c>
      <c r="C98" t="s">
        <v>32</v>
      </c>
      <c r="F98">
        <v>0</v>
      </c>
    </row>
    <row r="99" spans="1:6" x14ac:dyDescent="0.35">
      <c r="A99" t="s">
        <v>112</v>
      </c>
      <c r="C99" t="s">
        <v>33</v>
      </c>
      <c r="F99">
        <v>0.61162099999999997</v>
      </c>
    </row>
    <row r="100" spans="1:6" x14ac:dyDescent="0.35">
      <c r="A100" t="s">
        <v>112</v>
      </c>
      <c r="C100" t="s">
        <v>34</v>
      </c>
      <c r="F100">
        <v>0</v>
      </c>
    </row>
    <row r="101" spans="1:6" x14ac:dyDescent="0.35">
      <c r="A101" t="s">
        <v>112</v>
      </c>
      <c r="C101" t="s">
        <v>35</v>
      </c>
      <c r="F101">
        <v>47.341217</v>
      </c>
    </row>
    <row r="102" spans="1:6" x14ac:dyDescent="0.35">
      <c r="A102" t="s">
        <v>112</v>
      </c>
      <c r="C102" t="s">
        <v>36</v>
      </c>
      <c r="F102">
        <v>1.9275685</v>
      </c>
    </row>
    <row r="103" spans="1:6" x14ac:dyDescent="0.35">
      <c r="A103" t="s">
        <v>112</v>
      </c>
      <c r="C103" t="s">
        <v>37</v>
      </c>
      <c r="F103">
        <v>0</v>
      </c>
    </row>
    <row r="104" spans="1:6" x14ac:dyDescent="0.35">
      <c r="A104" t="s">
        <v>112</v>
      </c>
      <c r="C104" t="s">
        <v>38</v>
      </c>
      <c r="F104">
        <v>0</v>
      </c>
    </row>
    <row r="105" spans="1:6" x14ac:dyDescent="0.35">
      <c r="A105" t="s">
        <v>112</v>
      </c>
      <c r="C105" t="s">
        <v>39</v>
      </c>
      <c r="F105">
        <v>0</v>
      </c>
    </row>
    <row r="106" spans="1:6" x14ac:dyDescent="0.35">
      <c r="A106" t="s">
        <v>112</v>
      </c>
      <c r="C106" t="s">
        <v>40</v>
      </c>
      <c r="F106">
        <v>0</v>
      </c>
    </row>
  </sheetData>
  <phoneticPr fontId="1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BA287-A835-40CC-BC1E-80EAB4C6BCB6}">
  <dimension ref="A1:V1410"/>
  <sheetViews>
    <sheetView topLeftCell="A89" workbookViewId="0">
      <selection activeCell="K1173" sqref="K1173"/>
    </sheetView>
  </sheetViews>
  <sheetFormatPr baseColWidth="10" defaultRowHeight="14.5" x14ac:dyDescent="0.35"/>
  <cols>
    <col min="6" max="6" width="10.90625" style="34"/>
    <col min="7" max="7" width="20.1796875" style="25" customWidth="1"/>
    <col min="8" max="8" width="17.36328125" style="29" customWidth="1"/>
    <col min="9" max="9" width="17.7265625" customWidth="1"/>
    <col min="10" max="10" width="10.90625" customWidth="1"/>
  </cols>
  <sheetData>
    <row r="1" spans="1:22" ht="43.5" x14ac:dyDescent="0.35">
      <c r="A1" s="8" t="s">
        <v>44</v>
      </c>
      <c r="B1" s="9" t="s">
        <v>1</v>
      </c>
      <c r="C1" s="10" t="s">
        <v>2</v>
      </c>
      <c r="D1" s="10" t="s">
        <v>152</v>
      </c>
      <c r="E1" s="9" t="s">
        <v>0</v>
      </c>
      <c r="F1" s="31" t="s">
        <v>159</v>
      </c>
      <c r="G1" s="22" t="s">
        <v>160</v>
      </c>
      <c r="H1" s="26" t="s">
        <v>160</v>
      </c>
      <c r="I1" s="15" t="s">
        <v>151</v>
      </c>
      <c r="J1" s="12" t="s">
        <v>156</v>
      </c>
    </row>
    <row r="2" spans="1:22" x14ac:dyDescent="0.35">
      <c r="A2" t="s">
        <v>45</v>
      </c>
      <c r="B2" t="s">
        <v>5</v>
      </c>
      <c r="C2" t="s">
        <v>6</v>
      </c>
      <c r="D2" t="s">
        <v>153</v>
      </c>
      <c r="E2" t="s">
        <v>41</v>
      </c>
      <c r="F2" s="32">
        <v>6.9195217000000007</v>
      </c>
      <c r="G2" s="23" t="e">
        <v>#N/A</v>
      </c>
      <c r="H2" s="27">
        <v>0.75908154745521883</v>
      </c>
      <c r="I2" s="7" t="e">
        <f t="shared" ref="I2:I65" si="0">IF(G2&lt;0,0,G2)</f>
        <v>#N/A</v>
      </c>
      <c r="J2" s="7" t="e">
        <f>I2/0.4108</f>
        <v>#N/A</v>
      </c>
      <c r="M2" s="16" t="s">
        <v>149</v>
      </c>
      <c r="N2" s="17" t="s">
        <v>150</v>
      </c>
      <c r="O2" s="17"/>
      <c r="P2" s="17"/>
      <c r="Q2" s="17"/>
      <c r="R2" s="17"/>
      <c r="S2" s="17"/>
      <c r="T2" s="17"/>
      <c r="U2" s="17"/>
      <c r="V2" s="17"/>
    </row>
    <row r="3" spans="1:22" x14ac:dyDescent="0.35">
      <c r="A3" t="s">
        <v>45</v>
      </c>
      <c r="B3" t="s">
        <v>5</v>
      </c>
      <c r="C3" t="s">
        <v>7</v>
      </c>
      <c r="D3" t="s">
        <v>153</v>
      </c>
      <c r="E3" t="s">
        <v>41</v>
      </c>
      <c r="F3" s="32">
        <v>0</v>
      </c>
      <c r="G3" s="23" t="e">
        <v>#N/A</v>
      </c>
      <c r="H3" s="27">
        <v>-0.10339414618381484</v>
      </c>
      <c r="I3" s="7" t="e">
        <f t="shared" si="0"/>
        <v>#N/A</v>
      </c>
      <c r="J3" s="7" t="e">
        <f t="shared" ref="J3:J35" si="1">I3/0.4108</f>
        <v>#N/A</v>
      </c>
      <c r="N3" t="s">
        <v>158</v>
      </c>
    </row>
    <row r="4" spans="1:22" x14ac:dyDescent="0.35">
      <c r="A4" t="s">
        <v>45</v>
      </c>
      <c r="B4" t="s">
        <v>5</v>
      </c>
      <c r="C4" t="s">
        <v>8</v>
      </c>
      <c r="D4" t="s">
        <v>153</v>
      </c>
      <c r="E4" t="s">
        <v>41</v>
      </c>
      <c r="F4" s="32">
        <v>0</v>
      </c>
      <c r="G4" s="23" t="e">
        <v>#N/A</v>
      </c>
      <c r="H4" s="27">
        <v>-2.1110197570329954E-2</v>
      </c>
      <c r="I4" s="7" t="e">
        <f t="shared" si="0"/>
        <v>#N/A</v>
      </c>
      <c r="J4" s="7" t="e">
        <f t="shared" si="1"/>
        <v>#N/A</v>
      </c>
    </row>
    <row r="5" spans="1:22" x14ac:dyDescent="0.35">
      <c r="A5" t="s">
        <v>45</v>
      </c>
      <c r="B5" t="s">
        <v>5</v>
      </c>
      <c r="C5" t="s">
        <v>9</v>
      </c>
      <c r="D5" t="s">
        <v>153</v>
      </c>
      <c r="E5" t="s">
        <v>41</v>
      </c>
      <c r="F5" s="32">
        <v>3.9083869</v>
      </c>
      <c r="G5" s="23">
        <v>0.84503940435212688</v>
      </c>
      <c r="H5" s="27">
        <v>3.3663327990372425</v>
      </c>
      <c r="I5" s="7">
        <f t="shared" si="0"/>
        <v>0.84503940435212688</v>
      </c>
      <c r="J5" s="7">
        <f t="shared" si="1"/>
        <v>2.0570579463294227</v>
      </c>
    </row>
    <row r="6" spans="1:22" x14ac:dyDescent="0.35">
      <c r="A6" t="s">
        <v>45</v>
      </c>
      <c r="B6" t="s">
        <v>5</v>
      </c>
      <c r="C6" t="s">
        <v>10</v>
      </c>
      <c r="D6" t="s">
        <v>153</v>
      </c>
      <c r="E6" t="s">
        <v>41</v>
      </c>
      <c r="F6" s="32">
        <v>89.102143299999994</v>
      </c>
      <c r="G6" s="23">
        <v>9.240364128614976</v>
      </c>
      <c r="H6" s="27">
        <v>7.1702822806927209</v>
      </c>
      <c r="I6" s="7">
        <f t="shared" si="0"/>
        <v>9.240364128614976</v>
      </c>
      <c r="J6" s="7">
        <f t="shared" si="1"/>
        <v>22.493583565275014</v>
      </c>
    </row>
    <row r="7" spans="1:22" x14ac:dyDescent="0.35">
      <c r="A7" t="s">
        <v>45</v>
      </c>
      <c r="B7" t="s">
        <v>5</v>
      </c>
      <c r="C7" t="s">
        <v>11</v>
      </c>
      <c r="D7" t="s">
        <v>153</v>
      </c>
      <c r="E7" t="s">
        <v>41</v>
      </c>
      <c r="F7" s="32">
        <v>82.495747499999993</v>
      </c>
      <c r="G7" s="23">
        <v>9.4333097605579201</v>
      </c>
      <c r="H7" s="27">
        <v>22.615715150459373</v>
      </c>
      <c r="I7" s="7">
        <f t="shared" si="0"/>
        <v>9.4333097605579201</v>
      </c>
      <c r="J7" s="7">
        <f t="shared" si="1"/>
        <v>22.963266213626873</v>
      </c>
    </row>
    <row r="8" spans="1:22" x14ac:dyDescent="0.35">
      <c r="A8" t="s">
        <v>45</v>
      </c>
      <c r="B8" t="s">
        <v>5</v>
      </c>
      <c r="C8" t="s">
        <v>12</v>
      </c>
      <c r="D8" t="s">
        <v>154</v>
      </c>
      <c r="E8" t="s">
        <v>41</v>
      </c>
      <c r="F8" s="32">
        <v>0</v>
      </c>
      <c r="G8" s="23" t="e">
        <v>#N/A</v>
      </c>
      <c r="H8" s="27">
        <v>-6.3471318186182915E-2</v>
      </c>
      <c r="I8" s="7" t="e">
        <f t="shared" si="0"/>
        <v>#N/A</v>
      </c>
      <c r="J8" s="7" t="e">
        <f t="shared" si="1"/>
        <v>#N/A</v>
      </c>
    </row>
    <row r="9" spans="1:22" x14ac:dyDescent="0.35">
      <c r="A9" t="s">
        <v>45</v>
      </c>
      <c r="B9" t="s">
        <v>5</v>
      </c>
      <c r="C9" t="s">
        <v>13</v>
      </c>
      <c r="D9" t="s">
        <v>153</v>
      </c>
      <c r="E9" t="s">
        <v>41</v>
      </c>
      <c r="F9" s="32">
        <v>12.380672200000001</v>
      </c>
      <c r="G9" s="23">
        <v>1.6266301674340866</v>
      </c>
      <c r="H9" s="27">
        <v>0.60201098138525444</v>
      </c>
      <c r="I9" s="7">
        <f t="shared" si="0"/>
        <v>1.6266301674340866</v>
      </c>
      <c r="J9" s="7">
        <f t="shared" si="1"/>
        <v>3.95966447768765</v>
      </c>
    </row>
    <row r="10" spans="1:22" x14ac:dyDescent="0.35">
      <c r="A10" t="s">
        <v>45</v>
      </c>
      <c r="B10" t="s">
        <v>5</v>
      </c>
      <c r="C10" t="s">
        <v>14</v>
      </c>
      <c r="D10" t="s">
        <v>154</v>
      </c>
      <c r="E10" t="s">
        <v>41</v>
      </c>
      <c r="F10" s="32">
        <v>0</v>
      </c>
      <c r="G10" s="23" t="e">
        <v>#N/A</v>
      </c>
      <c r="H10" s="27">
        <v>3.6666507545878434E-2</v>
      </c>
      <c r="I10" s="7" t="e">
        <f t="shared" si="0"/>
        <v>#N/A</v>
      </c>
      <c r="J10" s="7" t="e">
        <f t="shared" si="1"/>
        <v>#N/A</v>
      </c>
    </row>
    <row r="11" spans="1:22" x14ac:dyDescent="0.35">
      <c r="A11" t="s">
        <v>45</v>
      </c>
      <c r="B11" t="s">
        <v>5</v>
      </c>
      <c r="C11" t="s">
        <v>15</v>
      </c>
      <c r="D11" t="s">
        <v>153</v>
      </c>
      <c r="E11" t="s">
        <v>41</v>
      </c>
      <c r="F11" s="32">
        <v>2493.7801046000004</v>
      </c>
      <c r="G11" s="23">
        <v>59.714344960157462</v>
      </c>
      <c r="H11" s="27">
        <v>181.73878973407139</v>
      </c>
      <c r="I11" s="7">
        <f t="shared" si="0"/>
        <v>59.714344960157462</v>
      </c>
      <c r="J11" s="7">
        <f t="shared" si="1"/>
        <v>145.36111236649819</v>
      </c>
    </row>
    <row r="12" spans="1:22" x14ac:dyDescent="0.35">
      <c r="A12" t="s">
        <v>45</v>
      </c>
      <c r="B12" t="s">
        <v>5</v>
      </c>
      <c r="C12" t="s">
        <v>16</v>
      </c>
      <c r="D12" t="s">
        <v>154</v>
      </c>
      <c r="E12" t="s">
        <v>41</v>
      </c>
      <c r="F12" s="32">
        <v>349.68087760000003</v>
      </c>
      <c r="G12" s="23">
        <v>31.686628154774507</v>
      </c>
      <c r="H12" s="27">
        <v>87.950658786305695</v>
      </c>
      <c r="I12" s="7">
        <f t="shared" si="0"/>
        <v>31.686628154774507</v>
      </c>
      <c r="J12" s="7">
        <f t="shared" si="1"/>
        <v>77.133953638691594</v>
      </c>
    </row>
    <row r="13" spans="1:22" x14ac:dyDescent="0.35">
      <c r="A13" t="s">
        <v>45</v>
      </c>
      <c r="B13" t="s">
        <v>5</v>
      </c>
      <c r="C13" t="s">
        <v>18</v>
      </c>
      <c r="D13" t="s">
        <v>154</v>
      </c>
      <c r="E13" t="s">
        <v>41</v>
      </c>
      <c r="F13" s="32">
        <v>0</v>
      </c>
      <c r="G13" s="23" t="e">
        <v>#N/A</v>
      </c>
      <c r="H13" s="27">
        <v>43.753674480264522</v>
      </c>
      <c r="I13" s="7" t="e">
        <f t="shared" si="0"/>
        <v>#N/A</v>
      </c>
      <c r="J13" s="7" t="e">
        <f t="shared" si="1"/>
        <v>#N/A</v>
      </c>
    </row>
    <row r="14" spans="1:22" x14ac:dyDescent="0.35">
      <c r="A14" t="s">
        <v>45</v>
      </c>
      <c r="B14" t="s">
        <v>5</v>
      </c>
      <c r="C14" t="s">
        <v>19</v>
      </c>
      <c r="D14" t="s">
        <v>153</v>
      </c>
      <c r="E14" t="s">
        <v>41</v>
      </c>
      <c r="F14" s="32">
        <v>465.12035049999997</v>
      </c>
      <c r="G14" s="23">
        <v>35.853295064092357</v>
      </c>
      <c r="H14" s="27">
        <v>32.855584364242333</v>
      </c>
      <c r="I14" s="7">
        <f t="shared" si="0"/>
        <v>35.853295064092357</v>
      </c>
      <c r="J14" s="7">
        <f t="shared" si="1"/>
        <v>87.276765005093367</v>
      </c>
    </row>
    <row r="15" spans="1:22" x14ac:dyDescent="0.35">
      <c r="A15" t="s">
        <v>45</v>
      </c>
      <c r="B15" t="s">
        <v>5</v>
      </c>
      <c r="C15" t="s">
        <v>20</v>
      </c>
      <c r="D15" t="s">
        <v>154</v>
      </c>
      <c r="E15" t="s">
        <v>41</v>
      </c>
      <c r="F15" s="32">
        <v>393.73369679999996</v>
      </c>
      <c r="G15" s="23">
        <v>37.463500039361037</v>
      </c>
      <c r="H15" s="27">
        <v>114.92268081175195</v>
      </c>
      <c r="I15" s="7">
        <f t="shared" si="0"/>
        <v>37.463500039361037</v>
      </c>
      <c r="J15" s="7">
        <f t="shared" si="1"/>
        <v>91.196446054919761</v>
      </c>
    </row>
    <row r="16" spans="1:22" x14ac:dyDescent="0.35">
      <c r="A16" t="s">
        <v>45</v>
      </c>
      <c r="B16" t="s">
        <v>5</v>
      </c>
      <c r="C16" t="s">
        <v>21</v>
      </c>
      <c r="D16" t="s">
        <v>155</v>
      </c>
      <c r="E16" t="s">
        <v>41</v>
      </c>
      <c r="F16" s="32">
        <v>0.36288819999999999</v>
      </c>
      <c r="G16" s="23" t="e">
        <v>#N/A</v>
      </c>
      <c r="H16" s="27">
        <v>17.624162568317647</v>
      </c>
      <c r="I16" s="7" t="e">
        <f t="shared" si="0"/>
        <v>#N/A</v>
      </c>
      <c r="J16" s="7" t="e">
        <f t="shared" si="1"/>
        <v>#N/A</v>
      </c>
    </row>
    <row r="17" spans="1:10" x14ac:dyDescent="0.35">
      <c r="A17" t="s">
        <v>45</v>
      </c>
      <c r="B17" t="s">
        <v>5</v>
      </c>
      <c r="C17" t="s">
        <v>22</v>
      </c>
      <c r="D17" t="s">
        <v>155</v>
      </c>
      <c r="E17" t="s">
        <v>41</v>
      </c>
      <c r="F17" s="32">
        <v>217.57505460000002</v>
      </c>
      <c r="G17" s="23">
        <v>16.592306007176958</v>
      </c>
      <c r="H17" s="27">
        <v>32.199884418587637</v>
      </c>
      <c r="I17" s="7">
        <f t="shared" si="0"/>
        <v>16.592306007176958</v>
      </c>
      <c r="J17" s="7">
        <f t="shared" si="1"/>
        <v>40.390228839281789</v>
      </c>
    </row>
    <row r="18" spans="1:10" x14ac:dyDescent="0.35">
      <c r="A18" t="s">
        <v>45</v>
      </c>
      <c r="B18" t="s">
        <v>5</v>
      </c>
      <c r="C18" t="s">
        <v>23</v>
      </c>
      <c r="D18" t="s">
        <v>155</v>
      </c>
      <c r="E18" t="s">
        <v>41</v>
      </c>
      <c r="F18" s="32">
        <v>0</v>
      </c>
      <c r="G18" s="23">
        <v>0.96402893874504625</v>
      </c>
      <c r="H18" s="27">
        <v>28.579171811625557</v>
      </c>
      <c r="I18" s="7">
        <f t="shared" si="0"/>
        <v>0.96402893874504625</v>
      </c>
      <c r="J18" s="7">
        <f t="shared" si="1"/>
        <v>2.3467111459227028</v>
      </c>
    </row>
    <row r="19" spans="1:10" x14ac:dyDescent="0.35">
      <c r="A19" t="s">
        <v>45</v>
      </c>
      <c r="B19" t="s">
        <v>5</v>
      </c>
      <c r="C19" t="s">
        <v>24</v>
      </c>
      <c r="D19" t="s">
        <v>155</v>
      </c>
      <c r="E19" t="s">
        <v>41</v>
      </c>
      <c r="F19" s="32">
        <v>181.89141219999999</v>
      </c>
      <c r="G19" s="23">
        <v>4.0241220181100381</v>
      </c>
      <c r="H19" s="27">
        <v>16.250553516275296</v>
      </c>
      <c r="I19" s="7">
        <f t="shared" si="0"/>
        <v>4.0241220181100381</v>
      </c>
      <c r="J19" s="7">
        <f t="shared" si="1"/>
        <v>9.7958179603457598</v>
      </c>
    </row>
    <row r="20" spans="1:10" x14ac:dyDescent="0.35">
      <c r="A20" t="s">
        <v>45</v>
      </c>
      <c r="B20" t="s">
        <v>5</v>
      </c>
      <c r="C20" t="s">
        <v>25</v>
      </c>
      <c r="D20" t="s">
        <v>155</v>
      </c>
      <c r="E20" t="s">
        <v>41</v>
      </c>
      <c r="F20" s="32">
        <v>8.8877940999999989</v>
      </c>
      <c r="G20" s="23">
        <v>1.0491492717600202</v>
      </c>
      <c r="H20" s="27">
        <v>10.142542000140155</v>
      </c>
      <c r="I20" s="7">
        <f t="shared" si="0"/>
        <v>1.0491492717600202</v>
      </c>
      <c r="J20" s="7">
        <f t="shared" si="1"/>
        <v>2.5539174093476635</v>
      </c>
    </row>
    <row r="21" spans="1:10" x14ac:dyDescent="0.35">
      <c r="A21" t="s">
        <v>45</v>
      </c>
      <c r="B21" t="s">
        <v>5</v>
      </c>
      <c r="C21" t="s">
        <v>26</v>
      </c>
      <c r="D21" t="s">
        <v>153</v>
      </c>
      <c r="E21" t="s">
        <v>41</v>
      </c>
      <c r="F21" s="32">
        <v>4.7820946000000006</v>
      </c>
      <c r="G21" s="23">
        <v>1.2872979516312641</v>
      </c>
      <c r="H21" s="27">
        <v>8.1985000615515418</v>
      </c>
      <c r="I21" s="7">
        <f t="shared" si="0"/>
        <v>1.2872979516312641</v>
      </c>
      <c r="J21" s="7">
        <f t="shared" si="1"/>
        <v>3.1336366884889584</v>
      </c>
    </row>
    <row r="22" spans="1:10" x14ac:dyDescent="0.35">
      <c r="A22" t="s">
        <v>45</v>
      </c>
      <c r="B22" t="s">
        <v>5</v>
      </c>
      <c r="C22" t="s">
        <v>27</v>
      </c>
      <c r="D22" t="s">
        <v>154</v>
      </c>
      <c r="E22" t="s">
        <v>41</v>
      </c>
      <c r="F22" s="32">
        <v>9.3887077000000012</v>
      </c>
      <c r="G22" s="23">
        <v>4.0511194280182554</v>
      </c>
      <c r="H22" s="27">
        <v>13.624563821625696</v>
      </c>
      <c r="I22" s="7">
        <f t="shared" si="0"/>
        <v>4.0511194280182554</v>
      </c>
      <c r="J22" s="7">
        <f t="shared" si="1"/>
        <v>9.861537069177837</v>
      </c>
    </row>
    <row r="23" spans="1:10" x14ac:dyDescent="0.35">
      <c r="A23" t="s">
        <v>45</v>
      </c>
      <c r="B23" t="s">
        <v>5</v>
      </c>
      <c r="C23" t="s">
        <v>28</v>
      </c>
      <c r="D23" t="s">
        <v>155</v>
      </c>
      <c r="E23" t="s">
        <v>41</v>
      </c>
      <c r="F23" s="32">
        <v>22.894910800000002</v>
      </c>
      <c r="G23" s="23">
        <v>3.0265875771123123</v>
      </c>
      <c r="H23" s="27">
        <v>31.746355298836534</v>
      </c>
      <c r="I23" s="7">
        <f t="shared" si="0"/>
        <v>3.0265875771123123</v>
      </c>
      <c r="J23" s="7">
        <f t="shared" si="1"/>
        <v>7.367545221792386</v>
      </c>
    </row>
    <row r="24" spans="1:10" x14ac:dyDescent="0.35">
      <c r="A24" t="s">
        <v>45</v>
      </c>
      <c r="B24" t="s">
        <v>5</v>
      </c>
      <c r="C24" t="s">
        <v>29</v>
      </c>
      <c r="D24" t="s">
        <v>155</v>
      </c>
      <c r="E24" t="s">
        <v>41</v>
      </c>
      <c r="F24" s="32">
        <v>0.4021034</v>
      </c>
      <c r="G24" s="23">
        <v>0.34635516954037948</v>
      </c>
      <c r="H24" s="27">
        <v>21.442088986409885</v>
      </c>
      <c r="I24" s="7">
        <f t="shared" si="0"/>
        <v>0.34635516954037948</v>
      </c>
      <c r="J24" s="7">
        <f t="shared" si="1"/>
        <v>0.84312358700189749</v>
      </c>
    </row>
    <row r="25" spans="1:10" x14ac:dyDescent="0.35">
      <c r="A25" t="s">
        <v>45</v>
      </c>
      <c r="B25" t="s">
        <v>5</v>
      </c>
      <c r="C25" t="s">
        <v>30</v>
      </c>
      <c r="D25" t="s">
        <v>155</v>
      </c>
      <c r="E25" t="s">
        <v>41</v>
      </c>
      <c r="F25" s="32">
        <v>214.76229240000001</v>
      </c>
      <c r="G25" s="23">
        <v>8.6957297726625189</v>
      </c>
      <c r="H25" s="27">
        <v>31.882428785472857</v>
      </c>
      <c r="I25" s="7">
        <f t="shared" si="0"/>
        <v>8.6957297726625189</v>
      </c>
      <c r="J25" s="7">
        <f t="shared" si="1"/>
        <v>21.167793993823075</v>
      </c>
    </row>
    <row r="26" spans="1:10" x14ac:dyDescent="0.35">
      <c r="A26" t="s">
        <v>45</v>
      </c>
      <c r="B26" t="s">
        <v>5</v>
      </c>
      <c r="C26" t="s">
        <v>31</v>
      </c>
      <c r="D26" t="s">
        <v>155</v>
      </c>
      <c r="E26" t="s">
        <v>41</v>
      </c>
      <c r="F26" s="32" t="e">
        <v>#N/A</v>
      </c>
      <c r="G26" s="23" t="e">
        <v>#N/A</v>
      </c>
      <c r="H26" s="27">
        <v>17.186007544560624</v>
      </c>
      <c r="I26" s="7" t="e">
        <f t="shared" si="0"/>
        <v>#N/A</v>
      </c>
      <c r="J26" s="7" t="e">
        <f t="shared" si="1"/>
        <v>#N/A</v>
      </c>
    </row>
    <row r="27" spans="1:10" x14ac:dyDescent="0.35">
      <c r="A27" t="s">
        <v>45</v>
      </c>
      <c r="B27" t="s">
        <v>5</v>
      </c>
      <c r="C27" t="s">
        <v>32</v>
      </c>
      <c r="D27" t="s">
        <v>153</v>
      </c>
      <c r="E27" t="s">
        <v>41</v>
      </c>
      <c r="F27" s="32">
        <v>0</v>
      </c>
      <c r="G27" s="23" t="e">
        <v>#N/A</v>
      </c>
      <c r="H27" s="27">
        <v>36.733727476757707</v>
      </c>
      <c r="I27" s="7" t="e">
        <f t="shared" si="0"/>
        <v>#N/A</v>
      </c>
      <c r="J27" s="7" t="e">
        <f t="shared" si="1"/>
        <v>#N/A</v>
      </c>
    </row>
    <row r="28" spans="1:10" x14ac:dyDescent="0.35">
      <c r="A28" t="s">
        <v>45</v>
      </c>
      <c r="B28" t="s">
        <v>5</v>
      </c>
      <c r="C28" t="s">
        <v>33</v>
      </c>
      <c r="D28" t="s">
        <v>155</v>
      </c>
      <c r="E28" t="s">
        <v>41</v>
      </c>
      <c r="F28" s="32">
        <v>187.3859448</v>
      </c>
      <c r="G28" s="23">
        <v>10.781183521211863</v>
      </c>
      <c r="H28" s="27">
        <v>11.666827209034935</v>
      </c>
      <c r="I28" s="7">
        <f t="shared" si="0"/>
        <v>10.781183521211863</v>
      </c>
      <c r="J28" s="7">
        <f t="shared" si="1"/>
        <v>26.244361054556631</v>
      </c>
    </row>
    <row r="29" spans="1:10" x14ac:dyDescent="0.35">
      <c r="A29" t="s">
        <v>45</v>
      </c>
      <c r="B29" t="s">
        <v>5</v>
      </c>
      <c r="C29" t="s">
        <v>34</v>
      </c>
      <c r="D29" t="s">
        <v>153</v>
      </c>
      <c r="E29" t="s">
        <v>41</v>
      </c>
      <c r="F29" s="32">
        <v>0</v>
      </c>
      <c r="G29" s="23" t="e">
        <v>#N/A</v>
      </c>
      <c r="H29" s="27">
        <v>13.785032615836212</v>
      </c>
      <c r="I29" s="7" t="e">
        <f t="shared" si="0"/>
        <v>#N/A</v>
      </c>
      <c r="J29" s="7" t="e">
        <f t="shared" si="1"/>
        <v>#N/A</v>
      </c>
    </row>
    <row r="30" spans="1:10" x14ac:dyDescent="0.35">
      <c r="A30" t="s">
        <v>45</v>
      </c>
      <c r="B30" t="s">
        <v>5</v>
      </c>
      <c r="C30" t="s">
        <v>35</v>
      </c>
      <c r="D30" t="s">
        <v>154</v>
      </c>
      <c r="E30" t="s">
        <v>41</v>
      </c>
      <c r="F30" s="32">
        <v>94.303770799999995</v>
      </c>
      <c r="G30" s="23">
        <v>4.6407940700485089</v>
      </c>
      <c r="H30" s="27">
        <v>32.832153789916362</v>
      </c>
      <c r="I30" s="7">
        <f t="shared" si="0"/>
        <v>4.6407940700485089</v>
      </c>
      <c r="J30" s="7">
        <f t="shared" si="1"/>
        <v>11.296967064382933</v>
      </c>
    </row>
    <row r="31" spans="1:10" x14ac:dyDescent="0.35">
      <c r="A31" t="s">
        <v>45</v>
      </c>
      <c r="B31" t="s">
        <v>5</v>
      </c>
      <c r="C31" t="s">
        <v>36</v>
      </c>
      <c r="D31" t="s">
        <v>155</v>
      </c>
      <c r="E31" t="s">
        <v>41</v>
      </c>
      <c r="F31" s="32">
        <v>1.9159594</v>
      </c>
      <c r="G31" s="23" t="e">
        <v>#N/A</v>
      </c>
      <c r="H31" s="27">
        <v>23.642876968211404</v>
      </c>
      <c r="I31" s="7" t="e">
        <f t="shared" si="0"/>
        <v>#N/A</v>
      </c>
      <c r="J31" s="7" t="e">
        <f t="shared" si="1"/>
        <v>#N/A</v>
      </c>
    </row>
    <row r="32" spans="1:10" x14ac:dyDescent="0.35">
      <c r="A32" t="s">
        <v>45</v>
      </c>
      <c r="B32" t="s">
        <v>5</v>
      </c>
      <c r="C32" t="s">
        <v>37</v>
      </c>
      <c r="D32" t="s">
        <v>155</v>
      </c>
      <c r="E32" t="s">
        <v>41</v>
      </c>
      <c r="F32" s="32">
        <v>5.5423441000000002</v>
      </c>
      <c r="G32" s="23">
        <v>1.7717346792586917</v>
      </c>
      <c r="H32" s="27">
        <v>10.286512181768952</v>
      </c>
      <c r="I32" s="7">
        <f t="shared" si="0"/>
        <v>1.7717346792586917</v>
      </c>
      <c r="J32" s="7">
        <f t="shared" si="1"/>
        <v>4.3128887031613719</v>
      </c>
    </row>
    <row r="33" spans="1:12" x14ac:dyDescent="0.35">
      <c r="A33" t="s">
        <v>45</v>
      </c>
      <c r="B33" t="s">
        <v>5</v>
      </c>
      <c r="C33" t="s">
        <v>38</v>
      </c>
      <c r="D33" t="s">
        <v>155</v>
      </c>
      <c r="E33" t="s">
        <v>41</v>
      </c>
      <c r="F33" s="32">
        <v>6.4709817000000003</v>
      </c>
      <c r="G33" s="23">
        <v>0.76990416803522366</v>
      </c>
      <c r="H33" s="27">
        <v>9.8843816921598222</v>
      </c>
      <c r="I33" s="7">
        <f t="shared" si="0"/>
        <v>0.76990416803522366</v>
      </c>
      <c r="J33" s="7">
        <f t="shared" si="1"/>
        <v>1.8741581500370585</v>
      </c>
    </row>
    <row r="34" spans="1:12" x14ac:dyDescent="0.35">
      <c r="A34" t="s">
        <v>45</v>
      </c>
      <c r="B34" t="s">
        <v>5</v>
      </c>
      <c r="C34" t="s">
        <v>39</v>
      </c>
      <c r="D34" t="s">
        <v>153</v>
      </c>
      <c r="E34" t="s">
        <v>41</v>
      </c>
      <c r="F34" s="32">
        <v>6.6126120000000004</v>
      </c>
      <c r="G34" s="23" t="e">
        <v>#N/A</v>
      </c>
      <c r="H34" s="27">
        <v>26.141296192977389</v>
      </c>
      <c r="I34" s="7" t="e">
        <f t="shared" si="0"/>
        <v>#N/A</v>
      </c>
      <c r="J34" s="7" t="e">
        <f t="shared" si="1"/>
        <v>#N/A</v>
      </c>
    </row>
    <row r="35" spans="1:12" s="19" customFormat="1" x14ac:dyDescent="0.35">
      <c r="A35" s="19" t="s">
        <v>45</v>
      </c>
      <c r="B35" s="19" t="s">
        <v>5</v>
      </c>
      <c r="C35" s="19" t="s">
        <v>40</v>
      </c>
      <c r="D35" s="19" t="s">
        <v>154</v>
      </c>
      <c r="E35" s="19" t="s">
        <v>41</v>
      </c>
      <c r="F35" s="33">
        <v>0</v>
      </c>
      <c r="G35" s="24" t="e">
        <v>#N/A</v>
      </c>
      <c r="H35" s="28">
        <v>25.93487781627222</v>
      </c>
      <c r="I35" s="21" t="e">
        <f t="shared" si="0"/>
        <v>#N/A</v>
      </c>
      <c r="J35" s="21" t="e">
        <f t="shared" si="1"/>
        <v>#N/A</v>
      </c>
      <c r="L35"/>
    </row>
    <row r="36" spans="1:12" x14ac:dyDescent="0.35">
      <c r="A36" t="s">
        <v>46</v>
      </c>
      <c r="B36" t="s">
        <v>43</v>
      </c>
      <c r="C36" t="s">
        <v>6</v>
      </c>
      <c r="D36" t="s">
        <v>153</v>
      </c>
      <c r="E36" t="s">
        <v>41</v>
      </c>
      <c r="F36" s="32">
        <v>6.7014392999999997</v>
      </c>
      <c r="G36" s="23" t="e">
        <v>#N/A</v>
      </c>
      <c r="H36" s="29">
        <v>0.74990019763477433</v>
      </c>
      <c r="I36" s="7" t="e">
        <f t="shared" si="0"/>
        <v>#N/A</v>
      </c>
      <c r="J36" s="7" t="e">
        <f>I36/0.6072</f>
        <v>#N/A</v>
      </c>
    </row>
    <row r="37" spans="1:12" x14ac:dyDescent="0.35">
      <c r="A37" t="s">
        <v>46</v>
      </c>
      <c r="B37" t="s">
        <v>43</v>
      </c>
      <c r="C37" t="s">
        <v>7</v>
      </c>
      <c r="D37" t="s">
        <v>153</v>
      </c>
      <c r="E37" t="s">
        <v>41</v>
      </c>
      <c r="F37" s="32">
        <v>0</v>
      </c>
      <c r="G37" s="23" t="e">
        <v>#N/A</v>
      </c>
      <c r="H37" s="29">
        <v>-8.9316841064370572E-2</v>
      </c>
      <c r="I37" s="7" t="e">
        <f t="shared" si="0"/>
        <v>#N/A</v>
      </c>
      <c r="J37" s="7" t="e">
        <f t="shared" ref="J37:J69" si="2">I37/0.6072</f>
        <v>#N/A</v>
      </c>
    </row>
    <row r="38" spans="1:12" x14ac:dyDescent="0.35">
      <c r="A38" t="s">
        <v>46</v>
      </c>
      <c r="B38" t="s">
        <v>43</v>
      </c>
      <c r="C38" t="s">
        <v>8</v>
      </c>
      <c r="D38" t="s">
        <v>153</v>
      </c>
      <c r="E38" t="s">
        <v>41</v>
      </c>
      <c r="F38" s="32">
        <v>0</v>
      </c>
      <c r="G38" s="23" t="e">
        <v>#N/A</v>
      </c>
      <c r="H38" s="29">
        <v>-9.6652026203340249E-3</v>
      </c>
      <c r="I38" s="7" t="e">
        <f t="shared" si="0"/>
        <v>#N/A</v>
      </c>
      <c r="J38" s="7" t="e">
        <f t="shared" si="2"/>
        <v>#N/A</v>
      </c>
    </row>
    <row r="39" spans="1:12" x14ac:dyDescent="0.35">
      <c r="A39" t="s">
        <v>46</v>
      </c>
      <c r="B39" t="s">
        <v>43</v>
      </c>
      <c r="C39" t="s">
        <v>9</v>
      </c>
      <c r="D39" t="s">
        <v>153</v>
      </c>
      <c r="E39" t="s">
        <v>41</v>
      </c>
      <c r="F39" s="32">
        <v>8.8682996000000003</v>
      </c>
      <c r="G39" s="23">
        <v>1.3552616032877294</v>
      </c>
      <c r="H39" s="29">
        <v>4.9164279197104879</v>
      </c>
      <c r="I39" s="7">
        <f t="shared" si="0"/>
        <v>1.3552616032877294</v>
      </c>
      <c r="J39" s="7">
        <f t="shared" si="2"/>
        <v>2.2319855126609509</v>
      </c>
    </row>
    <row r="40" spans="1:12" x14ac:dyDescent="0.35">
      <c r="A40" t="s">
        <v>46</v>
      </c>
      <c r="B40" t="s">
        <v>43</v>
      </c>
      <c r="C40" t="s">
        <v>10</v>
      </c>
      <c r="D40" t="s">
        <v>153</v>
      </c>
      <c r="E40" t="s">
        <v>41</v>
      </c>
      <c r="F40" s="32">
        <v>96.253498500000006</v>
      </c>
      <c r="G40" s="23">
        <v>9.8489303790662088</v>
      </c>
      <c r="H40" s="29">
        <v>7.7455377774539569</v>
      </c>
      <c r="I40" s="7">
        <f t="shared" si="0"/>
        <v>9.8489303790662088</v>
      </c>
      <c r="J40" s="7">
        <f t="shared" si="2"/>
        <v>16.220241072243429</v>
      </c>
    </row>
    <row r="41" spans="1:12" x14ac:dyDescent="0.35">
      <c r="A41" t="s">
        <v>46</v>
      </c>
      <c r="B41" t="s">
        <v>43</v>
      </c>
      <c r="C41" t="s">
        <v>11</v>
      </c>
      <c r="D41" t="s">
        <v>153</v>
      </c>
      <c r="E41" t="s">
        <v>41</v>
      </c>
      <c r="F41" s="32">
        <v>91.746002500000003</v>
      </c>
      <c r="G41" s="23">
        <v>10.336152191828194</v>
      </c>
      <c r="H41" s="29">
        <v>24.991267422561705</v>
      </c>
      <c r="I41" s="7">
        <f t="shared" si="0"/>
        <v>10.336152191828194</v>
      </c>
      <c r="J41" s="7">
        <f t="shared" si="2"/>
        <v>17.022648537266463</v>
      </c>
    </row>
    <row r="42" spans="1:12" x14ac:dyDescent="0.35">
      <c r="A42" t="s">
        <v>46</v>
      </c>
      <c r="B42" t="s">
        <v>43</v>
      </c>
      <c r="C42" t="s">
        <v>12</v>
      </c>
      <c r="D42" t="s">
        <v>154</v>
      </c>
      <c r="E42" t="s">
        <v>41</v>
      </c>
      <c r="F42" s="32">
        <v>0</v>
      </c>
      <c r="G42" s="23" t="e">
        <v>#N/A</v>
      </c>
      <c r="H42" s="29">
        <v>-5.8760850098290233E-2</v>
      </c>
      <c r="I42" s="7" t="e">
        <f t="shared" si="0"/>
        <v>#N/A</v>
      </c>
      <c r="J42" s="7" t="e">
        <f t="shared" si="2"/>
        <v>#N/A</v>
      </c>
    </row>
    <row r="43" spans="1:12" x14ac:dyDescent="0.35">
      <c r="A43" t="s">
        <v>46</v>
      </c>
      <c r="B43" t="s">
        <v>43</v>
      </c>
      <c r="C43" t="s">
        <v>13</v>
      </c>
      <c r="D43" t="s">
        <v>153</v>
      </c>
      <c r="E43" t="s">
        <v>41</v>
      </c>
      <c r="F43" s="32">
        <v>14.8679299</v>
      </c>
      <c r="G43" s="23">
        <v>2.0203693176618747</v>
      </c>
      <c r="H43" s="29">
        <v>0.72113856869981463</v>
      </c>
      <c r="I43" s="7">
        <f t="shared" si="0"/>
        <v>2.0203693176618747</v>
      </c>
      <c r="J43" s="7">
        <f t="shared" si="2"/>
        <v>3.3273539487185024</v>
      </c>
    </row>
    <row r="44" spans="1:12" x14ac:dyDescent="0.35">
      <c r="A44" t="s">
        <v>46</v>
      </c>
      <c r="B44" t="s">
        <v>43</v>
      </c>
      <c r="C44" t="s">
        <v>14</v>
      </c>
      <c r="D44" t="s">
        <v>154</v>
      </c>
      <c r="E44" t="s">
        <v>41</v>
      </c>
      <c r="F44" s="32">
        <v>0</v>
      </c>
      <c r="G44" s="23" t="e">
        <v>#N/A</v>
      </c>
      <c r="H44" s="29">
        <v>5.4840102103223716E-2</v>
      </c>
      <c r="I44" s="7" t="e">
        <f t="shared" si="0"/>
        <v>#N/A</v>
      </c>
      <c r="J44" s="7" t="e">
        <f t="shared" si="2"/>
        <v>#N/A</v>
      </c>
    </row>
    <row r="45" spans="1:12" x14ac:dyDescent="0.35">
      <c r="A45" t="s">
        <v>46</v>
      </c>
      <c r="B45" t="s">
        <v>43</v>
      </c>
      <c r="C45" t="s">
        <v>15</v>
      </c>
      <c r="D45" t="s">
        <v>153</v>
      </c>
      <c r="E45" t="s">
        <v>41</v>
      </c>
      <c r="F45" s="32">
        <v>2296.9465058000001</v>
      </c>
      <c r="G45" s="23">
        <v>54.918646834143097</v>
      </c>
      <c r="H45" s="29">
        <v>167.38320090366449</v>
      </c>
      <c r="I45" s="7">
        <f t="shared" si="0"/>
        <v>54.918646834143097</v>
      </c>
      <c r="J45" s="7">
        <f t="shared" si="2"/>
        <v>90.445729305242253</v>
      </c>
    </row>
    <row r="46" spans="1:12" x14ac:dyDescent="0.35">
      <c r="A46" t="s">
        <v>46</v>
      </c>
      <c r="B46" t="s">
        <v>43</v>
      </c>
      <c r="C46" t="s">
        <v>16</v>
      </c>
      <c r="D46" t="s">
        <v>154</v>
      </c>
      <c r="E46" t="s">
        <v>41</v>
      </c>
      <c r="F46" s="32">
        <v>321.00218630000001</v>
      </c>
      <c r="G46" s="23">
        <v>29.039745724859657</v>
      </c>
      <c r="H46" s="29">
        <v>80.77480221538184</v>
      </c>
      <c r="I46" s="7">
        <f t="shared" si="0"/>
        <v>29.039745724859657</v>
      </c>
      <c r="J46" s="7">
        <f t="shared" si="2"/>
        <v>47.82566818982157</v>
      </c>
    </row>
    <row r="47" spans="1:12" x14ac:dyDescent="0.35">
      <c r="A47" t="s">
        <v>46</v>
      </c>
      <c r="B47" t="s">
        <v>43</v>
      </c>
      <c r="C47" t="s">
        <v>18</v>
      </c>
      <c r="D47" t="s">
        <v>154</v>
      </c>
      <c r="E47" t="s">
        <v>41</v>
      </c>
      <c r="F47" s="32">
        <v>0</v>
      </c>
      <c r="G47" s="23" t="e">
        <v>#N/A</v>
      </c>
      <c r="H47" s="29">
        <v>-3.8218400105658683E-2</v>
      </c>
      <c r="I47" s="7" t="e">
        <f t="shared" si="0"/>
        <v>#N/A</v>
      </c>
      <c r="J47" s="7" t="e">
        <f t="shared" si="2"/>
        <v>#N/A</v>
      </c>
    </row>
    <row r="48" spans="1:12" x14ac:dyDescent="0.35">
      <c r="A48" t="s">
        <v>46</v>
      </c>
      <c r="B48" t="s">
        <v>43</v>
      </c>
      <c r="C48" t="s">
        <v>19</v>
      </c>
      <c r="D48" t="s">
        <v>153</v>
      </c>
      <c r="E48" t="s">
        <v>41</v>
      </c>
      <c r="F48" s="32">
        <v>384.21906969999998</v>
      </c>
      <c r="G48" s="23">
        <v>30.393485787174317</v>
      </c>
      <c r="H48" s="29">
        <v>38.137794734600391</v>
      </c>
      <c r="I48" s="7">
        <f t="shared" si="0"/>
        <v>30.393485787174317</v>
      </c>
      <c r="J48" s="7">
        <f t="shared" si="2"/>
        <v>50.055147870840443</v>
      </c>
    </row>
    <row r="49" spans="1:10" x14ac:dyDescent="0.35">
      <c r="A49" t="s">
        <v>46</v>
      </c>
      <c r="B49" t="s">
        <v>43</v>
      </c>
      <c r="C49" t="s">
        <v>20</v>
      </c>
      <c r="D49" t="s">
        <v>154</v>
      </c>
      <c r="E49" t="s">
        <v>41</v>
      </c>
      <c r="F49" s="32">
        <v>419.33310499999999</v>
      </c>
      <c r="G49" s="23">
        <v>39.743486456328533</v>
      </c>
      <c r="H49" s="29">
        <v>96.702837587915823</v>
      </c>
      <c r="I49" s="7">
        <f t="shared" si="0"/>
        <v>39.743486456328533</v>
      </c>
      <c r="J49" s="7">
        <f t="shared" si="2"/>
        <v>65.453699697510757</v>
      </c>
    </row>
    <row r="50" spans="1:10" x14ac:dyDescent="0.35">
      <c r="A50" t="s">
        <v>46</v>
      </c>
      <c r="B50" t="s">
        <v>43</v>
      </c>
      <c r="C50" t="s">
        <v>21</v>
      </c>
      <c r="D50" t="s">
        <v>155</v>
      </c>
      <c r="E50" t="s">
        <v>41</v>
      </c>
      <c r="F50" s="32">
        <v>0.74719939999999996</v>
      </c>
      <c r="G50" s="23" t="e">
        <v>#N/A</v>
      </c>
      <c r="H50" s="29">
        <v>9.2804124961785389E-2</v>
      </c>
      <c r="I50" s="7" t="e">
        <f t="shared" si="0"/>
        <v>#N/A</v>
      </c>
      <c r="J50" s="7" t="e">
        <f t="shared" si="2"/>
        <v>#N/A</v>
      </c>
    </row>
    <row r="51" spans="1:10" x14ac:dyDescent="0.35">
      <c r="A51" t="s">
        <v>46</v>
      </c>
      <c r="B51" t="s">
        <v>43</v>
      </c>
      <c r="C51" t="s">
        <v>22</v>
      </c>
      <c r="D51" t="s">
        <v>155</v>
      </c>
      <c r="E51" t="s">
        <v>41</v>
      </c>
      <c r="F51" s="32">
        <v>202.13776910000001</v>
      </c>
      <c r="G51" s="23">
        <v>15.456387417474353</v>
      </c>
      <c r="H51" s="29">
        <v>37.441293034782312</v>
      </c>
      <c r="I51" s="7">
        <f t="shared" si="0"/>
        <v>15.456387417474353</v>
      </c>
      <c r="J51" s="7">
        <f t="shared" si="2"/>
        <v>25.455183493864219</v>
      </c>
    </row>
    <row r="52" spans="1:10" x14ac:dyDescent="0.35">
      <c r="A52" t="s">
        <v>46</v>
      </c>
      <c r="B52" t="s">
        <v>43</v>
      </c>
      <c r="C52" t="s">
        <v>23</v>
      </c>
      <c r="D52" t="s">
        <v>155</v>
      </c>
      <c r="E52" t="s">
        <v>41</v>
      </c>
      <c r="F52" s="32">
        <v>0</v>
      </c>
      <c r="G52" s="23">
        <v>0.73277484449553454</v>
      </c>
      <c r="H52" s="29">
        <v>2.7982470762754983E-2</v>
      </c>
      <c r="I52" s="7">
        <f t="shared" si="0"/>
        <v>0.73277484449553454</v>
      </c>
      <c r="J52" s="7">
        <f t="shared" si="2"/>
        <v>1.2068096911981794</v>
      </c>
    </row>
    <row r="53" spans="1:10" x14ac:dyDescent="0.35">
      <c r="A53" t="s">
        <v>46</v>
      </c>
      <c r="B53" t="s">
        <v>43</v>
      </c>
      <c r="C53" t="s">
        <v>24</v>
      </c>
      <c r="D53" t="s">
        <v>155</v>
      </c>
      <c r="E53" t="s">
        <v>41</v>
      </c>
      <c r="F53" s="32">
        <v>175.0626843</v>
      </c>
      <c r="G53" s="23">
        <v>3.8515825081507904</v>
      </c>
      <c r="H53" s="29">
        <v>5.1890031026629533</v>
      </c>
      <c r="I53" s="7">
        <f t="shared" si="0"/>
        <v>3.8515825081507904</v>
      </c>
      <c r="J53" s="7">
        <f t="shared" si="2"/>
        <v>6.3431859488649387</v>
      </c>
    </row>
    <row r="54" spans="1:10" x14ac:dyDescent="0.35">
      <c r="A54" t="s">
        <v>46</v>
      </c>
      <c r="B54" t="s">
        <v>43</v>
      </c>
      <c r="C54" t="s">
        <v>25</v>
      </c>
      <c r="D54" t="s">
        <v>155</v>
      </c>
      <c r="E54" t="s">
        <v>41</v>
      </c>
      <c r="F54" s="32">
        <v>9.4875166000000011</v>
      </c>
      <c r="G54" s="23">
        <v>0.79041003014332756</v>
      </c>
      <c r="H54" s="29">
        <v>0.92365684092475187</v>
      </c>
      <c r="I54" s="7">
        <f t="shared" si="0"/>
        <v>0.79041003014332756</v>
      </c>
      <c r="J54" s="7">
        <f t="shared" si="2"/>
        <v>1.3017292986550191</v>
      </c>
    </row>
    <row r="55" spans="1:10" x14ac:dyDescent="0.35">
      <c r="A55" t="s">
        <v>46</v>
      </c>
      <c r="B55" t="s">
        <v>43</v>
      </c>
      <c r="C55" t="s">
        <v>26</v>
      </c>
      <c r="D55" t="s">
        <v>153</v>
      </c>
      <c r="E55" t="s">
        <v>41</v>
      </c>
      <c r="F55" s="32">
        <v>1.5077561000000002</v>
      </c>
      <c r="G55" s="23">
        <v>1.1381199513976357</v>
      </c>
      <c r="H55" s="29">
        <v>5.5399636133593055E-2</v>
      </c>
      <c r="I55" s="7">
        <f t="shared" si="0"/>
        <v>1.1381199513976357</v>
      </c>
      <c r="J55" s="7">
        <f t="shared" si="2"/>
        <v>1.8743740965046702</v>
      </c>
    </row>
    <row r="56" spans="1:10" x14ac:dyDescent="0.35">
      <c r="A56" t="s">
        <v>46</v>
      </c>
      <c r="B56" t="s">
        <v>43</v>
      </c>
      <c r="C56" t="s">
        <v>27</v>
      </c>
      <c r="D56" t="s">
        <v>154</v>
      </c>
      <c r="E56" t="s">
        <v>41</v>
      </c>
      <c r="F56" s="32">
        <v>9.4481435999999999</v>
      </c>
      <c r="G56" s="23">
        <v>2.8854454527428475</v>
      </c>
      <c r="H56" s="29">
        <v>2.6109328385751773</v>
      </c>
      <c r="I56" s="7">
        <f t="shared" si="0"/>
        <v>2.8854454527428475</v>
      </c>
      <c r="J56" s="7">
        <f t="shared" si="2"/>
        <v>4.7520511408808428</v>
      </c>
    </row>
    <row r="57" spans="1:10" x14ac:dyDescent="0.35">
      <c r="A57" t="s">
        <v>46</v>
      </c>
      <c r="B57" t="s">
        <v>43</v>
      </c>
      <c r="C57" t="s">
        <v>28</v>
      </c>
      <c r="D57" t="s">
        <v>155</v>
      </c>
      <c r="E57" t="s">
        <v>41</v>
      </c>
      <c r="F57" s="32">
        <v>25.3865868</v>
      </c>
      <c r="G57" s="23">
        <v>2.8359609854058743</v>
      </c>
      <c r="H57" s="29">
        <v>6.7243884278683481</v>
      </c>
      <c r="I57" s="7">
        <f t="shared" si="0"/>
        <v>2.8359609854058743</v>
      </c>
      <c r="J57" s="7">
        <f t="shared" si="2"/>
        <v>4.6705549825524946</v>
      </c>
    </row>
    <row r="58" spans="1:10" x14ac:dyDescent="0.35">
      <c r="A58" t="s">
        <v>46</v>
      </c>
      <c r="B58" t="s">
        <v>43</v>
      </c>
      <c r="C58" t="s">
        <v>29</v>
      </c>
      <c r="D58" t="s">
        <v>155</v>
      </c>
      <c r="E58" t="s">
        <v>41</v>
      </c>
      <c r="F58" s="32">
        <v>0.39492139999999998</v>
      </c>
      <c r="G58" s="23">
        <v>0.35362941004875437</v>
      </c>
      <c r="H58" s="29">
        <v>8.7747593081982433E-2</v>
      </c>
      <c r="I58" s="7">
        <f t="shared" si="0"/>
        <v>0.35362941004875437</v>
      </c>
      <c r="J58" s="7">
        <f t="shared" si="2"/>
        <v>0.58239362656250726</v>
      </c>
    </row>
    <row r="59" spans="1:10" x14ac:dyDescent="0.35">
      <c r="A59" t="s">
        <v>46</v>
      </c>
      <c r="B59" t="s">
        <v>43</v>
      </c>
      <c r="C59" t="s">
        <v>30</v>
      </c>
      <c r="D59" t="s">
        <v>155</v>
      </c>
      <c r="E59" t="s">
        <v>41</v>
      </c>
      <c r="F59" s="32">
        <v>143.37697310000001</v>
      </c>
      <c r="G59" s="23">
        <v>5.8875950224857192</v>
      </c>
      <c r="H59" s="29">
        <v>26.590504685522994</v>
      </c>
      <c r="I59" s="7">
        <f t="shared" si="0"/>
        <v>5.8875950224857192</v>
      </c>
      <c r="J59" s="7">
        <f t="shared" si="2"/>
        <v>9.6963027379540829</v>
      </c>
    </row>
    <row r="60" spans="1:10" x14ac:dyDescent="0.35">
      <c r="A60" t="s">
        <v>46</v>
      </c>
      <c r="B60" t="s">
        <v>43</v>
      </c>
      <c r="C60" t="s">
        <v>31</v>
      </c>
      <c r="D60" t="s">
        <v>155</v>
      </c>
      <c r="E60" t="s">
        <v>41</v>
      </c>
      <c r="F60" s="32" t="e">
        <v>#N/A</v>
      </c>
      <c r="G60" s="23" t="e">
        <v>#N/A</v>
      </c>
      <c r="H60" s="29">
        <v>6.9662172925865601E-2</v>
      </c>
      <c r="I60" s="7" t="e">
        <f t="shared" si="0"/>
        <v>#N/A</v>
      </c>
      <c r="J60" s="7" t="e">
        <f t="shared" si="2"/>
        <v>#N/A</v>
      </c>
    </row>
    <row r="61" spans="1:10" x14ac:dyDescent="0.35">
      <c r="A61" t="s">
        <v>46</v>
      </c>
      <c r="B61" t="s">
        <v>43</v>
      </c>
      <c r="C61" t="s">
        <v>32</v>
      </c>
      <c r="D61" t="s">
        <v>153</v>
      </c>
      <c r="E61" t="s">
        <v>41</v>
      </c>
      <c r="F61" s="32">
        <v>0</v>
      </c>
      <c r="G61" s="23" t="e">
        <v>#N/A</v>
      </c>
      <c r="H61" s="29">
        <v>8.995490145888474E-2</v>
      </c>
      <c r="I61" s="7" t="e">
        <f t="shared" si="0"/>
        <v>#N/A</v>
      </c>
      <c r="J61" s="7" t="e">
        <f t="shared" si="2"/>
        <v>#N/A</v>
      </c>
    </row>
    <row r="62" spans="1:10" x14ac:dyDescent="0.35">
      <c r="A62" t="s">
        <v>46</v>
      </c>
      <c r="B62" t="s">
        <v>43</v>
      </c>
      <c r="C62" t="s">
        <v>33</v>
      </c>
      <c r="D62" t="s">
        <v>155</v>
      </c>
      <c r="E62" t="s">
        <v>41</v>
      </c>
      <c r="F62" s="32">
        <v>173.11515849999998</v>
      </c>
      <c r="G62" s="23">
        <v>9.5147879129159172</v>
      </c>
      <c r="H62" s="29">
        <v>13.254476597707574</v>
      </c>
      <c r="I62" s="7">
        <f t="shared" si="0"/>
        <v>9.5147879129159172</v>
      </c>
      <c r="J62" s="7">
        <f t="shared" si="2"/>
        <v>15.669940568043343</v>
      </c>
    </row>
    <row r="63" spans="1:10" x14ac:dyDescent="0.35">
      <c r="A63" t="s">
        <v>46</v>
      </c>
      <c r="B63" t="s">
        <v>43</v>
      </c>
      <c r="C63" t="s">
        <v>34</v>
      </c>
      <c r="D63" t="s">
        <v>153</v>
      </c>
      <c r="E63" t="s">
        <v>41</v>
      </c>
      <c r="F63" s="32">
        <v>0</v>
      </c>
      <c r="G63" s="23" t="e">
        <v>#N/A</v>
      </c>
      <c r="H63" s="29">
        <v>-0.15506392233474597</v>
      </c>
      <c r="I63" s="7" t="e">
        <f t="shared" si="0"/>
        <v>#N/A</v>
      </c>
      <c r="J63" s="7" t="e">
        <f t="shared" si="2"/>
        <v>#N/A</v>
      </c>
    </row>
    <row r="64" spans="1:10" x14ac:dyDescent="0.35">
      <c r="A64" t="s">
        <v>46</v>
      </c>
      <c r="B64" t="s">
        <v>43</v>
      </c>
      <c r="C64" t="s">
        <v>35</v>
      </c>
      <c r="D64" t="s">
        <v>154</v>
      </c>
      <c r="E64" t="s">
        <v>41</v>
      </c>
      <c r="F64" s="32">
        <v>51.987946799999996</v>
      </c>
      <c r="G64" s="23">
        <v>5.3093107208828307</v>
      </c>
      <c r="H64" s="29">
        <v>29.265442760177343</v>
      </c>
      <c r="I64" s="7">
        <f t="shared" si="0"/>
        <v>5.3093107208828307</v>
      </c>
      <c r="J64" s="7">
        <f t="shared" si="2"/>
        <v>8.7439241121258746</v>
      </c>
    </row>
    <row r="65" spans="1:13" x14ac:dyDescent="0.35">
      <c r="A65" t="s">
        <v>46</v>
      </c>
      <c r="B65" t="s">
        <v>43</v>
      </c>
      <c r="C65" t="s">
        <v>36</v>
      </c>
      <c r="D65" t="s">
        <v>155</v>
      </c>
      <c r="E65" t="s">
        <v>41</v>
      </c>
      <c r="F65" s="32">
        <v>1.8645900999999998</v>
      </c>
      <c r="G65" s="23" t="e">
        <v>#N/A</v>
      </c>
      <c r="H65" s="29">
        <v>0.16905002347706147</v>
      </c>
      <c r="I65" s="7" t="e">
        <f t="shared" si="0"/>
        <v>#N/A</v>
      </c>
      <c r="J65" s="7" t="e">
        <f t="shared" si="2"/>
        <v>#N/A</v>
      </c>
    </row>
    <row r="66" spans="1:13" x14ac:dyDescent="0.35">
      <c r="A66" t="s">
        <v>46</v>
      </c>
      <c r="B66" t="s">
        <v>43</v>
      </c>
      <c r="C66" t="s">
        <v>37</v>
      </c>
      <c r="D66" t="s">
        <v>155</v>
      </c>
      <c r="E66" t="s">
        <v>41</v>
      </c>
      <c r="F66" s="32">
        <v>4.2312012999999995</v>
      </c>
      <c r="G66" s="23">
        <v>0</v>
      </c>
      <c r="H66" s="29">
        <v>2.0058088170156694</v>
      </c>
      <c r="I66" s="7">
        <f t="shared" ref="I66:I129" si="3">IF(G66&lt;0,0,G66)</f>
        <v>0</v>
      </c>
      <c r="J66" s="7">
        <f t="shared" si="2"/>
        <v>0</v>
      </c>
    </row>
    <row r="67" spans="1:13" x14ac:dyDescent="0.35">
      <c r="A67" t="s">
        <v>46</v>
      </c>
      <c r="B67" t="s">
        <v>43</v>
      </c>
      <c r="C67" t="s">
        <v>38</v>
      </c>
      <c r="D67" t="s">
        <v>155</v>
      </c>
      <c r="E67" t="s">
        <v>41</v>
      </c>
      <c r="F67" s="32">
        <v>4.0687560999999999</v>
      </c>
      <c r="G67" s="23">
        <v>0.59386860845541922</v>
      </c>
      <c r="H67" s="29">
        <v>0.84472573671786633</v>
      </c>
      <c r="I67" s="7">
        <f t="shared" si="3"/>
        <v>0.59386860845541922</v>
      </c>
      <c r="J67" s="7">
        <f t="shared" si="2"/>
        <v>0.97804448032842439</v>
      </c>
    </row>
    <row r="68" spans="1:13" x14ac:dyDescent="0.35">
      <c r="A68" t="s">
        <v>46</v>
      </c>
      <c r="B68" t="s">
        <v>43</v>
      </c>
      <c r="C68" t="s">
        <v>39</v>
      </c>
      <c r="D68" t="s">
        <v>153</v>
      </c>
      <c r="E68" t="s">
        <v>41</v>
      </c>
      <c r="F68" s="32">
        <v>12.190144399999999</v>
      </c>
      <c r="G68" s="23" t="e">
        <v>#N/A</v>
      </c>
      <c r="H68" s="29">
        <v>-4.1435956634814052E-2</v>
      </c>
      <c r="I68" s="7" t="e">
        <f t="shared" si="3"/>
        <v>#N/A</v>
      </c>
      <c r="J68" s="7" t="e">
        <f t="shared" si="2"/>
        <v>#N/A</v>
      </c>
    </row>
    <row r="69" spans="1:13" s="19" customFormat="1" x14ac:dyDescent="0.35">
      <c r="A69" s="19" t="s">
        <v>46</v>
      </c>
      <c r="B69" s="19" t="s">
        <v>43</v>
      </c>
      <c r="C69" s="19" t="s">
        <v>40</v>
      </c>
      <c r="D69" s="19" t="s">
        <v>154</v>
      </c>
      <c r="E69" s="19" t="s">
        <v>41</v>
      </c>
      <c r="F69" s="33">
        <v>0</v>
      </c>
      <c r="G69" s="24" t="e">
        <v>#N/A</v>
      </c>
      <c r="H69" s="30">
        <v>1.8471363430974878E-2</v>
      </c>
      <c r="I69" s="21" t="e">
        <f t="shared" si="3"/>
        <v>#N/A</v>
      </c>
      <c r="J69" s="21" t="e">
        <f t="shared" si="2"/>
        <v>#N/A</v>
      </c>
      <c r="M69"/>
    </row>
    <row r="70" spans="1:13" x14ac:dyDescent="0.35">
      <c r="A70" t="s">
        <v>48</v>
      </c>
      <c r="B70" t="s">
        <v>49</v>
      </c>
      <c r="C70" t="s">
        <v>6</v>
      </c>
      <c r="D70" t="s">
        <v>153</v>
      </c>
      <c r="E70" t="s">
        <v>41</v>
      </c>
      <c r="F70" s="32">
        <v>6.6946287</v>
      </c>
      <c r="G70" s="23" t="e">
        <v>#N/A</v>
      </c>
      <c r="H70" s="29">
        <v>0.74961346989803213</v>
      </c>
      <c r="I70" s="7" t="e">
        <f t="shared" si="3"/>
        <v>#N/A</v>
      </c>
      <c r="J70" s="7" t="e">
        <f>I70/0.9138</f>
        <v>#N/A</v>
      </c>
    </row>
    <row r="71" spans="1:13" x14ac:dyDescent="0.35">
      <c r="A71" t="s">
        <v>48</v>
      </c>
      <c r="B71" t="s">
        <v>49</v>
      </c>
      <c r="C71" t="s">
        <v>7</v>
      </c>
      <c r="D71" t="s">
        <v>153</v>
      </c>
      <c r="E71" t="s">
        <v>41</v>
      </c>
      <c r="F71" s="32">
        <v>0</v>
      </c>
      <c r="G71" s="23" t="e">
        <v>#N/A</v>
      </c>
      <c r="H71" s="29">
        <v>-0.10615855821127382</v>
      </c>
      <c r="I71" s="7" t="e">
        <f t="shared" si="3"/>
        <v>#N/A</v>
      </c>
      <c r="J71" s="7" t="e">
        <f t="shared" ref="J71:J103" si="4">I71/0.9138</f>
        <v>#N/A</v>
      </c>
    </row>
    <row r="72" spans="1:13" x14ac:dyDescent="0.35">
      <c r="A72" t="s">
        <v>48</v>
      </c>
      <c r="B72" t="s">
        <v>49</v>
      </c>
      <c r="C72" t="s">
        <v>8</v>
      </c>
      <c r="D72" t="s">
        <v>153</v>
      </c>
      <c r="E72" t="s">
        <v>41</v>
      </c>
      <c r="F72" s="32">
        <v>0</v>
      </c>
      <c r="G72" s="23" t="e">
        <v>#N/A</v>
      </c>
      <c r="H72" s="29">
        <v>-5.3378207898563726E-4</v>
      </c>
      <c r="I72" s="7" t="e">
        <f t="shared" si="3"/>
        <v>#N/A</v>
      </c>
      <c r="J72" s="7" t="e">
        <f t="shared" si="4"/>
        <v>#N/A</v>
      </c>
    </row>
    <row r="73" spans="1:13" x14ac:dyDescent="0.35">
      <c r="A73" t="s">
        <v>48</v>
      </c>
      <c r="B73" t="s">
        <v>49</v>
      </c>
      <c r="C73" t="s">
        <v>9</v>
      </c>
      <c r="D73" t="s">
        <v>153</v>
      </c>
      <c r="E73" t="s">
        <v>41</v>
      </c>
      <c r="F73" s="32">
        <v>13.8524625</v>
      </c>
      <c r="G73" s="23">
        <v>1.8726303702939895</v>
      </c>
      <c r="H73" s="29">
        <v>6.4741019447598251</v>
      </c>
      <c r="I73" s="7">
        <f t="shared" si="3"/>
        <v>1.8726303702939895</v>
      </c>
      <c r="J73" s="7">
        <f t="shared" si="4"/>
        <v>2.0492781465243923</v>
      </c>
    </row>
    <row r="74" spans="1:13" x14ac:dyDescent="0.35">
      <c r="A74" t="s">
        <v>48</v>
      </c>
      <c r="B74" t="s">
        <v>49</v>
      </c>
      <c r="C74" t="s">
        <v>10</v>
      </c>
      <c r="D74" t="s">
        <v>153</v>
      </c>
      <c r="E74" t="s">
        <v>41</v>
      </c>
      <c r="F74" s="32">
        <v>97.207644700000003</v>
      </c>
      <c r="G74" s="23">
        <v>9.6305272068525483</v>
      </c>
      <c r="H74" s="29">
        <v>7.8222896916988063</v>
      </c>
      <c r="I74" s="7">
        <f t="shared" si="3"/>
        <v>9.6305272068525483</v>
      </c>
      <c r="J74" s="7">
        <f t="shared" si="4"/>
        <v>10.538987969853959</v>
      </c>
    </row>
    <row r="75" spans="1:13" x14ac:dyDescent="0.35">
      <c r="A75" t="s">
        <v>48</v>
      </c>
      <c r="B75" t="s">
        <v>49</v>
      </c>
      <c r="C75" t="s">
        <v>11</v>
      </c>
      <c r="D75" t="s">
        <v>153</v>
      </c>
      <c r="E75" t="s">
        <v>41</v>
      </c>
      <c r="F75" s="32">
        <v>137.17156349999999</v>
      </c>
      <c r="G75" s="23">
        <v>10.384716405809254</v>
      </c>
      <c r="H75" s="29">
        <v>36.656981666051678</v>
      </c>
      <c r="I75" s="7">
        <f t="shared" si="3"/>
        <v>10.384716405809254</v>
      </c>
      <c r="J75" s="7">
        <f t="shared" si="4"/>
        <v>11.364320864313038</v>
      </c>
    </row>
    <row r="76" spans="1:13" x14ac:dyDescent="0.35">
      <c r="A76" t="s">
        <v>48</v>
      </c>
      <c r="B76" t="s">
        <v>49</v>
      </c>
      <c r="C76" t="s">
        <v>12</v>
      </c>
      <c r="D76" t="s">
        <v>154</v>
      </c>
      <c r="E76" t="s">
        <v>41</v>
      </c>
      <c r="F76" s="32">
        <v>0</v>
      </c>
      <c r="G76" s="23" t="e">
        <v>#N/A</v>
      </c>
      <c r="H76" s="29">
        <v>-5.3586825191443435E-2</v>
      </c>
      <c r="I76" s="7" t="e">
        <f t="shared" si="3"/>
        <v>#N/A</v>
      </c>
      <c r="J76" s="7" t="e">
        <f t="shared" si="4"/>
        <v>#N/A</v>
      </c>
    </row>
    <row r="77" spans="1:13" x14ac:dyDescent="0.35">
      <c r="A77" t="s">
        <v>48</v>
      </c>
      <c r="B77" t="s">
        <v>49</v>
      </c>
      <c r="C77" t="s">
        <v>13</v>
      </c>
      <c r="D77" t="s">
        <v>153</v>
      </c>
      <c r="E77" t="s">
        <v>41</v>
      </c>
      <c r="F77" s="32">
        <v>21.296026300000001</v>
      </c>
      <c r="G77" s="23">
        <v>2.8923941290093764</v>
      </c>
      <c r="H77" s="29">
        <v>1.0290138699694555</v>
      </c>
      <c r="I77" s="7">
        <f t="shared" si="3"/>
        <v>2.8923941290093764</v>
      </c>
      <c r="J77" s="7">
        <f t="shared" si="4"/>
        <v>3.1652376110848945</v>
      </c>
    </row>
    <row r="78" spans="1:13" x14ac:dyDescent="0.35">
      <c r="A78" t="s">
        <v>48</v>
      </c>
      <c r="B78" t="s">
        <v>49</v>
      </c>
      <c r="C78" t="s">
        <v>14</v>
      </c>
      <c r="D78" t="s">
        <v>154</v>
      </c>
      <c r="E78" t="s">
        <v>41</v>
      </c>
      <c r="F78" s="32">
        <v>0</v>
      </c>
      <c r="G78" s="23" t="e">
        <v>#N/A</v>
      </c>
      <c r="H78" s="29">
        <v>-5.0766777634255855E-2</v>
      </c>
      <c r="I78" s="7" t="e">
        <f t="shared" si="3"/>
        <v>#N/A</v>
      </c>
      <c r="J78" s="7" t="e">
        <f t="shared" si="4"/>
        <v>#N/A</v>
      </c>
    </row>
    <row r="79" spans="1:13" x14ac:dyDescent="0.35">
      <c r="A79" t="s">
        <v>48</v>
      </c>
      <c r="B79" t="s">
        <v>49</v>
      </c>
      <c r="C79" t="s">
        <v>15</v>
      </c>
      <c r="D79" t="s">
        <v>153</v>
      </c>
      <c r="E79" t="s">
        <v>41</v>
      </c>
      <c r="F79" s="32">
        <v>3158.6578758999999</v>
      </c>
      <c r="G79" s="23">
        <v>75.87508042088092</v>
      </c>
      <c r="H79" s="29">
        <v>230.23005652655576</v>
      </c>
      <c r="I79" s="7">
        <f t="shared" si="3"/>
        <v>75.87508042088092</v>
      </c>
      <c r="J79" s="7">
        <f t="shared" si="4"/>
        <v>83.032480215452964</v>
      </c>
    </row>
    <row r="80" spans="1:13" x14ac:dyDescent="0.35">
      <c r="A80" t="s">
        <v>48</v>
      </c>
      <c r="B80" t="s">
        <v>49</v>
      </c>
      <c r="C80" t="s">
        <v>16</v>
      </c>
      <c r="D80" t="s">
        <v>154</v>
      </c>
      <c r="E80" t="s">
        <v>41</v>
      </c>
      <c r="F80" s="32">
        <v>538.04847380000001</v>
      </c>
      <c r="G80" s="23">
        <v>44.505504835707129</v>
      </c>
      <c r="H80" s="29">
        <v>135.08317085023623</v>
      </c>
      <c r="I80" s="7">
        <f t="shared" si="3"/>
        <v>44.505504835707129</v>
      </c>
      <c r="J80" s="7">
        <f t="shared" si="4"/>
        <v>48.703769791756542</v>
      </c>
    </row>
    <row r="81" spans="1:10" x14ac:dyDescent="0.35">
      <c r="A81" t="s">
        <v>48</v>
      </c>
      <c r="B81" t="s">
        <v>49</v>
      </c>
      <c r="C81" t="s">
        <v>18</v>
      </c>
      <c r="D81" t="s">
        <v>154</v>
      </c>
      <c r="E81" t="s">
        <v>41</v>
      </c>
      <c r="F81" s="32">
        <v>0</v>
      </c>
      <c r="G81" s="23" t="e">
        <v>#N/A</v>
      </c>
      <c r="H81" s="29">
        <v>3.8828632756759095E-3</v>
      </c>
      <c r="I81" s="7" t="e">
        <f t="shared" si="3"/>
        <v>#N/A</v>
      </c>
      <c r="J81" s="7" t="e">
        <f t="shared" si="4"/>
        <v>#N/A</v>
      </c>
    </row>
    <row r="82" spans="1:10" x14ac:dyDescent="0.35">
      <c r="A82" t="s">
        <v>48</v>
      </c>
      <c r="B82" t="s">
        <v>49</v>
      </c>
      <c r="C82" t="s">
        <v>19</v>
      </c>
      <c r="D82" t="s">
        <v>153</v>
      </c>
      <c r="E82" t="s">
        <v>41</v>
      </c>
      <c r="F82" s="32">
        <v>552.3190247</v>
      </c>
      <c r="G82" s="23">
        <v>43.101914528131871</v>
      </c>
      <c r="H82" s="29">
        <v>31.562643848895323</v>
      </c>
      <c r="I82" s="7">
        <f t="shared" si="3"/>
        <v>43.101914528131871</v>
      </c>
      <c r="J82" s="7">
        <f t="shared" si="4"/>
        <v>47.167776896620566</v>
      </c>
    </row>
    <row r="83" spans="1:10" x14ac:dyDescent="0.35">
      <c r="A83" t="s">
        <v>48</v>
      </c>
      <c r="B83" t="s">
        <v>49</v>
      </c>
      <c r="C83" t="s">
        <v>20</v>
      </c>
      <c r="D83" t="s">
        <v>154</v>
      </c>
      <c r="E83" t="s">
        <v>41</v>
      </c>
      <c r="F83" s="32">
        <v>754.97088480000002</v>
      </c>
      <c r="G83" s="23">
        <v>75.721223808751944</v>
      </c>
      <c r="H83" s="29">
        <v>102.94685472363301</v>
      </c>
      <c r="I83" s="7">
        <f t="shared" si="3"/>
        <v>75.721223808751944</v>
      </c>
      <c r="J83" s="7">
        <f t="shared" si="4"/>
        <v>82.864110099312697</v>
      </c>
    </row>
    <row r="84" spans="1:10" x14ac:dyDescent="0.35">
      <c r="A84" t="s">
        <v>48</v>
      </c>
      <c r="B84" t="s">
        <v>49</v>
      </c>
      <c r="C84" t="s">
        <v>21</v>
      </c>
      <c r="D84" t="s">
        <v>155</v>
      </c>
      <c r="E84" t="s">
        <v>41</v>
      </c>
      <c r="F84" s="32">
        <v>0.34246370000000004</v>
      </c>
      <c r="G84" s="23" t="e">
        <v>#N/A</v>
      </c>
      <c r="H84" s="29">
        <v>0.1822292287116935</v>
      </c>
      <c r="I84" s="7" t="e">
        <f t="shared" si="3"/>
        <v>#N/A</v>
      </c>
      <c r="J84" s="7" t="e">
        <f t="shared" si="4"/>
        <v>#N/A</v>
      </c>
    </row>
    <row r="85" spans="1:10" x14ac:dyDescent="0.35">
      <c r="A85" t="s">
        <v>48</v>
      </c>
      <c r="B85" t="s">
        <v>49</v>
      </c>
      <c r="C85" t="s">
        <v>22</v>
      </c>
      <c r="D85" t="s">
        <v>155</v>
      </c>
      <c r="E85" t="s">
        <v>41</v>
      </c>
      <c r="F85" s="32">
        <v>440.73898370000001</v>
      </c>
      <c r="G85" s="23">
        <v>33.421997635801766</v>
      </c>
      <c r="H85" s="29">
        <v>34.785099085692401</v>
      </c>
      <c r="I85" s="7">
        <f t="shared" si="3"/>
        <v>33.421997635801766</v>
      </c>
      <c r="J85" s="7">
        <f t="shared" si="4"/>
        <v>36.574740244913293</v>
      </c>
    </row>
    <row r="86" spans="1:10" x14ac:dyDescent="0.35">
      <c r="A86" t="s">
        <v>48</v>
      </c>
      <c r="B86" t="s">
        <v>49</v>
      </c>
      <c r="C86" t="s">
        <v>23</v>
      </c>
      <c r="D86" t="s">
        <v>155</v>
      </c>
      <c r="E86" t="s">
        <v>41</v>
      </c>
      <c r="F86" s="32">
        <v>0</v>
      </c>
      <c r="G86" s="23">
        <v>2.0842518252714664</v>
      </c>
      <c r="H86" s="29">
        <v>1.8771596090144647E-2</v>
      </c>
      <c r="I86" s="7">
        <f t="shared" si="3"/>
        <v>2.0842518252714664</v>
      </c>
      <c r="J86" s="7">
        <f t="shared" si="4"/>
        <v>2.2808621419035529</v>
      </c>
    </row>
    <row r="87" spans="1:10" x14ac:dyDescent="0.35">
      <c r="A87" t="s">
        <v>48</v>
      </c>
      <c r="B87" t="s">
        <v>49</v>
      </c>
      <c r="C87" t="s">
        <v>24</v>
      </c>
      <c r="D87" t="s">
        <v>155</v>
      </c>
      <c r="E87" t="s">
        <v>41</v>
      </c>
      <c r="F87" s="32">
        <v>517.86097589999997</v>
      </c>
      <c r="G87" s="23">
        <v>11.277543758372286</v>
      </c>
      <c r="H87" s="29">
        <v>4.9934842294240251</v>
      </c>
      <c r="I87" s="7">
        <f t="shared" si="3"/>
        <v>11.277543758372286</v>
      </c>
      <c r="J87" s="7">
        <f t="shared" si="4"/>
        <v>12.341369838446363</v>
      </c>
    </row>
    <row r="88" spans="1:10" x14ac:dyDescent="0.35">
      <c r="A88" t="s">
        <v>48</v>
      </c>
      <c r="B88" t="s">
        <v>49</v>
      </c>
      <c r="C88" t="s">
        <v>25</v>
      </c>
      <c r="D88" t="s">
        <v>155</v>
      </c>
      <c r="E88" t="s">
        <v>41</v>
      </c>
      <c r="F88" s="32">
        <v>33.0088613</v>
      </c>
      <c r="G88" s="23" t="e">
        <v>#N/A</v>
      </c>
      <c r="H88" s="29">
        <v>0.97732221860197488</v>
      </c>
      <c r="I88" s="7" t="e">
        <f t="shared" si="3"/>
        <v>#N/A</v>
      </c>
      <c r="J88" s="7" t="e">
        <f t="shared" si="4"/>
        <v>#N/A</v>
      </c>
    </row>
    <row r="89" spans="1:10" x14ac:dyDescent="0.35">
      <c r="A89" t="s">
        <v>48</v>
      </c>
      <c r="B89" t="s">
        <v>49</v>
      </c>
      <c r="C89" t="s">
        <v>26</v>
      </c>
      <c r="D89" t="s">
        <v>153</v>
      </c>
      <c r="E89" t="s">
        <v>41</v>
      </c>
      <c r="F89" s="32">
        <v>1.5606182</v>
      </c>
      <c r="G89" s="23">
        <v>1.748480849152475</v>
      </c>
      <c r="H89" s="29">
        <v>-4.311165980536296E-2</v>
      </c>
      <c r="I89" s="7">
        <f t="shared" si="3"/>
        <v>1.748480849152475</v>
      </c>
      <c r="J89" s="7">
        <f t="shared" si="4"/>
        <v>1.9134174317711481</v>
      </c>
    </row>
    <row r="90" spans="1:10" x14ac:dyDescent="0.35">
      <c r="A90" t="s">
        <v>48</v>
      </c>
      <c r="B90" t="s">
        <v>49</v>
      </c>
      <c r="C90" t="s">
        <v>27</v>
      </c>
      <c r="D90" t="s">
        <v>154</v>
      </c>
      <c r="E90" t="s">
        <v>41</v>
      </c>
      <c r="F90" s="32">
        <v>51.819645700000002</v>
      </c>
      <c r="G90" s="23">
        <v>11.39994267972023</v>
      </c>
      <c r="H90" s="29">
        <v>2.627448368570231</v>
      </c>
      <c r="I90" s="7">
        <f t="shared" si="3"/>
        <v>11.39994267972023</v>
      </c>
      <c r="J90" s="7">
        <f t="shared" si="4"/>
        <v>12.475314816940502</v>
      </c>
    </row>
    <row r="91" spans="1:10" x14ac:dyDescent="0.35">
      <c r="A91" t="s">
        <v>48</v>
      </c>
      <c r="B91" t="s">
        <v>49</v>
      </c>
      <c r="C91" t="s">
        <v>28</v>
      </c>
      <c r="D91" t="s">
        <v>155</v>
      </c>
      <c r="E91" t="s">
        <v>41</v>
      </c>
      <c r="F91" s="32">
        <v>86.324218700000003</v>
      </c>
      <c r="G91" s="23">
        <v>9.1331691893182541</v>
      </c>
      <c r="H91" s="29">
        <v>7.4550012933482588</v>
      </c>
      <c r="I91" s="7">
        <f t="shared" si="3"/>
        <v>9.1331691893182541</v>
      </c>
      <c r="J91" s="7">
        <f t="shared" si="4"/>
        <v>9.9947134923596579</v>
      </c>
    </row>
    <row r="92" spans="1:10" x14ac:dyDescent="0.35">
      <c r="A92" t="s">
        <v>48</v>
      </c>
      <c r="B92" t="s">
        <v>49</v>
      </c>
      <c r="C92" t="s">
        <v>29</v>
      </c>
      <c r="D92" t="s">
        <v>155</v>
      </c>
      <c r="E92" t="s">
        <v>41</v>
      </c>
      <c r="F92" s="32">
        <v>19.824876</v>
      </c>
      <c r="G92" s="23">
        <v>2.3408121053286672</v>
      </c>
      <c r="H92" s="29">
        <v>8.5587089639411779E-2</v>
      </c>
      <c r="I92" s="7">
        <f t="shared" si="3"/>
        <v>2.3408121053286672</v>
      </c>
      <c r="J92" s="7">
        <f t="shared" si="4"/>
        <v>2.561624103007953</v>
      </c>
    </row>
    <row r="93" spans="1:10" x14ac:dyDescent="0.35">
      <c r="A93" t="s">
        <v>48</v>
      </c>
      <c r="B93" t="s">
        <v>49</v>
      </c>
      <c r="C93" t="s">
        <v>30</v>
      </c>
      <c r="D93" t="s">
        <v>155</v>
      </c>
      <c r="E93" t="s">
        <v>41</v>
      </c>
      <c r="F93" s="32">
        <v>367.99144610000002</v>
      </c>
      <c r="G93" s="23">
        <v>14.989499397445684</v>
      </c>
      <c r="H93" s="29">
        <v>17.749716396221004</v>
      </c>
      <c r="I93" s="7">
        <f t="shared" si="3"/>
        <v>14.989499397445684</v>
      </c>
      <c r="J93" s="7">
        <f t="shared" si="4"/>
        <v>16.403479314341961</v>
      </c>
    </row>
    <row r="94" spans="1:10" x14ac:dyDescent="0.35">
      <c r="A94" t="s">
        <v>48</v>
      </c>
      <c r="B94" t="s">
        <v>49</v>
      </c>
      <c r="C94" t="s">
        <v>31</v>
      </c>
      <c r="D94" t="s">
        <v>155</v>
      </c>
      <c r="E94" t="s">
        <v>41</v>
      </c>
      <c r="F94" s="32">
        <v>17.386776600000001</v>
      </c>
      <c r="G94" s="23">
        <v>0.7963037351254767</v>
      </c>
      <c r="H94" s="29">
        <v>6.6683883887905804E-2</v>
      </c>
      <c r="I94" s="7">
        <f t="shared" si="3"/>
        <v>0.7963037351254767</v>
      </c>
      <c r="J94" s="7">
        <f t="shared" si="4"/>
        <v>0.87142015224937264</v>
      </c>
    </row>
    <row r="95" spans="1:10" x14ac:dyDescent="0.35">
      <c r="A95" t="s">
        <v>48</v>
      </c>
      <c r="B95" t="s">
        <v>49</v>
      </c>
      <c r="C95" t="s">
        <v>32</v>
      </c>
      <c r="D95" t="s">
        <v>153</v>
      </c>
      <c r="E95" t="s">
        <v>41</v>
      </c>
      <c r="F95" s="32">
        <v>7.0875800000000003E-2</v>
      </c>
      <c r="G95" s="23" t="e">
        <v>#N/A</v>
      </c>
      <c r="H95" s="29">
        <v>8.3590197925183463E-2</v>
      </c>
      <c r="I95" s="7" t="e">
        <f t="shared" si="3"/>
        <v>#N/A</v>
      </c>
      <c r="J95" s="7" t="e">
        <f t="shared" si="4"/>
        <v>#N/A</v>
      </c>
    </row>
    <row r="96" spans="1:10" x14ac:dyDescent="0.35">
      <c r="A96" t="s">
        <v>48</v>
      </c>
      <c r="B96" t="s">
        <v>49</v>
      </c>
      <c r="C96" t="s">
        <v>33</v>
      </c>
      <c r="D96" t="s">
        <v>155</v>
      </c>
      <c r="E96" t="s">
        <v>41</v>
      </c>
      <c r="F96" s="32">
        <v>287.80608880000005</v>
      </c>
      <c r="G96" s="23">
        <v>22.446798226233863</v>
      </c>
      <c r="H96" s="29">
        <v>11.66603805314061</v>
      </c>
      <c r="I96" s="7">
        <f t="shared" si="3"/>
        <v>22.446798226233863</v>
      </c>
      <c r="J96" s="7">
        <f t="shared" si="4"/>
        <v>24.564235309951702</v>
      </c>
    </row>
    <row r="97" spans="1:10" x14ac:dyDescent="0.35">
      <c r="A97" t="s">
        <v>48</v>
      </c>
      <c r="B97" t="s">
        <v>49</v>
      </c>
      <c r="C97" t="s">
        <v>34</v>
      </c>
      <c r="D97" t="s">
        <v>153</v>
      </c>
      <c r="E97" t="s">
        <v>41</v>
      </c>
      <c r="F97" s="32">
        <v>0</v>
      </c>
      <c r="G97" s="23" t="e">
        <v>#N/A</v>
      </c>
      <c r="H97" s="29">
        <v>-0.15367098977907931</v>
      </c>
      <c r="I97" s="7" t="e">
        <f t="shared" si="3"/>
        <v>#N/A</v>
      </c>
      <c r="J97" s="7" t="e">
        <f t="shared" si="4"/>
        <v>#N/A</v>
      </c>
    </row>
    <row r="98" spans="1:10" x14ac:dyDescent="0.35">
      <c r="A98" t="s">
        <v>48</v>
      </c>
      <c r="B98" t="s">
        <v>49</v>
      </c>
      <c r="C98" t="s">
        <v>35</v>
      </c>
      <c r="D98" t="s">
        <v>154</v>
      </c>
      <c r="E98" t="s">
        <v>41</v>
      </c>
      <c r="F98" s="32">
        <v>85.830479699999998</v>
      </c>
      <c r="G98" s="23">
        <v>8.4659943922293763</v>
      </c>
      <c r="H98" s="29">
        <v>15.864452996388659</v>
      </c>
      <c r="I98" s="7">
        <f t="shared" si="3"/>
        <v>8.4659943922293763</v>
      </c>
      <c r="J98" s="7">
        <f t="shared" si="4"/>
        <v>9.264603186943944</v>
      </c>
    </row>
    <row r="99" spans="1:10" x14ac:dyDescent="0.35">
      <c r="A99" t="s">
        <v>48</v>
      </c>
      <c r="B99" t="s">
        <v>49</v>
      </c>
      <c r="C99" t="s">
        <v>36</v>
      </c>
      <c r="D99" t="s">
        <v>155</v>
      </c>
      <c r="E99" t="s">
        <v>41</v>
      </c>
      <c r="F99" s="32">
        <v>1.9092201</v>
      </c>
      <c r="G99" s="23" t="e">
        <v>#N/A</v>
      </c>
      <c r="H99" s="29">
        <v>0.15600281038177416</v>
      </c>
      <c r="I99" s="7" t="e">
        <f t="shared" si="3"/>
        <v>#N/A</v>
      </c>
      <c r="J99" s="7" t="e">
        <f t="shared" si="4"/>
        <v>#N/A</v>
      </c>
    </row>
    <row r="100" spans="1:10" x14ac:dyDescent="0.35">
      <c r="A100" t="s">
        <v>48</v>
      </c>
      <c r="B100" t="s">
        <v>49</v>
      </c>
      <c r="C100" t="s">
        <v>37</v>
      </c>
      <c r="D100" t="s">
        <v>155</v>
      </c>
      <c r="E100" t="s">
        <v>41</v>
      </c>
      <c r="F100" s="32">
        <v>14.5929684</v>
      </c>
      <c r="G100" s="23">
        <v>3.9747202337084686</v>
      </c>
      <c r="H100" s="29">
        <v>1.5837334149261011</v>
      </c>
      <c r="I100" s="7">
        <f t="shared" si="3"/>
        <v>3.9747202337084686</v>
      </c>
      <c r="J100" s="7">
        <f t="shared" si="4"/>
        <v>4.3496610130318105</v>
      </c>
    </row>
    <row r="101" spans="1:10" x14ac:dyDescent="0.35">
      <c r="A101" t="s">
        <v>48</v>
      </c>
      <c r="B101" t="s">
        <v>49</v>
      </c>
      <c r="C101" t="s">
        <v>38</v>
      </c>
      <c r="D101" t="s">
        <v>155</v>
      </c>
      <c r="E101" t="s">
        <v>41</v>
      </c>
      <c r="F101" s="32">
        <v>19.883378499999999</v>
      </c>
      <c r="G101" s="23">
        <v>2.0876643714623593</v>
      </c>
      <c r="H101" s="29">
        <v>0.55911456956411099</v>
      </c>
      <c r="I101" s="7">
        <f t="shared" si="3"/>
        <v>2.0876643714623593</v>
      </c>
      <c r="J101" s="7">
        <f t="shared" si="4"/>
        <v>2.2845965982297654</v>
      </c>
    </row>
    <row r="102" spans="1:10" x14ac:dyDescent="0.35">
      <c r="A102" t="s">
        <v>48</v>
      </c>
      <c r="B102" t="s">
        <v>49</v>
      </c>
      <c r="C102" t="s">
        <v>39</v>
      </c>
      <c r="D102" t="s">
        <v>153</v>
      </c>
      <c r="E102" t="s">
        <v>41</v>
      </c>
      <c r="F102" s="32">
        <v>21.478907599999999</v>
      </c>
      <c r="G102" s="23" t="e">
        <v>#N/A</v>
      </c>
      <c r="H102" s="29">
        <v>0.19861597140200821</v>
      </c>
      <c r="I102" s="7" t="e">
        <f t="shared" si="3"/>
        <v>#N/A</v>
      </c>
      <c r="J102" s="7" t="e">
        <f t="shared" si="4"/>
        <v>#N/A</v>
      </c>
    </row>
    <row r="103" spans="1:10" s="19" customFormat="1" x14ac:dyDescent="0.35">
      <c r="A103" s="19" t="s">
        <v>48</v>
      </c>
      <c r="B103" s="19" t="s">
        <v>49</v>
      </c>
      <c r="C103" s="19" t="s">
        <v>40</v>
      </c>
      <c r="D103" s="19" t="s">
        <v>154</v>
      </c>
      <c r="E103" s="19" t="s">
        <v>41</v>
      </c>
      <c r="F103" s="33">
        <v>0</v>
      </c>
      <c r="G103" s="24" t="e">
        <v>#N/A</v>
      </c>
      <c r="H103" s="30">
        <v>-0.14655252800729124</v>
      </c>
      <c r="I103" s="21" t="e">
        <f t="shared" si="3"/>
        <v>#N/A</v>
      </c>
      <c r="J103" s="21" t="e">
        <f t="shared" si="4"/>
        <v>#N/A</v>
      </c>
    </row>
    <row r="104" spans="1:10" x14ac:dyDescent="0.35">
      <c r="A104" t="s">
        <v>47</v>
      </c>
      <c r="B104" t="s">
        <v>50</v>
      </c>
      <c r="C104" t="s">
        <v>6</v>
      </c>
      <c r="D104" t="s">
        <v>153</v>
      </c>
      <c r="E104" t="s">
        <v>41</v>
      </c>
      <c r="F104" s="32">
        <v>6.7367412</v>
      </c>
      <c r="G104" s="23" t="e">
        <v>#N/A</v>
      </c>
      <c r="H104" s="29">
        <v>0.75138690473309799</v>
      </c>
      <c r="I104" s="7" t="e">
        <f t="shared" si="3"/>
        <v>#N/A</v>
      </c>
      <c r="J104" s="7" t="e">
        <f>I104/0.7236</f>
        <v>#N/A</v>
      </c>
    </row>
    <row r="105" spans="1:10" x14ac:dyDescent="0.35">
      <c r="A105" t="s">
        <v>47</v>
      </c>
      <c r="B105" t="s">
        <v>50</v>
      </c>
      <c r="C105" t="s">
        <v>7</v>
      </c>
      <c r="D105" t="s">
        <v>153</v>
      </c>
      <c r="E105" t="s">
        <v>41</v>
      </c>
      <c r="F105" s="32">
        <v>0.27177039999999997</v>
      </c>
      <c r="G105" s="23" t="e">
        <v>#N/A</v>
      </c>
      <c r="H105" s="29">
        <v>-4.8002966098759224E-2</v>
      </c>
      <c r="I105" s="7" t="e">
        <f t="shared" si="3"/>
        <v>#N/A</v>
      </c>
      <c r="J105" s="7" t="e">
        <f t="shared" ref="J105:J137" si="5">I105/0.7236</f>
        <v>#N/A</v>
      </c>
    </row>
    <row r="106" spans="1:10" x14ac:dyDescent="0.35">
      <c r="A106" t="s">
        <v>47</v>
      </c>
      <c r="B106" t="s">
        <v>50</v>
      </c>
      <c r="C106" t="s">
        <v>8</v>
      </c>
      <c r="D106" t="s">
        <v>153</v>
      </c>
      <c r="E106" t="s">
        <v>41</v>
      </c>
      <c r="F106" s="32">
        <v>0</v>
      </c>
      <c r="G106" s="23" t="e">
        <v>#N/A</v>
      </c>
      <c r="H106" s="29">
        <v>2.6137116639339849E-3</v>
      </c>
      <c r="I106" s="7" t="e">
        <f t="shared" si="3"/>
        <v>#N/A</v>
      </c>
      <c r="J106" s="7" t="e">
        <f t="shared" si="5"/>
        <v>#N/A</v>
      </c>
    </row>
    <row r="107" spans="1:10" x14ac:dyDescent="0.35">
      <c r="A107" t="s">
        <v>47</v>
      </c>
      <c r="B107" t="s">
        <v>50</v>
      </c>
      <c r="C107" t="s">
        <v>9</v>
      </c>
      <c r="D107" t="s">
        <v>153</v>
      </c>
      <c r="E107" t="s">
        <v>41</v>
      </c>
      <c r="F107" s="32">
        <v>11.917392299999999</v>
      </c>
      <c r="G107" s="23">
        <v>1.6712322536202691</v>
      </c>
      <c r="H107" s="29">
        <v>5.8693440734053919</v>
      </c>
      <c r="I107" s="7">
        <f t="shared" si="3"/>
        <v>1.6712322536202691</v>
      </c>
      <c r="J107" s="7">
        <f t="shared" si="5"/>
        <v>2.309607868463611</v>
      </c>
    </row>
    <row r="108" spans="1:10" x14ac:dyDescent="0.35">
      <c r="A108" t="s">
        <v>47</v>
      </c>
      <c r="B108" t="s">
        <v>50</v>
      </c>
      <c r="C108" t="s">
        <v>10</v>
      </c>
      <c r="D108" t="s">
        <v>153</v>
      </c>
      <c r="E108" t="s">
        <v>41</v>
      </c>
      <c r="F108" s="32">
        <v>96.611986799999997</v>
      </c>
      <c r="G108" s="23">
        <v>9.9277912347740802</v>
      </c>
      <c r="H108" s="29">
        <v>7.7743746074052833</v>
      </c>
      <c r="I108" s="7">
        <f t="shared" si="3"/>
        <v>9.9277912347740802</v>
      </c>
      <c r="J108" s="7">
        <f t="shared" si="5"/>
        <v>13.719998942473852</v>
      </c>
    </row>
    <row r="109" spans="1:10" x14ac:dyDescent="0.35">
      <c r="A109" t="s">
        <v>47</v>
      </c>
      <c r="B109" t="s">
        <v>50</v>
      </c>
      <c r="C109" t="s">
        <v>11</v>
      </c>
      <c r="D109" t="s">
        <v>153</v>
      </c>
      <c r="E109" t="s">
        <v>41</v>
      </c>
      <c r="F109" s="32">
        <v>106.619164</v>
      </c>
      <c r="G109" s="23">
        <v>12.322288465859666</v>
      </c>
      <c r="H109" s="29">
        <v>28.81083556437936</v>
      </c>
      <c r="I109" s="7">
        <f t="shared" si="3"/>
        <v>12.322288465859666</v>
      </c>
      <c r="J109" s="7">
        <f t="shared" si="5"/>
        <v>17.029143816832043</v>
      </c>
    </row>
    <row r="110" spans="1:10" x14ac:dyDescent="0.35">
      <c r="A110" t="s">
        <v>47</v>
      </c>
      <c r="B110" t="s">
        <v>50</v>
      </c>
      <c r="C110" t="s">
        <v>12</v>
      </c>
      <c r="D110" t="s">
        <v>154</v>
      </c>
      <c r="E110" t="s">
        <v>41</v>
      </c>
      <c r="F110" s="32">
        <v>0</v>
      </c>
      <c r="G110" s="23" t="e">
        <v>#N/A</v>
      </c>
      <c r="H110" s="29">
        <v>-5.1110126942340753E-2</v>
      </c>
      <c r="I110" s="7" t="e">
        <f t="shared" si="3"/>
        <v>#N/A</v>
      </c>
      <c r="J110" s="7" t="e">
        <f t="shared" si="5"/>
        <v>#N/A</v>
      </c>
    </row>
    <row r="111" spans="1:10" x14ac:dyDescent="0.35">
      <c r="A111" t="s">
        <v>47</v>
      </c>
      <c r="B111" t="s">
        <v>50</v>
      </c>
      <c r="C111" t="s">
        <v>13</v>
      </c>
      <c r="D111" t="s">
        <v>153</v>
      </c>
      <c r="E111" t="s">
        <v>41</v>
      </c>
      <c r="F111" s="32">
        <v>17.706470299999999</v>
      </c>
      <c r="G111" s="23">
        <v>2.3166792691474338</v>
      </c>
      <c r="H111" s="29">
        <v>0.85709110661039645</v>
      </c>
      <c r="I111" s="7">
        <f t="shared" si="3"/>
        <v>2.3166792691474338</v>
      </c>
      <c r="J111" s="7">
        <f t="shared" si="5"/>
        <v>3.2016020856100522</v>
      </c>
    </row>
    <row r="112" spans="1:10" x14ac:dyDescent="0.35">
      <c r="A112" t="s">
        <v>47</v>
      </c>
      <c r="B112" t="s">
        <v>50</v>
      </c>
      <c r="C112" t="s">
        <v>14</v>
      </c>
      <c r="D112" t="s">
        <v>154</v>
      </c>
      <c r="E112" t="s">
        <v>41</v>
      </c>
      <c r="F112" s="32">
        <v>0</v>
      </c>
      <c r="G112" s="23" t="e">
        <v>#N/A</v>
      </c>
      <c r="H112" s="29">
        <v>8.3757442575115804E-2</v>
      </c>
      <c r="I112" s="7" t="e">
        <f t="shared" si="3"/>
        <v>#N/A</v>
      </c>
      <c r="J112" s="7" t="e">
        <f t="shared" si="5"/>
        <v>#N/A</v>
      </c>
    </row>
    <row r="113" spans="1:10" x14ac:dyDescent="0.35">
      <c r="A113" t="s">
        <v>47</v>
      </c>
      <c r="B113" t="s">
        <v>50</v>
      </c>
      <c r="C113" t="s">
        <v>15</v>
      </c>
      <c r="D113" t="s">
        <v>153</v>
      </c>
      <c r="E113" t="s">
        <v>41</v>
      </c>
      <c r="F113" s="32">
        <v>2735.3749583999997</v>
      </c>
      <c r="G113" s="23">
        <v>65.519665301715975</v>
      </c>
      <c r="H113" s="29">
        <v>199.35892635347523</v>
      </c>
      <c r="I113" s="7">
        <f t="shared" si="3"/>
        <v>65.519665301715975</v>
      </c>
      <c r="J113" s="7">
        <f t="shared" si="5"/>
        <v>90.546801135594208</v>
      </c>
    </row>
    <row r="114" spans="1:10" x14ac:dyDescent="0.35">
      <c r="A114" t="s">
        <v>47</v>
      </c>
      <c r="B114" t="s">
        <v>50</v>
      </c>
      <c r="C114" t="s">
        <v>16</v>
      </c>
      <c r="D114" t="s">
        <v>154</v>
      </c>
      <c r="E114" t="s">
        <v>41</v>
      </c>
      <c r="F114" s="32">
        <v>487.11088849999999</v>
      </c>
      <c r="G114" s="23">
        <v>42.416923102151387</v>
      </c>
      <c r="H114" s="29">
        <v>122.33778858950038</v>
      </c>
      <c r="I114" s="7">
        <f t="shared" si="3"/>
        <v>42.416923102151387</v>
      </c>
      <c r="J114" s="7">
        <f t="shared" si="5"/>
        <v>58.619296713863164</v>
      </c>
    </row>
    <row r="115" spans="1:10" x14ac:dyDescent="0.35">
      <c r="A115" t="s">
        <v>47</v>
      </c>
      <c r="B115" t="s">
        <v>50</v>
      </c>
      <c r="C115" t="s">
        <v>18</v>
      </c>
      <c r="D115" t="s">
        <v>154</v>
      </c>
      <c r="E115" t="s">
        <v>41</v>
      </c>
      <c r="F115" s="32">
        <v>0</v>
      </c>
      <c r="G115" s="23" t="e">
        <v>#N/A</v>
      </c>
      <c r="H115" s="29">
        <v>-3.8027404267394871E-2</v>
      </c>
      <c r="I115" s="7" t="e">
        <f t="shared" si="3"/>
        <v>#N/A</v>
      </c>
      <c r="J115" s="7" t="e">
        <f t="shared" si="5"/>
        <v>#N/A</v>
      </c>
    </row>
    <row r="116" spans="1:10" x14ac:dyDescent="0.35">
      <c r="A116" t="s">
        <v>47</v>
      </c>
      <c r="B116" t="s">
        <v>50</v>
      </c>
      <c r="C116" t="s">
        <v>19</v>
      </c>
      <c r="D116" t="s">
        <v>153</v>
      </c>
      <c r="E116" t="s">
        <v>41</v>
      </c>
      <c r="F116" s="32">
        <v>442.92893040000001</v>
      </c>
      <c r="G116" s="23">
        <v>34.862810989587437</v>
      </c>
      <c r="H116" s="29">
        <v>45.224758379901601</v>
      </c>
      <c r="I116" s="7">
        <f t="shared" si="3"/>
        <v>34.862810989587437</v>
      </c>
      <c r="J116" s="7">
        <f t="shared" si="5"/>
        <v>48.179672456588499</v>
      </c>
    </row>
    <row r="117" spans="1:10" x14ac:dyDescent="0.35">
      <c r="A117" t="s">
        <v>47</v>
      </c>
      <c r="B117" t="s">
        <v>50</v>
      </c>
      <c r="C117" t="s">
        <v>20</v>
      </c>
      <c r="D117" t="s">
        <v>154</v>
      </c>
      <c r="E117" t="s">
        <v>41</v>
      </c>
      <c r="F117" s="32">
        <v>444.7091021</v>
      </c>
      <c r="G117" s="23">
        <v>41.871859325613848</v>
      </c>
      <c r="H117" s="29">
        <v>184.81314175391688</v>
      </c>
      <c r="I117" s="7">
        <f t="shared" si="3"/>
        <v>41.871859325613848</v>
      </c>
      <c r="J117" s="7">
        <f t="shared" si="5"/>
        <v>57.866030024341967</v>
      </c>
    </row>
    <row r="118" spans="1:10" x14ac:dyDescent="0.35">
      <c r="A118" t="s">
        <v>47</v>
      </c>
      <c r="B118" t="s">
        <v>50</v>
      </c>
      <c r="C118" t="s">
        <v>21</v>
      </c>
      <c r="D118" t="s">
        <v>155</v>
      </c>
      <c r="E118" t="s">
        <v>41</v>
      </c>
      <c r="F118" s="32">
        <v>0.66811890000000007</v>
      </c>
      <c r="G118" s="23" t="e">
        <v>#N/A</v>
      </c>
      <c r="H118" s="29">
        <v>8.8051792257613518E-2</v>
      </c>
      <c r="I118" s="7" t="e">
        <f t="shared" si="3"/>
        <v>#N/A</v>
      </c>
      <c r="J118" s="7" t="e">
        <f t="shared" si="5"/>
        <v>#N/A</v>
      </c>
    </row>
    <row r="119" spans="1:10" x14ac:dyDescent="0.35">
      <c r="A119" t="s">
        <v>47</v>
      </c>
      <c r="B119" t="s">
        <v>50</v>
      </c>
      <c r="C119" t="s">
        <v>22</v>
      </c>
      <c r="D119" t="s">
        <v>155</v>
      </c>
      <c r="E119" t="s">
        <v>41</v>
      </c>
      <c r="F119" s="32">
        <v>236.1337523</v>
      </c>
      <c r="G119" s="23">
        <v>18.174255310853884</v>
      </c>
      <c r="H119" s="29">
        <v>75.839662288206455</v>
      </c>
      <c r="I119" s="7">
        <f t="shared" si="3"/>
        <v>18.174255310853884</v>
      </c>
      <c r="J119" s="7">
        <f t="shared" si="5"/>
        <v>25.116439069726205</v>
      </c>
    </row>
    <row r="120" spans="1:10" x14ac:dyDescent="0.35">
      <c r="A120" t="s">
        <v>47</v>
      </c>
      <c r="B120" t="s">
        <v>50</v>
      </c>
      <c r="C120" t="s">
        <v>23</v>
      </c>
      <c r="D120" t="s">
        <v>155</v>
      </c>
      <c r="E120" t="s">
        <v>41</v>
      </c>
      <c r="F120" s="32">
        <v>0</v>
      </c>
      <c r="G120" s="23">
        <v>1.1057519531069271</v>
      </c>
      <c r="H120" s="29">
        <v>2.3926096763925805E-2</v>
      </c>
      <c r="I120" s="7">
        <f t="shared" si="3"/>
        <v>1.1057519531069271</v>
      </c>
      <c r="J120" s="7">
        <f t="shared" si="5"/>
        <v>1.5281259716790037</v>
      </c>
    </row>
    <row r="121" spans="1:10" x14ac:dyDescent="0.35">
      <c r="A121" t="s">
        <v>47</v>
      </c>
      <c r="B121" t="s">
        <v>50</v>
      </c>
      <c r="C121" t="s">
        <v>24</v>
      </c>
      <c r="D121" t="s">
        <v>155</v>
      </c>
      <c r="E121" t="s">
        <v>41</v>
      </c>
      <c r="F121" s="32">
        <v>216.44535500000001</v>
      </c>
      <c r="G121" s="23">
        <v>4.6680197295807861</v>
      </c>
      <c r="H121" s="29">
        <v>14.808397931859238</v>
      </c>
      <c r="I121" s="7">
        <f t="shared" si="3"/>
        <v>4.6680197295807861</v>
      </c>
      <c r="J121" s="7">
        <f t="shared" si="5"/>
        <v>6.4511052094814625</v>
      </c>
    </row>
    <row r="122" spans="1:10" x14ac:dyDescent="0.35">
      <c r="A122" t="s">
        <v>47</v>
      </c>
      <c r="B122" t="s">
        <v>50</v>
      </c>
      <c r="C122" t="s">
        <v>25</v>
      </c>
      <c r="D122" t="s">
        <v>155</v>
      </c>
      <c r="E122" t="s">
        <v>41</v>
      </c>
      <c r="F122" s="32">
        <v>12.4464907</v>
      </c>
      <c r="G122" s="23">
        <v>0.90318860008550295</v>
      </c>
      <c r="H122" s="29">
        <v>3.0820810349830809</v>
      </c>
      <c r="I122" s="7">
        <f t="shared" si="3"/>
        <v>0.90318860008550295</v>
      </c>
      <c r="J122" s="7">
        <f t="shared" si="5"/>
        <v>1.2481876728655374</v>
      </c>
    </row>
    <row r="123" spans="1:10" x14ac:dyDescent="0.35">
      <c r="A123" t="s">
        <v>47</v>
      </c>
      <c r="B123" t="s">
        <v>50</v>
      </c>
      <c r="C123" t="s">
        <v>26</v>
      </c>
      <c r="D123" t="s">
        <v>153</v>
      </c>
      <c r="E123" t="s">
        <v>41</v>
      </c>
      <c r="F123" s="32">
        <v>1.8122145000000001</v>
      </c>
      <c r="G123" s="23">
        <v>1.6903352341456528</v>
      </c>
      <c r="H123" s="29">
        <v>-4.152103062778989E-2</v>
      </c>
      <c r="I123" s="7">
        <f t="shared" si="3"/>
        <v>1.6903352341456528</v>
      </c>
      <c r="J123" s="7">
        <f t="shared" si="5"/>
        <v>2.3360077862709407</v>
      </c>
    </row>
    <row r="124" spans="1:10" x14ac:dyDescent="0.35">
      <c r="A124" t="s">
        <v>47</v>
      </c>
      <c r="B124" t="s">
        <v>50</v>
      </c>
      <c r="C124" t="s">
        <v>27</v>
      </c>
      <c r="D124" t="s">
        <v>154</v>
      </c>
      <c r="E124" t="s">
        <v>41</v>
      </c>
      <c r="F124" s="32">
        <v>17.964521000000001</v>
      </c>
      <c r="G124" s="23">
        <v>3.0618269972280663</v>
      </c>
      <c r="H124" s="29">
        <v>14.401406184450318</v>
      </c>
      <c r="I124" s="7">
        <f t="shared" si="3"/>
        <v>3.0618269972280663</v>
      </c>
      <c r="J124" s="7">
        <f t="shared" si="5"/>
        <v>4.2313805931841708</v>
      </c>
    </row>
    <row r="125" spans="1:10" x14ac:dyDescent="0.35">
      <c r="A125" t="s">
        <v>47</v>
      </c>
      <c r="B125" t="s">
        <v>50</v>
      </c>
      <c r="C125" t="s">
        <v>28</v>
      </c>
      <c r="D125" t="s">
        <v>155</v>
      </c>
      <c r="E125" t="s">
        <v>41</v>
      </c>
      <c r="F125" s="32">
        <v>41.860368000000001</v>
      </c>
      <c r="G125" s="23">
        <v>2.0898355799392681</v>
      </c>
      <c r="H125" s="29">
        <v>25.323224909439435</v>
      </c>
      <c r="I125" s="7">
        <f t="shared" si="3"/>
        <v>2.0898355799392681</v>
      </c>
      <c r="J125" s="7">
        <f t="shared" si="5"/>
        <v>2.8881088722212107</v>
      </c>
    </row>
    <row r="126" spans="1:10" x14ac:dyDescent="0.35">
      <c r="A126" t="s">
        <v>47</v>
      </c>
      <c r="B126" t="s">
        <v>50</v>
      </c>
      <c r="C126" t="s">
        <v>29</v>
      </c>
      <c r="D126" t="s">
        <v>155</v>
      </c>
      <c r="E126" t="s">
        <v>41</v>
      </c>
      <c r="F126" s="32">
        <v>5.0889845999999999</v>
      </c>
      <c r="G126" s="23">
        <v>0.51032993965803919</v>
      </c>
      <c r="H126" s="29">
        <v>5.9296612359620413</v>
      </c>
      <c r="I126" s="7">
        <f t="shared" si="3"/>
        <v>0.51032993965803919</v>
      </c>
      <c r="J126" s="7">
        <f t="shared" si="5"/>
        <v>0.7052652565755102</v>
      </c>
    </row>
    <row r="127" spans="1:10" x14ac:dyDescent="0.35">
      <c r="A127" t="s">
        <v>47</v>
      </c>
      <c r="B127" t="s">
        <v>50</v>
      </c>
      <c r="C127" t="s">
        <v>30</v>
      </c>
      <c r="D127" t="s">
        <v>155</v>
      </c>
      <c r="E127" t="s">
        <v>41</v>
      </c>
      <c r="F127" s="32">
        <v>235.72992869999999</v>
      </c>
      <c r="G127" s="23">
        <v>9.5527936155485289</v>
      </c>
      <c r="H127" s="29">
        <v>45.567325834886717</v>
      </c>
      <c r="I127" s="7">
        <f t="shared" si="3"/>
        <v>9.5527936155485289</v>
      </c>
      <c r="J127" s="7">
        <f t="shared" si="5"/>
        <v>13.201760109934396</v>
      </c>
    </row>
    <row r="128" spans="1:10" x14ac:dyDescent="0.35">
      <c r="A128" t="s">
        <v>47</v>
      </c>
      <c r="B128" t="s">
        <v>50</v>
      </c>
      <c r="C128" t="s">
        <v>31</v>
      </c>
      <c r="D128" t="s">
        <v>155</v>
      </c>
      <c r="E128" t="s">
        <v>41</v>
      </c>
      <c r="F128" s="32" t="e">
        <v>#N/A</v>
      </c>
      <c r="G128" s="23" t="e">
        <v>#N/A</v>
      </c>
      <c r="H128" s="29">
        <v>1.0058815555168612</v>
      </c>
      <c r="I128" s="7" t="e">
        <f t="shared" si="3"/>
        <v>#N/A</v>
      </c>
      <c r="J128" s="7" t="e">
        <f t="shared" si="5"/>
        <v>#N/A</v>
      </c>
    </row>
    <row r="129" spans="1:10" x14ac:dyDescent="0.35">
      <c r="A129" t="s">
        <v>47</v>
      </c>
      <c r="B129" t="s">
        <v>50</v>
      </c>
      <c r="C129" t="s">
        <v>32</v>
      </c>
      <c r="D129" t="s">
        <v>153</v>
      </c>
      <c r="E129" t="s">
        <v>41</v>
      </c>
      <c r="F129" s="32">
        <v>0.4644721</v>
      </c>
      <c r="G129" s="23" t="e">
        <v>#N/A</v>
      </c>
      <c r="H129" s="29">
        <v>0.14693323680444451</v>
      </c>
      <c r="I129" s="7" t="e">
        <f t="shared" si="3"/>
        <v>#N/A</v>
      </c>
      <c r="J129" s="7" t="e">
        <f t="shared" si="5"/>
        <v>#N/A</v>
      </c>
    </row>
    <row r="130" spans="1:10" x14ac:dyDescent="0.35">
      <c r="A130" t="s">
        <v>47</v>
      </c>
      <c r="B130" t="s">
        <v>50</v>
      </c>
      <c r="C130" t="s">
        <v>33</v>
      </c>
      <c r="D130" t="s">
        <v>155</v>
      </c>
      <c r="E130" t="s">
        <v>41</v>
      </c>
      <c r="F130" s="32">
        <v>213.305758</v>
      </c>
      <c r="G130" s="23">
        <v>13.259928492487889</v>
      </c>
      <c r="H130" s="29">
        <v>27.146708326703127</v>
      </c>
      <c r="I130" s="7">
        <f t="shared" ref="I130:I193" si="6">IF(G130&lt;0,0,G130)</f>
        <v>13.259928492487889</v>
      </c>
      <c r="J130" s="7">
        <f t="shared" si="5"/>
        <v>18.324942637490171</v>
      </c>
    </row>
    <row r="131" spans="1:10" x14ac:dyDescent="0.35">
      <c r="A131" t="s">
        <v>47</v>
      </c>
      <c r="B131" t="s">
        <v>50</v>
      </c>
      <c r="C131" t="s">
        <v>34</v>
      </c>
      <c r="D131" t="s">
        <v>153</v>
      </c>
      <c r="E131" t="s">
        <v>41</v>
      </c>
      <c r="F131" s="32">
        <v>0</v>
      </c>
      <c r="G131" s="23" t="e">
        <v>#N/A</v>
      </c>
      <c r="H131" s="29">
        <v>-0.1557886441405994</v>
      </c>
      <c r="I131" s="7" t="e">
        <f t="shared" si="6"/>
        <v>#N/A</v>
      </c>
      <c r="J131" s="7" t="e">
        <f t="shared" si="5"/>
        <v>#N/A</v>
      </c>
    </row>
    <row r="132" spans="1:10" x14ac:dyDescent="0.35">
      <c r="A132" t="s">
        <v>47</v>
      </c>
      <c r="B132" t="s">
        <v>50</v>
      </c>
      <c r="C132" t="s">
        <v>35</v>
      </c>
      <c r="D132" t="s">
        <v>154</v>
      </c>
      <c r="E132" t="s">
        <v>41</v>
      </c>
      <c r="F132" s="32">
        <v>66.718069799999995</v>
      </c>
      <c r="G132" s="23">
        <v>6.8266342941864782</v>
      </c>
      <c r="H132" s="29">
        <v>26.582038165758092</v>
      </c>
      <c r="I132" s="7">
        <f t="shared" si="6"/>
        <v>6.8266342941864782</v>
      </c>
      <c r="J132" s="7">
        <f t="shared" si="5"/>
        <v>9.4342651937347686</v>
      </c>
    </row>
    <row r="133" spans="1:10" x14ac:dyDescent="0.35">
      <c r="A133" t="s">
        <v>47</v>
      </c>
      <c r="B133" t="s">
        <v>50</v>
      </c>
      <c r="C133" t="s">
        <v>36</v>
      </c>
      <c r="D133" t="s">
        <v>155</v>
      </c>
      <c r="E133" t="s">
        <v>41</v>
      </c>
      <c r="F133" s="32">
        <v>1.8987339999999999</v>
      </c>
      <c r="G133" s="23" t="e">
        <v>#N/A</v>
      </c>
      <c r="H133" s="29">
        <v>0.16733840377179388</v>
      </c>
      <c r="I133" s="7" t="e">
        <f t="shared" si="6"/>
        <v>#N/A</v>
      </c>
      <c r="J133" s="7" t="e">
        <f t="shared" si="5"/>
        <v>#N/A</v>
      </c>
    </row>
    <row r="134" spans="1:10" x14ac:dyDescent="0.35">
      <c r="A134" t="s">
        <v>47</v>
      </c>
      <c r="B134" t="s">
        <v>50</v>
      </c>
      <c r="C134" t="s">
        <v>37</v>
      </c>
      <c r="D134" t="s">
        <v>155</v>
      </c>
      <c r="E134" t="s">
        <v>41</v>
      </c>
      <c r="F134" s="32">
        <v>7.7797767999999996</v>
      </c>
      <c r="G134" s="23">
        <v>2.3228557873708771</v>
      </c>
      <c r="H134" s="29">
        <v>4.9193312111472274</v>
      </c>
      <c r="I134" s="7">
        <f t="shared" si="6"/>
        <v>2.3228557873708771</v>
      </c>
      <c r="J134" s="7">
        <f t="shared" si="5"/>
        <v>3.2101379040504106</v>
      </c>
    </row>
    <row r="135" spans="1:10" x14ac:dyDescent="0.35">
      <c r="A135" t="s">
        <v>47</v>
      </c>
      <c r="B135" t="s">
        <v>50</v>
      </c>
      <c r="C135" t="s">
        <v>38</v>
      </c>
      <c r="D135" t="s">
        <v>155</v>
      </c>
      <c r="E135" t="s">
        <v>41</v>
      </c>
      <c r="F135" s="32">
        <v>8.5064084999999992</v>
      </c>
      <c r="G135" s="23">
        <v>0.68260605607231728</v>
      </c>
      <c r="H135" s="29">
        <v>2.4393810844905985</v>
      </c>
      <c r="I135" s="7">
        <f t="shared" si="6"/>
        <v>0.68260605607231728</v>
      </c>
      <c r="J135" s="7">
        <f t="shared" si="5"/>
        <v>0.94334723061403714</v>
      </c>
    </row>
    <row r="136" spans="1:10" x14ac:dyDescent="0.35">
      <c r="A136" t="s">
        <v>47</v>
      </c>
      <c r="B136" t="s">
        <v>50</v>
      </c>
      <c r="C136" t="s">
        <v>39</v>
      </c>
      <c r="D136" t="s">
        <v>153</v>
      </c>
      <c r="E136" t="s">
        <v>41</v>
      </c>
      <c r="F136" s="32">
        <v>22.515428800000002</v>
      </c>
      <c r="G136" s="23" t="e">
        <v>#N/A</v>
      </c>
      <c r="H136" s="29">
        <v>0.59839662458482079</v>
      </c>
      <c r="I136" s="7" t="e">
        <f t="shared" si="6"/>
        <v>#N/A</v>
      </c>
      <c r="J136" s="7" t="e">
        <f t="shared" si="5"/>
        <v>#N/A</v>
      </c>
    </row>
    <row r="137" spans="1:10" s="19" customFormat="1" x14ac:dyDescent="0.35">
      <c r="A137" s="19" t="s">
        <v>47</v>
      </c>
      <c r="B137" s="19" t="s">
        <v>50</v>
      </c>
      <c r="C137" s="19" t="s">
        <v>40</v>
      </c>
      <c r="D137" s="19" t="s">
        <v>154</v>
      </c>
      <c r="E137" s="19" t="s">
        <v>41</v>
      </c>
      <c r="F137" s="33">
        <v>0</v>
      </c>
      <c r="G137" s="24" t="e">
        <v>#N/A</v>
      </c>
      <c r="H137" s="30">
        <v>0.22157614994510488</v>
      </c>
      <c r="I137" s="21" t="e">
        <f t="shared" si="6"/>
        <v>#N/A</v>
      </c>
      <c r="J137" s="21" t="e">
        <f t="shared" si="5"/>
        <v>#N/A</v>
      </c>
    </row>
    <row r="138" spans="1:10" x14ac:dyDescent="0.35">
      <c r="A138" t="s">
        <v>51</v>
      </c>
      <c r="B138" t="s">
        <v>52</v>
      </c>
      <c r="C138" t="s">
        <v>6</v>
      </c>
      <c r="D138" t="s">
        <v>153</v>
      </c>
      <c r="E138" t="s">
        <v>41</v>
      </c>
      <c r="F138" s="32">
        <v>6.6951331999999999</v>
      </c>
      <c r="G138" s="23" t="e">
        <v>#N/A</v>
      </c>
      <c r="H138" s="29">
        <v>0.74963522971577723</v>
      </c>
      <c r="I138" s="7" t="e">
        <f t="shared" si="6"/>
        <v>#N/A</v>
      </c>
      <c r="J138" s="7" t="e">
        <f>I138/0.6708</f>
        <v>#N/A</v>
      </c>
    </row>
    <row r="139" spans="1:10" x14ac:dyDescent="0.35">
      <c r="A139" t="s">
        <v>51</v>
      </c>
      <c r="B139" t="s">
        <v>52</v>
      </c>
      <c r="C139" t="s">
        <v>7</v>
      </c>
      <c r="D139" t="s">
        <v>153</v>
      </c>
      <c r="E139" t="s">
        <v>41</v>
      </c>
      <c r="F139" s="32">
        <v>0</v>
      </c>
      <c r="G139" s="23" t="e">
        <v>#N/A</v>
      </c>
      <c r="H139" s="29">
        <v>-8.7491912121182264E-2</v>
      </c>
      <c r="I139" s="7" t="e">
        <f t="shared" si="6"/>
        <v>#N/A</v>
      </c>
      <c r="J139" s="7" t="e">
        <f t="shared" ref="J139:J171" si="7">I139/0.6708</f>
        <v>#N/A</v>
      </c>
    </row>
    <row r="140" spans="1:10" x14ac:dyDescent="0.35">
      <c r="A140" t="s">
        <v>51</v>
      </c>
      <c r="B140" t="s">
        <v>52</v>
      </c>
      <c r="C140" t="s">
        <v>8</v>
      </c>
      <c r="D140" t="s">
        <v>153</v>
      </c>
      <c r="E140" t="s">
        <v>41</v>
      </c>
      <c r="F140" s="32">
        <v>0</v>
      </c>
      <c r="G140" s="23" t="e">
        <v>#N/A</v>
      </c>
      <c r="H140" s="29">
        <v>-4.0323011027364714E-2</v>
      </c>
      <c r="I140" s="7" t="e">
        <f t="shared" si="6"/>
        <v>#N/A</v>
      </c>
      <c r="J140" s="7" t="e">
        <f t="shared" si="7"/>
        <v>#N/A</v>
      </c>
    </row>
    <row r="141" spans="1:10" x14ac:dyDescent="0.35">
      <c r="A141" t="s">
        <v>51</v>
      </c>
      <c r="B141" t="s">
        <v>52</v>
      </c>
      <c r="C141" t="s">
        <v>9</v>
      </c>
      <c r="D141" t="s">
        <v>153</v>
      </c>
      <c r="E141" t="s">
        <v>41</v>
      </c>
      <c r="F141" s="32">
        <v>14.651449599999999</v>
      </c>
      <c r="G141" s="23">
        <v>1.9423967512031979</v>
      </c>
      <c r="H141" s="29">
        <v>6.7238049771066146</v>
      </c>
      <c r="I141" s="7">
        <f t="shared" si="6"/>
        <v>1.9423967512031979</v>
      </c>
      <c r="J141" s="7">
        <f t="shared" si="7"/>
        <v>2.8956421455026806</v>
      </c>
    </row>
    <row r="142" spans="1:10" x14ac:dyDescent="0.35">
      <c r="A142" t="s">
        <v>51</v>
      </c>
      <c r="B142" t="s">
        <v>52</v>
      </c>
      <c r="C142" t="s">
        <v>10</v>
      </c>
      <c r="D142" t="s">
        <v>153</v>
      </c>
      <c r="E142" t="s">
        <v>41</v>
      </c>
      <c r="F142" s="32">
        <v>95.484060299999996</v>
      </c>
      <c r="G142" s="23">
        <v>9.7425675657375024</v>
      </c>
      <c r="H142" s="29">
        <v>7.683644363724814</v>
      </c>
      <c r="I142" s="7">
        <f t="shared" si="6"/>
        <v>9.7425675657375024</v>
      </c>
      <c r="J142" s="7">
        <f t="shared" si="7"/>
        <v>14.523803765261633</v>
      </c>
    </row>
    <row r="143" spans="1:10" x14ac:dyDescent="0.35">
      <c r="A143" t="s">
        <v>51</v>
      </c>
      <c r="B143" t="s">
        <v>52</v>
      </c>
      <c r="C143" t="s">
        <v>11</v>
      </c>
      <c r="D143" t="s">
        <v>153</v>
      </c>
      <c r="E143" t="s">
        <v>41</v>
      </c>
      <c r="F143" s="32">
        <v>134.51253800000001</v>
      </c>
      <c r="G143" s="23">
        <v>14.877884362893003</v>
      </c>
      <c r="H143" s="29">
        <v>35.974118023012828</v>
      </c>
      <c r="I143" s="7">
        <f t="shared" si="6"/>
        <v>14.877884362893003</v>
      </c>
      <c r="J143" s="7">
        <f t="shared" si="7"/>
        <v>22.179314792625227</v>
      </c>
    </row>
    <row r="144" spans="1:10" x14ac:dyDescent="0.35">
      <c r="A144" t="s">
        <v>51</v>
      </c>
      <c r="B144" t="s">
        <v>52</v>
      </c>
      <c r="C144" t="s">
        <v>12</v>
      </c>
      <c r="D144" t="s">
        <v>154</v>
      </c>
      <c r="E144" t="s">
        <v>41</v>
      </c>
      <c r="F144" s="32">
        <v>0</v>
      </c>
      <c r="G144" s="23" t="e">
        <v>#N/A</v>
      </c>
      <c r="H144" s="29">
        <v>4.6216390912225583E-2</v>
      </c>
      <c r="I144" s="7" t="e">
        <f t="shared" si="6"/>
        <v>#N/A</v>
      </c>
      <c r="J144" s="7" t="e">
        <f t="shared" si="7"/>
        <v>#N/A</v>
      </c>
    </row>
    <row r="145" spans="1:10" x14ac:dyDescent="0.35">
      <c r="A145" t="s">
        <v>51</v>
      </c>
      <c r="B145" t="s">
        <v>52</v>
      </c>
      <c r="C145" t="s">
        <v>13</v>
      </c>
      <c r="D145" t="s">
        <v>153</v>
      </c>
      <c r="E145" t="s">
        <v>41</v>
      </c>
      <c r="F145" s="32">
        <v>18.688696400000001</v>
      </c>
      <c r="G145" s="23">
        <v>2.5254558755966494</v>
      </c>
      <c r="H145" s="29">
        <v>0.90413507565898943</v>
      </c>
      <c r="I145" s="7">
        <f t="shared" si="6"/>
        <v>2.5254558755966494</v>
      </c>
      <c r="J145" s="7">
        <f t="shared" si="7"/>
        <v>3.7648417942704975</v>
      </c>
    </row>
    <row r="146" spans="1:10" x14ac:dyDescent="0.35">
      <c r="A146" t="s">
        <v>51</v>
      </c>
      <c r="B146" t="s">
        <v>52</v>
      </c>
      <c r="C146" t="s">
        <v>14</v>
      </c>
      <c r="D146" t="s">
        <v>154</v>
      </c>
      <c r="E146" t="s">
        <v>41</v>
      </c>
      <c r="F146" s="32">
        <v>0</v>
      </c>
      <c r="G146" s="23" t="e">
        <v>#N/A</v>
      </c>
      <c r="H146" s="29">
        <v>-2.2566630734776643E-2</v>
      </c>
      <c r="I146" s="7" t="e">
        <f t="shared" si="6"/>
        <v>#N/A</v>
      </c>
      <c r="J146" s="7" t="e">
        <f t="shared" si="7"/>
        <v>#N/A</v>
      </c>
    </row>
    <row r="147" spans="1:10" x14ac:dyDescent="0.35">
      <c r="A147" t="s">
        <v>51</v>
      </c>
      <c r="B147" t="s">
        <v>52</v>
      </c>
      <c r="C147" t="s">
        <v>15</v>
      </c>
      <c r="D147" t="s">
        <v>153</v>
      </c>
      <c r="E147" t="s">
        <v>41</v>
      </c>
      <c r="F147" s="32">
        <v>3052.9328737000001</v>
      </c>
      <c r="G147" s="23">
        <v>72.952966892102225</v>
      </c>
      <c r="H147" s="29">
        <v>222.51925307129565</v>
      </c>
      <c r="I147" s="7">
        <f t="shared" si="6"/>
        <v>72.952966892102225</v>
      </c>
      <c r="J147" s="7">
        <f t="shared" si="7"/>
        <v>108.75516829472605</v>
      </c>
    </row>
    <row r="148" spans="1:10" x14ac:dyDescent="0.35">
      <c r="A148" t="s">
        <v>51</v>
      </c>
      <c r="B148" t="s">
        <v>52</v>
      </c>
      <c r="C148" t="s">
        <v>16</v>
      </c>
      <c r="D148" t="s">
        <v>154</v>
      </c>
      <c r="E148" t="s">
        <v>41</v>
      </c>
      <c r="F148" s="32">
        <v>632.97792070000003</v>
      </c>
      <c r="G148" s="23">
        <v>42.589359716808445</v>
      </c>
      <c r="H148" s="29">
        <v>158.83599528562672</v>
      </c>
      <c r="I148" s="7">
        <f t="shared" si="6"/>
        <v>42.589359716808445</v>
      </c>
      <c r="J148" s="7">
        <f t="shared" si="7"/>
        <v>63.490399100787791</v>
      </c>
    </row>
    <row r="149" spans="1:10" x14ac:dyDescent="0.35">
      <c r="A149" t="s">
        <v>51</v>
      </c>
      <c r="B149" t="s">
        <v>52</v>
      </c>
      <c r="C149" t="s">
        <v>18</v>
      </c>
      <c r="D149" t="s">
        <v>154</v>
      </c>
      <c r="E149" t="s">
        <v>41</v>
      </c>
      <c r="F149" s="32">
        <v>0</v>
      </c>
      <c r="G149" s="23" t="e">
        <v>#N/A</v>
      </c>
      <c r="H149" s="29">
        <v>-7.5819225964317033E-2</v>
      </c>
      <c r="I149" s="7" t="e">
        <f t="shared" si="6"/>
        <v>#N/A</v>
      </c>
      <c r="J149" s="7" t="e">
        <f t="shared" si="7"/>
        <v>#N/A</v>
      </c>
    </row>
    <row r="150" spans="1:10" x14ac:dyDescent="0.35">
      <c r="A150" t="s">
        <v>51</v>
      </c>
      <c r="B150" t="s">
        <v>52</v>
      </c>
      <c r="C150" t="s">
        <v>19</v>
      </c>
      <c r="D150" t="s">
        <v>153</v>
      </c>
      <c r="E150" t="s">
        <v>41</v>
      </c>
      <c r="F150" s="32">
        <v>452.96472110000002</v>
      </c>
      <c r="G150" s="23">
        <v>35.540957470883903</v>
      </c>
      <c r="H150" s="29">
        <v>36.334214101019526</v>
      </c>
      <c r="I150" s="7">
        <f t="shared" si="6"/>
        <v>35.540957470883903</v>
      </c>
      <c r="J150" s="7">
        <f t="shared" si="7"/>
        <v>52.982941966135819</v>
      </c>
    </row>
    <row r="151" spans="1:10" x14ac:dyDescent="0.35">
      <c r="A151" t="s">
        <v>51</v>
      </c>
      <c r="B151" t="s">
        <v>52</v>
      </c>
      <c r="C151" t="s">
        <v>20</v>
      </c>
      <c r="D151" t="s">
        <v>154</v>
      </c>
      <c r="E151" t="s">
        <v>41</v>
      </c>
      <c r="F151" s="32">
        <v>613.81146459999991</v>
      </c>
      <c r="G151" s="23">
        <v>59.592044547995343</v>
      </c>
      <c r="H151" s="29">
        <v>109.13637820951084</v>
      </c>
      <c r="I151" s="7">
        <f t="shared" si="6"/>
        <v>59.592044547995343</v>
      </c>
      <c r="J151" s="7">
        <f t="shared" si="7"/>
        <v>88.83727571257505</v>
      </c>
    </row>
    <row r="152" spans="1:10" x14ac:dyDescent="0.35">
      <c r="A152" t="s">
        <v>51</v>
      </c>
      <c r="B152" t="s">
        <v>52</v>
      </c>
      <c r="C152" t="s">
        <v>21</v>
      </c>
      <c r="D152" t="s">
        <v>155</v>
      </c>
      <c r="E152" t="s">
        <v>41</v>
      </c>
      <c r="F152" s="32">
        <v>0.27750389999999997</v>
      </c>
      <c r="G152" s="23" t="e">
        <v>#N/A</v>
      </c>
      <c r="H152" s="29">
        <v>0.16382798968147694</v>
      </c>
      <c r="I152" s="7" t="e">
        <f t="shared" si="6"/>
        <v>#N/A</v>
      </c>
      <c r="J152" s="7" t="e">
        <f t="shared" si="7"/>
        <v>#N/A</v>
      </c>
    </row>
    <row r="153" spans="1:10" x14ac:dyDescent="0.35">
      <c r="A153" t="s">
        <v>51</v>
      </c>
      <c r="B153" t="s">
        <v>52</v>
      </c>
      <c r="C153" t="s">
        <v>22</v>
      </c>
      <c r="D153" t="s">
        <v>155</v>
      </c>
      <c r="E153" t="s">
        <v>41</v>
      </c>
      <c r="F153" s="32">
        <v>303.93426319999998</v>
      </c>
      <c r="G153" s="23">
        <v>22.956720999447043</v>
      </c>
      <c r="H153" s="29">
        <v>40.634566972520325</v>
      </c>
      <c r="I153" s="7">
        <f t="shared" si="6"/>
        <v>22.956720999447043</v>
      </c>
      <c r="J153" s="7">
        <f t="shared" si="7"/>
        <v>34.222899522133339</v>
      </c>
    </row>
    <row r="154" spans="1:10" x14ac:dyDescent="0.35">
      <c r="A154" t="s">
        <v>51</v>
      </c>
      <c r="B154" t="s">
        <v>52</v>
      </c>
      <c r="C154" t="s">
        <v>23</v>
      </c>
      <c r="D154" t="s">
        <v>155</v>
      </c>
      <c r="E154" t="s">
        <v>41</v>
      </c>
      <c r="F154" s="32">
        <v>0</v>
      </c>
      <c r="G154" s="23">
        <v>1.2088174413480819</v>
      </c>
      <c r="H154" s="29">
        <v>2.008989492916325E-2</v>
      </c>
      <c r="I154" s="7">
        <f t="shared" si="6"/>
        <v>1.2088174413480819</v>
      </c>
      <c r="J154" s="7">
        <f t="shared" si="7"/>
        <v>1.802053430751464</v>
      </c>
    </row>
    <row r="155" spans="1:10" x14ac:dyDescent="0.35">
      <c r="A155" t="s">
        <v>51</v>
      </c>
      <c r="B155" t="s">
        <v>52</v>
      </c>
      <c r="C155" t="s">
        <v>24</v>
      </c>
      <c r="D155" t="s">
        <v>155</v>
      </c>
      <c r="E155" t="s">
        <v>41</v>
      </c>
      <c r="F155" s="32">
        <v>226.71887520000001</v>
      </c>
      <c r="G155" s="23">
        <v>4.9976695459308944</v>
      </c>
      <c r="H155" s="29">
        <v>6.1783423970628428</v>
      </c>
      <c r="I155" s="7">
        <f t="shared" si="6"/>
        <v>4.9976695459308944</v>
      </c>
      <c r="J155" s="7">
        <f t="shared" si="7"/>
        <v>7.4503123821271542</v>
      </c>
    </row>
    <row r="156" spans="1:10" x14ac:dyDescent="0.35">
      <c r="A156" t="s">
        <v>51</v>
      </c>
      <c r="B156" t="s">
        <v>52</v>
      </c>
      <c r="C156" t="s">
        <v>25</v>
      </c>
      <c r="D156" t="s">
        <v>155</v>
      </c>
      <c r="E156" t="s">
        <v>41</v>
      </c>
      <c r="F156" s="32">
        <v>11.3454601</v>
      </c>
      <c r="G156" s="23">
        <v>0.57724227240724924</v>
      </c>
      <c r="H156" s="29">
        <v>1.2420992088632052</v>
      </c>
      <c r="I156" s="7">
        <f t="shared" si="6"/>
        <v>0.57724227240724924</v>
      </c>
      <c r="J156" s="7">
        <f t="shared" si="7"/>
        <v>0.86052813417896434</v>
      </c>
    </row>
    <row r="157" spans="1:10" x14ac:dyDescent="0.35">
      <c r="A157" t="s">
        <v>51</v>
      </c>
      <c r="B157" t="s">
        <v>52</v>
      </c>
      <c r="C157" t="s">
        <v>26</v>
      </c>
      <c r="D157" t="s">
        <v>153</v>
      </c>
      <c r="E157" t="s">
        <v>41</v>
      </c>
      <c r="F157" s="32">
        <v>1.5999242</v>
      </c>
      <c r="G157" s="23" t="e">
        <v>#N/A</v>
      </c>
      <c r="H157" s="29">
        <v>-3.3951723377040811E-2</v>
      </c>
      <c r="I157" s="7" t="e">
        <f t="shared" si="6"/>
        <v>#N/A</v>
      </c>
      <c r="J157" s="7" t="e">
        <f t="shared" si="7"/>
        <v>#N/A</v>
      </c>
    </row>
    <row r="158" spans="1:10" x14ac:dyDescent="0.35">
      <c r="A158" t="s">
        <v>51</v>
      </c>
      <c r="B158" t="s">
        <v>52</v>
      </c>
      <c r="C158" t="s">
        <v>27</v>
      </c>
      <c r="D158" t="s">
        <v>154</v>
      </c>
      <c r="E158" t="s">
        <v>41</v>
      </c>
      <c r="F158" s="32">
        <v>26.919015899999998</v>
      </c>
      <c r="G158" s="23">
        <v>4.4810932666884824</v>
      </c>
      <c r="H158" s="29">
        <v>4.9939330793812848</v>
      </c>
      <c r="I158" s="7">
        <f t="shared" si="6"/>
        <v>4.4810932666884824</v>
      </c>
      <c r="J158" s="7">
        <f t="shared" si="7"/>
        <v>6.6802225204062058</v>
      </c>
    </row>
    <row r="159" spans="1:10" x14ac:dyDescent="0.35">
      <c r="A159" t="s">
        <v>51</v>
      </c>
      <c r="B159" t="s">
        <v>52</v>
      </c>
      <c r="C159" t="s">
        <v>28</v>
      </c>
      <c r="D159" t="s">
        <v>155</v>
      </c>
      <c r="E159" t="s">
        <v>41</v>
      </c>
      <c r="F159" s="32">
        <v>50.078904100000003</v>
      </c>
      <c r="G159" s="23">
        <v>5.2287272808416239</v>
      </c>
      <c r="H159" s="29">
        <v>12.285467728467424</v>
      </c>
      <c r="I159" s="7">
        <f t="shared" si="6"/>
        <v>5.2287272808416239</v>
      </c>
      <c r="J159" s="7">
        <f t="shared" si="7"/>
        <v>7.7947633882552534</v>
      </c>
    </row>
    <row r="160" spans="1:10" x14ac:dyDescent="0.35">
      <c r="A160" t="s">
        <v>51</v>
      </c>
      <c r="B160" t="s">
        <v>52</v>
      </c>
      <c r="C160" t="s">
        <v>29</v>
      </c>
      <c r="D160" t="s">
        <v>155</v>
      </c>
      <c r="E160" t="s">
        <v>41</v>
      </c>
      <c r="F160" s="32">
        <v>0.4216065</v>
      </c>
      <c r="G160" s="23">
        <v>1.0651301536443467</v>
      </c>
      <c r="H160" s="29">
        <v>1.4974510985242673</v>
      </c>
      <c r="I160" s="7">
        <f t="shared" si="6"/>
        <v>1.0651301536443467</v>
      </c>
      <c r="J160" s="7">
        <f t="shared" si="7"/>
        <v>1.5878505570130392</v>
      </c>
    </row>
    <row r="161" spans="1:10" x14ac:dyDescent="0.35">
      <c r="A161" t="s">
        <v>51</v>
      </c>
      <c r="B161" t="s">
        <v>52</v>
      </c>
      <c r="C161" t="s">
        <v>30</v>
      </c>
      <c r="D161" t="s">
        <v>155</v>
      </c>
      <c r="E161" t="s">
        <v>41</v>
      </c>
      <c r="F161" s="32">
        <v>233.85097469999999</v>
      </c>
      <c r="G161" s="23">
        <v>9.4290498904044888</v>
      </c>
      <c r="H161" s="29">
        <v>29.187262566222483</v>
      </c>
      <c r="I161" s="7">
        <f t="shared" si="6"/>
        <v>9.4290498904044888</v>
      </c>
      <c r="J161" s="7">
        <f t="shared" si="7"/>
        <v>14.056425000602996</v>
      </c>
    </row>
    <row r="162" spans="1:10" x14ac:dyDescent="0.35">
      <c r="A162" t="s">
        <v>51</v>
      </c>
      <c r="B162" t="s">
        <v>52</v>
      </c>
      <c r="C162" t="s">
        <v>31</v>
      </c>
      <c r="D162" t="s">
        <v>155</v>
      </c>
      <c r="E162" t="s">
        <v>41</v>
      </c>
      <c r="F162" s="32" t="e">
        <v>#N/A</v>
      </c>
      <c r="G162" s="23" t="e">
        <v>#N/A</v>
      </c>
      <c r="H162" s="29">
        <v>7.6915469198370778E-2</v>
      </c>
      <c r="I162" s="7" t="e">
        <f t="shared" si="6"/>
        <v>#N/A</v>
      </c>
      <c r="J162" s="7" t="e">
        <f t="shared" si="7"/>
        <v>#N/A</v>
      </c>
    </row>
    <row r="163" spans="1:10" x14ac:dyDescent="0.35">
      <c r="A163" t="s">
        <v>51</v>
      </c>
      <c r="B163" t="s">
        <v>52</v>
      </c>
      <c r="C163" t="s">
        <v>32</v>
      </c>
      <c r="D163" t="s">
        <v>153</v>
      </c>
      <c r="E163" t="s">
        <v>41</v>
      </c>
      <c r="F163" s="32">
        <v>0</v>
      </c>
      <c r="G163" s="23" t="e">
        <v>#N/A</v>
      </c>
      <c r="H163" s="29">
        <v>0.26708563269422553</v>
      </c>
      <c r="I163" s="7" t="e">
        <f t="shared" si="6"/>
        <v>#N/A</v>
      </c>
      <c r="J163" s="7" t="e">
        <f t="shared" si="7"/>
        <v>#N/A</v>
      </c>
    </row>
    <row r="164" spans="1:10" x14ac:dyDescent="0.35">
      <c r="A164" t="s">
        <v>51</v>
      </c>
      <c r="B164" t="s">
        <v>52</v>
      </c>
      <c r="C164" t="s">
        <v>33</v>
      </c>
      <c r="D164" t="s">
        <v>155</v>
      </c>
      <c r="E164" t="s">
        <v>41</v>
      </c>
      <c r="F164" s="32">
        <v>199.13929569999999</v>
      </c>
      <c r="G164" s="23">
        <v>11.951304498772181</v>
      </c>
      <c r="H164" s="29">
        <v>16.385081460224292</v>
      </c>
      <c r="I164" s="7">
        <f t="shared" si="6"/>
        <v>11.951304498772181</v>
      </c>
      <c r="J164" s="7">
        <f t="shared" si="7"/>
        <v>17.816494482367595</v>
      </c>
    </row>
    <row r="165" spans="1:10" x14ac:dyDescent="0.35">
      <c r="A165" t="s">
        <v>51</v>
      </c>
      <c r="B165" t="s">
        <v>52</v>
      </c>
      <c r="C165" t="s">
        <v>34</v>
      </c>
      <c r="D165" t="s">
        <v>153</v>
      </c>
      <c r="E165" t="s">
        <v>41</v>
      </c>
      <c r="F165" s="32">
        <v>0</v>
      </c>
      <c r="G165" s="23" t="e">
        <v>#N/A</v>
      </c>
      <c r="H165" s="29">
        <v>-0.15013729232838874</v>
      </c>
      <c r="I165" s="7" t="e">
        <f t="shared" si="6"/>
        <v>#N/A</v>
      </c>
      <c r="J165" s="7" t="e">
        <f t="shared" si="7"/>
        <v>#N/A</v>
      </c>
    </row>
    <row r="166" spans="1:10" x14ac:dyDescent="0.35">
      <c r="A166" t="s">
        <v>51</v>
      </c>
      <c r="B166" t="s">
        <v>52</v>
      </c>
      <c r="C166" t="s">
        <v>35</v>
      </c>
      <c r="D166" t="s">
        <v>154</v>
      </c>
      <c r="E166" t="s">
        <v>41</v>
      </c>
      <c r="F166" s="32">
        <v>62.498383800000006</v>
      </c>
      <c r="G166" s="23">
        <v>3.0859575369542314</v>
      </c>
      <c r="H166" s="29">
        <v>20.529332843141127</v>
      </c>
      <c r="I166" s="7">
        <f t="shared" si="6"/>
        <v>3.0859575369542314</v>
      </c>
      <c r="J166" s="7">
        <f t="shared" si="7"/>
        <v>4.6004137402418479</v>
      </c>
    </row>
    <row r="167" spans="1:10" x14ac:dyDescent="0.35">
      <c r="A167" t="s">
        <v>51</v>
      </c>
      <c r="B167" t="s">
        <v>52</v>
      </c>
      <c r="C167" t="s">
        <v>36</v>
      </c>
      <c r="D167" t="s">
        <v>155</v>
      </c>
      <c r="E167" t="s">
        <v>41</v>
      </c>
      <c r="F167" s="32">
        <v>9.9632521000000001</v>
      </c>
      <c r="G167" s="23" t="e">
        <v>#N/A</v>
      </c>
      <c r="H167" s="29">
        <v>0.16467489957587433</v>
      </c>
      <c r="I167" s="7" t="e">
        <f t="shared" si="6"/>
        <v>#N/A</v>
      </c>
      <c r="J167" s="7" t="e">
        <f t="shared" si="7"/>
        <v>#N/A</v>
      </c>
    </row>
    <row r="168" spans="1:10" x14ac:dyDescent="0.35">
      <c r="A168" t="s">
        <v>51</v>
      </c>
      <c r="B168" t="s">
        <v>52</v>
      </c>
      <c r="C168" t="s">
        <v>37</v>
      </c>
      <c r="D168" t="s">
        <v>155</v>
      </c>
      <c r="E168" t="s">
        <v>41</v>
      </c>
      <c r="F168" s="32">
        <v>7.5219358000000005</v>
      </c>
      <c r="G168" s="23">
        <v>2.0880888950469791</v>
      </c>
      <c r="H168" s="29">
        <v>2.726069175984676</v>
      </c>
      <c r="I168" s="7">
        <f t="shared" si="6"/>
        <v>2.0880888950469791</v>
      </c>
      <c r="J168" s="7">
        <f t="shared" si="7"/>
        <v>3.112833773176773</v>
      </c>
    </row>
    <row r="169" spans="1:10" x14ac:dyDescent="0.35">
      <c r="A169" t="s">
        <v>51</v>
      </c>
      <c r="B169" t="s">
        <v>52</v>
      </c>
      <c r="C169" t="s">
        <v>38</v>
      </c>
      <c r="D169" t="s">
        <v>155</v>
      </c>
      <c r="E169" t="s">
        <v>41</v>
      </c>
      <c r="F169" s="32">
        <v>6.9483413000000001</v>
      </c>
      <c r="G169" s="23">
        <v>0.83355747108863443</v>
      </c>
      <c r="H169" s="29">
        <v>1.0867260375552301</v>
      </c>
      <c r="I169" s="7">
        <f t="shared" si="6"/>
        <v>0.83355747108863443</v>
      </c>
      <c r="J169" s="7">
        <f t="shared" si="7"/>
        <v>1.2426318889216377</v>
      </c>
    </row>
    <row r="170" spans="1:10" x14ac:dyDescent="0.35">
      <c r="A170" t="s">
        <v>51</v>
      </c>
      <c r="B170" t="s">
        <v>52</v>
      </c>
      <c r="C170" t="s">
        <v>39</v>
      </c>
      <c r="D170" t="s">
        <v>153</v>
      </c>
      <c r="E170" t="s">
        <v>41</v>
      </c>
      <c r="F170" s="32">
        <v>25.124684700000003</v>
      </c>
      <c r="G170" s="23" t="e">
        <v>#N/A</v>
      </c>
      <c r="H170" s="29">
        <v>0.64300745171673168</v>
      </c>
      <c r="I170" s="7" t="e">
        <f t="shared" si="6"/>
        <v>#N/A</v>
      </c>
      <c r="J170" s="7" t="e">
        <f t="shared" si="7"/>
        <v>#N/A</v>
      </c>
    </row>
    <row r="171" spans="1:10" s="19" customFormat="1" x14ac:dyDescent="0.35">
      <c r="A171" s="19" t="s">
        <v>51</v>
      </c>
      <c r="B171" s="19" t="s">
        <v>52</v>
      </c>
      <c r="C171" s="19" t="s">
        <v>40</v>
      </c>
      <c r="D171" s="19" t="s">
        <v>154</v>
      </c>
      <c r="E171" s="19" t="s">
        <v>41</v>
      </c>
      <c r="F171" s="33">
        <v>0</v>
      </c>
      <c r="G171" s="24" t="e">
        <v>#N/A</v>
      </c>
      <c r="H171" s="30">
        <v>6.487626781122284E-2</v>
      </c>
      <c r="I171" s="21" t="e">
        <f t="shared" si="6"/>
        <v>#N/A</v>
      </c>
      <c r="J171" s="21" t="e">
        <f t="shared" si="7"/>
        <v>#N/A</v>
      </c>
    </row>
    <row r="172" spans="1:10" x14ac:dyDescent="0.35">
      <c r="A172" t="s">
        <v>53</v>
      </c>
      <c r="B172" t="s">
        <v>54</v>
      </c>
      <c r="C172" t="s">
        <v>6</v>
      </c>
      <c r="D172" t="s">
        <v>153</v>
      </c>
      <c r="E172" t="s">
        <v>41</v>
      </c>
      <c r="F172" s="32">
        <v>6.6676724000000007</v>
      </c>
      <c r="G172" s="23" t="e">
        <v>#N/A</v>
      </c>
      <c r="H172" s="29">
        <v>0.74847909784846123</v>
      </c>
      <c r="I172" s="7" t="e">
        <f t="shared" si="6"/>
        <v>#N/A</v>
      </c>
      <c r="J172" s="7" t="e">
        <f>I172/0.7559</f>
        <v>#N/A</v>
      </c>
    </row>
    <row r="173" spans="1:10" x14ac:dyDescent="0.35">
      <c r="A173" t="s">
        <v>53</v>
      </c>
      <c r="B173" t="s">
        <v>54</v>
      </c>
      <c r="C173" t="s">
        <v>7</v>
      </c>
      <c r="D173" t="s">
        <v>153</v>
      </c>
      <c r="E173" t="s">
        <v>41</v>
      </c>
      <c r="F173" s="32">
        <v>0</v>
      </c>
      <c r="G173" s="23" t="e">
        <v>#N/A</v>
      </c>
      <c r="H173" s="29">
        <v>-0.10751640814439384</v>
      </c>
      <c r="I173" s="7" t="e">
        <f t="shared" si="6"/>
        <v>#N/A</v>
      </c>
      <c r="J173" s="7" t="e">
        <f t="shared" ref="J173:J205" si="8">I173/0.7559</f>
        <v>#N/A</v>
      </c>
    </row>
    <row r="174" spans="1:10" x14ac:dyDescent="0.35">
      <c r="A174" t="s">
        <v>53</v>
      </c>
      <c r="B174" t="s">
        <v>54</v>
      </c>
      <c r="C174" t="s">
        <v>8</v>
      </c>
      <c r="D174" t="s">
        <v>153</v>
      </c>
      <c r="E174" t="s">
        <v>41</v>
      </c>
      <c r="F174" s="32">
        <v>0</v>
      </c>
      <c r="G174" s="23" t="e">
        <v>#N/A</v>
      </c>
      <c r="H174" s="29">
        <v>-4.3376224977233056E-2</v>
      </c>
      <c r="I174" s="7" t="e">
        <f t="shared" si="6"/>
        <v>#N/A</v>
      </c>
      <c r="J174" s="7" t="e">
        <f t="shared" si="8"/>
        <v>#N/A</v>
      </c>
    </row>
    <row r="175" spans="1:10" x14ac:dyDescent="0.35">
      <c r="A175" t="s">
        <v>53</v>
      </c>
      <c r="B175" t="s">
        <v>54</v>
      </c>
      <c r="C175" t="s">
        <v>9</v>
      </c>
      <c r="D175" t="s">
        <v>153</v>
      </c>
      <c r="E175" t="s">
        <v>41</v>
      </c>
      <c r="F175" s="32">
        <v>0</v>
      </c>
      <c r="G175" s="23" t="e">
        <v>#N/A</v>
      </c>
      <c r="H175" s="29">
        <v>-0.39400502688766242</v>
      </c>
      <c r="I175" s="7" t="e">
        <f t="shared" si="6"/>
        <v>#N/A</v>
      </c>
      <c r="J175" s="7" t="e">
        <f t="shared" si="8"/>
        <v>#N/A</v>
      </c>
    </row>
    <row r="176" spans="1:10" x14ac:dyDescent="0.35">
      <c r="A176" t="s">
        <v>53</v>
      </c>
      <c r="B176" t="s">
        <v>54</v>
      </c>
      <c r="C176" t="s">
        <v>10</v>
      </c>
      <c r="D176" t="s">
        <v>153</v>
      </c>
      <c r="E176" t="s">
        <v>41</v>
      </c>
      <c r="F176" s="32">
        <v>0</v>
      </c>
      <c r="G176" s="23" t="e">
        <v>#N/A</v>
      </c>
      <c r="H176" s="29">
        <v>-9.2158894261796936E-2</v>
      </c>
      <c r="I176" s="7" t="e">
        <f t="shared" si="6"/>
        <v>#N/A</v>
      </c>
      <c r="J176" s="7" t="e">
        <f t="shared" si="8"/>
        <v>#N/A</v>
      </c>
    </row>
    <row r="177" spans="1:10" x14ac:dyDescent="0.35">
      <c r="A177" t="s">
        <v>53</v>
      </c>
      <c r="B177" t="s">
        <v>54</v>
      </c>
      <c r="C177" t="s">
        <v>11</v>
      </c>
      <c r="D177" t="s">
        <v>153</v>
      </c>
      <c r="E177" t="s">
        <v>41</v>
      </c>
      <c r="F177" s="32">
        <v>46.715862699999995</v>
      </c>
      <c r="G177" s="23">
        <v>5.4132732923200155</v>
      </c>
      <c r="H177" s="29">
        <v>13.427102234468666</v>
      </c>
      <c r="I177" s="7">
        <f t="shared" si="6"/>
        <v>5.4132732923200155</v>
      </c>
      <c r="J177" s="7">
        <f t="shared" si="8"/>
        <v>7.1613616778939218</v>
      </c>
    </row>
    <row r="178" spans="1:10" x14ac:dyDescent="0.35">
      <c r="A178" t="s">
        <v>53</v>
      </c>
      <c r="B178" t="s">
        <v>54</v>
      </c>
      <c r="C178" t="s">
        <v>12</v>
      </c>
      <c r="D178" t="s">
        <v>154</v>
      </c>
      <c r="E178" t="s">
        <v>41</v>
      </c>
      <c r="F178" s="32">
        <v>0</v>
      </c>
      <c r="G178" s="23" t="e">
        <v>#N/A</v>
      </c>
      <c r="H178" s="29">
        <v>-2.2699570422923913E-2</v>
      </c>
      <c r="I178" s="7" t="e">
        <f t="shared" si="6"/>
        <v>#N/A</v>
      </c>
      <c r="J178" s="7" t="e">
        <f t="shared" si="8"/>
        <v>#N/A</v>
      </c>
    </row>
    <row r="179" spans="1:10" x14ac:dyDescent="0.35">
      <c r="A179" t="s">
        <v>53</v>
      </c>
      <c r="B179" t="s">
        <v>54</v>
      </c>
      <c r="C179" t="s">
        <v>13</v>
      </c>
      <c r="D179" t="s">
        <v>153</v>
      </c>
      <c r="E179" t="s">
        <v>41</v>
      </c>
      <c r="F179" s="32">
        <v>12.195388400000001</v>
      </c>
      <c r="G179" s="23">
        <v>1.6581691696904663</v>
      </c>
      <c r="H179" s="29">
        <v>0.59313687708707186</v>
      </c>
      <c r="I179" s="7">
        <f t="shared" si="6"/>
        <v>1.6581691696904663</v>
      </c>
      <c r="J179" s="7">
        <f t="shared" si="8"/>
        <v>2.1936356259961189</v>
      </c>
    </row>
    <row r="180" spans="1:10" x14ac:dyDescent="0.35">
      <c r="A180" t="s">
        <v>53</v>
      </c>
      <c r="B180" t="s">
        <v>54</v>
      </c>
      <c r="C180" t="s">
        <v>14</v>
      </c>
      <c r="D180" t="s">
        <v>154</v>
      </c>
      <c r="E180" t="s">
        <v>41</v>
      </c>
      <c r="F180" s="32">
        <v>0</v>
      </c>
      <c r="G180" s="23" t="e">
        <v>#N/A</v>
      </c>
      <c r="H180" s="29">
        <v>-5.8030234695725796E-2</v>
      </c>
      <c r="I180" s="7" t="e">
        <f t="shared" si="6"/>
        <v>#N/A</v>
      </c>
      <c r="J180" s="7" t="e">
        <f t="shared" si="8"/>
        <v>#N/A</v>
      </c>
    </row>
    <row r="181" spans="1:10" x14ac:dyDescent="0.35">
      <c r="A181" t="s">
        <v>53</v>
      </c>
      <c r="B181" t="s">
        <v>54</v>
      </c>
      <c r="C181" t="s">
        <v>15</v>
      </c>
      <c r="D181" t="s">
        <v>153</v>
      </c>
      <c r="E181" t="s">
        <v>41</v>
      </c>
      <c r="F181" s="32">
        <v>3033.5846743000002</v>
      </c>
      <c r="G181" s="23">
        <v>71.763666597754778</v>
      </c>
      <c r="H181" s="29">
        <v>221.10814294728047</v>
      </c>
      <c r="I181" s="7">
        <f t="shared" si="6"/>
        <v>71.763666597754778</v>
      </c>
      <c r="J181" s="7">
        <f t="shared" si="8"/>
        <v>94.93804285984227</v>
      </c>
    </row>
    <row r="182" spans="1:10" x14ac:dyDescent="0.35">
      <c r="A182" t="s">
        <v>53</v>
      </c>
      <c r="B182" t="s">
        <v>54</v>
      </c>
      <c r="C182" t="s">
        <v>16</v>
      </c>
      <c r="D182" t="s">
        <v>154</v>
      </c>
      <c r="E182" t="s">
        <v>41</v>
      </c>
      <c r="F182" s="32">
        <v>434.55811200000005</v>
      </c>
      <c r="G182" s="23">
        <v>37.807242565298978</v>
      </c>
      <c r="H182" s="29">
        <v>109.18826754841066</v>
      </c>
      <c r="I182" s="7">
        <f t="shared" si="6"/>
        <v>37.807242565298978</v>
      </c>
      <c r="J182" s="7">
        <f t="shared" si="8"/>
        <v>50.016196011772692</v>
      </c>
    </row>
    <row r="183" spans="1:10" x14ac:dyDescent="0.35">
      <c r="A183" t="s">
        <v>53</v>
      </c>
      <c r="B183" t="s">
        <v>54</v>
      </c>
      <c r="C183" t="s">
        <v>18</v>
      </c>
      <c r="D183" t="s">
        <v>154</v>
      </c>
      <c r="E183" t="s">
        <v>41</v>
      </c>
      <c r="F183" s="32">
        <v>0</v>
      </c>
      <c r="G183" s="23" t="e">
        <v>#N/A</v>
      </c>
      <c r="H183" s="29">
        <v>-4.1318414370799098E-2</v>
      </c>
      <c r="I183" s="7" t="e">
        <f t="shared" si="6"/>
        <v>#N/A</v>
      </c>
      <c r="J183" s="7" t="e">
        <f t="shared" si="8"/>
        <v>#N/A</v>
      </c>
    </row>
    <row r="184" spans="1:10" x14ac:dyDescent="0.35">
      <c r="A184" t="s">
        <v>53</v>
      </c>
      <c r="B184" t="s">
        <v>54</v>
      </c>
      <c r="C184" t="s">
        <v>19</v>
      </c>
      <c r="D184" t="s">
        <v>153</v>
      </c>
      <c r="E184" t="s">
        <v>41</v>
      </c>
      <c r="F184" s="32">
        <v>642.57614289999992</v>
      </c>
      <c r="G184" s="23">
        <v>48.91643283978722</v>
      </c>
      <c r="H184" s="29">
        <v>37.149860776594402</v>
      </c>
      <c r="I184" s="7">
        <f t="shared" si="6"/>
        <v>48.91643283978722</v>
      </c>
      <c r="J184" s="7">
        <f t="shared" si="8"/>
        <v>64.71283614206537</v>
      </c>
    </row>
    <row r="185" spans="1:10" x14ac:dyDescent="0.35">
      <c r="A185" t="s">
        <v>53</v>
      </c>
      <c r="B185" t="s">
        <v>54</v>
      </c>
      <c r="C185" t="s">
        <v>20</v>
      </c>
      <c r="D185" t="s">
        <v>154</v>
      </c>
      <c r="E185" t="s">
        <v>41</v>
      </c>
      <c r="F185" s="32">
        <v>728.72291760000007</v>
      </c>
      <c r="G185" s="23">
        <v>70.644843797625242</v>
      </c>
      <c r="H185" s="29">
        <v>150.38257773997108</v>
      </c>
      <c r="I185" s="7">
        <f t="shared" si="6"/>
        <v>70.644843797625242</v>
      </c>
      <c r="J185" s="7">
        <f t="shared" si="8"/>
        <v>93.457922737961695</v>
      </c>
    </row>
    <row r="186" spans="1:10" x14ac:dyDescent="0.35">
      <c r="A186" t="s">
        <v>53</v>
      </c>
      <c r="B186" t="s">
        <v>54</v>
      </c>
      <c r="C186" t="s">
        <v>21</v>
      </c>
      <c r="D186" t="s">
        <v>155</v>
      </c>
      <c r="E186" t="s">
        <v>41</v>
      </c>
      <c r="F186" s="32">
        <v>0.34658069999999996</v>
      </c>
      <c r="G186" s="23" t="e">
        <v>#N/A</v>
      </c>
      <c r="H186" s="29">
        <v>7.2936761491940574E-2</v>
      </c>
      <c r="I186" s="7" t="e">
        <f t="shared" si="6"/>
        <v>#N/A</v>
      </c>
      <c r="J186" s="7" t="e">
        <f t="shared" si="8"/>
        <v>#N/A</v>
      </c>
    </row>
    <row r="187" spans="1:10" x14ac:dyDescent="0.35">
      <c r="A187" t="s">
        <v>53</v>
      </c>
      <c r="B187" t="s">
        <v>54</v>
      </c>
      <c r="C187" t="s">
        <v>22</v>
      </c>
      <c r="D187" t="s">
        <v>155</v>
      </c>
      <c r="E187" t="s">
        <v>41</v>
      </c>
      <c r="F187" s="32">
        <v>475.69459850000004</v>
      </c>
      <c r="G187" s="23">
        <v>35.539716539416645</v>
      </c>
      <c r="H187" s="29">
        <v>52.300560501648228</v>
      </c>
      <c r="I187" s="7">
        <f t="shared" si="6"/>
        <v>35.539716539416645</v>
      </c>
      <c r="J187" s="7">
        <f t="shared" si="8"/>
        <v>47.016426166710737</v>
      </c>
    </row>
    <row r="188" spans="1:10" x14ac:dyDescent="0.35">
      <c r="A188" t="s">
        <v>53</v>
      </c>
      <c r="B188" t="s">
        <v>54</v>
      </c>
      <c r="C188" t="s">
        <v>23</v>
      </c>
      <c r="D188" t="s">
        <v>155</v>
      </c>
      <c r="E188" t="s">
        <v>41</v>
      </c>
      <c r="F188" s="32">
        <v>0</v>
      </c>
      <c r="G188" s="23">
        <v>1.8031980336844902</v>
      </c>
      <c r="H188" s="29">
        <v>1.9477059304805665E-2</v>
      </c>
      <c r="I188" s="7">
        <f t="shared" si="6"/>
        <v>1.8031980336844902</v>
      </c>
      <c r="J188" s="7">
        <f t="shared" si="8"/>
        <v>2.3854981263189443</v>
      </c>
    </row>
    <row r="189" spans="1:10" x14ac:dyDescent="0.35">
      <c r="A189" t="s">
        <v>53</v>
      </c>
      <c r="B189" t="s">
        <v>54</v>
      </c>
      <c r="C189" t="s">
        <v>24</v>
      </c>
      <c r="D189" t="s">
        <v>155</v>
      </c>
      <c r="E189" t="s">
        <v>41</v>
      </c>
      <c r="F189" s="32">
        <v>488.27723729999997</v>
      </c>
      <c r="G189" s="23">
        <v>10.615950477084944</v>
      </c>
      <c r="H189" s="29">
        <v>6.4724915843882354</v>
      </c>
      <c r="I189" s="7">
        <f t="shared" si="6"/>
        <v>10.615950477084944</v>
      </c>
      <c r="J189" s="7">
        <f t="shared" si="8"/>
        <v>14.044120223686921</v>
      </c>
    </row>
    <row r="190" spans="1:10" x14ac:dyDescent="0.35">
      <c r="A190" t="s">
        <v>53</v>
      </c>
      <c r="B190" t="s">
        <v>54</v>
      </c>
      <c r="C190" t="s">
        <v>25</v>
      </c>
      <c r="D190" t="s">
        <v>155</v>
      </c>
      <c r="E190" t="s">
        <v>41</v>
      </c>
      <c r="F190" s="32">
        <v>21.513761900000002</v>
      </c>
      <c r="G190" s="23">
        <v>2.4726513881703553</v>
      </c>
      <c r="H190" s="29">
        <v>1.1435766072368498</v>
      </c>
      <c r="I190" s="7">
        <f t="shared" si="6"/>
        <v>2.4726513881703553</v>
      </c>
      <c r="J190" s="7">
        <f t="shared" si="8"/>
        <v>3.2711355842973346</v>
      </c>
    </row>
    <row r="191" spans="1:10" x14ac:dyDescent="0.35">
      <c r="A191" t="s">
        <v>53</v>
      </c>
      <c r="B191" t="s">
        <v>54</v>
      </c>
      <c r="C191" t="s">
        <v>26</v>
      </c>
      <c r="D191" t="s">
        <v>153</v>
      </c>
      <c r="E191" t="s">
        <v>41</v>
      </c>
      <c r="F191" s="32">
        <v>1.7797164000000001</v>
      </c>
      <c r="G191" s="23">
        <v>1.6088877772147203</v>
      </c>
      <c r="H191" s="29">
        <v>-4.0338649673889018E-2</v>
      </c>
      <c r="I191" s="7">
        <f t="shared" si="6"/>
        <v>1.6088877772147203</v>
      </c>
      <c r="J191" s="7">
        <f t="shared" si="8"/>
        <v>2.1284399751484591</v>
      </c>
    </row>
    <row r="192" spans="1:10" x14ac:dyDescent="0.35">
      <c r="A192" t="s">
        <v>53</v>
      </c>
      <c r="B192" t="s">
        <v>54</v>
      </c>
      <c r="C192" t="s">
        <v>27</v>
      </c>
      <c r="D192" t="s">
        <v>154</v>
      </c>
      <c r="E192" t="s">
        <v>41</v>
      </c>
      <c r="F192" s="32">
        <v>46.561836499999998</v>
      </c>
      <c r="G192" s="23">
        <v>3.7635915860663105</v>
      </c>
      <c r="H192" s="29">
        <v>7.4821581016118719</v>
      </c>
      <c r="I192" s="7">
        <f t="shared" si="6"/>
        <v>3.7635915860663105</v>
      </c>
      <c r="J192" s="7">
        <f t="shared" si="8"/>
        <v>4.9789543406089569</v>
      </c>
    </row>
    <row r="193" spans="1:10" x14ac:dyDescent="0.35">
      <c r="A193" t="s">
        <v>53</v>
      </c>
      <c r="B193" t="s">
        <v>54</v>
      </c>
      <c r="C193" t="s">
        <v>28</v>
      </c>
      <c r="D193" t="s">
        <v>155</v>
      </c>
      <c r="E193" t="s">
        <v>41</v>
      </c>
      <c r="F193" s="32">
        <v>71.8591409</v>
      </c>
      <c r="G193" s="23">
        <v>7.8243871853786988</v>
      </c>
      <c r="H193" s="29">
        <v>14.695319246560388</v>
      </c>
      <c r="I193" s="7">
        <f t="shared" si="6"/>
        <v>7.8243871853786988</v>
      </c>
      <c r="J193" s="7">
        <f t="shared" si="8"/>
        <v>10.351087690671648</v>
      </c>
    </row>
    <row r="194" spans="1:10" x14ac:dyDescent="0.35">
      <c r="A194" t="s">
        <v>53</v>
      </c>
      <c r="B194" t="s">
        <v>54</v>
      </c>
      <c r="C194" t="s">
        <v>29</v>
      </c>
      <c r="D194" t="s">
        <v>155</v>
      </c>
      <c r="E194" t="s">
        <v>41</v>
      </c>
      <c r="F194" s="32">
        <v>12.9686933</v>
      </c>
      <c r="G194" s="23">
        <v>2.1019012439881832</v>
      </c>
      <c r="H194" s="29">
        <v>9.3613284221368803E-2</v>
      </c>
      <c r="I194" s="7">
        <f t="shared" ref="I194:I257" si="9">IF(G194&lt;0,0,G194)</f>
        <v>2.1019012439881832</v>
      </c>
      <c r="J194" s="7">
        <f t="shared" si="8"/>
        <v>2.7806604630085769</v>
      </c>
    </row>
    <row r="195" spans="1:10" x14ac:dyDescent="0.35">
      <c r="A195" t="s">
        <v>53</v>
      </c>
      <c r="B195" t="s">
        <v>54</v>
      </c>
      <c r="C195" t="s">
        <v>30</v>
      </c>
      <c r="D195" t="s">
        <v>155</v>
      </c>
      <c r="E195" t="s">
        <v>41</v>
      </c>
      <c r="F195" s="32">
        <v>337.94537190000005</v>
      </c>
      <c r="G195" s="23">
        <v>13.567839652734135</v>
      </c>
      <c r="H195" s="29">
        <v>28.954561347928021</v>
      </c>
      <c r="I195" s="7">
        <f t="shared" si="9"/>
        <v>13.567839652734135</v>
      </c>
      <c r="J195" s="7">
        <f t="shared" si="8"/>
        <v>17.949252087226</v>
      </c>
    </row>
    <row r="196" spans="1:10" x14ac:dyDescent="0.35">
      <c r="A196" t="s">
        <v>53</v>
      </c>
      <c r="B196" t="s">
        <v>54</v>
      </c>
      <c r="C196" t="s">
        <v>31</v>
      </c>
      <c r="D196" t="s">
        <v>155</v>
      </c>
      <c r="E196" t="s">
        <v>41</v>
      </c>
      <c r="F196" s="32">
        <v>16.6552072</v>
      </c>
      <c r="G196" s="23">
        <v>0.43683775896757843</v>
      </c>
      <c r="H196" s="29">
        <v>6.9389697187936666E-2</v>
      </c>
      <c r="I196" s="7">
        <f t="shared" si="9"/>
        <v>0.43683775896757843</v>
      </c>
      <c r="J196" s="7">
        <f t="shared" si="8"/>
        <v>0.57790416585206827</v>
      </c>
    </row>
    <row r="197" spans="1:10" x14ac:dyDescent="0.35">
      <c r="A197" t="s">
        <v>53</v>
      </c>
      <c r="B197" t="s">
        <v>54</v>
      </c>
      <c r="C197" t="s">
        <v>32</v>
      </c>
      <c r="D197" t="s">
        <v>153</v>
      </c>
      <c r="E197" t="s">
        <v>41</v>
      </c>
      <c r="F197" s="32">
        <v>0</v>
      </c>
      <c r="G197" s="23" t="e">
        <v>#N/A</v>
      </c>
      <c r="H197" s="29">
        <v>2.8003320643928679E-2</v>
      </c>
      <c r="I197" s="7" t="e">
        <f t="shared" si="9"/>
        <v>#N/A</v>
      </c>
      <c r="J197" s="7" t="e">
        <f t="shared" si="8"/>
        <v>#N/A</v>
      </c>
    </row>
    <row r="198" spans="1:10" x14ac:dyDescent="0.35">
      <c r="A198" t="s">
        <v>53</v>
      </c>
      <c r="B198" t="s">
        <v>54</v>
      </c>
      <c r="C198" t="s">
        <v>33</v>
      </c>
      <c r="D198" t="s">
        <v>155</v>
      </c>
      <c r="E198" t="s">
        <v>41</v>
      </c>
      <c r="F198" s="32">
        <v>253.12810110000001</v>
      </c>
      <c r="G198" s="23">
        <v>17.730795539366333</v>
      </c>
      <c r="H198" s="29">
        <v>14.634803778360592</v>
      </c>
      <c r="I198" s="7">
        <f t="shared" si="9"/>
        <v>17.730795539366333</v>
      </c>
      <c r="J198" s="7">
        <f t="shared" si="8"/>
        <v>23.456535969528154</v>
      </c>
    </row>
    <row r="199" spans="1:10" x14ac:dyDescent="0.35">
      <c r="A199" t="s">
        <v>53</v>
      </c>
      <c r="B199" t="s">
        <v>54</v>
      </c>
      <c r="C199" t="s">
        <v>34</v>
      </c>
      <c r="D199" t="s">
        <v>153</v>
      </c>
      <c r="E199" t="s">
        <v>41</v>
      </c>
      <c r="F199" s="32">
        <v>0</v>
      </c>
      <c r="G199" s="23" t="e">
        <v>#N/A</v>
      </c>
      <c r="H199" s="29">
        <v>-0.23040101359838339</v>
      </c>
      <c r="I199" s="7" t="e">
        <f t="shared" si="9"/>
        <v>#N/A</v>
      </c>
      <c r="J199" s="7" t="e">
        <f t="shared" si="8"/>
        <v>#N/A</v>
      </c>
    </row>
    <row r="200" spans="1:10" x14ac:dyDescent="0.35">
      <c r="A200" t="s">
        <v>53</v>
      </c>
      <c r="B200" t="s">
        <v>54</v>
      </c>
      <c r="C200" t="s">
        <v>35</v>
      </c>
      <c r="D200" t="s">
        <v>154</v>
      </c>
      <c r="E200" t="s">
        <v>41</v>
      </c>
      <c r="F200" s="32">
        <v>89.688233699999998</v>
      </c>
      <c r="G200" s="23">
        <v>8.8120632678977699</v>
      </c>
      <c r="H200" s="29">
        <v>19.193001954166565</v>
      </c>
      <c r="I200" s="7">
        <f t="shared" si="9"/>
        <v>8.8120632678977699</v>
      </c>
      <c r="J200" s="7">
        <f t="shared" si="8"/>
        <v>11.657710368961197</v>
      </c>
    </row>
    <row r="201" spans="1:10" x14ac:dyDescent="0.35">
      <c r="A201" t="s">
        <v>53</v>
      </c>
      <c r="B201" t="s">
        <v>54</v>
      </c>
      <c r="C201" t="s">
        <v>36</v>
      </c>
      <c r="D201" t="s">
        <v>155</v>
      </c>
      <c r="E201" t="s">
        <v>41</v>
      </c>
      <c r="F201" s="32">
        <v>2.0221628000000003</v>
      </c>
      <c r="G201" s="23" t="e">
        <v>#N/A</v>
      </c>
      <c r="H201" s="29">
        <v>2.2130092442141307</v>
      </c>
      <c r="I201" s="7" t="e">
        <f t="shared" si="9"/>
        <v>#N/A</v>
      </c>
      <c r="J201" s="7" t="e">
        <f t="shared" si="8"/>
        <v>#N/A</v>
      </c>
    </row>
    <row r="202" spans="1:10" x14ac:dyDescent="0.35">
      <c r="A202" t="s">
        <v>53</v>
      </c>
      <c r="B202" t="s">
        <v>54</v>
      </c>
      <c r="C202" t="s">
        <v>37</v>
      </c>
      <c r="D202" t="s">
        <v>155</v>
      </c>
      <c r="E202" t="s">
        <v>41</v>
      </c>
      <c r="F202" s="32">
        <v>11.610082700000001</v>
      </c>
      <c r="G202" s="23">
        <v>3.2599320498950779</v>
      </c>
      <c r="H202" s="29">
        <v>2.643067203442286</v>
      </c>
      <c r="I202" s="7">
        <f t="shared" si="9"/>
        <v>3.2599320498950779</v>
      </c>
      <c r="J202" s="7">
        <f t="shared" si="8"/>
        <v>4.3126498874124595</v>
      </c>
    </row>
    <row r="203" spans="1:10" x14ac:dyDescent="0.35">
      <c r="A203" t="s">
        <v>53</v>
      </c>
      <c r="B203" t="s">
        <v>54</v>
      </c>
      <c r="C203" t="s">
        <v>38</v>
      </c>
      <c r="D203" t="s">
        <v>155</v>
      </c>
      <c r="E203" t="s">
        <v>41</v>
      </c>
      <c r="F203" s="32">
        <v>13.991179300000001</v>
      </c>
      <c r="G203" s="23">
        <v>1.5962049689886848</v>
      </c>
      <c r="H203" s="29">
        <v>0.90148047866152548</v>
      </c>
      <c r="I203" s="7">
        <f t="shared" si="9"/>
        <v>1.5962049689886848</v>
      </c>
      <c r="J203" s="7">
        <f t="shared" si="8"/>
        <v>2.1116615544234487</v>
      </c>
    </row>
    <row r="204" spans="1:10" x14ac:dyDescent="0.35">
      <c r="A204" t="s">
        <v>53</v>
      </c>
      <c r="B204" t="s">
        <v>54</v>
      </c>
      <c r="C204" t="s">
        <v>39</v>
      </c>
      <c r="D204" t="s">
        <v>153</v>
      </c>
      <c r="E204" t="s">
        <v>41</v>
      </c>
      <c r="F204" s="32">
        <v>16.382639300000001</v>
      </c>
      <c r="G204" s="23" t="e">
        <v>#N/A</v>
      </c>
      <c r="H204" s="29">
        <v>0.75530710661721556</v>
      </c>
      <c r="I204" s="7" t="e">
        <f t="shared" si="9"/>
        <v>#N/A</v>
      </c>
      <c r="J204" s="7" t="e">
        <f t="shared" si="8"/>
        <v>#N/A</v>
      </c>
    </row>
    <row r="205" spans="1:10" s="19" customFormat="1" x14ac:dyDescent="0.35">
      <c r="A205" s="19" t="s">
        <v>53</v>
      </c>
      <c r="B205" s="19" t="s">
        <v>54</v>
      </c>
      <c r="C205" s="19" t="s">
        <v>40</v>
      </c>
      <c r="D205" s="19" t="s">
        <v>154</v>
      </c>
      <c r="E205" s="19" t="s">
        <v>41</v>
      </c>
      <c r="F205" s="33">
        <v>0</v>
      </c>
      <c r="G205" s="24" t="e">
        <v>#N/A</v>
      </c>
      <c r="H205" s="30">
        <v>-0.15459809450451886</v>
      </c>
      <c r="I205" s="21" t="e">
        <f t="shared" si="9"/>
        <v>#N/A</v>
      </c>
      <c r="J205" s="21" t="e">
        <f t="shared" si="8"/>
        <v>#N/A</v>
      </c>
    </row>
    <row r="206" spans="1:10" x14ac:dyDescent="0.35">
      <c r="A206" t="s">
        <v>55</v>
      </c>
      <c r="B206" t="s">
        <v>56</v>
      </c>
      <c r="C206" t="s">
        <v>6</v>
      </c>
      <c r="D206" t="s">
        <v>153</v>
      </c>
      <c r="E206" t="s">
        <v>41</v>
      </c>
      <c r="F206" s="32">
        <v>6.6992855000000002</v>
      </c>
      <c r="G206" s="23" t="e">
        <v>#N/A</v>
      </c>
      <c r="H206" s="29">
        <v>0.74980951090969972</v>
      </c>
      <c r="I206" s="7" t="e">
        <f t="shared" si="9"/>
        <v>#N/A</v>
      </c>
      <c r="J206" s="7" t="e">
        <f>I206/0.6684</f>
        <v>#N/A</v>
      </c>
    </row>
    <row r="207" spans="1:10" x14ac:dyDescent="0.35">
      <c r="A207" t="s">
        <v>55</v>
      </c>
      <c r="B207" t="s">
        <v>56</v>
      </c>
      <c r="C207" t="s">
        <v>7</v>
      </c>
      <c r="D207" t="s">
        <v>153</v>
      </c>
      <c r="E207" t="s">
        <v>41</v>
      </c>
      <c r="F207" s="32">
        <v>0</v>
      </c>
      <c r="G207" s="23" t="e">
        <v>#N/A</v>
      </c>
      <c r="H207" s="29">
        <v>-9.862634760916883E-2</v>
      </c>
      <c r="I207" s="7" t="e">
        <f t="shared" si="9"/>
        <v>#N/A</v>
      </c>
      <c r="J207" s="7" t="e">
        <f t="shared" ref="J207:J239" si="10">I207/0.6684</f>
        <v>#N/A</v>
      </c>
    </row>
    <row r="208" spans="1:10" x14ac:dyDescent="0.35">
      <c r="A208" t="s">
        <v>55</v>
      </c>
      <c r="B208" t="s">
        <v>56</v>
      </c>
      <c r="C208" t="s">
        <v>8</v>
      </c>
      <c r="D208" t="s">
        <v>153</v>
      </c>
      <c r="E208" t="s">
        <v>41</v>
      </c>
      <c r="F208" s="32">
        <v>0</v>
      </c>
      <c r="G208" s="23" t="e">
        <v>#N/A</v>
      </c>
      <c r="H208" s="29">
        <v>-4.3319560229174152E-2</v>
      </c>
      <c r="I208" s="7" t="e">
        <f t="shared" si="9"/>
        <v>#N/A</v>
      </c>
      <c r="J208" s="7" t="e">
        <f t="shared" si="10"/>
        <v>#N/A</v>
      </c>
    </row>
    <row r="209" spans="1:10" x14ac:dyDescent="0.35">
      <c r="A209" t="s">
        <v>55</v>
      </c>
      <c r="B209" t="s">
        <v>56</v>
      </c>
      <c r="C209" t="s">
        <v>9</v>
      </c>
      <c r="D209" t="s">
        <v>153</v>
      </c>
      <c r="E209" t="s">
        <v>41</v>
      </c>
      <c r="F209" s="32">
        <v>0</v>
      </c>
      <c r="G209" s="23" t="e">
        <v>#N/A</v>
      </c>
      <c r="H209" s="29">
        <v>0.84903162474601901</v>
      </c>
      <c r="I209" s="7" t="e">
        <f t="shared" si="9"/>
        <v>#N/A</v>
      </c>
      <c r="J209" s="7" t="e">
        <f t="shared" si="10"/>
        <v>#N/A</v>
      </c>
    </row>
    <row r="210" spans="1:10" x14ac:dyDescent="0.35">
      <c r="A210" t="s">
        <v>55</v>
      </c>
      <c r="B210" t="s">
        <v>56</v>
      </c>
      <c r="C210" t="s">
        <v>10</v>
      </c>
      <c r="D210" t="s">
        <v>153</v>
      </c>
      <c r="E210" t="s">
        <v>41</v>
      </c>
      <c r="F210" s="32">
        <v>0.80016229999999999</v>
      </c>
      <c r="G210" s="23" t="e">
        <v>#N/A</v>
      </c>
      <c r="H210" s="29">
        <v>6.7260877234505245E-2</v>
      </c>
      <c r="I210" s="7" t="e">
        <f t="shared" si="9"/>
        <v>#N/A</v>
      </c>
      <c r="J210" s="7" t="e">
        <f t="shared" si="10"/>
        <v>#N/A</v>
      </c>
    </row>
    <row r="211" spans="1:10" x14ac:dyDescent="0.35">
      <c r="A211" t="s">
        <v>55</v>
      </c>
      <c r="B211" t="s">
        <v>56</v>
      </c>
      <c r="C211" t="s">
        <v>11</v>
      </c>
      <c r="D211" t="s">
        <v>153</v>
      </c>
      <c r="E211" t="s">
        <v>41</v>
      </c>
      <c r="F211" s="32">
        <v>83.5308864</v>
      </c>
      <c r="G211" s="23">
        <v>9.4290743705307083</v>
      </c>
      <c r="H211" s="29">
        <v>22.881548154180127</v>
      </c>
      <c r="I211" s="7">
        <f t="shared" si="9"/>
        <v>9.4290743705307083</v>
      </c>
      <c r="J211" s="7">
        <f t="shared" si="10"/>
        <v>14.106933528621646</v>
      </c>
    </row>
    <row r="212" spans="1:10" x14ac:dyDescent="0.35">
      <c r="A212" t="s">
        <v>55</v>
      </c>
      <c r="B212" t="s">
        <v>56</v>
      </c>
      <c r="C212" t="s">
        <v>12</v>
      </c>
      <c r="D212" t="s">
        <v>154</v>
      </c>
      <c r="E212" t="s">
        <v>41</v>
      </c>
      <c r="F212" s="32">
        <v>0</v>
      </c>
      <c r="G212" s="23" t="e">
        <v>#N/A</v>
      </c>
      <c r="H212" s="29">
        <v>-4.2733313976384524E-2</v>
      </c>
      <c r="I212" s="7" t="e">
        <f t="shared" si="9"/>
        <v>#N/A</v>
      </c>
      <c r="J212" s="7" t="e">
        <f t="shared" si="10"/>
        <v>#N/A</v>
      </c>
    </row>
    <row r="213" spans="1:10" x14ac:dyDescent="0.35">
      <c r="A213" t="s">
        <v>55</v>
      </c>
      <c r="B213" t="s">
        <v>56</v>
      </c>
      <c r="C213" t="s">
        <v>13</v>
      </c>
      <c r="D213" t="s">
        <v>153</v>
      </c>
      <c r="E213" t="s">
        <v>41</v>
      </c>
      <c r="F213" s="32">
        <v>12.503864100000001</v>
      </c>
      <c r="G213" s="23">
        <v>1.6976981544414804</v>
      </c>
      <c r="H213" s="29">
        <v>0.60791112089702748</v>
      </c>
      <c r="I213" s="7">
        <f t="shared" si="9"/>
        <v>1.6976981544414804</v>
      </c>
      <c r="J213" s="7">
        <f t="shared" si="10"/>
        <v>2.5399433788771399</v>
      </c>
    </row>
    <row r="214" spans="1:10" x14ac:dyDescent="0.35">
      <c r="A214" t="s">
        <v>55</v>
      </c>
      <c r="B214" t="s">
        <v>56</v>
      </c>
      <c r="C214" t="s">
        <v>14</v>
      </c>
      <c r="D214" t="s">
        <v>154</v>
      </c>
      <c r="E214" t="s">
        <v>41</v>
      </c>
      <c r="F214" s="32">
        <v>0</v>
      </c>
      <c r="G214" s="23" t="e">
        <v>#N/A</v>
      </c>
      <c r="H214" s="29">
        <v>-4.9338021207240887E-2</v>
      </c>
      <c r="I214" s="7" t="e">
        <f t="shared" si="9"/>
        <v>#N/A</v>
      </c>
      <c r="J214" s="7" t="e">
        <f t="shared" si="10"/>
        <v>#N/A</v>
      </c>
    </row>
    <row r="215" spans="1:10" x14ac:dyDescent="0.35">
      <c r="A215" t="s">
        <v>55</v>
      </c>
      <c r="B215" t="s">
        <v>56</v>
      </c>
      <c r="C215" t="s">
        <v>15</v>
      </c>
      <c r="D215" t="s">
        <v>153</v>
      </c>
      <c r="E215" t="s">
        <v>41</v>
      </c>
      <c r="F215" s="32">
        <v>2678.0562187</v>
      </c>
      <c r="G215" s="23">
        <v>63.926178972384093</v>
      </c>
      <c r="H215" s="29">
        <v>195.1785246252083</v>
      </c>
      <c r="I215" s="7">
        <f t="shared" si="9"/>
        <v>63.926178972384093</v>
      </c>
      <c r="J215" s="7">
        <f t="shared" si="10"/>
        <v>95.640602891059388</v>
      </c>
    </row>
    <row r="216" spans="1:10" x14ac:dyDescent="0.35">
      <c r="A216" t="s">
        <v>55</v>
      </c>
      <c r="B216" t="s">
        <v>56</v>
      </c>
      <c r="C216" t="s">
        <v>16</v>
      </c>
      <c r="D216" t="s">
        <v>154</v>
      </c>
      <c r="E216" t="s">
        <v>41</v>
      </c>
      <c r="F216" s="32">
        <v>496.5587501</v>
      </c>
      <c r="G216" s="23">
        <v>41.663269020232661</v>
      </c>
      <c r="H216" s="29">
        <v>124.70179350976363</v>
      </c>
      <c r="I216" s="7">
        <f t="shared" si="9"/>
        <v>41.663269020232661</v>
      </c>
      <c r="J216" s="7">
        <f t="shared" si="10"/>
        <v>62.33283815115599</v>
      </c>
    </row>
    <row r="217" spans="1:10" x14ac:dyDescent="0.35">
      <c r="A217" t="s">
        <v>55</v>
      </c>
      <c r="B217" t="s">
        <v>56</v>
      </c>
      <c r="C217" t="s">
        <v>18</v>
      </c>
      <c r="D217" t="s">
        <v>154</v>
      </c>
      <c r="E217" t="s">
        <v>41</v>
      </c>
      <c r="F217" s="32">
        <v>4.1559419999999996</v>
      </c>
      <c r="G217" s="23" t="e">
        <v>#N/A</v>
      </c>
      <c r="H217" s="29">
        <v>-3.8983074908381002E-2</v>
      </c>
      <c r="I217" s="7" t="e">
        <f t="shared" si="9"/>
        <v>#N/A</v>
      </c>
      <c r="J217" s="7" t="e">
        <f t="shared" si="10"/>
        <v>#N/A</v>
      </c>
    </row>
    <row r="218" spans="1:10" x14ac:dyDescent="0.35">
      <c r="A218" t="s">
        <v>55</v>
      </c>
      <c r="B218" t="s">
        <v>56</v>
      </c>
      <c r="C218" t="s">
        <v>19</v>
      </c>
      <c r="D218" t="s">
        <v>153</v>
      </c>
      <c r="E218" t="s">
        <v>41</v>
      </c>
      <c r="F218" s="32">
        <v>462.39558449999998</v>
      </c>
      <c r="G218" s="23">
        <v>36.010891274647641</v>
      </c>
      <c r="H218" s="29">
        <v>52.56029358919654</v>
      </c>
      <c r="I218" s="7">
        <f t="shared" si="9"/>
        <v>36.010891274647641</v>
      </c>
      <c r="J218" s="7">
        <f t="shared" si="10"/>
        <v>53.876258639508741</v>
      </c>
    </row>
    <row r="219" spans="1:10" x14ac:dyDescent="0.35">
      <c r="A219" t="s">
        <v>55</v>
      </c>
      <c r="B219" t="s">
        <v>56</v>
      </c>
      <c r="C219" t="s">
        <v>20</v>
      </c>
      <c r="D219" t="s">
        <v>154</v>
      </c>
      <c r="E219" t="s">
        <v>41</v>
      </c>
      <c r="F219" s="32">
        <v>529.37252160000003</v>
      </c>
      <c r="G219" s="23">
        <v>51.543831861083682</v>
      </c>
      <c r="H219" s="29">
        <v>178.4109330717115</v>
      </c>
      <c r="I219" s="7">
        <f t="shared" si="9"/>
        <v>51.543831861083682</v>
      </c>
      <c r="J219" s="7">
        <f t="shared" si="10"/>
        <v>77.11524814644477</v>
      </c>
    </row>
    <row r="220" spans="1:10" x14ac:dyDescent="0.35">
      <c r="A220" t="s">
        <v>55</v>
      </c>
      <c r="B220" t="s">
        <v>56</v>
      </c>
      <c r="C220" t="s">
        <v>21</v>
      </c>
      <c r="D220" t="s">
        <v>155</v>
      </c>
      <c r="E220" t="s">
        <v>41</v>
      </c>
      <c r="F220" s="32">
        <v>1.5590261000000001</v>
      </c>
      <c r="G220" s="23" t="e">
        <v>#N/A</v>
      </c>
      <c r="H220" s="29">
        <v>8.9009766349363334E-2</v>
      </c>
      <c r="I220" s="7" t="e">
        <f t="shared" si="9"/>
        <v>#N/A</v>
      </c>
      <c r="J220" s="7" t="e">
        <f t="shared" si="10"/>
        <v>#N/A</v>
      </c>
    </row>
    <row r="221" spans="1:10" x14ac:dyDescent="0.35">
      <c r="A221" t="s">
        <v>55</v>
      </c>
      <c r="B221" t="s">
        <v>56</v>
      </c>
      <c r="C221" t="s">
        <v>22</v>
      </c>
      <c r="D221" t="s">
        <v>155</v>
      </c>
      <c r="E221" t="s">
        <v>41</v>
      </c>
      <c r="F221" s="32">
        <v>304.23818459999995</v>
      </c>
      <c r="G221" s="23">
        <v>23.144709291081973</v>
      </c>
      <c r="H221" s="29">
        <v>81.854247829216419</v>
      </c>
      <c r="I221" s="7">
        <f t="shared" si="9"/>
        <v>23.144709291081973</v>
      </c>
      <c r="J221" s="7">
        <f t="shared" si="10"/>
        <v>34.627033649135207</v>
      </c>
    </row>
    <row r="222" spans="1:10" x14ac:dyDescent="0.35">
      <c r="A222" t="s">
        <v>55</v>
      </c>
      <c r="B222" t="s">
        <v>56</v>
      </c>
      <c r="C222" t="s">
        <v>23</v>
      </c>
      <c r="D222" t="s">
        <v>155</v>
      </c>
      <c r="E222" t="s">
        <v>41</v>
      </c>
      <c r="F222" s="32">
        <v>0</v>
      </c>
      <c r="G222" s="23">
        <v>1.6645069573628679</v>
      </c>
      <c r="H222" s="29">
        <v>1.1790865521710025E-2</v>
      </c>
      <c r="I222" s="7">
        <f t="shared" si="9"/>
        <v>1.6645069573628679</v>
      </c>
      <c r="J222" s="7">
        <f t="shared" si="10"/>
        <v>2.4902856932418729</v>
      </c>
    </row>
    <row r="223" spans="1:10" x14ac:dyDescent="0.35">
      <c r="A223" t="s">
        <v>55</v>
      </c>
      <c r="B223" t="s">
        <v>56</v>
      </c>
      <c r="C223" t="s">
        <v>24</v>
      </c>
      <c r="D223" t="s">
        <v>155</v>
      </c>
      <c r="E223" t="s">
        <v>41</v>
      </c>
      <c r="F223" s="32">
        <v>286.32960629999997</v>
      </c>
      <c r="G223" s="23">
        <v>6.2128123666125177</v>
      </c>
      <c r="H223" s="29">
        <v>13.961363866878324</v>
      </c>
      <c r="I223" s="7">
        <f t="shared" si="9"/>
        <v>6.2128123666125177</v>
      </c>
      <c r="J223" s="7">
        <f t="shared" si="10"/>
        <v>9.2950514162365607</v>
      </c>
    </row>
    <row r="224" spans="1:10" x14ac:dyDescent="0.35">
      <c r="A224" t="s">
        <v>55</v>
      </c>
      <c r="B224" t="s">
        <v>56</v>
      </c>
      <c r="C224" t="s">
        <v>25</v>
      </c>
      <c r="D224" t="s">
        <v>155</v>
      </c>
      <c r="E224" t="s">
        <v>41</v>
      </c>
      <c r="F224" s="32">
        <v>14.8340817</v>
      </c>
      <c r="G224" s="23">
        <v>1.9662307563864658</v>
      </c>
      <c r="H224" s="29">
        <v>2.0534653605001258</v>
      </c>
      <c r="I224" s="7">
        <f t="shared" si="9"/>
        <v>1.9662307563864658</v>
      </c>
      <c r="J224" s="7">
        <f t="shared" si="10"/>
        <v>2.9416977205063821</v>
      </c>
    </row>
    <row r="225" spans="1:10" x14ac:dyDescent="0.35">
      <c r="A225" t="s">
        <v>55</v>
      </c>
      <c r="B225" t="s">
        <v>56</v>
      </c>
      <c r="C225" t="s">
        <v>26</v>
      </c>
      <c r="D225" t="s">
        <v>153</v>
      </c>
      <c r="E225" t="s">
        <v>41</v>
      </c>
      <c r="F225" s="32">
        <v>1.5552858000000001</v>
      </c>
      <c r="G225" s="23">
        <v>1.6959451978314986</v>
      </c>
      <c r="H225" s="29">
        <v>-3.4929196352687715E-2</v>
      </c>
      <c r="I225" s="7">
        <f t="shared" si="9"/>
        <v>1.6959451978314986</v>
      </c>
      <c r="J225" s="7">
        <f t="shared" si="10"/>
        <v>2.5373207627640615</v>
      </c>
    </row>
    <row r="226" spans="1:10" x14ac:dyDescent="0.35">
      <c r="A226" t="s">
        <v>55</v>
      </c>
      <c r="B226" t="s">
        <v>56</v>
      </c>
      <c r="C226" t="s">
        <v>27</v>
      </c>
      <c r="D226" t="s">
        <v>154</v>
      </c>
      <c r="E226" t="s">
        <v>41</v>
      </c>
      <c r="F226" s="32">
        <v>0</v>
      </c>
      <c r="G226" s="23" t="e">
        <v>#N/A</v>
      </c>
      <c r="H226" s="29">
        <v>12.940395797223829</v>
      </c>
      <c r="I226" s="7" t="e">
        <f t="shared" si="9"/>
        <v>#N/A</v>
      </c>
      <c r="J226" s="7" t="e">
        <f t="shared" si="10"/>
        <v>#N/A</v>
      </c>
    </row>
    <row r="227" spans="1:10" x14ac:dyDescent="0.35">
      <c r="A227" t="s">
        <v>55</v>
      </c>
      <c r="B227" t="s">
        <v>56</v>
      </c>
      <c r="C227" t="s">
        <v>28</v>
      </c>
      <c r="D227" t="s">
        <v>155</v>
      </c>
      <c r="E227" t="s">
        <v>41</v>
      </c>
      <c r="F227" s="32">
        <v>49.490551399999994</v>
      </c>
      <c r="G227" s="23">
        <v>5.921674714931612</v>
      </c>
      <c r="H227" s="29">
        <v>21.081753338213712</v>
      </c>
      <c r="I227" s="7">
        <f t="shared" si="9"/>
        <v>5.921674714931612</v>
      </c>
      <c r="J227" s="7">
        <f t="shared" si="10"/>
        <v>8.8594774310766198</v>
      </c>
    </row>
    <row r="228" spans="1:10" x14ac:dyDescent="0.35">
      <c r="A228" t="s">
        <v>55</v>
      </c>
      <c r="B228" t="s">
        <v>56</v>
      </c>
      <c r="C228" t="s">
        <v>29</v>
      </c>
      <c r="D228" t="s">
        <v>155</v>
      </c>
      <c r="E228" t="s">
        <v>41</v>
      </c>
      <c r="F228" s="32">
        <v>8.8423251999999994</v>
      </c>
      <c r="G228" s="23">
        <v>1.1664694329725771</v>
      </c>
      <c r="H228" s="29">
        <v>3.867482241683641</v>
      </c>
      <c r="I228" s="7">
        <f t="shared" si="9"/>
        <v>1.1664694329725771</v>
      </c>
      <c r="J228" s="7">
        <f t="shared" si="10"/>
        <v>1.7451667159972728</v>
      </c>
    </row>
    <row r="229" spans="1:10" x14ac:dyDescent="0.35">
      <c r="A229" t="s">
        <v>55</v>
      </c>
      <c r="B229" t="s">
        <v>56</v>
      </c>
      <c r="C229" t="s">
        <v>30</v>
      </c>
      <c r="D229" t="s">
        <v>155</v>
      </c>
      <c r="E229" t="s">
        <v>41</v>
      </c>
      <c r="F229" s="32">
        <v>284.34847409999998</v>
      </c>
      <c r="G229" s="23">
        <v>11.544653010179275</v>
      </c>
      <c r="H229" s="29">
        <v>41.846239196266325</v>
      </c>
      <c r="I229" s="7">
        <f t="shared" si="9"/>
        <v>11.544653010179275</v>
      </c>
      <c r="J229" s="7">
        <f t="shared" si="10"/>
        <v>17.272072127736795</v>
      </c>
    </row>
    <row r="230" spans="1:10" x14ac:dyDescent="0.35">
      <c r="A230" t="s">
        <v>55</v>
      </c>
      <c r="B230" t="s">
        <v>56</v>
      </c>
      <c r="C230" t="s">
        <v>31</v>
      </c>
      <c r="D230" t="s">
        <v>155</v>
      </c>
      <c r="E230" t="s">
        <v>41</v>
      </c>
      <c r="F230" s="32">
        <v>6.0526282</v>
      </c>
      <c r="G230" s="23" t="e">
        <v>#N/A</v>
      </c>
      <c r="H230" s="29">
        <v>0.93791841289882183</v>
      </c>
      <c r="I230" s="7" t="e">
        <f t="shared" si="9"/>
        <v>#N/A</v>
      </c>
      <c r="J230" s="7" t="e">
        <f t="shared" si="10"/>
        <v>#N/A</v>
      </c>
    </row>
    <row r="231" spans="1:10" x14ac:dyDescent="0.35">
      <c r="A231" t="s">
        <v>55</v>
      </c>
      <c r="B231" t="s">
        <v>56</v>
      </c>
      <c r="C231" t="s">
        <v>32</v>
      </c>
      <c r="D231" t="s">
        <v>153</v>
      </c>
      <c r="E231" t="s">
        <v>41</v>
      </c>
      <c r="F231" s="32">
        <v>0</v>
      </c>
      <c r="G231" s="23" t="e">
        <v>#N/A</v>
      </c>
      <c r="H231" s="29">
        <v>1.6278401814760413E-2</v>
      </c>
      <c r="I231" s="7" t="e">
        <f t="shared" si="9"/>
        <v>#N/A</v>
      </c>
      <c r="J231" s="7" t="e">
        <f t="shared" si="10"/>
        <v>#N/A</v>
      </c>
    </row>
    <row r="232" spans="1:10" x14ac:dyDescent="0.35">
      <c r="A232" t="s">
        <v>55</v>
      </c>
      <c r="B232" t="s">
        <v>56</v>
      </c>
      <c r="C232" t="s">
        <v>33</v>
      </c>
      <c r="D232" t="s">
        <v>155</v>
      </c>
      <c r="E232" t="s">
        <v>41</v>
      </c>
      <c r="F232" s="32">
        <v>236.64176670000001</v>
      </c>
      <c r="G232" s="23">
        <v>15.993183610401738</v>
      </c>
      <c r="H232" s="29">
        <v>21.811939005037964</v>
      </c>
      <c r="I232" s="7">
        <f t="shared" si="9"/>
        <v>15.993183610401738</v>
      </c>
      <c r="J232" s="7">
        <f t="shared" si="10"/>
        <v>23.92756374985299</v>
      </c>
    </row>
    <row r="233" spans="1:10" x14ac:dyDescent="0.35">
      <c r="A233" t="s">
        <v>55</v>
      </c>
      <c r="B233" t="s">
        <v>56</v>
      </c>
      <c r="C233" t="s">
        <v>34</v>
      </c>
      <c r="D233" t="s">
        <v>153</v>
      </c>
      <c r="E233" t="s">
        <v>41</v>
      </c>
      <c r="F233" s="32">
        <v>0</v>
      </c>
      <c r="G233" s="23" t="e">
        <v>#N/A</v>
      </c>
      <c r="H233" s="29">
        <v>-0.15613443831740617</v>
      </c>
      <c r="I233" s="7" t="e">
        <f t="shared" si="9"/>
        <v>#N/A</v>
      </c>
      <c r="J233" s="7" t="e">
        <f t="shared" si="10"/>
        <v>#N/A</v>
      </c>
    </row>
    <row r="234" spans="1:10" x14ac:dyDescent="0.35">
      <c r="A234" t="s">
        <v>55</v>
      </c>
      <c r="B234" t="s">
        <v>56</v>
      </c>
      <c r="C234" t="s">
        <v>35</v>
      </c>
      <c r="D234" t="s">
        <v>154</v>
      </c>
      <c r="E234" t="s">
        <v>41</v>
      </c>
      <c r="F234" s="32">
        <v>49.572101499999995</v>
      </c>
      <c r="G234" s="23">
        <v>4.9211686620306274</v>
      </c>
      <c r="H234" s="29">
        <v>27.803748842664415</v>
      </c>
      <c r="I234" s="7">
        <f t="shared" si="9"/>
        <v>4.9211686620306274</v>
      </c>
      <c r="J234" s="7">
        <f t="shared" si="10"/>
        <v>7.362610206509018</v>
      </c>
    </row>
    <row r="235" spans="1:10" x14ac:dyDescent="0.35">
      <c r="A235" t="s">
        <v>55</v>
      </c>
      <c r="B235" t="s">
        <v>56</v>
      </c>
      <c r="C235" t="s">
        <v>36</v>
      </c>
      <c r="D235" t="s">
        <v>155</v>
      </c>
      <c r="E235" t="s">
        <v>41</v>
      </c>
      <c r="F235" s="32">
        <v>1.9170098</v>
      </c>
      <c r="G235" s="23" t="e">
        <v>#N/A</v>
      </c>
      <c r="H235" s="29">
        <v>0.19602526756452537</v>
      </c>
      <c r="I235" s="7" t="e">
        <f t="shared" si="9"/>
        <v>#N/A</v>
      </c>
      <c r="J235" s="7" t="e">
        <f t="shared" si="10"/>
        <v>#N/A</v>
      </c>
    </row>
    <row r="236" spans="1:10" x14ac:dyDescent="0.35">
      <c r="A236" t="s">
        <v>55</v>
      </c>
      <c r="B236" t="s">
        <v>56</v>
      </c>
      <c r="C236" t="s">
        <v>37</v>
      </c>
      <c r="D236" t="s">
        <v>155</v>
      </c>
      <c r="E236" t="s">
        <v>41</v>
      </c>
      <c r="F236" s="32">
        <v>7.7788684000000003</v>
      </c>
      <c r="G236" s="23">
        <v>2.4408144005447978</v>
      </c>
      <c r="H236" s="29">
        <v>3.9590982924876794</v>
      </c>
      <c r="I236" s="7">
        <f t="shared" si="9"/>
        <v>2.4408144005447978</v>
      </c>
      <c r="J236" s="7">
        <f t="shared" si="10"/>
        <v>3.6517271103303379</v>
      </c>
    </row>
    <row r="237" spans="1:10" x14ac:dyDescent="0.35">
      <c r="A237" t="s">
        <v>55</v>
      </c>
      <c r="B237" t="s">
        <v>56</v>
      </c>
      <c r="C237" t="s">
        <v>38</v>
      </c>
      <c r="D237" t="s">
        <v>155</v>
      </c>
      <c r="E237" t="s">
        <v>41</v>
      </c>
      <c r="F237" s="32">
        <v>10.8488439</v>
      </c>
      <c r="G237" s="23">
        <v>1.2007838477874788</v>
      </c>
      <c r="H237" s="29">
        <v>1.7388327824888208</v>
      </c>
      <c r="I237" s="7">
        <f t="shared" si="9"/>
        <v>1.2007838477874788</v>
      </c>
      <c r="J237" s="7">
        <f t="shared" si="10"/>
        <v>1.7965048590476942</v>
      </c>
    </row>
    <row r="238" spans="1:10" x14ac:dyDescent="0.35">
      <c r="A238" t="s">
        <v>55</v>
      </c>
      <c r="B238" t="s">
        <v>56</v>
      </c>
      <c r="C238" t="s">
        <v>39</v>
      </c>
      <c r="D238" t="s">
        <v>153</v>
      </c>
      <c r="E238" t="s">
        <v>41</v>
      </c>
      <c r="F238" s="32">
        <v>9.6472344999999997</v>
      </c>
      <c r="G238" s="23" t="e">
        <v>#N/A</v>
      </c>
      <c r="H238" s="29">
        <v>0.37905701445489492</v>
      </c>
      <c r="I238" s="7" t="e">
        <f t="shared" si="9"/>
        <v>#N/A</v>
      </c>
      <c r="J238" s="7" t="e">
        <f t="shared" si="10"/>
        <v>#N/A</v>
      </c>
    </row>
    <row r="239" spans="1:10" s="19" customFormat="1" x14ac:dyDescent="0.35">
      <c r="A239" s="19" t="s">
        <v>55</v>
      </c>
      <c r="B239" s="19" t="s">
        <v>56</v>
      </c>
      <c r="C239" s="19" t="s">
        <v>40</v>
      </c>
      <c r="D239" s="19" t="s">
        <v>154</v>
      </c>
      <c r="E239" s="19" t="s">
        <v>41</v>
      </c>
      <c r="F239" s="33">
        <v>0</v>
      </c>
      <c r="G239" s="24" t="e">
        <v>#N/A</v>
      </c>
      <c r="H239" s="30">
        <v>-5.3281226040783898E-2</v>
      </c>
      <c r="I239" s="21" t="e">
        <f t="shared" si="9"/>
        <v>#N/A</v>
      </c>
      <c r="J239" s="21" t="e">
        <f t="shared" si="10"/>
        <v>#N/A</v>
      </c>
    </row>
    <row r="240" spans="1:10" x14ac:dyDescent="0.35">
      <c r="A240" t="s">
        <v>57</v>
      </c>
      <c r="B240" t="s">
        <v>58</v>
      </c>
      <c r="C240" t="s">
        <v>6</v>
      </c>
      <c r="D240" t="s">
        <v>153</v>
      </c>
      <c r="E240" t="s">
        <v>41</v>
      </c>
      <c r="F240" s="32">
        <v>6.7397358000000001</v>
      </c>
      <c r="G240" s="23" t="e">
        <v>#N/A</v>
      </c>
      <c r="H240" s="29">
        <v>0.75151262085156323</v>
      </c>
      <c r="I240" s="7" t="e">
        <f t="shared" si="9"/>
        <v>#N/A</v>
      </c>
      <c r="J240" s="7" t="e">
        <f>I240/0.6353</f>
        <v>#N/A</v>
      </c>
    </row>
    <row r="241" spans="1:10" x14ac:dyDescent="0.35">
      <c r="A241" t="s">
        <v>57</v>
      </c>
      <c r="B241" t="s">
        <v>58</v>
      </c>
      <c r="C241" t="s">
        <v>7</v>
      </c>
      <c r="D241" t="s">
        <v>153</v>
      </c>
      <c r="E241" t="s">
        <v>41</v>
      </c>
      <c r="F241" s="32">
        <v>0</v>
      </c>
      <c r="G241" s="23" t="e">
        <v>#N/A</v>
      </c>
      <c r="H241" s="29">
        <v>-0.10616957912093211</v>
      </c>
      <c r="I241" s="7" t="e">
        <f t="shared" si="9"/>
        <v>#N/A</v>
      </c>
      <c r="J241" s="7" t="e">
        <f t="shared" ref="J241:J273" si="11">I241/0.6353</f>
        <v>#N/A</v>
      </c>
    </row>
    <row r="242" spans="1:10" x14ac:dyDescent="0.35">
      <c r="A242" t="s">
        <v>57</v>
      </c>
      <c r="B242" t="s">
        <v>58</v>
      </c>
      <c r="C242" t="s">
        <v>8</v>
      </c>
      <c r="D242" t="s">
        <v>153</v>
      </c>
      <c r="E242" t="s">
        <v>41</v>
      </c>
      <c r="F242" s="32">
        <v>0</v>
      </c>
      <c r="G242" s="23" t="e">
        <v>#N/A</v>
      </c>
      <c r="H242" s="29">
        <v>-4.3221058728167346E-2</v>
      </c>
      <c r="I242" s="7" t="e">
        <f t="shared" si="9"/>
        <v>#N/A</v>
      </c>
      <c r="J242" s="7" t="e">
        <f t="shared" si="11"/>
        <v>#N/A</v>
      </c>
    </row>
    <row r="243" spans="1:10" x14ac:dyDescent="0.35">
      <c r="A243" t="s">
        <v>57</v>
      </c>
      <c r="B243" t="s">
        <v>58</v>
      </c>
      <c r="C243" t="s">
        <v>9</v>
      </c>
      <c r="D243" t="s">
        <v>153</v>
      </c>
      <c r="E243" t="s">
        <v>41</v>
      </c>
      <c r="F243" s="32">
        <v>0</v>
      </c>
      <c r="G243" s="23" t="e">
        <v>#N/A</v>
      </c>
      <c r="H243" s="29">
        <v>-0.25150165638381539</v>
      </c>
      <c r="I243" s="7" t="e">
        <f t="shared" si="9"/>
        <v>#N/A</v>
      </c>
      <c r="J243" s="7" t="e">
        <f t="shared" si="11"/>
        <v>#N/A</v>
      </c>
    </row>
    <row r="244" spans="1:10" x14ac:dyDescent="0.35">
      <c r="A244" t="s">
        <v>57</v>
      </c>
      <c r="B244" t="s">
        <v>58</v>
      </c>
      <c r="C244" t="s">
        <v>10</v>
      </c>
      <c r="D244" t="s">
        <v>153</v>
      </c>
      <c r="E244" t="s">
        <v>41</v>
      </c>
      <c r="F244" s="32">
        <v>0</v>
      </c>
      <c r="G244" s="23" t="e">
        <v>#N/A</v>
      </c>
      <c r="H244" s="29">
        <v>-9.2679848519713684E-2</v>
      </c>
      <c r="I244" s="7" t="e">
        <f t="shared" si="9"/>
        <v>#N/A</v>
      </c>
      <c r="J244" s="7" t="e">
        <f t="shared" si="11"/>
        <v>#N/A</v>
      </c>
    </row>
    <row r="245" spans="1:10" x14ac:dyDescent="0.35">
      <c r="A245" t="s">
        <v>57</v>
      </c>
      <c r="B245" t="s">
        <v>58</v>
      </c>
      <c r="C245" t="s">
        <v>11</v>
      </c>
      <c r="D245" t="s">
        <v>153</v>
      </c>
      <c r="E245" t="s">
        <v>41</v>
      </c>
      <c r="F245" s="32">
        <v>42.469700700000004</v>
      </c>
      <c r="G245" s="23">
        <v>5.012893089565579</v>
      </c>
      <c r="H245" s="29">
        <v>12.336647351460355</v>
      </c>
      <c r="I245" s="7">
        <f t="shared" si="9"/>
        <v>5.012893089565579</v>
      </c>
      <c r="J245" s="7">
        <f t="shared" si="11"/>
        <v>7.8905919873533437</v>
      </c>
    </row>
    <row r="246" spans="1:10" x14ac:dyDescent="0.35">
      <c r="A246" t="s">
        <v>57</v>
      </c>
      <c r="B246" t="s">
        <v>58</v>
      </c>
      <c r="C246" t="s">
        <v>12</v>
      </c>
      <c r="D246" t="s">
        <v>154</v>
      </c>
      <c r="E246" t="s">
        <v>41</v>
      </c>
      <c r="F246" s="32">
        <v>0</v>
      </c>
      <c r="G246" s="23" t="e">
        <v>#N/A</v>
      </c>
      <c r="H246" s="29">
        <v>-8.7167895932906261E-2</v>
      </c>
      <c r="I246" s="7" t="e">
        <f t="shared" si="9"/>
        <v>#N/A</v>
      </c>
      <c r="J246" s="7" t="e">
        <f t="shared" si="11"/>
        <v>#N/A</v>
      </c>
    </row>
    <row r="247" spans="1:10" x14ac:dyDescent="0.35">
      <c r="A247" t="s">
        <v>57</v>
      </c>
      <c r="B247" t="s">
        <v>58</v>
      </c>
      <c r="C247" t="s">
        <v>13</v>
      </c>
      <c r="D247" t="s">
        <v>153</v>
      </c>
      <c r="E247" t="s">
        <v>41</v>
      </c>
      <c r="F247" s="32">
        <v>6.2557917999999999</v>
      </c>
      <c r="G247" s="23">
        <v>1.0229054977173966</v>
      </c>
      <c r="H247" s="29">
        <v>0.30865858288455456</v>
      </c>
      <c r="I247" s="7">
        <f t="shared" si="9"/>
        <v>1.0229054977173966</v>
      </c>
      <c r="J247" s="7">
        <f t="shared" si="11"/>
        <v>1.6101141157207566</v>
      </c>
    </row>
    <row r="248" spans="1:10" x14ac:dyDescent="0.35">
      <c r="A248" t="s">
        <v>57</v>
      </c>
      <c r="B248" t="s">
        <v>58</v>
      </c>
      <c r="C248" t="s">
        <v>14</v>
      </c>
      <c r="D248" t="s">
        <v>154</v>
      </c>
      <c r="E248" t="s">
        <v>41</v>
      </c>
      <c r="F248" s="32">
        <v>0</v>
      </c>
      <c r="G248" s="23" t="e">
        <v>#N/A</v>
      </c>
      <c r="H248" s="29">
        <v>-4.6083717003862427E-2</v>
      </c>
      <c r="I248" s="7" t="e">
        <f t="shared" si="9"/>
        <v>#N/A</v>
      </c>
      <c r="J248" s="7" t="e">
        <f t="shared" si="11"/>
        <v>#N/A</v>
      </c>
    </row>
    <row r="249" spans="1:10" x14ac:dyDescent="0.35">
      <c r="A249" t="s">
        <v>57</v>
      </c>
      <c r="B249" t="s">
        <v>58</v>
      </c>
      <c r="C249" t="s">
        <v>15</v>
      </c>
      <c r="D249" t="s">
        <v>153</v>
      </c>
      <c r="E249" t="s">
        <v>41</v>
      </c>
      <c r="F249" s="32">
        <v>2174.1626369999999</v>
      </c>
      <c r="G249" s="23">
        <v>36.842006826486283</v>
      </c>
      <c r="H249" s="29">
        <v>158.42825225170944</v>
      </c>
      <c r="I249" s="7">
        <f t="shared" si="9"/>
        <v>36.842006826486283</v>
      </c>
      <c r="J249" s="7">
        <f t="shared" si="11"/>
        <v>57.99151082399856</v>
      </c>
    </row>
    <row r="250" spans="1:10" x14ac:dyDescent="0.35">
      <c r="A250" t="s">
        <v>57</v>
      </c>
      <c r="B250" t="s">
        <v>58</v>
      </c>
      <c r="C250" t="s">
        <v>16</v>
      </c>
      <c r="D250" t="s">
        <v>154</v>
      </c>
      <c r="E250" t="s">
        <v>41</v>
      </c>
      <c r="F250" s="32">
        <v>395.71085580000005</v>
      </c>
      <c r="G250" s="23">
        <v>34.601225280507592</v>
      </c>
      <c r="H250" s="29">
        <v>99.46807548139725</v>
      </c>
      <c r="I250" s="7">
        <f t="shared" si="9"/>
        <v>34.601225280507592</v>
      </c>
      <c r="J250" s="7">
        <f t="shared" si="11"/>
        <v>54.464387345360606</v>
      </c>
    </row>
    <row r="251" spans="1:10" x14ac:dyDescent="0.35">
      <c r="A251" t="s">
        <v>57</v>
      </c>
      <c r="B251" t="s">
        <v>58</v>
      </c>
      <c r="C251" t="s">
        <v>18</v>
      </c>
      <c r="D251" t="s">
        <v>154</v>
      </c>
      <c r="E251" t="s">
        <v>41</v>
      </c>
      <c r="F251" s="32">
        <v>0</v>
      </c>
      <c r="G251" s="23" t="e">
        <v>#N/A</v>
      </c>
      <c r="H251" s="29">
        <v>0.98694400998454546</v>
      </c>
      <c r="I251" s="7" t="e">
        <f t="shared" si="9"/>
        <v>#N/A</v>
      </c>
      <c r="J251" s="7" t="e">
        <f t="shared" si="11"/>
        <v>#N/A</v>
      </c>
    </row>
    <row r="252" spans="1:10" x14ac:dyDescent="0.35">
      <c r="A252" t="s">
        <v>57</v>
      </c>
      <c r="B252" t="s">
        <v>58</v>
      </c>
      <c r="C252" t="s">
        <v>19</v>
      </c>
      <c r="D252" t="s">
        <v>153</v>
      </c>
      <c r="E252" t="s">
        <v>41</v>
      </c>
      <c r="F252" s="32">
        <v>364.13963429999995</v>
      </c>
      <c r="G252" s="23">
        <v>28.558786001046666</v>
      </c>
      <c r="H252" s="29">
        <v>37.916342642692662</v>
      </c>
      <c r="I252" s="7">
        <f t="shared" si="9"/>
        <v>28.558786001046666</v>
      </c>
      <c r="J252" s="7">
        <f t="shared" si="11"/>
        <v>44.953228397680888</v>
      </c>
    </row>
    <row r="253" spans="1:10" x14ac:dyDescent="0.35">
      <c r="A253" t="s">
        <v>57</v>
      </c>
      <c r="B253" t="s">
        <v>58</v>
      </c>
      <c r="C253" t="s">
        <v>20</v>
      </c>
      <c r="D253" t="s">
        <v>154</v>
      </c>
      <c r="E253" t="s">
        <v>41</v>
      </c>
      <c r="F253" s="32">
        <v>516.59783719999996</v>
      </c>
      <c r="G253" s="23">
        <v>48.546220563142114</v>
      </c>
      <c r="H253" s="29">
        <v>129.78685495324984</v>
      </c>
      <c r="I253" s="7">
        <f t="shared" si="9"/>
        <v>48.546220563142114</v>
      </c>
      <c r="J253" s="7">
        <f t="shared" si="11"/>
        <v>76.414639639764076</v>
      </c>
    </row>
    <row r="254" spans="1:10" x14ac:dyDescent="0.35">
      <c r="A254" t="s">
        <v>57</v>
      </c>
      <c r="B254" t="s">
        <v>58</v>
      </c>
      <c r="C254" t="s">
        <v>21</v>
      </c>
      <c r="D254" t="s">
        <v>155</v>
      </c>
      <c r="E254" t="s">
        <v>41</v>
      </c>
      <c r="F254" s="32">
        <v>0.98982730000000008</v>
      </c>
      <c r="G254" s="23" t="e">
        <v>#N/A</v>
      </c>
      <c r="H254" s="29">
        <v>0.3711319699286515</v>
      </c>
      <c r="I254" s="7" t="e">
        <f t="shared" si="9"/>
        <v>#N/A</v>
      </c>
      <c r="J254" s="7" t="e">
        <f t="shared" si="11"/>
        <v>#N/A</v>
      </c>
    </row>
    <row r="255" spans="1:10" x14ac:dyDescent="0.35">
      <c r="A255" t="s">
        <v>57</v>
      </c>
      <c r="B255" t="s">
        <v>58</v>
      </c>
      <c r="C255" t="s">
        <v>22</v>
      </c>
      <c r="D255" t="s">
        <v>155</v>
      </c>
      <c r="E255" t="s">
        <v>41</v>
      </c>
      <c r="F255" s="32">
        <v>286.19496190000001</v>
      </c>
      <c r="G255" s="23">
        <v>21.487036264726225</v>
      </c>
      <c r="H255" s="29">
        <v>52.352855173788548</v>
      </c>
      <c r="I255" s="7">
        <f t="shared" si="9"/>
        <v>21.487036264726225</v>
      </c>
      <c r="J255" s="7">
        <f t="shared" si="11"/>
        <v>33.821873547499173</v>
      </c>
    </row>
    <row r="256" spans="1:10" x14ac:dyDescent="0.35">
      <c r="A256" t="s">
        <v>57</v>
      </c>
      <c r="B256" t="s">
        <v>58</v>
      </c>
      <c r="C256" t="s">
        <v>23</v>
      </c>
      <c r="D256" t="s">
        <v>155</v>
      </c>
      <c r="E256" t="s">
        <v>41</v>
      </c>
      <c r="F256" s="32">
        <v>0</v>
      </c>
      <c r="G256" s="23">
        <v>1.3626070719236227</v>
      </c>
      <c r="H256" s="29">
        <v>2.7334916346200494E-3</v>
      </c>
      <c r="I256" s="7">
        <f t="shared" si="9"/>
        <v>1.3626070719236227</v>
      </c>
      <c r="J256" s="7">
        <f t="shared" si="11"/>
        <v>2.144824605577873</v>
      </c>
    </row>
    <row r="257" spans="1:10" x14ac:dyDescent="0.35">
      <c r="A257" t="s">
        <v>57</v>
      </c>
      <c r="B257" t="s">
        <v>58</v>
      </c>
      <c r="C257" t="s">
        <v>24</v>
      </c>
      <c r="D257" t="s">
        <v>155</v>
      </c>
      <c r="E257" t="s">
        <v>41</v>
      </c>
      <c r="F257" s="32">
        <v>319.69333119999999</v>
      </c>
      <c r="G257" s="23">
        <v>6.7811952926705281</v>
      </c>
      <c r="H257" s="29">
        <v>8.179250613405431</v>
      </c>
      <c r="I257" s="7">
        <f t="shared" si="9"/>
        <v>6.7811952926705281</v>
      </c>
      <c r="J257" s="7">
        <f t="shared" si="11"/>
        <v>10.674004868047424</v>
      </c>
    </row>
    <row r="258" spans="1:10" x14ac:dyDescent="0.35">
      <c r="A258" t="s">
        <v>57</v>
      </c>
      <c r="B258" t="s">
        <v>58</v>
      </c>
      <c r="C258" t="s">
        <v>25</v>
      </c>
      <c r="D258" t="s">
        <v>155</v>
      </c>
      <c r="E258" t="s">
        <v>41</v>
      </c>
      <c r="F258" s="32">
        <v>17.437924299999999</v>
      </c>
      <c r="G258" s="23">
        <v>1.7221851283009952</v>
      </c>
      <c r="H258" s="29">
        <v>1.4557483575526173</v>
      </c>
      <c r="I258" s="7">
        <f t="shared" ref="I258:I321" si="12">IF(G258&lt;0,0,G258)</f>
        <v>1.7221851283009952</v>
      </c>
      <c r="J258" s="7">
        <f t="shared" si="11"/>
        <v>2.7108218610121129</v>
      </c>
    </row>
    <row r="259" spans="1:10" x14ac:dyDescent="0.35">
      <c r="A259" t="s">
        <v>57</v>
      </c>
      <c r="B259" t="s">
        <v>58</v>
      </c>
      <c r="C259" t="s">
        <v>26</v>
      </c>
      <c r="D259" t="s">
        <v>153</v>
      </c>
      <c r="E259" t="s">
        <v>41</v>
      </c>
      <c r="F259" s="32">
        <v>1.4495451000000001</v>
      </c>
      <c r="G259" s="23">
        <v>0.34738578113322649</v>
      </c>
      <c r="H259" s="29">
        <v>-4.1681554072583005E-2</v>
      </c>
      <c r="I259" s="7">
        <f t="shared" si="12"/>
        <v>0.34738578113322649</v>
      </c>
      <c r="J259" s="7">
        <f t="shared" si="11"/>
        <v>0.54680588876629388</v>
      </c>
    </row>
    <row r="260" spans="1:10" x14ac:dyDescent="0.35">
      <c r="A260" t="s">
        <v>57</v>
      </c>
      <c r="B260" t="s">
        <v>58</v>
      </c>
      <c r="C260" t="s">
        <v>27</v>
      </c>
      <c r="D260" t="s">
        <v>154</v>
      </c>
      <c r="E260" t="s">
        <v>41</v>
      </c>
      <c r="F260" s="32">
        <v>22.870710200000001</v>
      </c>
      <c r="G260" s="23">
        <v>4.9039238885574266</v>
      </c>
      <c r="H260" s="29">
        <v>-3.5312759723661394E-2</v>
      </c>
      <c r="I260" s="7">
        <f t="shared" si="12"/>
        <v>4.9039238885574266</v>
      </c>
      <c r="J260" s="7">
        <f t="shared" si="11"/>
        <v>7.7190679813590855</v>
      </c>
    </row>
    <row r="261" spans="1:10" x14ac:dyDescent="0.35">
      <c r="A261" t="s">
        <v>57</v>
      </c>
      <c r="B261" t="s">
        <v>58</v>
      </c>
      <c r="C261" t="s">
        <v>28</v>
      </c>
      <c r="D261" t="s">
        <v>155</v>
      </c>
      <c r="E261" t="s">
        <v>41</v>
      </c>
      <c r="F261" s="32">
        <v>43.932386800000003</v>
      </c>
      <c r="G261" s="23">
        <v>4.8456414378839856</v>
      </c>
      <c r="H261" s="29">
        <v>14.522802087066127</v>
      </c>
      <c r="I261" s="7">
        <f t="shared" si="12"/>
        <v>4.8456414378839856</v>
      </c>
      <c r="J261" s="7">
        <f t="shared" si="11"/>
        <v>7.6273279362253827</v>
      </c>
    </row>
    <row r="262" spans="1:10" x14ac:dyDescent="0.35">
      <c r="A262" t="s">
        <v>57</v>
      </c>
      <c r="B262" t="s">
        <v>58</v>
      </c>
      <c r="C262" t="s">
        <v>29</v>
      </c>
      <c r="D262" t="s">
        <v>155</v>
      </c>
      <c r="E262" t="s">
        <v>41</v>
      </c>
      <c r="F262" s="32">
        <v>7.2523596000000001</v>
      </c>
      <c r="G262" s="23">
        <v>0.61179025953037014</v>
      </c>
      <c r="H262" s="29">
        <v>2.6263678374506352</v>
      </c>
      <c r="I262" s="7">
        <f t="shared" si="12"/>
        <v>0.61179025953037014</v>
      </c>
      <c r="J262" s="7">
        <f t="shared" si="11"/>
        <v>0.96299426968419666</v>
      </c>
    </row>
    <row r="263" spans="1:10" x14ac:dyDescent="0.35">
      <c r="A263" t="s">
        <v>57</v>
      </c>
      <c r="B263" t="s">
        <v>58</v>
      </c>
      <c r="C263" t="s">
        <v>30</v>
      </c>
      <c r="D263" t="s">
        <v>155</v>
      </c>
      <c r="E263" t="s">
        <v>41</v>
      </c>
      <c r="F263" s="32">
        <v>206.1787951</v>
      </c>
      <c r="G263" s="23">
        <v>8.265292954938781</v>
      </c>
      <c r="H263" s="29">
        <v>35.208476407096867</v>
      </c>
      <c r="I263" s="7">
        <f t="shared" si="12"/>
        <v>8.265292954938781</v>
      </c>
      <c r="J263" s="7">
        <f t="shared" si="11"/>
        <v>13.010062891450939</v>
      </c>
    </row>
    <row r="264" spans="1:10" x14ac:dyDescent="0.35">
      <c r="A264" t="s">
        <v>57</v>
      </c>
      <c r="B264" t="s">
        <v>58</v>
      </c>
      <c r="C264" t="s">
        <v>31</v>
      </c>
      <c r="D264" t="s">
        <v>155</v>
      </c>
      <c r="E264" t="s">
        <v>41</v>
      </c>
      <c r="F264" s="32">
        <v>12.9494565</v>
      </c>
      <c r="G264" s="23">
        <v>0.28019897463981469</v>
      </c>
      <c r="H264" s="29">
        <v>0.27435298575490935</v>
      </c>
      <c r="I264" s="7">
        <f t="shared" si="12"/>
        <v>0.28019897463981469</v>
      </c>
      <c r="J264" s="7">
        <f t="shared" si="11"/>
        <v>0.44104985776769196</v>
      </c>
    </row>
    <row r="265" spans="1:10" x14ac:dyDescent="0.35">
      <c r="A265" t="s">
        <v>57</v>
      </c>
      <c r="B265" t="s">
        <v>58</v>
      </c>
      <c r="C265" t="s">
        <v>32</v>
      </c>
      <c r="D265" t="s">
        <v>153</v>
      </c>
      <c r="E265" t="s">
        <v>41</v>
      </c>
      <c r="F265" s="32">
        <v>0</v>
      </c>
      <c r="G265" s="23" t="e">
        <v>#N/A</v>
      </c>
      <c r="H265" s="29">
        <v>8.7226542964048883E-3</v>
      </c>
      <c r="I265" s="7" t="e">
        <f t="shared" si="12"/>
        <v>#N/A</v>
      </c>
      <c r="J265" s="7" t="e">
        <f t="shared" si="11"/>
        <v>#N/A</v>
      </c>
    </row>
    <row r="266" spans="1:10" x14ac:dyDescent="0.35">
      <c r="A266" t="s">
        <v>57</v>
      </c>
      <c r="B266" t="s">
        <v>58</v>
      </c>
      <c r="C266" t="s">
        <v>33</v>
      </c>
      <c r="D266" t="s">
        <v>155</v>
      </c>
      <c r="E266" t="s">
        <v>41</v>
      </c>
      <c r="F266" s="32">
        <v>217.11986869999998</v>
      </c>
      <c r="G266" s="23">
        <v>13.444553434534059</v>
      </c>
      <c r="H266" s="29">
        <v>19.474551159815583</v>
      </c>
      <c r="I266" s="7">
        <f t="shared" si="12"/>
        <v>13.444553434534059</v>
      </c>
      <c r="J266" s="7">
        <f t="shared" si="11"/>
        <v>21.162527049479081</v>
      </c>
    </row>
    <row r="267" spans="1:10" x14ac:dyDescent="0.35">
      <c r="A267" t="s">
        <v>57</v>
      </c>
      <c r="B267" t="s">
        <v>58</v>
      </c>
      <c r="C267" t="s">
        <v>34</v>
      </c>
      <c r="D267" t="s">
        <v>153</v>
      </c>
      <c r="E267" t="s">
        <v>41</v>
      </c>
      <c r="F267" s="32">
        <v>0</v>
      </c>
      <c r="G267" s="23" t="e">
        <v>#N/A</v>
      </c>
      <c r="H267" s="29">
        <v>-0.1245062730714664</v>
      </c>
      <c r="I267" s="7" t="e">
        <f t="shared" si="12"/>
        <v>#N/A</v>
      </c>
      <c r="J267" s="7" t="e">
        <f t="shared" si="11"/>
        <v>#N/A</v>
      </c>
    </row>
    <row r="268" spans="1:10" x14ac:dyDescent="0.35">
      <c r="A268" t="s">
        <v>57</v>
      </c>
      <c r="B268" t="s">
        <v>58</v>
      </c>
      <c r="C268" t="s">
        <v>35</v>
      </c>
      <c r="D268" t="s">
        <v>154</v>
      </c>
      <c r="E268" t="s">
        <v>41</v>
      </c>
      <c r="F268" s="32">
        <v>53.0325293</v>
      </c>
      <c r="G268" s="23">
        <v>4.8863030337509077</v>
      </c>
      <c r="H268" s="29">
        <v>15.099379530830475</v>
      </c>
      <c r="I268" s="7">
        <f t="shared" si="12"/>
        <v>4.8863030337509077</v>
      </c>
      <c r="J268" s="7">
        <f t="shared" si="11"/>
        <v>7.6913317074624707</v>
      </c>
    </row>
    <row r="269" spans="1:10" x14ac:dyDescent="0.35">
      <c r="A269" t="s">
        <v>57</v>
      </c>
      <c r="B269" t="s">
        <v>58</v>
      </c>
      <c r="C269" t="s">
        <v>36</v>
      </c>
      <c r="D269" t="s">
        <v>155</v>
      </c>
      <c r="E269" t="s">
        <v>41</v>
      </c>
      <c r="F269" s="32">
        <v>9.350685799999999</v>
      </c>
      <c r="G269" s="23" t="e">
        <v>#N/A</v>
      </c>
      <c r="H269" s="29">
        <v>0.16931673779223969</v>
      </c>
      <c r="I269" s="7" t="e">
        <f t="shared" si="12"/>
        <v>#N/A</v>
      </c>
      <c r="J269" s="7" t="e">
        <f t="shared" si="11"/>
        <v>#N/A</v>
      </c>
    </row>
    <row r="270" spans="1:10" x14ac:dyDescent="0.35">
      <c r="A270" t="s">
        <v>57</v>
      </c>
      <c r="B270" t="s">
        <v>58</v>
      </c>
      <c r="C270" t="s">
        <v>37</v>
      </c>
      <c r="D270" t="s">
        <v>155</v>
      </c>
      <c r="E270" t="s">
        <v>41</v>
      </c>
      <c r="F270" s="32">
        <v>6.3701761000000001</v>
      </c>
      <c r="G270" s="23">
        <v>2.0000344642979155</v>
      </c>
      <c r="H270" s="29">
        <v>2.7257771892651821</v>
      </c>
      <c r="I270" s="7">
        <f t="shared" si="12"/>
        <v>2.0000344642979155</v>
      </c>
      <c r="J270" s="7">
        <f t="shared" si="11"/>
        <v>3.1481732477536841</v>
      </c>
    </row>
    <row r="271" spans="1:10" x14ac:dyDescent="0.35">
      <c r="A271" t="s">
        <v>57</v>
      </c>
      <c r="B271" t="s">
        <v>58</v>
      </c>
      <c r="C271" t="s">
        <v>38</v>
      </c>
      <c r="D271" t="s">
        <v>155</v>
      </c>
      <c r="E271" t="s">
        <v>41</v>
      </c>
      <c r="F271" s="32">
        <v>4.2916132999999999</v>
      </c>
      <c r="G271" s="23">
        <v>0.63179783289376235</v>
      </c>
      <c r="H271" s="29">
        <v>1.3652278634532147</v>
      </c>
      <c r="I271" s="7">
        <f t="shared" si="12"/>
        <v>0.63179783289376235</v>
      </c>
      <c r="J271" s="7">
        <f t="shared" si="11"/>
        <v>0.99448738059776853</v>
      </c>
    </row>
    <row r="272" spans="1:10" x14ac:dyDescent="0.35">
      <c r="A272" t="s">
        <v>57</v>
      </c>
      <c r="B272" t="s">
        <v>58</v>
      </c>
      <c r="C272" t="s">
        <v>39</v>
      </c>
      <c r="D272" t="s">
        <v>153</v>
      </c>
      <c r="E272" t="s">
        <v>41</v>
      </c>
      <c r="F272" s="32">
        <v>0</v>
      </c>
      <c r="G272" s="23" t="e">
        <v>#N/A</v>
      </c>
      <c r="H272" s="29">
        <v>8.9171502271643568E-2</v>
      </c>
      <c r="I272" s="7" t="e">
        <f t="shared" si="12"/>
        <v>#N/A</v>
      </c>
      <c r="J272" s="7" t="e">
        <f t="shared" si="11"/>
        <v>#N/A</v>
      </c>
    </row>
    <row r="273" spans="1:10" s="19" customFormat="1" x14ac:dyDescent="0.35">
      <c r="A273" s="19" t="s">
        <v>57</v>
      </c>
      <c r="B273" s="19" t="s">
        <v>58</v>
      </c>
      <c r="C273" s="19" t="s">
        <v>40</v>
      </c>
      <c r="D273" s="19" t="s">
        <v>154</v>
      </c>
      <c r="E273" s="19" t="s">
        <v>41</v>
      </c>
      <c r="F273" s="33">
        <v>0</v>
      </c>
      <c r="G273" s="24" t="e">
        <v>#N/A</v>
      </c>
      <c r="H273" s="30">
        <v>-9.636463205122342E-2</v>
      </c>
      <c r="I273" s="21" t="e">
        <f t="shared" si="12"/>
        <v>#N/A</v>
      </c>
      <c r="J273" s="21" t="e">
        <f t="shared" si="11"/>
        <v>#N/A</v>
      </c>
    </row>
    <row r="274" spans="1:10" x14ac:dyDescent="0.35">
      <c r="A274" t="s">
        <v>59</v>
      </c>
      <c r="B274" t="s">
        <v>60</v>
      </c>
      <c r="C274" t="s">
        <v>6</v>
      </c>
      <c r="D274" t="s">
        <v>153</v>
      </c>
      <c r="E274" t="s">
        <v>41</v>
      </c>
      <c r="F274" s="32">
        <v>6.6895514999999994</v>
      </c>
      <c r="G274" s="23" t="e">
        <v>#N/A</v>
      </c>
      <c r="H274" s="29">
        <v>0.74940001389904543</v>
      </c>
      <c r="I274" s="7" t="e">
        <f t="shared" si="12"/>
        <v>#N/A</v>
      </c>
      <c r="J274" s="7" t="e">
        <f>I274/0.6005</f>
        <v>#N/A</v>
      </c>
    </row>
    <row r="275" spans="1:10" x14ac:dyDescent="0.35">
      <c r="A275" t="s">
        <v>59</v>
      </c>
      <c r="B275" t="s">
        <v>60</v>
      </c>
      <c r="C275" t="s">
        <v>7</v>
      </c>
      <c r="D275" t="s">
        <v>153</v>
      </c>
      <c r="E275" t="s">
        <v>41</v>
      </c>
      <c r="F275" s="32">
        <v>0</v>
      </c>
      <c r="G275" s="23" t="e">
        <v>#N/A</v>
      </c>
      <c r="H275" s="29">
        <v>-0.10621342471675643</v>
      </c>
      <c r="I275" s="7" t="e">
        <f t="shared" si="12"/>
        <v>#N/A</v>
      </c>
      <c r="J275" s="7" t="e">
        <f t="shared" ref="J275:J307" si="13">I275/0.6005</f>
        <v>#N/A</v>
      </c>
    </row>
    <row r="276" spans="1:10" x14ac:dyDescent="0.35">
      <c r="A276" t="s">
        <v>59</v>
      </c>
      <c r="B276" t="s">
        <v>60</v>
      </c>
      <c r="C276" t="s">
        <v>8</v>
      </c>
      <c r="D276" t="s">
        <v>153</v>
      </c>
      <c r="E276" t="s">
        <v>41</v>
      </c>
      <c r="F276" s="32">
        <v>0</v>
      </c>
      <c r="G276" s="23" t="e">
        <v>#N/A</v>
      </c>
      <c r="H276" s="29">
        <v>-4.2275808937601439E-2</v>
      </c>
      <c r="I276" s="7" t="e">
        <f t="shared" si="12"/>
        <v>#N/A</v>
      </c>
      <c r="J276" s="7" t="e">
        <f t="shared" si="13"/>
        <v>#N/A</v>
      </c>
    </row>
    <row r="277" spans="1:10" x14ac:dyDescent="0.35">
      <c r="A277" t="s">
        <v>59</v>
      </c>
      <c r="B277" t="s">
        <v>60</v>
      </c>
      <c r="C277" t="s">
        <v>9</v>
      </c>
      <c r="D277" t="s">
        <v>153</v>
      </c>
      <c r="E277" t="s">
        <v>41</v>
      </c>
      <c r="F277" s="32">
        <v>0</v>
      </c>
      <c r="G277" s="23" t="e">
        <v>#N/A</v>
      </c>
      <c r="H277" s="29">
        <v>-0.39322904076553872</v>
      </c>
      <c r="I277" s="7" t="e">
        <f t="shared" si="12"/>
        <v>#N/A</v>
      </c>
      <c r="J277" s="7" t="e">
        <f t="shared" si="13"/>
        <v>#N/A</v>
      </c>
    </row>
    <row r="278" spans="1:10" x14ac:dyDescent="0.35">
      <c r="A278" t="s">
        <v>59</v>
      </c>
      <c r="B278" t="s">
        <v>60</v>
      </c>
      <c r="C278" t="s">
        <v>10</v>
      </c>
      <c r="D278" t="s">
        <v>153</v>
      </c>
      <c r="E278" t="s">
        <v>41</v>
      </c>
      <c r="F278" s="32">
        <v>0</v>
      </c>
      <c r="G278" s="23" t="e">
        <v>#N/A</v>
      </c>
      <c r="H278" s="29">
        <v>-9.344140607295745E-2</v>
      </c>
      <c r="I278" s="7" t="e">
        <f t="shared" si="12"/>
        <v>#N/A</v>
      </c>
      <c r="J278" s="7" t="e">
        <f t="shared" si="13"/>
        <v>#N/A</v>
      </c>
    </row>
    <row r="279" spans="1:10" x14ac:dyDescent="0.35">
      <c r="A279" t="s">
        <v>59</v>
      </c>
      <c r="B279" t="s">
        <v>60</v>
      </c>
      <c r="C279" t="s">
        <v>11</v>
      </c>
      <c r="D279" t="s">
        <v>153</v>
      </c>
      <c r="E279" t="s">
        <v>41</v>
      </c>
      <c r="F279" s="32">
        <v>33.764051700000003</v>
      </c>
      <c r="G279" s="23">
        <v>4.3202552759837616</v>
      </c>
      <c r="H279" s="29">
        <v>10.100954895083394</v>
      </c>
      <c r="I279" s="7">
        <f t="shared" si="12"/>
        <v>4.3202552759837616</v>
      </c>
      <c r="J279" s="7">
        <f t="shared" si="13"/>
        <v>7.194430101554973</v>
      </c>
    </row>
    <row r="280" spans="1:10" x14ac:dyDescent="0.35">
      <c r="A280" t="s">
        <v>59</v>
      </c>
      <c r="B280" t="s">
        <v>60</v>
      </c>
      <c r="C280" t="s">
        <v>12</v>
      </c>
      <c r="D280" t="s">
        <v>154</v>
      </c>
      <c r="E280" t="s">
        <v>41</v>
      </c>
      <c r="F280" s="32">
        <v>0</v>
      </c>
      <c r="G280" s="23" t="e">
        <v>#N/A</v>
      </c>
      <c r="H280" s="29">
        <v>-0.1133603731512596</v>
      </c>
      <c r="I280" s="7" t="e">
        <f t="shared" si="12"/>
        <v>#N/A</v>
      </c>
      <c r="J280" s="7" t="e">
        <f t="shared" si="13"/>
        <v>#N/A</v>
      </c>
    </row>
    <row r="281" spans="1:10" x14ac:dyDescent="0.35">
      <c r="A281" t="s">
        <v>59</v>
      </c>
      <c r="B281" t="s">
        <v>60</v>
      </c>
      <c r="C281" t="s">
        <v>13</v>
      </c>
      <c r="D281" t="s">
        <v>153</v>
      </c>
      <c r="E281" t="s">
        <v>41</v>
      </c>
      <c r="F281" s="32">
        <v>9.4287720999999998</v>
      </c>
      <c r="G281" s="23">
        <v>1.2180272148388791</v>
      </c>
      <c r="H281" s="29">
        <v>0.46062911477664614</v>
      </c>
      <c r="I281" s="7">
        <f t="shared" si="12"/>
        <v>1.2180272148388791</v>
      </c>
      <c r="J281" s="7">
        <f t="shared" si="13"/>
        <v>2.0283550621796489</v>
      </c>
    </row>
    <row r="282" spans="1:10" x14ac:dyDescent="0.35">
      <c r="A282" t="s">
        <v>59</v>
      </c>
      <c r="B282" t="s">
        <v>60</v>
      </c>
      <c r="C282" t="s">
        <v>14</v>
      </c>
      <c r="D282" t="s">
        <v>154</v>
      </c>
      <c r="E282" t="s">
        <v>41</v>
      </c>
      <c r="F282" s="32">
        <v>0</v>
      </c>
      <c r="G282" s="23" t="e">
        <v>#N/A</v>
      </c>
      <c r="H282" s="29">
        <v>6.0261002861312172E-3</v>
      </c>
      <c r="I282" s="7" t="e">
        <f t="shared" si="12"/>
        <v>#N/A</v>
      </c>
      <c r="J282" s="7" t="e">
        <f t="shared" si="13"/>
        <v>#N/A</v>
      </c>
    </row>
    <row r="283" spans="1:10" x14ac:dyDescent="0.35">
      <c r="A283" t="s">
        <v>59</v>
      </c>
      <c r="B283" t="s">
        <v>60</v>
      </c>
      <c r="C283" t="s">
        <v>15</v>
      </c>
      <c r="D283" t="s">
        <v>153</v>
      </c>
      <c r="E283" t="s">
        <v>41</v>
      </c>
      <c r="F283" s="32">
        <v>2199.1592201999997</v>
      </c>
      <c r="G283" s="23">
        <v>53.668838018537656</v>
      </c>
      <c r="H283" s="29">
        <v>160.25132222120232</v>
      </c>
      <c r="I283" s="7">
        <f t="shared" si="12"/>
        <v>53.668838018537656</v>
      </c>
      <c r="J283" s="7">
        <f t="shared" si="13"/>
        <v>89.373585376415747</v>
      </c>
    </row>
    <row r="284" spans="1:10" x14ac:dyDescent="0.35">
      <c r="A284" t="s">
        <v>59</v>
      </c>
      <c r="B284" t="s">
        <v>60</v>
      </c>
      <c r="C284" t="s">
        <v>16</v>
      </c>
      <c r="D284" t="s">
        <v>154</v>
      </c>
      <c r="E284" t="s">
        <v>41</v>
      </c>
      <c r="F284" s="32">
        <v>369.00012219999996</v>
      </c>
      <c r="G284" s="23">
        <v>32.837808461075554</v>
      </c>
      <c r="H284" s="29">
        <v>92.784636382492707</v>
      </c>
      <c r="I284" s="7">
        <f t="shared" si="12"/>
        <v>32.837808461075554</v>
      </c>
      <c r="J284" s="7">
        <f t="shared" si="13"/>
        <v>54.684110676229061</v>
      </c>
    </row>
    <row r="285" spans="1:10" x14ac:dyDescent="0.35">
      <c r="A285" t="s">
        <v>59</v>
      </c>
      <c r="B285" t="s">
        <v>60</v>
      </c>
      <c r="C285" t="s">
        <v>18</v>
      </c>
      <c r="D285" t="s">
        <v>154</v>
      </c>
      <c r="E285" t="s">
        <v>41</v>
      </c>
      <c r="F285" s="32">
        <v>1.1326532999999999</v>
      </c>
      <c r="G285" s="23" t="e">
        <v>#N/A</v>
      </c>
      <c r="H285" s="29">
        <v>-3.6348244581209603E-2</v>
      </c>
      <c r="I285" s="7" t="e">
        <f t="shared" si="12"/>
        <v>#N/A</v>
      </c>
      <c r="J285" s="7" t="e">
        <f t="shared" si="13"/>
        <v>#N/A</v>
      </c>
    </row>
    <row r="286" spans="1:10" x14ac:dyDescent="0.35">
      <c r="A286" t="s">
        <v>59</v>
      </c>
      <c r="B286" t="s">
        <v>60</v>
      </c>
      <c r="C286" t="s">
        <v>19</v>
      </c>
      <c r="D286" t="s">
        <v>153</v>
      </c>
      <c r="E286" t="s">
        <v>41</v>
      </c>
      <c r="F286" s="32">
        <v>417.83660110000005</v>
      </c>
      <c r="G286" s="23">
        <v>32.865067241737961</v>
      </c>
      <c r="H286" s="29">
        <v>29.930712559459987</v>
      </c>
      <c r="I286" s="7">
        <f t="shared" si="12"/>
        <v>32.865067241737961</v>
      </c>
      <c r="J286" s="7">
        <f t="shared" si="13"/>
        <v>54.729504149438732</v>
      </c>
    </row>
    <row r="287" spans="1:10" x14ac:dyDescent="0.35">
      <c r="A287" t="s">
        <v>59</v>
      </c>
      <c r="B287" t="s">
        <v>60</v>
      </c>
      <c r="C287" t="s">
        <v>20</v>
      </c>
      <c r="D287" t="s">
        <v>154</v>
      </c>
      <c r="E287" t="s">
        <v>41</v>
      </c>
      <c r="F287" s="32">
        <v>403.62261589999997</v>
      </c>
      <c r="G287" s="23">
        <v>39.523641637893149</v>
      </c>
      <c r="H287" s="29">
        <v>126.67094648045244</v>
      </c>
      <c r="I287" s="7">
        <f t="shared" si="12"/>
        <v>39.523641637893149</v>
      </c>
      <c r="J287" s="7">
        <f t="shared" si="13"/>
        <v>65.817887823302499</v>
      </c>
    </row>
    <row r="288" spans="1:10" x14ac:dyDescent="0.35">
      <c r="A288" t="s">
        <v>59</v>
      </c>
      <c r="B288" t="s">
        <v>60</v>
      </c>
      <c r="C288" t="s">
        <v>21</v>
      </c>
      <c r="D288" t="s">
        <v>155</v>
      </c>
      <c r="E288" t="s">
        <v>41</v>
      </c>
      <c r="F288" s="32">
        <v>1.4415064</v>
      </c>
      <c r="G288" s="23" t="e">
        <v>#N/A</v>
      </c>
      <c r="H288" s="29">
        <v>0.23868567213854397</v>
      </c>
      <c r="I288" s="7" t="e">
        <f t="shared" si="12"/>
        <v>#N/A</v>
      </c>
      <c r="J288" s="7" t="e">
        <f t="shared" si="13"/>
        <v>#N/A</v>
      </c>
    </row>
    <row r="289" spans="1:10" x14ac:dyDescent="0.35">
      <c r="A289" t="s">
        <v>59</v>
      </c>
      <c r="B289" t="s">
        <v>60</v>
      </c>
      <c r="C289" t="s">
        <v>22</v>
      </c>
      <c r="D289" t="s">
        <v>155</v>
      </c>
      <c r="E289" t="s">
        <v>41</v>
      </c>
      <c r="F289" s="32">
        <v>239.3331489</v>
      </c>
      <c r="G289" s="23">
        <v>18.358532821221885</v>
      </c>
      <c r="H289" s="29">
        <v>49.248274158336017</v>
      </c>
      <c r="I289" s="7">
        <f t="shared" si="12"/>
        <v>18.358532821221885</v>
      </c>
      <c r="J289" s="7">
        <f t="shared" si="13"/>
        <v>30.572077970394478</v>
      </c>
    </row>
    <row r="290" spans="1:10" x14ac:dyDescent="0.35">
      <c r="A290" t="s">
        <v>59</v>
      </c>
      <c r="B290" t="s">
        <v>60</v>
      </c>
      <c r="C290" t="s">
        <v>23</v>
      </c>
      <c r="D290" t="s">
        <v>155</v>
      </c>
      <c r="E290" t="s">
        <v>41</v>
      </c>
      <c r="F290" s="32">
        <v>0.2082011</v>
      </c>
      <c r="G290" s="23">
        <v>1.3535873347187093</v>
      </c>
      <c r="H290" s="29">
        <v>-6.0262846751624174E-2</v>
      </c>
      <c r="I290" s="7">
        <f t="shared" si="12"/>
        <v>1.3535873347187093</v>
      </c>
      <c r="J290" s="7">
        <f t="shared" si="13"/>
        <v>2.2541004741360688</v>
      </c>
    </row>
    <row r="291" spans="1:10" x14ac:dyDescent="0.35">
      <c r="A291" t="s">
        <v>59</v>
      </c>
      <c r="B291" t="s">
        <v>60</v>
      </c>
      <c r="C291" t="s">
        <v>24</v>
      </c>
      <c r="D291" t="s">
        <v>155</v>
      </c>
      <c r="E291" t="s">
        <v>41</v>
      </c>
      <c r="F291" s="32">
        <v>225.71177650000001</v>
      </c>
      <c r="G291" s="23">
        <v>5.0332310229908046</v>
      </c>
      <c r="H291" s="29">
        <v>9.1345120199541547</v>
      </c>
      <c r="I291" s="7">
        <f t="shared" si="12"/>
        <v>5.0332310229908046</v>
      </c>
      <c r="J291" s="7">
        <f t="shared" si="13"/>
        <v>8.3817335936566266</v>
      </c>
    </row>
    <row r="292" spans="1:10" x14ac:dyDescent="0.35">
      <c r="A292" t="s">
        <v>59</v>
      </c>
      <c r="B292" t="s">
        <v>60</v>
      </c>
      <c r="C292" t="s">
        <v>25</v>
      </c>
      <c r="D292" t="s">
        <v>155</v>
      </c>
      <c r="E292" t="s">
        <v>41</v>
      </c>
      <c r="F292" s="32">
        <v>12.062197299999999</v>
      </c>
      <c r="G292" s="23">
        <v>1.3889669404202467</v>
      </c>
      <c r="H292" s="29">
        <v>1.6887477829314883</v>
      </c>
      <c r="I292" s="7">
        <f t="shared" si="12"/>
        <v>1.3889669404202467</v>
      </c>
      <c r="J292" s="7">
        <f t="shared" si="13"/>
        <v>2.313017386211901</v>
      </c>
    </row>
    <row r="293" spans="1:10" x14ac:dyDescent="0.35">
      <c r="A293" t="s">
        <v>59</v>
      </c>
      <c r="B293" t="s">
        <v>60</v>
      </c>
      <c r="C293" t="s">
        <v>26</v>
      </c>
      <c r="D293" t="s">
        <v>153</v>
      </c>
      <c r="E293" t="s">
        <v>41</v>
      </c>
      <c r="F293" s="32">
        <v>4.9600798000000008</v>
      </c>
      <c r="G293" s="23">
        <v>1.4807086911039984</v>
      </c>
      <c r="H293" s="29">
        <v>-4.4862757269587689E-2</v>
      </c>
      <c r="I293" s="7">
        <f t="shared" si="12"/>
        <v>1.4807086911039984</v>
      </c>
      <c r="J293" s="7">
        <f t="shared" si="13"/>
        <v>2.4657929910141521</v>
      </c>
    </row>
    <row r="294" spans="1:10" x14ac:dyDescent="0.35">
      <c r="A294" t="s">
        <v>59</v>
      </c>
      <c r="B294" t="s">
        <v>60</v>
      </c>
      <c r="C294" t="s">
        <v>27</v>
      </c>
      <c r="D294" t="s">
        <v>154</v>
      </c>
      <c r="E294" t="s">
        <v>41</v>
      </c>
      <c r="F294" s="32">
        <v>19.860390500000001</v>
      </c>
      <c r="G294" s="23">
        <v>4.9808368668164267</v>
      </c>
      <c r="H294" s="29">
        <v>6.3572366013015476</v>
      </c>
      <c r="I294" s="7">
        <f t="shared" si="12"/>
        <v>4.9808368668164267</v>
      </c>
      <c r="J294" s="7">
        <f t="shared" si="13"/>
        <v>8.294482709103125</v>
      </c>
    </row>
    <row r="295" spans="1:10" x14ac:dyDescent="0.35">
      <c r="A295" t="s">
        <v>59</v>
      </c>
      <c r="B295" t="s">
        <v>60</v>
      </c>
      <c r="C295" t="s">
        <v>28</v>
      </c>
      <c r="D295" t="s">
        <v>155</v>
      </c>
      <c r="E295" t="s">
        <v>41</v>
      </c>
      <c r="F295" s="32">
        <v>40.090424899999995</v>
      </c>
      <c r="G295" s="23">
        <v>4.4399258031602473</v>
      </c>
      <c r="H295" s="29">
        <v>12.893028361266236</v>
      </c>
      <c r="I295" s="7">
        <f t="shared" si="12"/>
        <v>4.4399258031602473</v>
      </c>
      <c r="J295" s="7">
        <f t="shared" si="13"/>
        <v>7.3937149095091543</v>
      </c>
    </row>
    <row r="296" spans="1:10" x14ac:dyDescent="0.35">
      <c r="A296" t="s">
        <v>59</v>
      </c>
      <c r="B296" t="s">
        <v>60</v>
      </c>
      <c r="C296" t="s">
        <v>29</v>
      </c>
      <c r="D296" t="s">
        <v>155</v>
      </c>
      <c r="E296" t="s">
        <v>41</v>
      </c>
      <c r="F296" s="32">
        <v>0.42103070000000004</v>
      </c>
      <c r="G296" s="23">
        <v>0.92054149936913532</v>
      </c>
      <c r="H296" s="29">
        <v>2.1481439544625194</v>
      </c>
      <c r="I296" s="7">
        <f t="shared" si="12"/>
        <v>0.92054149936913532</v>
      </c>
      <c r="J296" s="7">
        <f t="shared" si="13"/>
        <v>1.5329583669760787</v>
      </c>
    </row>
    <row r="297" spans="1:10" x14ac:dyDescent="0.35">
      <c r="A297" t="s">
        <v>59</v>
      </c>
      <c r="B297" t="s">
        <v>60</v>
      </c>
      <c r="C297" t="s">
        <v>30</v>
      </c>
      <c r="D297" t="s">
        <v>155</v>
      </c>
      <c r="E297" t="s">
        <v>41</v>
      </c>
      <c r="F297" s="32">
        <v>258.32173649999999</v>
      </c>
      <c r="G297" s="23">
        <v>10.642085082645531</v>
      </c>
      <c r="H297" s="29">
        <v>25.527472205069792</v>
      </c>
      <c r="I297" s="7">
        <f t="shared" si="12"/>
        <v>10.642085082645531</v>
      </c>
      <c r="J297" s="7">
        <f t="shared" si="13"/>
        <v>17.722040104322282</v>
      </c>
    </row>
    <row r="298" spans="1:10" x14ac:dyDescent="0.35">
      <c r="A298" t="s">
        <v>59</v>
      </c>
      <c r="B298" t="s">
        <v>60</v>
      </c>
      <c r="C298" t="s">
        <v>31</v>
      </c>
      <c r="D298" t="s">
        <v>155</v>
      </c>
      <c r="E298" t="s">
        <v>41</v>
      </c>
      <c r="F298" s="32">
        <v>12.6777693</v>
      </c>
      <c r="G298" s="23">
        <v>0.2450288669978887</v>
      </c>
      <c r="H298" s="29">
        <v>0.63763367964539341</v>
      </c>
      <c r="I298" s="7">
        <f t="shared" si="12"/>
        <v>0.2450288669978887</v>
      </c>
      <c r="J298" s="7">
        <f t="shared" si="13"/>
        <v>0.40804141048774134</v>
      </c>
    </row>
    <row r="299" spans="1:10" x14ac:dyDescent="0.35">
      <c r="A299" t="s">
        <v>59</v>
      </c>
      <c r="B299" t="s">
        <v>60</v>
      </c>
      <c r="C299" t="s">
        <v>32</v>
      </c>
      <c r="D299" t="s">
        <v>153</v>
      </c>
      <c r="E299" t="s">
        <v>41</v>
      </c>
      <c r="F299" s="32">
        <v>0</v>
      </c>
      <c r="G299" s="23" t="e">
        <v>#N/A</v>
      </c>
      <c r="H299" s="29">
        <v>1.973391352460032E-2</v>
      </c>
      <c r="I299" s="7" t="e">
        <f t="shared" si="12"/>
        <v>#N/A</v>
      </c>
      <c r="J299" s="7" t="e">
        <f t="shared" si="13"/>
        <v>#N/A</v>
      </c>
    </row>
    <row r="300" spans="1:10" x14ac:dyDescent="0.35">
      <c r="A300" t="s">
        <v>59</v>
      </c>
      <c r="B300" t="s">
        <v>60</v>
      </c>
      <c r="C300" t="s">
        <v>33</v>
      </c>
      <c r="D300" t="s">
        <v>155</v>
      </c>
      <c r="E300" t="s">
        <v>41</v>
      </c>
      <c r="F300" s="32">
        <v>221.29606479999998</v>
      </c>
      <c r="G300" s="23">
        <v>14.516985574888089</v>
      </c>
      <c r="H300" s="29">
        <v>16.872483691854221</v>
      </c>
      <c r="I300" s="7">
        <f t="shared" si="12"/>
        <v>14.516985574888089</v>
      </c>
      <c r="J300" s="7">
        <f t="shared" si="13"/>
        <v>24.174830266258265</v>
      </c>
    </row>
    <row r="301" spans="1:10" x14ac:dyDescent="0.35">
      <c r="A301" t="s">
        <v>59</v>
      </c>
      <c r="B301" t="s">
        <v>60</v>
      </c>
      <c r="C301" t="s">
        <v>34</v>
      </c>
      <c r="D301" t="s">
        <v>153</v>
      </c>
      <c r="E301" t="s">
        <v>41</v>
      </c>
      <c r="F301" s="32">
        <v>0</v>
      </c>
      <c r="G301" s="23" t="e">
        <v>#N/A</v>
      </c>
      <c r="H301" s="29">
        <v>-7.3358233032169956E-2</v>
      </c>
      <c r="I301" s="7" t="e">
        <f t="shared" si="12"/>
        <v>#N/A</v>
      </c>
      <c r="J301" s="7" t="e">
        <f t="shared" si="13"/>
        <v>#N/A</v>
      </c>
    </row>
    <row r="302" spans="1:10" x14ac:dyDescent="0.35">
      <c r="A302" t="s">
        <v>59</v>
      </c>
      <c r="B302" t="s">
        <v>60</v>
      </c>
      <c r="C302" t="s">
        <v>35</v>
      </c>
      <c r="D302" t="s">
        <v>154</v>
      </c>
      <c r="E302" t="s">
        <v>41</v>
      </c>
      <c r="F302" s="32">
        <v>52.252935100000002</v>
      </c>
      <c r="G302" s="23">
        <v>5.6157784561747635</v>
      </c>
      <c r="H302" s="29">
        <v>16.195262322618376</v>
      </c>
      <c r="I302" s="7">
        <f t="shared" si="12"/>
        <v>5.6157784561747635</v>
      </c>
      <c r="J302" s="7">
        <f t="shared" si="13"/>
        <v>9.3518375623226699</v>
      </c>
    </row>
    <row r="303" spans="1:10" x14ac:dyDescent="0.35">
      <c r="A303" t="s">
        <v>59</v>
      </c>
      <c r="B303" t="s">
        <v>60</v>
      </c>
      <c r="C303" t="s">
        <v>36</v>
      </c>
      <c r="D303" t="s">
        <v>155</v>
      </c>
      <c r="E303" t="s">
        <v>41</v>
      </c>
      <c r="F303" s="32">
        <v>1.9415488999999999</v>
      </c>
      <c r="G303" s="23" t="e">
        <v>#N/A</v>
      </c>
      <c r="H303" s="29">
        <v>2.0574210954129222</v>
      </c>
      <c r="I303" s="7" t="e">
        <f t="shared" si="12"/>
        <v>#N/A</v>
      </c>
      <c r="J303" s="7" t="e">
        <f t="shared" si="13"/>
        <v>#N/A</v>
      </c>
    </row>
    <row r="304" spans="1:10" x14ac:dyDescent="0.35">
      <c r="A304" t="s">
        <v>59</v>
      </c>
      <c r="B304" t="s">
        <v>60</v>
      </c>
      <c r="C304" t="s">
        <v>37</v>
      </c>
      <c r="D304" t="s">
        <v>155</v>
      </c>
      <c r="E304" t="s">
        <v>41</v>
      </c>
      <c r="F304" s="32">
        <v>9.3293405000000007</v>
      </c>
      <c r="G304" s="23">
        <v>2.8917436936423297</v>
      </c>
      <c r="H304" s="29">
        <v>2.2722996843970655</v>
      </c>
      <c r="I304" s="7">
        <f t="shared" si="12"/>
        <v>2.8917436936423297</v>
      </c>
      <c r="J304" s="7">
        <f t="shared" si="13"/>
        <v>4.815559856190391</v>
      </c>
    </row>
    <row r="305" spans="1:12" x14ac:dyDescent="0.35">
      <c r="A305" t="s">
        <v>59</v>
      </c>
      <c r="B305" t="s">
        <v>60</v>
      </c>
      <c r="C305" t="s">
        <v>38</v>
      </c>
      <c r="D305" t="s">
        <v>155</v>
      </c>
      <c r="E305" t="s">
        <v>41</v>
      </c>
      <c r="F305" s="32">
        <v>10.419840599999999</v>
      </c>
      <c r="G305" s="23">
        <v>1.0646428347306061</v>
      </c>
      <c r="H305" s="29">
        <v>0.58561139257866424</v>
      </c>
      <c r="I305" s="7">
        <f t="shared" si="12"/>
        <v>1.0646428347306061</v>
      </c>
      <c r="J305" s="7">
        <f t="shared" si="13"/>
        <v>1.772927285146721</v>
      </c>
    </row>
    <row r="306" spans="1:12" x14ac:dyDescent="0.35">
      <c r="A306" t="s">
        <v>59</v>
      </c>
      <c r="B306" t="s">
        <v>60</v>
      </c>
      <c r="C306" t="s">
        <v>39</v>
      </c>
      <c r="D306" t="s">
        <v>153</v>
      </c>
      <c r="E306" t="s">
        <v>41</v>
      </c>
      <c r="F306" s="32">
        <v>16.101570299999999</v>
      </c>
      <c r="G306" s="23" t="e">
        <v>#N/A</v>
      </c>
      <c r="H306" s="29">
        <v>-0.4290950407878738</v>
      </c>
      <c r="I306" s="7" t="e">
        <f t="shared" si="12"/>
        <v>#N/A</v>
      </c>
      <c r="J306" s="7" t="e">
        <f t="shared" si="13"/>
        <v>#N/A</v>
      </c>
    </row>
    <row r="307" spans="1:12" s="19" customFormat="1" x14ac:dyDescent="0.35">
      <c r="A307" s="19" t="s">
        <v>59</v>
      </c>
      <c r="B307" s="19" t="s">
        <v>60</v>
      </c>
      <c r="C307" s="19" t="s">
        <v>40</v>
      </c>
      <c r="D307" s="19" t="s">
        <v>154</v>
      </c>
      <c r="E307" s="19" t="s">
        <v>41</v>
      </c>
      <c r="F307" s="33">
        <v>0</v>
      </c>
      <c r="G307" s="24" t="e">
        <v>#N/A</v>
      </c>
      <c r="H307" s="30">
        <v>0.38848657165771028</v>
      </c>
      <c r="I307" s="21" t="e">
        <f t="shared" si="12"/>
        <v>#N/A</v>
      </c>
      <c r="J307" s="21" t="e">
        <f t="shared" si="13"/>
        <v>#N/A</v>
      </c>
    </row>
    <row r="308" spans="1:12" x14ac:dyDescent="0.35">
      <c r="A308" t="s">
        <v>61</v>
      </c>
      <c r="B308" t="s">
        <v>62</v>
      </c>
      <c r="C308" t="s">
        <v>6</v>
      </c>
      <c r="D308" t="s">
        <v>153</v>
      </c>
      <c r="E308" t="s">
        <v>41</v>
      </c>
      <c r="F308" s="32">
        <v>6.6836143000000003</v>
      </c>
      <c r="G308" s="23" t="e">
        <v>#N/A</v>
      </c>
      <c r="H308" s="29">
        <v>0.7491498050804174</v>
      </c>
      <c r="I308" s="7" t="e">
        <f t="shared" si="12"/>
        <v>#N/A</v>
      </c>
      <c r="J308" s="7" t="e">
        <f>I308/0.8022</f>
        <v>#N/A</v>
      </c>
    </row>
    <row r="309" spans="1:12" x14ac:dyDescent="0.35">
      <c r="A309" t="s">
        <v>61</v>
      </c>
      <c r="B309" t="s">
        <v>62</v>
      </c>
      <c r="C309" t="s">
        <v>7</v>
      </c>
      <c r="D309" t="s">
        <v>153</v>
      </c>
      <c r="E309" t="s">
        <v>41</v>
      </c>
      <c r="F309" s="32">
        <v>0</v>
      </c>
      <c r="G309" s="23" t="e">
        <v>#N/A</v>
      </c>
      <c r="H309" s="29">
        <v>-0.10398326800230634</v>
      </c>
      <c r="I309" s="7" t="e">
        <f t="shared" si="12"/>
        <v>#N/A</v>
      </c>
      <c r="J309" s="7" t="e">
        <f t="shared" ref="J309:J341" si="14">I309/0.8022</f>
        <v>#N/A</v>
      </c>
    </row>
    <row r="310" spans="1:12" x14ac:dyDescent="0.35">
      <c r="A310" t="s">
        <v>61</v>
      </c>
      <c r="B310" t="s">
        <v>62</v>
      </c>
      <c r="C310" t="s">
        <v>8</v>
      </c>
      <c r="D310" t="s">
        <v>153</v>
      </c>
      <c r="E310" t="s">
        <v>41</v>
      </c>
      <c r="F310" s="32">
        <v>0</v>
      </c>
      <c r="G310" s="23" t="e">
        <v>#N/A</v>
      </c>
      <c r="H310" s="29">
        <v>-4.3419825959887984E-2</v>
      </c>
      <c r="I310" s="7" t="e">
        <f t="shared" si="12"/>
        <v>#N/A</v>
      </c>
      <c r="J310" s="7" t="e">
        <f t="shared" si="14"/>
        <v>#N/A</v>
      </c>
    </row>
    <row r="311" spans="1:12" x14ac:dyDescent="0.35">
      <c r="A311" t="s">
        <v>61</v>
      </c>
      <c r="B311" t="s">
        <v>62</v>
      </c>
      <c r="C311" t="s">
        <v>9</v>
      </c>
      <c r="D311" t="s">
        <v>153</v>
      </c>
      <c r="E311" t="s">
        <v>41</v>
      </c>
      <c r="F311" s="32">
        <v>0</v>
      </c>
      <c r="G311" s="23" t="e">
        <v>#N/A</v>
      </c>
      <c r="H311" s="29">
        <v>-0.38818609394493503</v>
      </c>
      <c r="I311" s="7" t="e">
        <f t="shared" si="12"/>
        <v>#N/A</v>
      </c>
      <c r="J311" s="7" t="e">
        <f t="shared" si="14"/>
        <v>#N/A</v>
      </c>
    </row>
    <row r="312" spans="1:12" x14ac:dyDescent="0.35">
      <c r="A312" t="s">
        <v>61</v>
      </c>
      <c r="B312" t="s">
        <v>62</v>
      </c>
      <c r="C312" t="s">
        <v>10</v>
      </c>
      <c r="D312" t="s">
        <v>153</v>
      </c>
      <c r="E312" t="s">
        <v>41</v>
      </c>
      <c r="F312" s="32">
        <v>0</v>
      </c>
      <c r="G312" s="23" t="e">
        <v>#N/A</v>
      </c>
      <c r="H312" s="29">
        <v>-9.41279895526628E-2</v>
      </c>
      <c r="I312" s="7" t="e">
        <f t="shared" si="12"/>
        <v>#N/A</v>
      </c>
      <c r="J312" s="7" t="e">
        <f t="shared" si="14"/>
        <v>#N/A</v>
      </c>
    </row>
    <row r="313" spans="1:12" x14ac:dyDescent="0.35">
      <c r="A313" t="s">
        <v>61</v>
      </c>
      <c r="B313" t="s">
        <v>62</v>
      </c>
      <c r="C313" t="s">
        <v>11</v>
      </c>
      <c r="D313" t="s">
        <v>153</v>
      </c>
      <c r="E313" t="s">
        <v>41</v>
      </c>
      <c r="F313" s="32">
        <v>38.385556700000002</v>
      </c>
      <c r="G313" s="23">
        <v>4.6633632050886407</v>
      </c>
      <c r="H313" s="29">
        <v>11.287800677901865</v>
      </c>
      <c r="I313" s="7">
        <f t="shared" si="12"/>
        <v>4.6633632050886407</v>
      </c>
      <c r="J313" s="7">
        <f t="shared" si="14"/>
        <v>5.8132176578018457</v>
      </c>
    </row>
    <row r="314" spans="1:12" x14ac:dyDescent="0.35">
      <c r="A314" t="s">
        <v>61</v>
      </c>
      <c r="B314" t="s">
        <v>62</v>
      </c>
      <c r="C314" t="s">
        <v>12</v>
      </c>
      <c r="D314" t="s">
        <v>154</v>
      </c>
      <c r="E314" t="s">
        <v>41</v>
      </c>
      <c r="F314" s="32">
        <v>0</v>
      </c>
      <c r="G314" s="23" t="e">
        <v>#N/A</v>
      </c>
      <c r="H314" s="29">
        <v>-9.7697395688566752E-2</v>
      </c>
      <c r="I314" s="7" t="e">
        <f t="shared" si="12"/>
        <v>#N/A</v>
      </c>
      <c r="J314" s="7" t="e">
        <f t="shared" si="14"/>
        <v>#N/A</v>
      </c>
    </row>
    <row r="315" spans="1:12" x14ac:dyDescent="0.35">
      <c r="A315" t="s">
        <v>61</v>
      </c>
      <c r="B315" t="s">
        <v>62</v>
      </c>
      <c r="C315" t="s">
        <v>13</v>
      </c>
      <c r="D315" t="s">
        <v>153</v>
      </c>
      <c r="E315" t="s">
        <v>41</v>
      </c>
      <c r="F315" s="32">
        <v>6.9455379000000006</v>
      </c>
      <c r="G315" s="23">
        <v>0.92181868844043879</v>
      </c>
      <c r="H315" s="29">
        <v>0.34169412100400803</v>
      </c>
      <c r="I315" s="7">
        <f t="shared" si="12"/>
        <v>0.92181868844043879</v>
      </c>
      <c r="J315" s="7">
        <f t="shared" si="14"/>
        <v>1.1491132989783579</v>
      </c>
    </row>
    <row r="316" spans="1:12" x14ac:dyDescent="0.35">
      <c r="A316" t="s">
        <v>61</v>
      </c>
      <c r="B316" t="s">
        <v>62</v>
      </c>
      <c r="C316" t="s">
        <v>14</v>
      </c>
      <c r="D316" t="s">
        <v>154</v>
      </c>
      <c r="E316" t="s">
        <v>41</v>
      </c>
      <c r="F316" s="32">
        <v>0</v>
      </c>
      <c r="G316" s="23" t="e">
        <v>#N/A</v>
      </c>
      <c r="H316" s="29">
        <v>-7.3274685739721707E-2</v>
      </c>
      <c r="I316" s="7" t="e">
        <f t="shared" si="12"/>
        <v>#N/A</v>
      </c>
      <c r="J316" s="7" t="e">
        <f t="shared" si="14"/>
        <v>#N/A</v>
      </c>
    </row>
    <row r="317" spans="1:12" x14ac:dyDescent="0.35">
      <c r="A317" t="s">
        <v>61</v>
      </c>
      <c r="B317" t="s">
        <v>62</v>
      </c>
      <c r="C317" t="s">
        <v>15</v>
      </c>
      <c r="D317" t="s">
        <v>153</v>
      </c>
      <c r="E317" t="s">
        <v>41</v>
      </c>
      <c r="F317" s="32">
        <v>1975.0772225999999</v>
      </c>
      <c r="G317" s="23">
        <v>47.481199718010089</v>
      </c>
      <c r="H317" s="29">
        <v>143.90843690522919</v>
      </c>
      <c r="I317" s="7">
        <f t="shared" si="12"/>
        <v>47.481199718010089</v>
      </c>
      <c r="J317" s="7">
        <f t="shared" si="14"/>
        <v>59.188730638257404</v>
      </c>
      <c r="L317" t="e" cm="1">
        <f t="array" ref="L317">Mitt</f>
        <v>#NAME?</v>
      </c>
    </row>
    <row r="318" spans="1:12" x14ac:dyDescent="0.35">
      <c r="A318" t="s">
        <v>61</v>
      </c>
      <c r="B318" t="s">
        <v>62</v>
      </c>
      <c r="C318" t="s">
        <v>16</v>
      </c>
      <c r="D318" t="s">
        <v>154</v>
      </c>
      <c r="E318" t="s">
        <v>41</v>
      </c>
      <c r="F318" s="32">
        <v>327.46315600000003</v>
      </c>
      <c r="G318" s="23">
        <v>28.76250398276218</v>
      </c>
      <c r="H318" s="29">
        <v>82.391439083658597</v>
      </c>
      <c r="I318" s="7">
        <f t="shared" si="12"/>
        <v>28.76250398276218</v>
      </c>
      <c r="J318" s="7">
        <f t="shared" si="14"/>
        <v>35.854530020895261</v>
      </c>
    </row>
    <row r="319" spans="1:12" x14ac:dyDescent="0.35">
      <c r="A319" t="s">
        <v>61</v>
      </c>
      <c r="B319" t="s">
        <v>62</v>
      </c>
      <c r="C319" t="s">
        <v>18</v>
      </c>
      <c r="D319" t="s">
        <v>154</v>
      </c>
      <c r="E319" t="s">
        <v>41</v>
      </c>
      <c r="F319" s="32">
        <v>0</v>
      </c>
      <c r="G319" s="23" t="e">
        <v>#N/A</v>
      </c>
      <c r="H319" s="29">
        <v>0.37982960467000609</v>
      </c>
      <c r="I319" s="7" t="e">
        <f t="shared" si="12"/>
        <v>#N/A</v>
      </c>
      <c r="J319" s="7" t="e">
        <f t="shared" si="14"/>
        <v>#N/A</v>
      </c>
    </row>
    <row r="320" spans="1:12" x14ac:dyDescent="0.35">
      <c r="A320" t="s">
        <v>61</v>
      </c>
      <c r="B320" t="s">
        <v>62</v>
      </c>
      <c r="C320" t="s">
        <v>19</v>
      </c>
      <c r="D320" t="s">
        <v>153</v>
      </c>
      <c r="E320" t="s">
        <v>41</v>
      </c>
      <c r="F320" s="32">
        <v>353.81064889999999</v>
      </c>
      <c r="G320" s="23">
        <v>28.108184272234222</v>
      </c>
      <c r="H320" s="29">
        <v>34.294867229835127</v>
      </c>
      <c r="I320" s="7">
        <f t="shared" si="12"/>
        <v>28.108184272234222</v>
      </c>
      <c r="J320" s="7">
        <f t="shared" si="14"/>
        <v>35.038873438337347</v>
      </c>
    </row>
    <row r="321" spans="1:10" x14ac:dyDescent="0.35">
      <c r="A321" t="s">
        <v>61</v>
      </c>
      <c r="B321" t="s">
        <v>62</v>
      </c>
      <c r="C321" t="s">
        <v>20</v>
      </c>
      <c r="D321" t="s">
        <v>154</v>
      </c>
      <c r="E321" t="s">
        <v>41</v>
      </c>
      <c r="F321" s="32">
        <v>494.78307699999999</v>
      </c>
      <c r="G321" s="23">
        <v>48.873259845807482</v>
      </c>
      <c r="H321" s="29">
        <v>99.114868692848091</v>
      </c>
      <c r="I321" s="7">
        <f t="shared" si="12"/>
        <v>48.873259845807482</v>
      </c>
      <c r="J321" s="7">
        <f t="shared" si="14"/>
        <v>60.92403371454435</v>
      </c>
    </row>
    <row r="322" spans="1:10" x14ac:dyDescent="0.35">
      <c r="A322" t="s">
        <v>61</v>
      </c>
      <c r="B322" t="s">
        <v>62</v>
      </c>
      <c r="C322" t="s">
        <v>21</v>
      </c>
      <c r="D322" t="s">
        <v>155</v>
      </c>
      <c r="E322" t="s">
        <v>41</v>
      </c>
      <c r="F322" s="32">
        <v>0.30598819999999999</v>
      </c>
      <c r="G322" s="23" t="e">
        <v>#N/A</v>
      </c>
      <c r="H322" s="29">
        <v>0.34378695675715365</v>
      </c>
      <c r="I322" s="7" t="e">
        <f t="shared" ref="I322:I385" si="15">IF(G322&lt;0,0,G322)</f>
        <v>#N/A</v>
      </c>
      <c r="J322" s="7" t="e">
        <f t="shared" si="14"/>
        <v>#N/A</v>
      </c>
    </row>
    <row r="323" spans="1:10" x14ac:dyDescent="0.35">
      <c r="A323" t="s">
        <v>61</v>
      </c>
      <c r="B323" t="s">
        <v>62</v>
      </c>
      <c r="C323" t="s">
        <v>22</v>
      </c>
      <c r="D323" t="s">
        <v>155</v>
      </c>
      <c r="E323" t="s">
        <v>41</v>
      </c>
      <c r="F323" s="32">
        <v>249.92787390000001</v>
      </c>
      <c r="G323" s="23">
        <v>19.133056751423673</v>
      </c>
      <c r="H323" s="29">
        <v>41.185066915369518</v>
      </c>
      <c r="I323" s="7">
        <f t="shared" si="15"/>
        <v>19.133056751423673</v>
      </c>
      <c r="J323" s="7">
        <f t="shared" si="14"/>
        <v>23.850731427852995</v>
      </c>
    </row>
    <row r="324" spans="1:10" x14ac:dyDescent="0.35">
      <c r="A324" t="s">
        <v>61</v>
      </c>
      <c r="B324" t="s">
        <v>62</v>
      </c>
      <c r="C324" t="s">
        <v>23</v>
      </c>
      <c r="D324" t="s">
        <v>155</v>
      </c>
      <c r="E324" t="s">
        <v>41</v>
      </c>
      <c r="F324" s="32">
        <v>0</v>
      </c>
      <c r="G324" s="23">
        <v>0.57003039788037413</v>
      </c>
      <c r="H324" s="29">
        <v>6.5190256938186822E-2</v>
      </c>
      <c r="I324" s="7">
        <f t="shared" si="15"/>
        <v>0.57003039788037413</v>
      </c>
      <c r="J324" s="7">
        <f t="shared" si="14"/>
        <v>0.7105838916484345</v>
      </c>
    </row>
    <row r="325" spans="1:10" x14ac:dyDescent="0.35">
      <c r="A325" t="s">
        <v>61</v>
      </c>
      <c r="B325" t="s">
        <v>62</v>
      </c>
      <c r="C325" t="s">
        <v>24</v>
      </c>
      <c r="D325" t="s">
        <v>155</v>
      </c>
      <c r="E325" t="s">
        <v>41</v>
      </c>
      <c r="F325" s="32">
        <v>215.71850649999999</v>
      </c>
      <c r="G325" s="23">
        <v>4.6978602145260417</v>
      </c>
      <c r="H325" s="29">
        <v>6.4436563155190836</v>
      </c>
      <c r="I325" s="7">
        <f t="shared" si="15"/>
        <v>4.6978602145260417</v>
      </c>
      <c r="J325" s="7">
        <f t="shared" si="14"/>
        <v>5.8562206613388703</v>
      </c>
    </row>
    <row r="326" spans="1:10" x14ac:dyDescent="0.35">
      <c r="A326" t="s">
        <v>61</v>
      </c>
      <c r="B326" t="s">
        <v>62</v>
      </c>
      <c r="C326" t="s">
        <v>25</v>
      </c>
      <c r="D326" t="s">
        <v>155</v>
      </c>
      <c r="E326" t="s">
        <v>41</v>
      </c>
      <c r="F326" s="32">
        <v>8.3582134000000003</v>
      </c>
      <c r="G326" s="23" t="e">
        <v>#N/A</v>
      </c>
      <c r="H326" s="29">
        <v>1.2077117282643337</v>
      </c>
      <c r="I326" s="7" t="e">
        <f t="shared" si="15"/>
        <v>#N/A</v>
      </c>
      <c r="J326" s="7" t="e">
        <f t="shared" si="14"/>
        <v>#N/A</v>
      </c>
    </row>
    <row r="327" spans="1:10" x14ac:dyDescent="0.35">
      <c r="A327" t="s">
        <v>61</v>
      </c>
      <c r="B327" t="s">
        <v>62</v>
      </c>
      <c r="C327" t="s">
        <v>26</v>
      </c>
      <c r="D327" t="s">
        <v>153</v>
      </c>
      <c r="E327" t="s">
        <v>41</v>
      </c>
      <c r="F327" s="32">
        <v>1.6576354</v>
      </c>
      <c r="G327" s="23">
        <v>0.61219092090270888</v>
      </c>
      <c r="H327" s="29">
        <v>6.0754571016927925E-2</v>
      </c>
      <c r="I327" s="7">
        <f t="shared" si="15"/>
        <v>0.61219092090270888</v>
      </c>
      <c r="J327" s="7">
        <f t="shared" si="14"/>
        <v>0.7631400160841546</v>
      </c>
    </row>
    <row r="328" spans="1:10" x14ac:dyDescent="0.35">
      <c r="A328" t="s">
        <v>61</v>
      </c>
      <c r="B328" t="s">
        <v>62</v>
      </c>
      <c r="C328" t="s">
        <v>27</v>
      </c>
      <c r="D328" t="s">
        <v>154</v>
      </c>
      <c r="E328" t="s">
        <v>41</v>
      </c>
      <c r="F328" s="32">
        <v>23.761468000000001</v>
      </c>
      <c r="G328" s="23">
        <v>4.2353453584518483</v>
      </c>
      <c r="H328" s="29">
        <v>5.5207467116015438</v>
      </c>
      <c r="I328" s="7">
        <f t="shared" si="15"/>
        <v>4.2353453584518483</v>
      </c>
      <c r="J328" s="7">
        <f t="shared" si="14"/>
        <v>5.2796626258437396</v>
      </c>
    </row>
    <row r="329" spans="1:10" x14ac:dyDescent="0.35">
      <c r="A329" t="s">
        <v>61</v>
      </c>
      <c r="B329" t="s">
        <v>62</v>
      </c>
      <c r="C329" t="s">
        <v>28</v>
      </c>
      <c r="D329" t="s">
        <v>155</v>
      </c>
      <c r="E329" t="s">
        <v>41</v>
      </c>
      <c r="F329" s="32">
        <v>42.134903999999999</v>
      </c>
      <c r="G329" s="23">
        <v>3.5915391125910991</v>
      </c>
      <c r="H329" s="29">
        <v>11.766483236216223</v>
      </c>
      <c r="I329" s="7">
        <f t="shared" si="15"/>
        <v>3.5915391125910991</v>
      </c>
      <c r="J329" s="7">
        <f t="shared" si="14"/>
        <v>4.4771118331975801</v>
      </c>
    </row>
    <row r="330" spans="1:10" x14ac:dyDescent="0.35">
      <c r="A330" t="s">
        <v>61</v>
      </c>
      <c r="B330" t="s">
        <v>62</v>
      </c>
      <c r="C330" t="s">
        <v>29</v>
      </c>
      <c r="D330" t="s">
        <v>155</v>
      </c>
      <c r="E330" t="s">
        <v>41</v>
      </c>
      <c r="F330" s="32">
        <v>0.4187612</v>
      </c>
      <c r="G330" s="23">
        <v>0.44074622266895114</v>
      </c>
      <c r="H330" s="29">
        <v>9.3440512323406319E-2</v>
      </c>
      <c r="I330" s="7">
        <f t="shared" si="15"/>
        <v>0.44074622266895114</v>
      </c>
      <c r="J330" s="7">
        <f t="shared" si="14"/>
        <v>0.54942186819864269</v>
      </c>
    </row>
    <row r="331" spans="1:10" x14ac:dyDescent="0.35">
      <c r="A331" t="s">
        <v>61</v>
      </c>
      <c r="B331" t="s">
        <v>62</v>
      </c>
      <c r="C331" t="s">
        <v>30</v>
      </c>
      <c r="D331" t="s">
        <v>155</v>
      </c>
      <c r="E331" t="s">
        <v>41</v>
      </c>
      <c r="F331" s="32">
        <v>167.8577344</v>
      </c>
      <c r="G331" s="23">
        <v>6.8160570518260135</v>
      </c>
      <c r="H331" s="29">
        <v>31.98516893598784</v>
      </c>
      <c r="I331" s="7">
        <f t="shared" si="15"/>
        <v>6.8160570518260135</v>
      </c>
      <c r="J331" s="7">
        <f t="shared" si="14"/>
        <v>8.4967053750012624</v>
      </c>
    </row>
    <row r="332" spans="1:10" x14ac:dyDescent="0.35">
      <c r="A332" t="s">
        <v>61</v>
      </c>
      <c r="B332" t="s">
        <v>62</v>
      </c>
      <c r="C332" t="s">
        <v>31</v>
      </c>
      <c r="D332" t="s">
        <v>155</v>
      </c>
      <c r="E332" t="s">
        <v>41</v>
      </c>
      <c r="F332" s="32">
        <v>10.570113600000001</v>
      </c>
      <c r="G332" s="23">
        <v>0.18709902723965496</v>
      </c>
      <c r="H332" s="29">
        <v>0.61850910390863056</v>
      </c>
      <c r="I332" s="7">
        <f t="shared" si="15"/>
        <v>0.18709902723965496</v>
      </c>
      <c r="J332" s="7">
        <f t="shared" si="14"/>
        <v>0.2332323949634193</v>
      </c>
    </row>
    <row r="333" spans="1:10" x14ac:dyDescent="0.35">
      <c r="A333" t="s">
        <v>61</v>
      </c>
      <c r="B333" t="s">
        <v>62</v>
      </c>
      <c r="C333" t="s">
        <v>32</v>
      </c>
      <c r="D333" t="s">
        <v>153</v>
      </c>
      <c r="E333" t="s">
        <v>41</v>
      </c>
      <c r="F333" s="32">
        <v>0</v>
      </c>
      <c r="G333" s="23" t="e">
        <v>#N/A</v>
      </c>
      <c r="H333" s="29">
        <v>9.2176578472025927E-2</v>
      </c>
      <c r="I333" s="7" t="e">
        <f t="shared" si="15"/>
        <v>#N/A</v>
      </c>
      <c r="J333" s="7" t="e">
        <f t="shared" si="14"/>
        <v>#N/A</v>
      </c>
    </row>
    <row r="334" spans="1:10" x14ac:dyDescent="0.35">
      <c r="A334" t="s">
        <v>61</v>
      </c>
      <c r="B334" t="s">
        <v>62</v>
      </c>
      <c r="C334" t="s">
        <v>33</v>
      </c>
      <c r="D334" t="s">
        <v>155</v>
      </c>
      <c r="E334" t="s">
        <v>41</v>
      </c>
      <c r="F334" s="32">
        <v>164.65718109999997</v>
      </c>
      <c r="G334" s="23">
        <v>8.8207052043627563</v>
      </c>
      <c r="H334" s="29">
        <v>17.414021733733751</v>
      </c>
      <c r="I334" s="7">
        <f t="shared" si="15"/>
        <v>8.8207052043627563</v>
      </c>
      <c r="J334" s="7">
        <f t="shared" si="14"/>
        <v>10.99564348586731</v>
      </c>
    </row>
    <row r="335" spans="1:10" x14ac:dyDescent="0.35">
      <c r="A335" t="s">
        <v>61</v>
      </c>
      <c r="B335" t="s">
        <v>62</v>
      </c>
      <c r="C335" t="s">
        <v>34</v>
      </c>
      <c r="D335" t="s">
        <v>153</v>
      </c>
      <c r="E335" t="s">
        <v>41</v>
      </c>
      <c r="F335" s="32">
        <v>0</v>
      </c>
      <c r="G335" s="23" t="e">
        <v>#N/A</v>
      </c>
      <c r="H335" s="29">
        <v>-0.1518404184762023</v>
      </c>
      <c r="I335" s="7" t="e">
        <f t="shared" si="15"/>
        <v>#N/A</v>
      </c>
      <c r="J335" s="7" t="e">
        <f t="shared" si="14"/>
        <v>#N/A</v>
      </c>
    </row>
    <row r="336" spans="1:10" x14ac:dyDescent="0.35">
      <c r="A336" t="s">
        <v>61</v>
      </c>
      <c r="B336" t="s">
        <v>62</v>
      </c>
      <c r="C336" t="s">
        <v>35</v>
      </c>
      <c r="D336" t="s">
        <v>154</v>
      </c>
      <c r="E336" t="s">
        <v>41</v>
      </c>
      <c r="F336" s="32">
        <v>57.276931499999996</v>
      </c>
      <c r="G336" s="23">
        <v>5.6726304869739259</v>
      </c>
      <c r="H336" s="29">
        <v>15.948372847046613</v>
      </c>
      <c r="I336" s="7">
        <f t="shared" si="15"/>
        <v>5.6726304869739259</v>
      </c>
      <c r="J336" s="7">
        <f t="shared" si="14"/>
        <v>7.0713419184416928</v>
      </c>
    </row>
    <row r="337" spans="1:10" x14ac:dyDescent="0.35">
      <c r="A337" t="s">
        <v>61</v>
      </c>
      <c r="B337" t="s">
        <v>62</v>
      </c>
      <c r="C337" t="s">
        <v>36</v>
      </c>
      <c r="D337" t="s">
        <v>155</v>
      </c>
      <c r="E337" t="s">
        <v>41</v>
      </c>
      <c r="F337" s="32">
        <v>1.9027575999999999</v>
      </c>
      <c r="G337" s="23" t="e">
        <v>#N/A</v>
      </c>
      <c r="H337" s="29">
        <v>0.17554979082011032</v>
      </c>
      <c r="I337" s="7" t="e">
        <f t="shared" si="15"/>
        <v>#N/A</v>
      </c>
      <c r="J337" s="7" t="e">
        <f t="shared" si="14"/>
        <v>#N/A</v>
      </c>
    </row>
    <row r="338" spans="1:10" x14ac:dyDescent="0.35">
      <c r="A338" t="s">
        <v>61</v>
      </c>
      <c r="B338" t="s">
        <v>62</v>
      </c>
      <c r="C338" t="s">
        <v>37</v>
      </c>
      <c r="D338" t="s">
        <v>155</v>
      </c>
      <c r="E338" t="s">
        <v>41</v>
      </c>
      <c r="F338" s="32">
        <v>5.3429677</v>
      </c>
      <c r="G338" s="23">
        <v>1.7550446889487539</v>
      </c>
      <c r="H338" s="29">
        <v>3.2248960863724796</v>
      </c>
      <c r="I338" s="7">
        <f t="shared" si="15"/>
        <v>1.7550446889487539</v>
      </c>
      <c r="J338" s="7">
        <f t="shared" si="14"/>
        <v>2.1877894402253228</v>
      </c>
    </row>
    <row r="339" spans="1:10" x14ac:dyDescent="0.35">
      <c r="A339" t="s">
        <v>61</v>
      </c>
      <c r="B339" t="s">
        <v>62</v>
      </c>
      <c r="C339" t="s">
        <v>38</v>
      </c>
      <c r="D339" t="s">
        <v>155</v>
      </c>
      <c r="E339" t="s">
        <v>41</v>
      </c>
      <c r="F339" s="32">
        <v>6.3393357999999997</v>
      </c>
      <c r="G339" s="23">
        <v>0.55170149602955765</v>
      </c>
      <c r="H339" s="29">
        <v>1.3142215259175094</v>
      </c>
      <c r="I339" s="7">
        <f t="shared" si="15"/>
        <v>0.55170149602955765</v>
      </c>
      <c r="J339" s="7">
        <f t="shared" si="14"/>
        <v>0.68773559714479882</v>
      </c>
    </row>
    <row r="340" spans="1:10" x14ac:dyDescent="0.35">
      <c r="A340" t="s">
        <v>61</v>
      </c>
      <c r="B340" t="s">
        <v>62</v>
      </c>
      <c r="C340" t="s">
        <v>39</v>
      </c>
      <c r="D340" t="s">
        <v>153</v>
      </c>
      <c r="E340" t="s">
        <v>41</v>
      </c>
      <c r="F340" s="32">
        <v>0</v>
      </c>
      <c r="G340" s="23" t="e">
        <v>#N/A</v>
      </c>
      <c r="H340" s="29">
        <v>0.36696041963899756</v>
      </c>
      <c r="I340" s="7" t="e">
        <f t="shared" si="15"/>
        <v>#N/A</v>
      </c>
      <c r="J340" s="7" t="e">
        <f t="shared" si="14"/>
        <v>#N/A</v>
      </c>
    </row>
    <row r="341" spans="1:10" s="19" customFormat="1" x14ac:dyDescent="0.35">
      <c r="A341" s="19" t="s">
        <v>61</v>
      </c>
      <c r="B341" s="19" t="s">
        <v>62</v>
      </c>
      <c r="C341" s="19" t="s">
        <v>40</v>
      </c>
      <c r="D341" s="19" t="s">
        <v>154</v>
      </c>
      <c r="E341" s="19" t="s">
        <v>41</v>
      </c>
      <c r="F341" s="33">
        <v>0</v>
      </c>
      <c r="G341" s="24" t="e">
        <v>#N/A</v>
      </c>
      <c r="H341" s="30">
        <v>0.11745536551219619</v>
      </c>
      <c r="I341" s="21" t="e">
        <f t="shared" si="15"/>
        <v>#N/A</v>
      </c>
      <c r="J341" s="21" t="e">
        <f t="shared" si="14"/>
        <v>#N/A</v>
      </c>
    </row>
    <row r="342" spans="1:10" x14ac:dyDescent="0.35">
      <c r="A342" t="s">
        <v>63</v>
      </c>
      <c r="B342" t="s">
        <v>64</v>
      </c>
      <c r="C342" t="s">
        <v>6</v>
      </c>
      <c r="D342" t="s">
        <v>153</v>
      </c>
      <c r="E342" t="s">
        <v>65</v>
      </c>
      <c r="F342" s="32">
        <v>6.8369263</v>
      </c>
      <c r="G342" s="23" t="e">
        <v>#N/A</v>
      </c>
      <c r="H342" s="29">
        <v>0.75560403168549739</v>
      </c>
      <c r="I342" s="7" t="e">
        <f t="shared" si="15"/>
        <v>#N/A</v>
      </c>
      <c r="J342" s="7" t="e">
        <f>I342/0.5899</f>
        <v>#N/A</v>
      </c>
    </row>
    <row r="343" spans="1:10" x14ac:dyDescent="0.35">
      <c r="A343" t="s">
        <v>63</v>
      </c>
      <c r="B343" t="s">
        <v>64</v>
      </c>
      <c r="C343" t="s">
        <v>7</v>
      </c>
      <c r="D343" t="s">
        <v>153</v>
      </c>
      <c r="E343" t="s">
        <v>65</v>
      </c>
      <c r="F343" s="32">
        <v>0</v>
      </c>
      <c r="G343" s="23" t="e">
        <v>#N/A</v>
      </c>
      <c r="H343" s="29">
        <v>-0.10468048795089063</v>
      </c>
      <c r="I343" s="7" t="e">
        <f t="shared" si="15"/>
        <v>#N/A</v>
      </c>
      <c r="J343" s="7" t="e">
        <f t="shared" ref="J343:J375" si="16">I343/0.5899</f>
        <v>#N/A</v>
      </c>
    </row>
    <row r="344" spans="1:10" x14ac:dyDescent="0.35">
      <c r="A344" t="s">
        <v>63</v>
      </c>
      <c r="B344" t="s">
        <v>64</v>
      </c>
      <c r="C344" t="s">
        <v>8</v>
      </c>
      <c r="D344" t="s">
        <v>153</v>
      </c>
      <c r="E344" t="s">
        <v>65</v>
      </c>
      <c r="F344" s="32">
        <v>0</v>
      </c>
      <c r="G344" s="23" t="e">
        <v>#N/A</v>
      </c>
      <c r="H344" s="29">
        <v>-4.1028743016680726E-2</v>
      </c>
      <c r="I344" s="7" t="e">
        <f t="shared" si="15"/>
        <v>#N/A</v>
      </c>
      <c r="J344" s="7" t="e">
        <f t="shared" si="16"/>
        <v>#N/A</v>
      </c>
    </row>
    <row r="345" spans="1:10" x14ac:dyDescent="0.35">
      <c r="A345" t="s">
        <v>63</v>
      </c>
      <c r="B345" t="s">
        <v>64</v>
      </c>
      <c r="C345" t="s">
        <v>9</v>
      </c>
      <c r="D345" t="s">
        <v>153</v>
      </c>
      <c r="E345" t="s">
        <v>65</v>
      </c>
      <c r="F345" s="32">
        <v>0</v>
      </c>
      <c r="G345" s="23" t="e">
        <v>#N/A</v>
      </c>
      <c r="H345" s="29">
        <v>-0.39542271421447311</v>
      </c>
      <c r="I345" s="7" t="e">
        <f t="shared" si="15"/>
        <v>#N/A</v>
      </c>
      <c r="J345" s="7" t="e">
        <f t="shared" si="16"/>
        <v>#N/A</v>
      </c>
    </row>
    <row r="346" spans="1:10" x14ac:dyDescent="0.35">
      <c r="A346" t="s">
        <v>63</v>
      </c>
      <c r="B346" t="s">
        <v>64</v>
      </c>
      <c r="C346" t="s">
        <v>10</v>
      </c>
      <c r="D346" t="s">
        <v>153</v>
      </c>
      <c r="E346" t="s">
        <v>65</v>
      </c>
      <c r="F346" s="32">
        <v>0</v>
      </c>
      <c r="G346" s="23" t="e">
        <v>#N/A</v>
      </c>
      <c r="H346" s="29">
        <v>-9.3457982432537959E-2</v>
      </c>
      <c r="I346" s="7" t="e">
        <f t="shared" si="15"/>
        <v>#N/A</v>
      </c>
      <c r="J346" s="7" t="e">
        <f t="shared" si="16"/>
        <v>#N/A</v>
      </c>
    </row>
    <row r="347" spans="1:10" x14ac:dyDescent="0.35">
      <c r="A347" t="s">
        <v>63</v>
      </c>
      <c r="B347" t="s">
        <v>64</v>
      </c>
      <c r="C347" t="s">
        <v>11</v>
      </c>
      <c r="D347" t="s">
        <v>153</v>
      </c>
      <c r="E347" t="s">
        <v>65</v>
      </c>
      <c r="F347" s="32">
        <v>49.808790200000004</v>
      </c>
      <c r="G347" s="23">
        <v>5.8943704046402692</v>
      </c>
      <c r="H347" s="29">
        <v>14.221395297266008</v>
      </c>
      <c r="I347" s="7">
        <f t="shared" si="15"/>
        <v>5.8943704046402692</v>
      </c>
      <c r="J347" s="7">
        <f t="shared" si="16"/>
        <v>9.9921518980170703</v>
      </c>
    </row>
    <row r="348" spans="1:10" x14ac:dyDescent="0.35">
      <c r="A348" t="s">
        <v>63</v>
      </c>
      <c r="B348" t="s">
        <v>64</v>
      </c>
      <c r="C348" t="s">
        <v>12</v>
      </c>
      <c r="D348" t="s">
        <v>154</v>
      </c>
      <c r="E348" t="s">
        <v>65</v>
      </c>
      <c r="F348" s="32">
        <v>0</v>
      </c>
      <c r="G348" s="23" t="e">
        <v>#N/A</v>
      </c>
      <c r="H348" s="29">
        <v>-7.6355049517289442E-2</v>
      </c>
      <c r="I348" s="7" t="e">
        <f t="shared" si="15"/>
        <v>#N/A</v>
      </c>
      <c r="J348" s="7" t="e">
        <f t="shared" si="16"/>
        <v>#N/A</v>
      </c>
    </row>
    <row r="349" spans="1:10" x14ac:dyDescent="0.35">
      <c r="A349" t="s">
        <v>63</v>
      </c>
      <c r="B349" t="s">
        <v>64</v>
      </c>
      <c r="C349" t="s">
        <v>13</v>
      </c>
      <c r="D349" t="s">
        <v>153</v>
      </c>
      <c r="E349" t="s">
        <v>65</v>
      </c>
      <c r="F349" s="32">
        <v>9.6523758999999991</v>
      </c>
      <c r="G349" s="23">
        <v>1.3271692658357324</v>
      </c>
      <c r="H349" s="29">
        <v>0.47133870397467315</v>
      </c>
      <c r="I349" s="7">
        <f t="shared" si="15"/>
        <v>1.3271692658357324</v>
      </c>
      <c r="J349" s="7">
        <f t="shared" si="16"/>
        <v>2.2498207591722874</v>
      </c>
    </row>
    <row r="350" spans="1:10" x14ac:dyDescent="0.35">
      <c r="A350" t="s">
        <v>63</v>
      </c>
      <c r="B350" t="s">
        <v>64</v>
      </c>
      <c r="C350" t="s">
        <v>14</v>
      </c>
      <c r="D350" t="s">
        <v>154</v>
      </c>
      <c r="E350" t="s">
        <v>65</v>
      </c>
      <c r="F350" s="32">
        <v>0</v>
      </c>
      <c r="G350" s="23" t="e">
        <v>#N/A</v>
      </c>
      <c r="H350" s="29">
        <v>2.9948137855862322E-2</v>
      </c>
      <c r="I350" s="7" t="e">
        <f t="shared" si="15"/>
        <v>#N/A</v>
      </c>
      <c r="J350" s="7" t="e">
        <f t="shared" si="16"/>
        <v>#N/A</v>
      </c>
    </row>
    <row r="351" spans="1:10" x14ac:dyDescent="0.35">
      <c r="A351" t="s">
        <v>63</v>
      </c>
      <c r="B351" t="s">
        <v>64</v>
      </c>
      <c r="C351" t="s">
        <v>15</v>
      </c>
      <c r="D351" t="s">
        <v>153</v>
      </c>
      <c r="E351" t="s">
        <v>65</v>
      </c>
      <c r="F351" s="32">
        <v>2609.5015984000001</v>
      </c>
      <c r="G351" s="23">
        <v>62.709573856124273</v>
      </c>
      <c r="H351" s="29">
        <v>190.17865607356822</v>
      </c>
      <c r="I351" s="7">
        <f t="shared" si="15"/>
        <v>62.709573856124273</v>
      </c>
      <c r="J351" s="7">
        <f t="shared" si="16"/>
        <v>106.30543118515727</v>
      </c>
    </row>
    <row r="352" spans="1:10" x14ac:dyDescent="0.35">
      <c r="A352" t="s">
        <v>63</v>
      </c>
      <c r="B352" t="s">
        <v>64</v>
      </c>
      <c r="C352" t="s">
        <v>16</v>
      </c>
      <c r="D352" t="s">
        <v>154</v>
      </c>
      <c r="E352" t="s">
        <v>65</v>
      </c>
      <c r="F352" s="32">
        <v>532.54410270000005</v>
      </c>
      <c r="G352" s="23">
        <v>46.202980278178202</v>
      </c>
      <c r="H352" s="29">
        <v>133.70588777393277</v>
      </c>
      <c r="I352" s="7">
        <f t="shared" si="15"/>
        <v>46.202980278178202</v>
      </c>
      <c r="J352" s="7">
        <f t="shared" si="16"/>
        <v>78.323411219152746</v>
      </c>
    </row>
    <row r="353" spans="1:10" x14ac:dyDescent="0.35">
      <c r="A353" t="s">
        <v>63</v>
      </c>
      <c r="B353" t="s">
        <v>64</v>
      </c>
      <c r="C353" t="s">
        <v>18</v>
      </c>
      <c r="D353" t="s">
        <v>154</v>
      </c>
      <c r="E353" t="s">
        <v>65</v>
      </c>
      <c r="F353" s="32">
        <v>0</v>
      </c>
      <c r="G353" s="23" t="e">
        <v>#N/A</v>
      </c>
      <c r="H353" s="29">
        <v>-5.9525940971325707E-2</v>
      </c>
      <c r="I353" s="7" t="e">
        <f t="shared" si="15"/>
        <v>#N/A</v>
      </c>
      <c r="J353" s="7" t="e">
        <f t="shared" si="16"/>
        <v>#N/A</v>
      </c>
    </row>
    <row r="354" spans="1:10" x14ac:dyDescent="0.35">
      <c r="A354" t="s">
        <v>63</v>
      </c>
      <c r="B354" t="s">
        <v>64</v>
      </c>
      <c r="C354" t="s">
        <v>19</v>
      </c>
      <c r="D354" t="s">
        <v>153</v>
      </c>
      <c r="E354" t="s">
        <v>65</v>
      </c>
      <c r="F354" s="32">
        <v>428.16907470000001</v>
      </c>
      <c r="G354" s="23">
        <v>34.048623241720847</v>
      </c>
      <c r="H354" s="29">
        <v>29.091237619244605</v>
      </c>
      <c r="I354" s="7">
        <f t="shared" si="15"/>
        <v>34.048623241720847</v>
      </c>
      <c r="J354" s="7">
        <f t="shared" si="16"/>
        <v>57.719313852722237</v>
      </c>
    </row>
    <row r="355" spans="1:10" x14ac:dyDescent="0.35">
      <c r="A355" t="s">
        <v>63</v>
      </c>
      <c r="B355" t="s">
        <v>64</v>
      </c>
      <c r="C355" t="s">
        <v>20</v>
      </c>
      <c r="D355" t="s">
        <v>154</v>
      </c>
      <c r="E355" t="s">
        <v>65</v>
      </c>
      <c r="F355" s="32">
        <v>509.54525160000003</v>
      </c>
      <c r="G355" s="23">
        <v>49.218852084098472</v>
      </c>
      <c r="H355" s="29">
        <v>121.35005436110504</v>
      </c>
      <c r="I355" s="7">
        <f t="shared" si="15"/>
        <v>49.218852084098472</v>
      </c>
      <c r="J355" s="7">
        <f t="shared" si="16"/>
        <v>83.43592487556954</v>
      </c>
    </row>
    <row r="356" spans="1:10" x14ac:dyDescent="0.35">
      <c r="A356" t="s">
        <v>63</v>
      </c>
      <c r="B356" t="s">
        <v>64</v>
      </c>
      <c r="C356" t="s">
        <v>21</v>
      </c>
      <c r="D356" t="s">
        <v>155</v>
      </c>
      <c r="E356" t="s">
        <v>65</v>
      </c>
      <c r="F356" s="32">
        <v>0.34385579999999999</v>
      </c>
      <c r="G356" s="23" t="e">
        <v>#N/A</v>
      </c>
      <c r="H356" s="29">
        <v>7.9564420386307205E-2</v>
      </c>
      <c r="I356" s="7" t="e">
        <f t="shared" si="15"/>
        <v>#N/A</v>
      </c>
      <c r="J356" s="7" t="e">
        <f t="shared" si="16"/>
        <v>#N/A</v>
      </c>
    </row>
    <row r="357" spans="1:10" x14ac:dyDescent="0.35">
      <c r="A357" t="s">
        <v>63</v>
      </c>
      <c r="B357" t="s">
        <v>64</v>
      </c>
      <c r="C357" t="s">
        <v>22</v>
      </c>
      <c r="D357" t="s">
        <v>155</v>
      </c>
      <c r="E357" t="s">
        <v>65</v>
      </c>
      <c r="F357" s="32">
        <v>246.9809296</v>
      </c>
      <c r="G357" s="23">
        <v>8.0270282031321223</v>
      </c>
      <c r="H357" s="29">
        <v>43.008032554180254</v>
      </c>
      <c r="I357" s="7">
        <f t="shared" si="15"/>
        <v>8.0270282031321223</v>
      </c>
      <c r="J357" s="7">
        <f t="shared" si="16"/>
        <v>13.607438893256692</v>
      </c>
    </row>
    <row r="358" spans="1:10" x14ac:dyDescent="0.35">
      <c r="A358" t="s">
        <v>63</v>
      </c>
      <c r="B358" t="s">
        <v>64</v>
      </c>
      <c r="C358" t="s">
        <v>23</v>
      </c>
      <c r="D358" t="s">
        <v>155</v>
      </c>
      <c r="E358" t="s">
        <v>65</v>
      </c>
      <c r="F358" s="32">
        <v>0</v>
      </c>
      <c r="G358" s="23">
        <v>1.4729261903716964</v>
      </c>
      <c r="H358" s="29">
        <v>2.282986455311645E-2</v>
      </c>
      <c r="I358" s="7">
        <f t="shared" si="15"/>
        <v>1.4729261903716964</v>
      </c>
      <c r="J358" s="7">
        <f t="shared" si="16"/>
        <v>2.4969082732186751</v>
      </c>
    </row>
    <row r="359" spans="1:10" x14ac:dyDescent="0.35">
      <c r="A359" t="s">
        <v>63</v>
      </c>
      <c r="B359" t="s">
        <v>64</v>
      </c>
      <c r="C359" t="s">
        <v>24</v>
      </c>
      <c r="D359" t="s">
        <v>155</v>
      </c>
      <c r="E359" t="s">
        <v>65</v>
      </c>
      <c r="F359" s="32">
        <v>190.10266000000001</v>
      </c>
      <c r="G359" s="23">
        <v>4.1669339562943719</v>
      </c>
      <c r="H359" s="29">
        <v>6.1575314298435968</v>
      </c>
      <c r="I359" s="7">
        <f t="shared" si="15"/>
        <v>4.1669339562943719</v>
      </c>
      <c r="J359" s="7">
        <f t="shared" si="16"/>
        <v>7.0637971796819325</v>
      </c>
    </row>
    <row r="360" spans="1:10" x14ac:dyDescent="0.35">
      <c r="A360" t="s">
        <v>63</v>
      </c>
      <c r="B360" t="s">
        <v>64</v>
      </c>
      <c r="C360" t="s">
        <v>25</v>
      </c>
      <c r="D360" t="s">
        <v>155</v>
      </c>
      <c r="E360" t="s">
        <v>65</v>
      </c>
      <c r="F360" s="32">
        <v>13.8245661</v>
      </c>
      <c r="G360" s="23">
        <v>1.5292952806363826</v>
      </c>
      <c r="H360" s="29">
        <v>0.8762686507782792</v>
      </c>
      <c r="I360" s="7">
        <f t="shared" si="15"/>
        <v>1.5292952806363826</v>
      </c>
      <c r="J360" s="7">
        <f t="shared" si="16"/>
        <v>2.5924653002820524</v>
      </c>
    </row>
    <row r="361" spans="1:10" x14ac:dyDescent="0.35">
      <c r="A361" t="s">
        <v>63</v>
      </c>
      <c r="B361" t="s">
        <v>64</v>
      </c>
      <c r="C361" t="s">
        <v>26</v>
      </c>
      <c r="D361" t="s">
        <v>153</v>
      </c>
      <c r="E361" t="s">
        <v>65</v>
      </c>
      <c r="F361" s="32">
        <v>1.6491342</v>
      </c>
      <c r="G361" s="23">
        <v>0.59871603642887838</v>
      </c>
      <c r="H361" s="29">
        <v>-3.8602343960388211E-2</v>
      </c>
      <c r="I361" s="7">
        <f t="shared" si="15"/>
        <v>0.59871603642887838</v>
      </c>
      <c r="J361" s="7">
        <f t="shared" si="16"/>
        <v>1.0149449676705855</v>
      </c>
    </row>
    <row r="362" spans="1:10" x14ac:dyDescent="0.35">
      <c r="A362" t="s">
        <v>63</v>
      </c>
      <c r="B362" t="s">
        <v>64</v>
      </c>
      <c r="C362" t="s">
        <v>27</v>
      </c>
      <c r="D362" t="s">
        <v>154</v>
      </c>
      <c r="E362" t="s">
        <v>65</v>
      </c>
      <c r="F362" s="32">
        <v>20.722164599999999</v>
      </c>
      <c r="G362" s="23">
        <v>5.2273357944522383</v>
      </c>
      <c r="H362" s="29">
        <v>6.6047557264037584</v>
      </c>
      <c r="I362" s="7">
        <f t="shared" si="15"/>
        <v>5.2273357944522383</v>
      </c>
      <c r="J362" s="7">
        <f t="shared" si="16"/>
        <v>8.8613931080729582</v>
      </c>
    </row>
    <row r="363" spans="1:10" x14ac:dyDescent="0.35">
      <c r="A363" t="s">
        <v>63</v>
      </c>
      <c r="B363" t="s">
        <v>64</v>
      </c>
      <c r="C363" t="s">
        <v>28</v>
      </c>
      <c r="D363" t="s">
        <v>155</v>
      </c>
      <c r="E363" t="s">
        <v>65</v>
      </c>
      <c r="F363" s="32">
        <v>42.873951999999996</v>
      </c>
      <c r="G363" s="23">
        <v>3.6874154858697095</v>
      </c>
      <c r="H363" s="29">
        <v>12.365967903197085</v>
      </c>
      <c r="I363" s="7">
        <f t="shared" si="15"/>
        <v>3.6874154858697095</v>
      </c>
      <c r="J363" s="7">
        <f t="shared" si="16"/>
        <v>6.250916233039006</v>
      </c>
    </row>
    <row r="364" spans="1:10" x14ac:dyDescent="0.35">
      <c r="A364" t="s">
        <v>63</v>
      </c>
      <c r="B364" t="s">
        <v>64</v>
      </c>
      <c r="C364" t="s">
        <v>29</v>
      </c>
      <c r="D364" t="s">
        <v>155</v>
      </c>
      <c r="E364" t="s">
        <v>65</v>
      </c>
      <c r="F364" s="32">
        <v>0.4206048</v>
      </c>
      <c r="G364" s="23">
        <v>0.75400755181850831</v>
      </c>
      <c r="H364" s="29">
        <v>9.2757557528379747E-2</v>
      </c>
      <c r="I364" s="7">
        <f t="shared" si="15"/>
        <v>0.75400755181850831</v>
      </c>
      <c r="J364" s="7">
        <f t="shared" si="16"/>
        <v>1.2781955446999633</v>
      </c>
    </row>
    <row r="365" spans="1:10" x14ac:dyDescent="0.35">
      <c r="A365" t="s">
        <v>63</v>
      </c>
      <c r="B365" t="s">
        <v>64</v>
      </c>
      <c r="C365" t="s">
        <v>30</v>
      </c>
      <c r="D365" t="s">
        <v>155</v>
      </c>
      <c r="E365" t="s">
        <v>65</v>
      </c>
      <c r="F365" s="32">
        <v>187.9765735</v>
      </c>
      <c r="G365" s="23">
        <v>7.6273029977414151</v>
      </c>
      <c r="H365" s="29">
        <v>20.781561235152608</v>
      </c>
      <c r="I365" s="7">
        <f t="shared" si="15"/>
        <v>7.6273029977414151</v>
      </c>
      <c r="J365" s="7">
        <f t="shared" si="16"/>
        <v>12.929823695103265</v>
      </c>
    </row>
    <row r="366" spans="1:10" x14ac:dyDescent="0.35">
      <c r="A366" t="s">
        <v>63</v>
      </c>
      <c r="B366" t="s">
        <v>64</v>
      </c>
      <c r="C366" t="s">
        <v>31</v>
      </c>
      <c r="D366" t="s">
        <v>155</v>
      </c>
      <c r="E366" t="s">
        <v>65</v>
      </c>
      <c r="F366" s="32" t="e">
        <v>#N/A</v>
      </c>
      <c r="G366" s="23" t="e">
        <v>#N/A</v>
      </c>
      <c r="H366" s="29">
        <v>0.48355629260204158</v>
      </c>
      <c r="I366" s="7" t="e">
        <f t="shared" si="15"/>
        <v>#N/A</v>
      </c>
      <c r="J366" s="7" t="e">
        <f t="shared" si="16"/>
        <v>#N/A</v>
      </c>
    </row>
    <row r="367" spans="1:10" x14ac:dyDescent="0.35">
      <c r="A367" t="s">
        <v>63</v>
      </c>
      <c r="B367" t="s">
        <v>64</v>
      </c>
      <c r="C367" t="s">
        <v>32</v>
      </c>
      <c r="D367" t="s">
        <v>153</v>
      </c>
      <c r="E367" t="s">
        <v>65</v>
      </c>
      <c r="F367" s="32">
        <v>0</v>
      </c>
      <c r="G367" s="23" t="e">
        <v>#N/A</v>
      </c>
      <c r="H367" s="29">
        <v>2.9175587777511051E-2</v>
      </c>
      <c r="I367" s="7" t="e">
        <f t="shared" si="15"/>
        <v>#N/A</v>
      </c>
      <c r="J367" s="7" t="e">
        <f t="shared" si="16"/>
        <v>#N/A</v>
      </c>
    </row>
    <row r="368" spans="1:10" x14ac:dyDescent="0.35">
      <c r="A368" t="s">
        <v>63</v>
      </c>
      <c r="B368" t="s">
        <v>64</v>
      </c>
      <c r="C368" t="s">
        <v>33</v>
      </c>
      <c r="D368" t="s">
        <v>155</v>
      </c>
      <c r="E368" t="s">
        <v>65</v>
      </c>
      <c r="F368" s="32">
        <v>186.53658679999998</v>
      </c>
      <c r="G368" s="23">
        <v>10.898033323594671</v>
      </c>
      <c r="H368" s="29">
        <v>10.769919526886477</v>
      </c>
      <c r="I368" s="7">
        <f t="shared" si="15"/>
        <v>10.898033323594671</v>
      </c>
      <c r="J368" s="7">
        <f t="shared" si="16"/>
        <v>18.474374171206428</v>
      </c>
    </row>
    <row r="369" spans="1:10" x14ac:dyDescent="0.35">
      <c r="A369" t="s">
        <v>63</v>
      </c>
      <c r="B369" t="s">
        <v>64</v>
      </c>
      <c r="C369" t="s">
        <v>34</v>
      </c>
      <c r="D369" t="s">
        <v>153</v>
      </c>
      <c r="E369" t="s">
        <v>65</v>
      </c>
      <c r="F369" s="32">
        <v>0</v>
      </c>
      <c r="G369" s="23" t="e">
        <v>#N/A</v>
      </c>
      <c r="H369" s="29">
        <v>-0.16203618202902156</v>
      </c>
      <c r="I369" s="7" t="e">
        <f t="shared" si="15"/>
        <v>#N/A</v>
      </c>
      <c r="J369" s="7" t="e">
        <f t="shared" si="16"/>
        <v>#N/A</v>
      </c>
    </row>
    <row r="370" spans="1:10" x14ac:dyDescent="0.35">
      <c r="A370" t="s">
        <v>63</v>
      </c>
      <c r="B370" t="s">
        <v>64</v>
      </c>
      <c r="C370" t="s">
        <v>35</v>
      </c>
      <c r="D370" t="s">
        <v>154</v>
      </c>
      <c r="E370" t="s">
        <v>65</v>
      </c>
      <c r="F370" s="32">
        <v>54.794600599999995</v>
      </c>
      <c r="G370" s="23">
        <v>5.1483310313097395</v>
      </c>
      <c r="H370" s="29">
        <v>17.539421349103964</v>
      </c>
      <c r="I370" s="7">
        <f t="shared" si="15"/>
        <v>5.1483310313097395</v>
      </c>
      <c r="J370" s="7">
        <f t="shared" si="16"/>
        <v>8.7274640300215971</v>
      </c>
    </row>
    <row r="371" spans="1:10" x14ac:dyDescent="0.35">
      <c r="A371" t="s">
        <v>63</v>
      </c>
      <c r="B371" t="s">
        <v>64</v>
      </c>
      <c r="C371" t="s">
        <v>36</v>
      </c>
      <c r="D371" t="s">
        <v>155</v>
      </c>
      <c r="E371" t="s">
        <v>65</v>
      </c>
      <c r="F371" s="32">
        <v>1.8069760000000001</v>
      </c>
      <c r="G371" s="23" t="e">
        <v>#N/A</v>
      </c>
      <c r="H371" s="29">
        <v>0.16569676191913635</v>
      </c>
      <c r="I371" s="7" t="e">
        <f t="shared" si="15"/>
        <v>#N/A</v>
      </c>
      <c r="J371" s="7" t="e">
        <f t="shared" si="16"/>
        <v>#N/A</v>
      </c>
    </row>
    <row r="372" spans="1:10" x14ac:dyDescent="0.35">
      <c r="A372" t="s">
        <v>63</v>
      </c>
      <c r="B372" t="s">
        <v>64</v>
      </c>
      <c r="C372" t="s">
        <v>37</v>
      </c>
      <c r="D372" t="s">
        <v>155</v>
      </c>
      <c r="E372" t="s">
        <v>65</v>
      </c>
      <c r="F372" s="32">
        <v>5.7247960000000004</v>
      </c>
      <c r="G372" s="23">
        <v>1.7652596045961819</v>
      </c>
      <c r="H372" s="29">
        <v>1.9416269394757033</v>
      </c>
      <c r="I372" s="7">
        <f t="shared" si="15"/>
        <v>1.7652596045961819</v>
      </c>
      <c r="J372" s="7">
        <f t="shared" si="16"/>
        <v>2.9924726302698459</v>
      </c>
    </row>
    <row r="373" spans="1:10" x14ac:dyDescent="0.35">
      <c r="A373" t="s">
        <v>63</v>
      </c>
      <c r="B373" t="s">
        <v>64</v>
      </c>
      <c r="C373" t="s">
        <v>38</v>
      </c>
      <c r="D373" t="s">
        <v>155</v>
      </c>
      <c r="E373" t="s">
        <v>65</v>
      </c>
      <c r="F373" s="32">
        <v>4.3243431000000001</v>
      </c>
      <c r="G373" s="23">
        <v>0.45224656421868209</v>
      </c>
      <c r="H373" s="29">
        <v>0.82907395163727537</v>
      </c>
      <c r="I373" s="7">
        <f t="shared" si="15"/>
        <v>0.45224656421868209</v>
      </c>
      <c r="J373" s="7">
        <f t="shared" si="16"/>
        <v>0.76664954097081217</v>
      </c>
    </row>
    <row r="374" spans="1:10" x14ac:dyDescent="0.35">
      <c r="A374" t="s">
        <v>63</v>
      </c>
      <c r="B374" t="s">
        <v>64</v>
      </c>
      <c r="C374" t="s">
        <v>39</v>
      </c>
      <c r="D374" t="s">
        <v>153</v>
      </c>
      <c r="E374" t="s">
        <v>65</v>
      </c>
      <c r="F374" s="32">
        <v>12.9481156</v>
      </c>
      <c r="G374" s="23" t="e">
        <v>#N/A</v>
      </c>
      <c r="H374" s="29">
        <v>-0.40318551906072669</v>
      </c>
      <c r="I374" s="7" t="e">
        <f t="shared" si="15"/>
        <v>#N/A</v>
      </c>
      <c r="J374" s="7" t="e">
        <f t="shared" si="16"/>
        <v>#N/A</v>
      </c>
    </row>
    <row r="375" spans="1:10" s="19" customFormat="1" x14ac:dyDescent="0.35">
      <c r="A375" s="19" t="s">
        <v>63</v>
      </c>
      <c r="B375" s="19" t="s">
        <v>64</v>
      </c>
      <c r="C375" s="19" t="s">
        <v>40</v>
      </c>
      <c r="D375" s="19" t="s">
        <v>154</v>
      </c>
      <c r="E375" s="19" t="s">
        <v>65</v>
      </c>
      <c r="F375" s="33">
        <v>0</v>
      </c>
      <c r="G375" s="24" t="e">
        <v>#N/A</v>
      </c>
      <c r="H375" s="30">
        <v>-0.13209098961725535</v>
      </c>
      <c r="I375" s="21" t="e">
        <f t="shared" si="15"/>
        <v>#N/A</v>
      </c>
      <c r="J375" s="21" t="e">
        <f t="shared" si="16"/>
        <v>#N/A</v>
      </c>
    </row>
    <row r="376" spans="1:10" x14ac:dyDescent="0.35">
      <c r="A376" t="s">
        <v>66</v>
      </c>
      <c r="B376" t="s">
        <v>67</v>
      </c>
      <c r="C376" t="s">
        <v>6</v>
      </c>
      <c r="D376" t="s">
        <v>153</v>
      </c>
      <c r="E376" t="s">
        <v>65</v>
      </c>
      <c r="F376" s="32">
        <v>6.6635892999999999</v>
      </c>
      <c r="G376" s="23" t="e">
        <v>#N/A</v>
      </c>
      <c r="H376" s="29">
        <v>0.74830676269583885</v>
      </c>
      <c r="I376" s="7" t="e">
        <f t="shared" si="15"/>
        <v>#N/A</v>
      </c>
      <c r="J376" s="7" t="e">
        <f>I376/0.4238</f>
        <v>#N/A</v>
      </c>
    </row>
    <row r="377" spans="1:10" x14ac:dyDescent="0.35">
      <c r="A377" t="s">
        <v>66</v>
      </c>
      <c r="B377" t="s">
        <v>67</v>
      </c>
      <c r="C377" t="s">
        <v>7</v>
      </c>
      <c r="D377" t="s">
        <v>153</v>
      </c>
      <c r="E377" t="s">
        <v>65</v>
      </c>
      <c r="F377" s="32">
        <v>0</v>
      </c>
      <c r="G377" s="23" t="e">
        <v>#N/A</v>
      </c>
      <c r="H377" s="29">
        <v>-0.10108446522741231</v>
      </c>
      <c r="I377" s="7" t="e">
        <f t="shared" si="15"/>
        <v>#N/A</v>
      </c>
      <c r="J377" s="7" t="e">
        <f t="shared" ref="J377:J409" si="17">I377/0.4238</f>
        <v>#N/A</v>
      </c>
    </row>
    <row r="378" spans="1:10" x14ac:dyDescent="0.35">
      <c r="A378" t="s">
        <v>66</v>
      </c>
      <c r="B378" t="s">
        <v>67</v>
      </c>
      <c r="C378" t="s">
        <v>8</v>
      </c>
      <c r="D378" t="s">
        <v>153</v>
      </c>
      <c r="E378" t="s">
        <v>65</v>
      </c>
      <c r="F378" s="32">
        <v>0</v>
      </c>
      <c r="G378" s="23" t="e">
        <v>#N/A</v>
      </c>
      <c r="H378" s="29">
        <v>-3.68774501816043E-2</v>
      </c>
      <c r="I378" s="7" t="e">
        <f t="shared" si="15"/>
        <v>#N/A</v>
      </c>
      <c r="J378" s="7" t="e">
        <f t="shared" si="17"/>
        <v>#N/A</v>
      </c>
    </row>
    <row r="379" spans="1:10" x14ac:dyDescent="0.35">
      <c r="A379" t="s">
        <v>66</v>
      </c>
      <c r="B379" t="s">
        <v>67</v>
      </c>
      <c r="C379" t="s">
        <v>9</v>
      </c>
      <c r="D379" t="s">
        <v>153</v>
      </c>
      <c r="E379" t="s">
        <v>65</v>
      </c>
      <c r="F379" s="32">
        <v>0</v>
      </c>
      <c r="G379" s="23" t="e">
        <v>#N/A</v>
      </c>
      <c r="H379" s="29">
        <v>-0.39623656672868629</v>
      </c>
      <c r="I379" s="7" t="e">
        <f t="shared" si="15"/>
        <v>#N/A</v>
      </c>
      <c r="J379" s="7" t="e">
        <f t="shared" si="17"/>
        <v>#N/A</v>
      </c>
    </row>
    <row r="380" spans="1:10" x14ac:dyDescent="0.35">
      <c r="A380" t="s">
        <v>66</v>
      </c>
      <c r="B380" t="s">
        <v>67</v>
      </c>
      <c r="C380" t="s">
        <v>10</v>
      </c>
      <c r="D380" t="s">
        <v>153</v>
      </c>
      <c r="E380" t="s">
        <v>65</v>
      </c>
      <c r="F380" s="32">
        <v>0</v>
      </c>
      <c r="G380" s="23" t="e">
        <v>#N/A</v>
      </c>
      <c r="H380" s="29">
        <v>-9.4891926457488798E-2</v>
      </c>
      <c r="I380" s="7" t="e">
        <f t="shared" si="15"/>
        <v>#N/A</v>
      </c>
      <c r="J380" s="7" t="e">
        <f t="shared" si="17"/>
        <v>#N/A</v>
      </c>
    </row>
    <row r="381" spans="1:10" x14ac:dyDescent="0.35">
      <c r="A381" t="s">
        <v>66</v>
      </c>
      <c r="B381" t="s">
        <v>67</v>
      </c>
      <c r="C381" t="s">
        <v>11</v>
      </c>
      <c r="D381" t="s">
        <v>153</v>
      </c>
      <c r="E381" t="s">
        <v>65</v>
      </c>
      <c r="F381" s="32">
        <v>7.0520523000000006</v>
      </c>
      <c r="G381" s="23">
        <v>1.1838274999089429</v>
      </c>
      <c r="H381" s="29">
        <v>3.2410605773570795</v>
      </c>
      <c r="I381" s="7">
        <f t="shared" si="15"/>
        <v>1.1838274999089429</v>
      </c>
      <c r="J381" s="7">
        <f t="shared" si="17"/>
        <v>2.793363614697836</v>
      </c>
    </row>
    <row r="382" spans="1:10" x14ac:dyDescent="0.35">
      <c r="A382" t="s">
        <v>66</v>
      </c>
      <c r="B382" t="s">
        <v>67</v>
      </c>
      <c r="C382" t="s">
        <v>12</v>
      </c>
      <c r="D382" t="s">
        <v>154</v>
      </c>
      <c r="E382" t="s">
        <v>65</v>
      </c>
      <c r="F382" s="32">
        <v>0</v>
      </c>
      <c r="G382" s="23" t="e">
        <v>#N/A</v>
      </c>
      <c r="H382" s="29">
        <v>-6.5461179364947913E-2</v>
      </c>
      <c r="I382" s="7" t="e">
        <f t="shared" si="15"/>
        <v>#N/A</v>
      </c>
      <c r="J382" s="7" t="e">
        <f t="shared" si="17"/>
        <v>#N/A</v>
      </c>
    </row>
    <row r="383" spans="1:10" x14ac:dyDescent="0.35">
      <c r="A383" t="s">
        <v>66</v>
      </c>
      <c r="B383" t="s">
        <v>67</v>
      </c>
      <c r="C383" t="s">
        <v>13</v>
      </c>
      <c r="D383" t="s">
        <v>153</v>
      </c>
      <c r="E383" t="s">
        <v>65</v>
      </c>
      <c r="F383" s="32">
        <v>4.6443700000000003</v>
      </c>
      <c r="G383" s="23">
        <v>0.72372586715235732</v>
      </c>
      <c r="H383" s="29">
        <v>0.23147911154283218</v>
      </c>
      <c r="I383" s="7">
        <f t="shared" si="15"/>
        <v>0.72372586715235732</v>
      </c>
      <c r="J383" s="7">
        <f t="shared" si="17"/>
        <v>1.707706151846053</v>
      </c>
    </row>
    <row r="384" spans="1:10" x14ac:dyDescent="0.35">
      <c r="A384" t="s">
        <v>66</v>
      </c>
      <c r="B384" t="s">
        <v>67</v>
      </c>
      <c r="C384" t="s">
        <v>14</v>
      </c>
      <c r="D384" t="s">
        <v>154</v>
      </c>
      <c r="E384" t="s">
        <v>65</v>
      </c>
      <c r="F384" s="32">
        <v>0</v>
      </c>
      <c r="G384" s="23" t="e">
        <v>#N/A</v>
      </c>
      <c r="H384" s="29">
        <v>-0.10617802209489066</v>
      </c>
      <c r="I384" s="7" t="e">
        <f t="shared" si="15"/>
        <v>#N/A</v>
      </c>
      <c r="J384" s="7" t="e">
        <f t="shared" si="17"/>
        <v>#N/A</v>
      </c>
    </row>
    <row r="385" spans="1:10" x14ac:dyDescent="0.35">
      <c r="A385" t="s">
        <v>66</v>
      </c>
      <c r="B385" t="s">
        <v>67</v>
      </c>
      <c r="C385" t="s">
        <v>15</v>
      </c>
      <c r="D385" t="s">
        <v>153</v>
      </c>
      <c r="E385" t="s">
        <v>65</v>
      </c>
      <c r="F385" s="32">
        <v>1428.1465542999999</v>
      </c>
      <c r="G385" s="23">
        <v>34.046438713928168</v>
      </c>
      <c r="H385" s="29">
        <v>104.01935919576013</v>
      </c>
      <c r="I385" s="7">
        <f t="shared" si="15"/>
        <v>34.046438713928168</v>
      </c>
      <c r="J385" s="7">
        <f t="shared" si="17"/>
        <v>80.336098900255237</v>
      </c>
    </row>
    <row r="386" spans="1:10" x14ac:dyDescent="0.35">
      <c r="A386" t="s">
        <v>66</v>
      </c>
      <c r="B386" t="s">
        <v>67</v>
      </c>
      <c r="C386" t="s">
        <v>16</v>
      </c>
      <c r="D386" t="s">
        <v>154</v>
      </c>
      <c r="E386" t="s">
        <v>65</v>
      </c>
      <c r="F386" s="32">
        <v>40.5490584</v>
      </c>
      <c r="G386" s="23">
        <v>4.2054016088013073</v>
      </c>
      <c r="H386" s="29">
        <v>10.601057310263597</v>
      </c>
      <c r="I386" s="7">
        <f t="shared" ref="I386:I449" si="18">IF(G386&lt;0,0,G386)</f>
        <v>4.2054016088013073</v>
      </c>
      <c r="J386" s="7">
        <f t="shared" si="17"/>
        <v>9.9230807192102581</v>
      </c>
    </row>
    <row r="387" spans="1:10" x14ac:dyDescent="0.35">
      <c r="A387" t="s">
        <v>66</v>
      </c>
      <c r="B387" t="s">
        <v>67</v>
      </c>
      <c r="C387" t="s">
        <v>18</v>
      </c>
      <c r="D387" t="s">
        <v>154</v>
      </c>
      <c r="E387" t="s">
        <v>65</v>
      </c>
      <c r="F387" s="32">
        <v>0</v>
      </c>
      <c r="G387" s="23" t="e">
        <v>#N/A</v>
      </c>
      <c r="H387" s="29">
        <v>-3.7362428949506615E-2</v>
      </c>
      <c r="I387" s="7" t="e">
        <f t="shared" si="18"/>
        <v>#N/A</v>
      </c>
      <c r="J387" s="7" t="e">
        <f t="shared" si="17"/>
        <v>#N/A</v>
      </c>
    </row>
    <row r="388" spans="1:10" x14ac:dyDescent="0.35">
      <c r="A388" t="s">
        <v>66</v>
      </c>
      <c r="B388" t="s">
        <v>67</v>
      </c>
      <c r="C388" t="s">
        <v>19</v>
      </c>
      <c r="D388" t="s">
        <v>153</v>
      </c>
      <c r="E388" t="s">
        <v>65</v>
      </c>
      <c r="F388" s="32">
        <v>467.87396590000003</v>
      </c>
      <c r="G388" s="23">
        <v>35.520791590961316</v>
      </c>
      <c r="H388" s="29">
        <v>35.254123789421975</v>
      </c>
      <c r="I388" s="7">
        <f t="shared" si="18"/>
        <v>35.520791590961316</v>
      </c>
      <c r="J388" s="7">
        <f t="shared" si="17"/>
        <v>83.814987236812925</v>
      </c>
    </row>
    <row r="389" spans="1:10" x14ac:dyDescent="0.35">
      <c r="A389" t="s">
        <v>66</v>
      </c>
      <c r="B389" t="s">
        <v>67</v>
      </c>
      <c r="C389" t="s">
        <v>20</v>
      </c>
      <c r="D389" t="s">
        <v>154</v>
      </c>
      <c r="E389" t="s">
        <v>65</v>
      </c>
      <c r="F389" s="32">
        <v>20.945730699999999</v>
      </c>
      <c r="G389" s="23">
        <v>1.2948417366701181</v>
      </c>
      <c r="H389" s="29">
        <v>124.95073249104809</v>
      </c>
      <c r="I389" s="7">
        <f t="shared" si="18"/>
        <v>1.2948417366701181</v>
      </c>
      <c r="J389" s="7">
        <f t="shared" si="17"/>
        <v>3.0553132059228836</v>
      </c>
    </row>
    <row r="390" spans="1:10" x14ac:dyDescent="0.35">
      <c r="A390" t="s">
        <v>66</v>
      </c>
      <c r="B390" t="s">
        <v>67</v>
      </c>
      <c r="C390" t="s">
        <v>21</v>
      </c>
      <c r="D390" t="s">
        <v>155</v>
      </c>
      <c r="E390" t="s">
        <v>65</v>
      </c>
      <c r="F390" s="32">
        <v>0.34610000000000002</v>
      </c>
      <c r="G390" s="23" t="e">
        <v>#N/A</v>
      </c>
      <c r="H390" s="29">
        <v>8.8375702587543986E-2</v>
      </c>
      <c r="I390" s="7" t="e">
        <f t="shared" si="18"/>
        <v>#N/A</v>
      </c>
      <c r="J390" s="7" t="e">
        <f t="shared" si="17"/>
        <v>#N/A</v>
      </c>
    </row>
    <row r="391" spans="1:10" x14ac:dyDescent="0.35">
      <c r="A391" t="s">
        <v>66</v>
      </c>
      <c r="B391" t="s">
        <v>67</v>
      </c>
      <c r="C391" t="s">
        <v>22</v>
      </c>
      <c r="D391" t="s">
        <v>155</v>
      </c>
      <c r="E391" t="s">
        <v>65</v>
      </c>
      <c r="F391" s="32">
        <v>140.34963639999998</v>
      </c>
      <c r="G391" s="23">
        <v>10.583162579372932</v>
      </c>
      <c r="H391" s="29">
        <v>42.50097010030003</v>
      </c>
      <c r="I391" s="7">
        <f t="shared" si="18"/>
        <v>10.583162579372932</v>
      </c>
      <c r="J391" s="7">
        <f t="shared" si="17"/>
        <v>24.972068379832304</v>
      </c>
    </row>
    <row r="392" spans="1:10" x14ac:dyDescent="0.35">
      <c r="A392" t="s">
        <v>66</v>
      </c>
      <c r="B392" t="s">
        <v>67</v>
      </c>
      <c r="C392" t="s">
        <v>23</v>
      </c>
      <c r="D392" t="s">
        <v>155</v>
      </c>
      <c r="E392" t="s">
        <v>65</v>
      </c>
      <c r="F392" s="32">
        <v>0</v>
      </c>
      <c r="G392" s="23" t="e">
        <v>#N/A</v>
      </c>
      <c r="H392" s="29">
        <v>1.6411209672610794E-3</v>
      </c>
      <c r="I392" s="7" t="e">
        <f t="shared" si="18"/>
        <v>#N/A</v>
      </c>
      <c r="J392" s="7" t="e">
        <f t="shared" si="17"/>
        <v>#N/A</v>
      </c>
    </row>
    <row r="393" spans="1:10" x14ac:dyDescent="0.35">
      <c r="A393" t="s">
        <v>66</v>
      </c>
      <c r="B393" t="s">
        <v>67</v>
      </c>
      <c r="C393" t="s">
        <v>24</v>
      </c>
      <c r="D393" t="s">
        <v>155</v>
      </c>
      <c r="E393" t="s">
        <v>65</v>
      </c>
      <c r="F393" s="32">
        <v>84.144924799999998</v>
      </c>
      <c r="G393" s="23">
        <v>1.7975946675503229</v>
      </c>
      <c r="H393" s="29">
        <v>5.4241052243586827</v>
      </c>
      <c r="I393" s="7">
        <f t="shared" si="18"/>
        <v>1.7975946675503229</v>
      </c>
      <c r="J393" s="7">
        <f t="shared" si="17"/>
        <v>4.2416108248001958</v>
      </c>
    </row>
    <row r="394" spans="1:10" x14ac:dyDescent="0.35">
      <c r="A394" t="s">
        <v>66</v>
      </c>
      <c r="B394" t="s">
        <v>67</v>
      </c>
      <c r="C394" t="s">
        <v>25</v>
      </c>
      <c r="D394" t="s">
        <v>155</v>
      </c>
      <c r="E394" t="s">
        <v>65</v>
      </c>
      <c r="F394" s="32">
        <v>4.1711580999999995</v>
      </c>
      <c r="G394" s="23" t="e">
        <v>#N/A</v>
      </c>
      <c r="H394" s="29">
        <v>1.365413604834147</v>
      </c>
      <c r="I394" s="7" t="e">
        <f t="shared" si="18"/>
        <v>#N/A</v>
      </c>
      <c r="J394" s="7" t="e">
        <f t="shared" si="17"/>
        <v>#N/A</v>
      </c>
    </row>
    <row r="395" spans="1:10" x14ac:dyDescent="0.35">
      <c r="A395" t="s">
        <v>66</v>
      </c>
      <c r="B395" t="s">
        <v>67</v>
      </c>
      <c r="C395" t="s">
        <v>26</v>
      </c>
      <c r="D395" t="s">
        <v>153</v>
      </c>
      <c r="E395" t="s">
        <v>65</v>
      </c>
      <c r="F395" s="32">
        <v>1.5488088</v>
      </c>
      <c r="G395" s="23">
        <v>1.1293789612292158</v>
      </c>
      <c r="H395" s="29">
        <v>-3.8857931158632474E-2</v>
      </c>
      <c r="I395" s="7">
        <f t="shared" si="18"/>
        <v>1.1293789612292158</v>
      </c>
      <c r="J395" s="7">
        <f t="shared" si="17"/>
        <v>2.6648866475441619</v>
      </c>
    </row>
    <row r="396" spans="1:10" x14ac:dyDescent="0.35">
      <c r="A396" t="s">
        <v>66</v>
      </c>
      <c r="B396" t="s">
        <v>67</v>
      </c>
      <c r="C396" t="s">
        <v>27</v>
      </c>
      <c r="D396" t="s">
        <v>154</v>
      </c>
      <c r="E396" t="s">
        <v>65</v>
      </c>
      <c r="F396" s="32">
        <v>24.433719700000001</v>
      </c>
      <c r="G396" s="23">
        <v>2.7613708334688898</v>
      </c>
      <c r="H396" s="29">
        <v>5.7602117949645333</v>
      </c>
      <c r="I396" s="7">
        <f t="shared" si="18"/>
        <v>2.7613708334688898</v>
      </c>
      <c r="J396" s="7">
        <f t="shared" si="17"/>
        <v>6.5157405225787866</v>
      </c>
    </row>
    <row r="397" spans="1:10" x14ac:dyDescent="0.35">
      <c r="A397" t="s">
        <v>66</v>
      </c>
      <c r="B397" t="s">
        <v>67</v>
      </c>
      <c r="C397" t="s">
        <v>28</v>
      </c>
      <c r="D397" t="s">
        <v>155</v>
      </c>
      <c r="E397" t="s">
        <v>65</v>
      </c>
      <c r="F397" s="32">
        <v>16.347606200000001</v>
      </c>
      <c r="G397" s="23">
        <v>1.6809411934887857</v>
      </c>
      <c r="H397" s="29">
        <v>12.582672790017689</v>
      </c>
      <c r="I397" s="7">
        <f t="shared" si="18"/>
        <v>1.6809411934887857</v>
      </c>
      <c r="J397" s="7">
        <f t="shared" si="17"/>
        <v>3.9663548690155395</v>
      </c>
    </row>
    <row r="398" spans="1:10" x14ac:dyDescent="0.35">
      <c r="A398" t="s">
        <v>66</v>
      </c>
      <c r="B398" t="s">
        <v>67</v>
      </c>
      <c r="C398" t="s">
        <v>29</v>
      </c>
      <c r="D398" t="s">
        <v>155</v>
      </c>
      <c r="E398" t="s">
        <v>65</v>
      </c>
      <c r="F398" s="32">
        <v>23.291743299999997</v>
      </c>
      <c r="G398" s="23">
        <v>1.7950062683178798E-2</v>
      </c>
      <c r="H398" s="29">
        <v>9.3312088898958562E-2</v>
      </c>
      <c r="I398" s="7">
        <f t="shared" si="18"/>
        <v>1.7950062683178798E-2</v>
      </c>
      <c r="J398" s="7">
        <f t="shared" si="17"/>
        <v>4.2355032286877765E-2</v>
      </c>
    </row>
    <row r="399" spans="1:10" x14ac:dyDescent="0.35">
      <c r="A399" t="s">
        <v>66</v>
      </c>
      <c r="B399" t="s">
        <v>67</v>
      </c>
      <c r="C399" t="s">
        <v>30</v>
      </c>
      <c r="D399" t="s">
        <v>155</v>
      </c>
      <c r="E399" t="s">
        <v>65</v>
      </c>
      <c r="F399" s="32">
        <v>154.5991832</v>
      </c>
      <c r="G399" s="23">
        <v>6.2835923512996494</v>
      </c>
      <c r="H399" s="29">
        <v>23.273199726641774</v>
      </c>
      <c r="I399" s="7">
        <f t="shared" si="18"/>
        <v>6.2835923512996494</v>
      </c>
      <c r="J399" s="7">
        <f t="shared" si="17"/>
        <v>14.826787048842966</v>
      </c>
    </row>
    <row r="400" spans="1:10" x14ac:dyDescent="0.35">
      <c r="A400" t="s">
        <v>66</v>
      </c>
      <c r="B400" t="s">
        <v>67</v>
      </c>
      <c r="C400" t="s">
        <v>31</v>
      </c>
      <c r="D400" t="s">
        <v>155</v>
      </c>
      <c r="E400" t="s">
        <v>65</v>
      </c>
      <c r="F400" s="32" t="e">
        <v>#N/A</v>
      </c>
      <c r="G400" s="23" t="e">
        <v>#N/A</v>
      </c>
      <c r="H400" s="29">
        <v>6.8070477691414888E-2</v>
      </c>
      <c r="I400" s="7" t="e">
        <f t="shared" si="18"/>
        <v>#N/A</v>
      </c>
      <c r="J400" s="7" t="e">
        <f t="shared" si="17"/>
        <v>#N/A</v>
      </c>
    </row>
    <row r="401" spans="1:10" x14ac:dyDescent="0.35">
      <c r="A401" t="s">
        <v>66</v>
      </c>
      <c r="B401" t="s">
        <v>67</v>
      </c>
      <c r="C401" t="s">
        <v>32</v>
      </c>
      <c r="D401" t="s">
        <v>153</v>
      </c>
      <c r="E401" t="s">
        <v>65</v>
      </c>
      <c r="F401" s="32">
        <v>0</v>
      </c>
      <c r="G401" s="23" t="e">
        <v>#N/A</v>
      </c>
      <c r="H401" s="29">
        <v>9.9870054053859209E-2</v>
      </c>
      <c r="I401" s="7" t="e">
        <f t="shared" si="18"/>
        <v>#N/A</v>
      </c>
      <c r="J401" s="7" t="e">
        <f t="shared" si="17"/>
        <v>#N/A</v>
      </c>
    </row>
    <row r="402" spans="1:10" x14ac:dyDescent="0.35">
      <c r="A402" t="s">
        <v>66</v>
      </c>
      <c r="B402" t="s">
        <v>67</v>
      </c>
      <c r="C402" t="s">
        <v>33</v>
      </c>
      <c r="D402" t="s">
        <v>155</v>
      </c>
      <c r="E402" t="s">
        <v>65</v>
      </c>
      <c r="F402" s="32">
        <v>106.3748452</v>
      </c>
      <c r="G402" s="23">
        <v>4.4890903708220877</v>
      </c>
      <c r="H402" s="29">
        <v>13.157249513754588</v>
      </c>
      <c r="I402" s="7">
        <f t="shared" si="18"/>
        <v>4.4890903708220877</v>
      </c>
      <c r="J402" s="7">
        <f t="shared" si="17"/>
        <v>10.592473739551883</v>
      </c>
    </row>
    <row r="403" spans="1:10" x14ac:dyDescent="0.35">
      <c r="A403" t="s">
        <v>66</v>
      </c>
      <c r="B403" t="s">
        <v>67</v>
      </c>
      <c r="C403" t="s">
        <v>34</v>
      </c>
      <c r="D403" t="s">
        <v>153</v>
      </c>
      <c r="E403" t="s">
        <v>65</v>
      </c>
      <c r="F403" s="32">
        <v>0</v>
      </c>
      <c r="G403" s="23" t="e">
        <v>#N/A</v>
      </c>
      <c r="H403" s="29">
        <v>-0.11210322191114339</v>
      </c>
      <c r="I403" s="7" t="e">
        <f t="shared" si="18"/>
        <v>#N/A</v>
      </c>
      <c r="J403" s="7" t="e">
        <f t="shared" si="17"/>
        <v>#N/A</v>
      </c>
    </row>
    <row r="404" spans="1:10" x14ac:dyDescent="0.35">
      <c r="A404" t="s">
        <v>66</v>
      </c>
      <c r="B404" t="s">
        <v>67</v>
      </c>
      <c r="C404" t="s">
        <v>35</v>
      </c>
      <c r="D404" t="s">
        <v>154</v>
      </c>
      <c r="E404" t="s">
        <v>65</v>
      </c>
      <c r="F404" s="32">
        <v>58.359669000000004</v>
      </c>
      <c r="G404" s="23">
        <v>5.7328312181973686</v>
      </c>
      <c r="H404" s="29">
        <v>16.753291329174345</v>
      </c>
      <c r="I404" s="7">
        <f t="shared" si="18"/>
        <v>5.7328312181973686</v>
      </c>
      <c r="J404" s="7">
        <f t="shared" si="17"/>
        <v>13.527209103816348</v>
      </c>
    </row>
    <row r="405" spans="1:10" x14ac:dyDescent="0.35">
      <c r="A405" t="s">
        <v>66</v>
      </c>
      <c r="B405" t="s">
        <v>67</v>
      </c>
      <c r="C405" t="s">
        <v>36</v>
      </c>
      <c r="D405" t="s">
        <v>155</v>
      </c>
      <c r="E405" t="s">
        <v>65</v>
      </c>
      <c r="F405" s="32">
        <v>1.9237337999999999</v>
      </c>
      <c r="G405" s="23" t="e">
        <v>#N/A</v>
      </c>
      <c r="H405" s="29">
        <v>0.14136915229366384</v>
      </c>
      <c r="I405" s="7" t="e">
        <f t="shared" si="18"/>
        <v>#N/A</v>
      </c>
      <c r="J405" s="7" t="e">
        <f t="shared" si="17"/>
        <v>#N/A</v>
      </c>
    </row>
    <row r="406" spans="1:10" x14ac:dyDescent="0.35">
      <c r="A406" t="s">
        <v>66</v>
      </c>
      <c r="B406" t="s">
        <v>67</v>
      </c>
      <c r="C406" t="s">
        <v>37</v>
      </c>
      <c r="D406" t="s">
        <v>155</v>
      </c>
      <c r="E406" t="s">
        <v>65</v>
      </c>
      <c r="F406" s="32">
        <v>3.6180725000000002</v>
      </c>
      <c r="G406" s="23">
        <v>1.1985493732828583</v>
      </c>
      <c r="H406" s="29">
        <v>2.0645424764663298</v>
      </c>
      <c r="I406" s="7">
        <f t="shared" si="18"/>
        <v>1.1985493732828583</v>
      </c>
      <c r="J406" s="7">
        <f t="shared" si="17"/>
        <v>2.8281013999123603</v>
      </c>
    </row>
    <row r="407" spans="1:10" x14ac:dyDescent="0.35">
      <c r="A407" t="s">
        <v>66</v>
      </c>
      <c r="B407" t="s">
        <v>67</v>
      </c>
      <c r="C407" t="s">
        <v>38</v>
      </c>
      <c r="D407" t="s">
        <v>155</v>
      </c>
      <c r="E407" t="s">
        <v>65</v>
      </c>
      <c r="F407" s="32">
        <v>1.3568966</v>
      </c>
      <c r="G407" s="23">
        <v>0.28839174278501106</v>
      </c>
      <c r="H407" s="29">
        <v>0.5895030302682116</v>
      </c>
      <c r="I407" s="7">
        <f t="shared" si="18"/>
        <v>0.28839174278501106</v>
      </c>
      <c r="J407" s="7">
        <f t="shared" si="17"/>
        <v>0.68049019062060179</v>
      </c>
    </row>
    <row r="408" spans="1:10" x14ac:dyDescent="0.35">
      <c r="A408" t="s">
        <v>66</v>
      </c>
      <c r="B408" t="s">
        <v>67</v>
      </c>
      <c r="C408" t="s">
        <v>39</v>
      </c>
      <c r="D408" t="s">
        <v>153</v>
      </c>
      <c r="E408" t="s">
        <v>65</v>
      </c>
      <c r="F408" s="32">
        <v>9.4936729</v>
      </c>
      <c r="G408" s="23" t="e">
        <v>#N/A</v>
      </c>
      <c r="H408" s="29">
        <v>0.24280040264209202</v>
      </c>
      <c r="I408" s="7" t="e">
        <f t="shared" si="18"/>
        <v>#N/A</v>
      </c>
      <c r="J408" s="7" t="e">
        <f t="shared" si="17"/>
        <v>#N/A</v>
      </c>
    </row>
    <row r="409" spans="1:10" s="19" customFormat="1" x14ac:dyDescent="0.35">
      <c r="A409" s="19" t="s">
        <v>66</v>
      </c>
      <c r="B409" s="19" t="s">
        <v>67</v>
      </c>
      <c r="C409" s="19" t="s">
        <v>40</v>
      </c>
      <c r="D409" s="19" t="s">
        <v>154</v>
      </c>
      <c r="E409" s="19" t="s">
        <v>65</v>
      </c>
      <c r="F409" s="33">
        <v>0</v>
      </c>
      <c r="G409" s="24" t="e">
        <v>#N/A</v>
      </c>
      <c r="H409" s="30">
        <v>-1.0099572201128573E-2</v>
      </c>
      <c r="I409" s="21" t="e">
        <f t="shared" si="18"/>
        <v>#N/A</v>
      </c>
      <c r="J409" s="21" t="e">
        <f t="shared" si="17"/>
        <v>#N/A</v>
      </c>
    </row>
    <row r="410" spans="1:10" x14ac:dyDescent="0.35">
      <c r="A410" t="s">
        <v>68</v>
      </c>
      <c r="B410" t="s">
        <v>69</v>
      </c>
      <c r="C410" t="s">
        <v>6</v>
      </c>
      <c r="D410" t="s">
        <v>153</v>
      </c>
      <c r="E410" t="s">
        <v>65</v>
      </c>
      <c r="F410" s="32">
        <v>6.8845140000000002</v>
      </c>
      <c r="G410" s="23" t="e">
        <v>#N/A</v>
      </c>
      <c r="H410" s="29">
        <v>0.75152520975546033</v>
      </c>
      <c r="I410" s="7" t="e">
        <f t="shared" si="18"/>
        <v>#N/A</v>
      </c>
      <c r="J410" s="7" t="e">
        <f>I410/0.5537</f>
        <v>#N/A</v>
      </c>
    </row>
    <row r="411" spans="1:10" x14ac:dyDescent="0.35">
      <c r="A411" t="s">
        <v>68</v>
      </c>
      <c r="B411" t="s">
        <v>69</v>
      </c>
      <c r="C411" t="s">
        <v>7</v>
      </c>
      <c r="D411" t="s">
        <v>153</v>
      </c>
      <c r="E411" t="s">
        <v>65</v>
      </c>
      <c r="F411" s="32">
        <v>4.1247161999999999</v>
      </c>
      <c r="G411" s="23" t="e">
        <v>#N/A</v>
      </c>
      <c r="H411" s="29">
        <v>-0.10477220602602549</v>
      </c>
      <c r="I411" s="7" t="e">
        <f t="shared" si="18"/>
        <v>#N/A</v>
      </c>
      <c r="J411" s="7" t="e">
        <f t="shared" ref="J411:J443" si="19">I411/0.5537</f>
        <v>#N/A</v>
      </c>
    </row>
    <row r="412" spans="1:10" x14ac:dyDescent="0.35">
      <c r="A412" t="s">
        <v>68</v>
      </c>
      <c r="B412" t="s">
        <v>69</v>
      </c>
      <c r="C412" t="s">
        <v>8</v>
      </c>
      <c r="D412" t="s">
        <v>153</v>
      </c>
      <c r="E412" t="s">
        <v>65</v>
      </c>
      <c r="F412" s="32" t="e">
        <v>#N/A</v>
      </c>
      <c r="G412" s="23" t="e">
        <v>#N/A</v>
      </c>
      <c r="H412" s="29">
        <v>-4.0904091974842391E-2</v>
      </c>
      <c r="I412" s="7" t="e">
        <f t="shared" si="18"/>
        <v>#N/A</v>
      </c>
      <c r="J412" s="7" t="e">
        <f t="shared" si="19"/>
        <v>#N/A</v>
      </c>
    </row>
    <row r="413" spans="1:10" x14ac:dyDescent="0.35">
      <c r="A413" t="s">
        <v>68</v>
      </c>
      <c r="B413" t="s">
        <v>69</v>
      </c>
      <c r="C413" t="s">
        <v>9</v>
      </c>
      <c r="D413" t="s">
        <v>153</v>
      </c>
      <c r="E413" t="s">
        <v>65</v>
      </c>
      <c r="F413" s="32">
        <v>14.241061499999999</v>
      </c>
      <c r="G413" s="23" t="e">
        <v>#N/A</v>
      </c>
      <c r="H413" s="29">
        <v>-0.39328229690075189</v>
      </c>
      <c r="I413" s="7" t="e">
        <f t="shared" si="18"/>
        <v>#N/A</v>
      </c>
      <c r="J413" s="7" t="e">
        <f t="shared" si="19"/>
        <v>#N/A</v>
      </c>
    </row>
    <row r="414" spans="1:10" x14ac:dyDescent="0.35">
      <c r="A414" t="s">
        <v>68</v>
      </c>
      <c r="B414" t="s">
        <v>69</v>
      </c>
      <c r="C414" t="s">
        <v>10</v>
      </c>
      <c r="D414" t="s">
        <v>153</v>
      </c>
      <c r="E414" t="s">
        <v>65</v>
      </c>
      <c r="F414" s="32">
        <v>116.72914280000001</v>
      </c>
      <c r="G414" s="23" t="e">
        <v>#N/A</v>
      </c>
      <c r="H414" s="29">
        <v>-9.4660682119535891E-2</v>
      </c>
      <c r="I414" s="7" t="e">
        <f t="shared" si="18"/>
        <v>#N/A</v>
      </c>
      <c r="J414" s="7" t="e">
        <f t="shared" si="19"/>
        <v>#N/A</v>
      </c>
    </row>
    <row r="415" spans="1:10" x14ac:dyDescent="0.35">
      <c r="A415" t="s">
        <v>68</v>
      </c>
      <c r="B415" t="s">
        <v>69</v>
      </c>
      <c r="C415" t="s">
        <v>11</v>
      </c>
      <c r="D415" t="s">
        <v>153</v>
      </c>
      <c r="E415" t="s">
        <v>65</v>
      </c>
      <c r="F415" s="32">
        <v>307.1489722</v>
      </c>
      <c r="G415" s="23" t="e">
        <v>#N/A</v>
      </c>
      <c r="H415" s="29">
        <v>3.4963605317410211E-2</v>
      </c>
      <c r="I415" s="7" t="e">
        <f t="shared" si="18"/>
        <v>#N/A</v>
      </c>
      <c r="J415" s="7" t="e">
        <f t="shared" si="19"/>
        <v>#N/A</v>
      </c>
    </row>
    <row r="416" spans="1:10" x14ac:dyDescent="0.35">
      <c r="A416" t="s">
        <v>68</v>
      </c>
      <c r="B416" t="s">
        <v>69</v>
      </c>
      <c r="C416" t="s">
        <v>12</v>
      </c>
      <c r="D416" t="s">
        <v>154</v>
      </c>
      <c r="E416" t="s">
        <v>65</v>
      </c>
      <c r="F416" s="32">
        <v>0</v>
      </c>
      <c r="G416" s="23" t="e">
        <v>#N/A</v>
      </c>
      <c r="H416" s="29">
        <v>-6.5281899109792277E-2</v>
      </c>
      <c r="I416" s="7" t="e">
        <f t="shared" si="18"/>
        <v>#N/A</v>
      </c>
      <c r="J416" s="7" t="e">
        <f t="shared" si="19"/>
        <v>#N/A</v>
      </c>
    </row>
    <row r="417" spans="1:10" x14ac:dyDescent="0.35">
      <c r="A417" t="s">
        <v>68</v>
      </c>
      <c r="B417" t="s">
        <v>69</v>
      </c>
      <c r="C417" t="s">
        <v>13</v>
      </c>
      <c r="D417" t="s">
        <v>153</v>
      </c>
      <c r="E417" t="s">
        <v>65</v>
      </c>
      <c r="F417" s="32">
        <v>15.8769372</v>
      </c>
      <c r="G417" s="23" t="e">
        <v>#N/A</v>
      </c>
      <c r="H417" s="29">
        <v>-4.7366649085178181E-2</v>
      </c>
      <c r="I417" s="7" t="e">
        <f t="shared" si="18"/>
        <v>#N/A</v>
      </c>
      <c r="J417" s="7" t="e">
        <f t="shared" si="19"/>
        <v>#N/A</v>
      </c>
    </row>
    <row r="418" spans="1:10" x14ac:dyDescent="0.35">
      <c r="A418" t="s">
        <v>68</v>
      </c>
      <c r="B418" t="s">
        <v>69</v>
      </c>
      <c r="C418" t="s">
        <v>14</v>
      </c>
      <c r="D418" t="s">
        <v>154</v>
      </c>
      <c r="E418" t="s">
        <v>65</v>
      </c>
      <c r="F418" s="32">
        <v>0</v>
      </c>
      <c r="G418" s="23" t="e">
        <v>#N/A</v>
      </c>
      <c r="H418" s="29">
        <v>-4.6502465438950868E-2</v>
      </c>
      <c r="I418" s="7" t="e">
        <f t="shared" si="18"/>
        <v>#N/A</v>
      </c>
      <c r="J418" s="7" t="e">
        <f t="shared" si="19"/>
        <v>#N/A</v>
      </c>
    </row>
    <row r="419" spans="1:10" x14ac:dyDescent="0.35">
      <c r="A419" t="s">
        <v>68</v>
      </c>
      <c r="B419" t="s">
        <v>69</v>
      </c>
      <c r="C419" t="s">
        <v>15</v>
      </c>
      <c r="D419" t="s">
        <v>153</v>
      </c>
      <c r="E419" t="s">
        <v>65</v>
      </c>
      <c r="F419" s="32">
        <v>5408.4226508000002</v>
      </c>
      <c r="G419" s="23">
        <v>37.266475338081094</v>
      </c>
      <c r="H419" s="29">
        <v>120.06341528570604</v>
      </c>
      <c r="I419" s="7">
        <f t="shared" si="18"/>
        <v>37.266475338081094</v>
      </c>
      <c r="J419" s="7">
        <f t="shared" si="19"/>
        <v>67.304452479828598</v>
      </c>
    </row>
    <row r="420" spans="1:10" x14ac:dyDescent="0.35">
      <c r="A420" t="s">
        <v>68</v>
      </c>
      <c r="B420" t="s">
        <v>69</v>
      </c>
      <c r="C420" t="s">
        <v>16</v>
      </c>
      <c r="D420" t="s">
        <v>154</v>
      </c>
      <c r="E420" t="s">
        <v>65</v>
      </c>
      <c r="F420" s="32">
        <v>949.72924750000004</v>
      </c>
      <c r="G420" s="23">
        <v>10.785303251043224</v>
      </c>
      <c r="H420" s="29">
        <v>28.901241054792578</v>
      </c>
      <c r="I420" s="7">
        <f t="shared" si="18"/>
        <v>10.785303251043224</v>
      </c>
      <c r="J420" s="7">
        <f t="shared" si="19"/>
        <v>19.478604390542216</v>
      </c>
    </row>
    <row r="421" spans="1:10" x14ac:dyDescent="0.35">
      <c r="A421" t="s">
        <v>68</v>
      </c>
      <c r="B421" t="s">
        <v>69</v>
      </c>
      <c r="C421" t="s">
        <v>18</v>
      </c>
      <c r="D421" t="s">
        <v>154</v>
      </c>
      <c r="E421" t="s">
        <v>65</v>
      </c>
      <c r="F421" s="32">
        <v>20.971489000000002</v>
      </c>
      <c r="G421" s="23" t="e">
        <v>#N/A</v>
      </c>
      <c r="H421" s="29">
        <v>44.895665705342353</v>
      </c>
      <c r="I421" s="7" t="e">
        <f t="shared" si="18"/>
        <v>#N/A</v>
      </c>
      <c r="J421" s="7" t="e">
        <f t="shared" si="19"/>
        <v>#N/A</v>
      </c>
    </row>
    <row r="422" spans="1:10" x14ac:dyDescent="0.35">
      <c r="A422" t="s">
        <v>68</v>
      </c>
      <c r="B422" t="s">
        <v>69</v>
      </c>
      <c r="C422" t="s">
        <v>19</v>
      </c>
      <c r="D422" t="s">
        <v>153</v>
      </c>
      <c r="E422" t="s">
        <v>65</v>
      </c>
      <c r="F422" s="32">
        <v>543.79471709999996</v>
      </c>
      <c r="G422" s="23">
        <v>35.241967010857714</v>
      </c>
      <c r="H422" s="29">
        <v>34.36709096902365</v>
      </c>
      <c r="I422" s="7">
        <f t="shared" si="18"/>
        <v>35.241967010857714</v>
      </c>
      <c r="J422" s="7">
        <f t="shared" si="19"/>
        <v>63.648125358240414</v>
      </c>
    </row>
    <row r="423" spans="1:10" x14ac:dyDescent="0.35">
      <c r="A423" t="s">
        <v>68</v>
      </c>
      <c r="B423" t="s">
        <v>69</v>
      </c>
      <c r="C423" t="s">
        <v>20</v>
      </c>
      <c r="D423" t="s">
        <v>154</v>
      </c>
      <c r="E423" t="s">
        <v>65</v>
      </c>
      <c r="F423" s="32">
        <v>1955.7332535999999</v>
      </c>
      <c r="G423" s="23">
        <v>6.5499578578202975</v>
      </c>
      <c r="H423" s="29">
        <v>116.83895200677382</v>
      </c>
      <c r="I423" s="7">
        <f t="shared" si="18"/>
        <v>6.5499578578202975</v>
      </c>
      <c r="J423" s="7">
        <f t="shared" si="19"/>
        <v>11.829434455156759</v>
      </c>
    </row>
    <row r="424" spans="1:10" x14ac:dyDescent="0.35">
      <c r="A424" t="s">
        <v>68</v>
      </c>
      <c r="B424" t="s">
        <v>69</v>
      </c>
      <c r="C424" t="s">
        <v>21</v>
      </c>
      <c r="D424" t="s">
        <v>155</v>
      </c>
      <c r="E424" t="s">
        <v>65</v>
      </c>
      <c r="F424" s="32">
        <v>0</v>
      </c>
      <c r="G424" s="23" t="e">
        <v>#N/A</v>
      </c>
      <c r="H424" s="29">
        <v>16.644240655928566</v>
      </c>
      <c r="I424" s="7" t="e">
        <f t="shared" si="18"/>
        <v>#N/A</v>
      </c>
      <c r="J424" s="7" t="e">
        <f t="shared" si="19"/>
        <v>#N/A</v>
      </c>
    </row>
    <row r="425" spans="1:10" x14ac:dyDescent="0.35">
      <c r="A425" t="s">
        <v>68</v>
      </c>
      <c r="B425" t="s">
        <v>69</v>
      </c>
      <c r="C425" t="s">
        <v>22</v>
      </c>
      <c r="D425" t="s">
        <v>155</v>
      </c>
      <c r="E425" t="s">
        <v>65</v>
      </c>
      <c r="F425" s="32">
        <v>1913.5384208</v>
      </c>
      <c r="G425" s="23">
        <v>0.8252235402926168</v>
      </c>
      <c r="H425" s="29">
        <v>33.071392829099715</v>
      </c>
      <c r="I425" s="7">
        <f t="shared" si="18"/>
        <v>0.8252235402926168</v>
      </c>
      <c r="J425" s="7">
        <f t="shared" si="19"/>
        <v>1.4903802425367831</v>
      </c>
    </row>
    <row r="426" spans="1:10" x14ac:dyDescent="0.35">
      <c r="A426" t="s">
        <v>68</v>
      </c>
      <c r="B426" t="s">
        <v>69</v>
      </c>
      <c r="C426" t="s">
        <v>23</v>
      </c>
      <c r="D426" t="s">
        <v>155</v>
      </c>
      <c r="E426" t="s">
        <v>65</v>
      </c>
      <c r="F426" s="32">
        <v>157.53268119999998</v>
      </c>
      <c r="G426" s="23">
        <v>0.38344144733102004</v>
      </c>
      <c r="H426" s="29">
        <v>29.288263011477277</v>
      </c>
      <c r="I426" s="7">
        <f t="shared" si="18"/>
        <v>0.38344144733102004</v>
      </c>
      <c r="J426" s="7">
        <f t="shared" si="19"/>
        <v>0.69250758051475536</v>
      </c>
    </row>
    <row r="427" spans="1:10" x14ac:dyDescent="0.35">
      <c r="A427" t="s">
        <v>68</v>
      </c>
      <c r="B427" t="s">
        <v>69</v>
      </c>
      <c r="C427" t="s">
        <v>24</v>
      </c>
      <c r="D427" t="s">
        <v>155</v>
      </c>
      <c r="E427" t="s">
        <v>65</v>
      </c>
      <c r="F427" s="32">
        <v>3321.1106480999997</v>
      </c>
      <c r="G427" s="23">
        <v>2.7259172887895931</v>
      </c>
      <c r="H427" s="29">
        <v>16.740017292155617</v>
      </c>
      <c r="I427" s="7">
        <f t="shared" si="18"/>
        <v>2.7259172887895931</v>
      </c>
      <c r="J427" s="7">
        <f t="shared" si="19"/>
        <v>4.9230942546317378</v>
      </c>
    </row>
    <row r="428" spans="1:10" x14ac:dyDescent="0.35">
      <c r="A428" t="s">
        <v>68</v>
      </c>
      <c r="B428" t="s">
        <v>69</v>
      </c>
      <c r="C428" t="s">
        <v>25</v>
      </c>
      <c r="D428" t="s">
        <v>155</v>
      </c>
      <c r="E428" t="s">
        <v>65</v>
      </c>
      <c r="F428" s="32">
        <v>322.12129700000003</v>
      </c>
      <c r="G428" s="23" t="e">
        <v>#N/A</v>
      </c>
      <c r="H428" s="29">
        <v>10.099207073180885</v>
      </c>
      <c r="I428" s="7" t="e">
        <f t="shared" si="18"/>
        <v>#N/A</v>
      </c>
      <c r="J428" s="7" t="e">
        <f t="shared" si="19"/>
        <v>#N/A</v>
      </c>
    </row>
    <row r="429" spans="1:10" x14ac:dyDescent="0.35">
      <c r="A429" t="s">
        <v>68</v>
      </c>
      <c r="B429" t="s">
        <v>69</v>
      </c>
      <c r="C429" t="s">
        <v>26</v>
      </c>
      <c r="D429" t="s">
        <v>153</v>
      </c>
      <c r="E429" t="s">
        <v>65</v>
      </c>
      <c r="F429" s="32">
        <v>28.789515399999999</v>
      </c>
      <c r="G429" s="23" t="e">
        <v>#N/A</v>
      </c>
      <c r="H429" s="29">
        <v>8.4247501090282579</v>
      </c>
      <c r="I429" s="7" t="e">
        <f t="shared" si="18"/>
        <v>#N/A</v>
      </c>
      <c r="J429" s="7" t="e">
        <f t="shared" si="19"/>
        <v>#N/A</v>
      </c>
    </row>
    <row r="430" spans="1:10" x14ac:dyDescent="0.35">
      <c r="A430" t="s">
        <v>68</v>
      </c>
      <c r="B430" t="s">
        <v>69</v>
      </c>
      <c r="C430" t="s">
        <v>27</v>
      </c>
      <c r="D430" t="s">
        <v>154</v>
      </c>
      <c r="E430" t="s">
        <v>65</v>
      </c>
      <c r="F430" s="32">
        <v>29.8003447</v>
      </c>
      <c r="G430" s="23">
        <v>2.6385179904675953</v>
      </c>
      <c r="H430" s="29">
        <v>14.527328249215945</v>
      </c>
      <c r="I430" s="7">
        <f t="shared" si="18"/>
        <v>2.6385179904675953</v>
      </c>
      <c r="J430" s="7">
        <f t="shared" si="19"/>
        <v>4.7652483122044345</v>
      </c>
    </row>
    <row r="431" spans="1:10" x14ac:dyDescent="0.35">
      <c r="A431" t="s">
        <v>68</v>
      </c>
      <c r="B431" t="s">
        <v>69</v>
      </c>
      <c r="C431" t="s">
        <v>28</v>
      </c>
      <c r="D431" t="s">
        <v>155</v>
      </c>
      <c r="E431" t="s">
        <v>65</v>
      </c>
      <c r="F431" s="32">
        <v>19.8518626</v>
      </c>
      <c r="G431" s="23" t="e">
        <v>#N/A</v>
      </c>
      <c r="H431" s="29">
        <v>33.575265595847874</v>
      </c>
      <c r="I431" s="7" t="e">
        <f t="shared" si="18"/>
        <v>#N/A</v>
      </c>
      <c r="J431" s="7" t="e">
        <f t="shared" si="19"/>
        <v>#N/A</v>
      </c>
    </row>
    <row r="432" spans="1:10" x14ac:dyDescent="0.35">
      <c r="A432" t="s">
        <v>68</v>
      </c>
      <c r="B432" t="s">
        <v>69</v>
      </c>
      <c r="C432" t="s">
        <v>29</v>
      </c>
      <c r="D432" t="s">
        <v>155</v>
      </c>
      <c r="E432" t="s">
        <v>65</v>
      </c>
      <c r="F432" s="32">
        <v>4.6745024000000006</v>
      </c>
      <c r="G432" s="23">
        <v>0.4407394131360412</v>
      </c>
      <c r="H432" s="29">
        <v>22.623634416132454</v>
      </c>
      <c r="I432" s="7">
        <f t="shared" si="18"/>
        <v>0.4407394131360412</v>
      </c>
      <c r="J432" s="7">
        <f t="shared" si="19"/>
        <v>0.79598954873765804</v>
      </c>
    </row>
    <row r="433" spans="1:10" x14ac:dyDescent="0.35">
      <c r="A433" t="s">
        <v>68</v>
      </c>
      <c r="B433" t="s">
        <v>69</v>
      </c>
      <c r="C433" t="s">
        <v>30</v>
      </c>
      <c r="D433" t="s">
        <v>155</v>
      </c>
      <c r="E433" t="s">
        <v>65</v>
      </c>
      <c r="F433" s="32">
        <v>112.97919229999999</v>
      </c>
      <c r="G433" s="23">
        <v>7.4961562668748849</v>
      </c>
      <c r="H433" s="29">
        <v>33.163170350626736</v>
      </c>
      <c r="I433" s="7">
        <f t="shared" si="18"/>
        <v>7.4961562668748849</v>
      </c>
      <c r="J433" s="7">
        <f t="shared" si="19"/>
        <v>13.538299199701797</v>
      </c>
    </row>
    <row r="434" spans="1:10" x14ac:dyDescent="0.35">
      <c r="A434" t="s">
        <v>68</v>
      </c>
      <c r="B434" t="s">
        <v>69</v>
      </c>
      <c r="C434" t="s">
        <v>31</v>
      </c>
      <c r="D434" t="s">
        <v>155</v>
      </c>
      <c r="E434" t="s">
        <v>65</v>
      </c>
      <c r="F434" s="32" t="e">
        <v>#N/A</v>
      </c>
      <c r="G434" s="23" t="e">
        <v>#N/A</v>
      </c>
      <c r="H434" s="29">
        <v>17.892512555385352</v>
      </c>
      <c r="I434" s="7" t="e">
        <f t="shared" si="18"/>
        <v>#N/A</v>
      </c>
      <c r="J434" s="7" t="e">
        <f t="shared" si="19"/>
        <v>#N/A</v>
      </c>
    </row>
    <row r="435" spans="1:10" x14ac:dyDescent="0.35">
      <c r="A435" t="s">
        <v>68</v>
      </c>
      <c r="B435" t="s">
        <v>69</v>
      </c>
      <c r="C435" t="s">
        <v>32</v>
      </c>
      <c r="D435" t="s">
        <v>153</v>
      </c>
      <c r="E435" t="s">
        <v>65</v>
      </c>
      <c r="F435" s="32">
        <v>0</v>
      </c>
      <c r="G435" s="23" t="e">
        <v>#N/A</v>
      </c>
      <c r="H435" s="29">
        <v>38.847390653661904</v>
      </c>
      <c r="I435" s="7" t="e">
        <f t="shared" si="18"/>
        <v>#N/A</v>
      </c>
      <c r="J435" s="7" t="e">
        <f t="shared" si="19"/>
        <v>#N/A</v>
      </c>
    </row>
    <row r="436" spans="1:10" x14ac:dyDescent="0.35">
      <c r="A436" t="s">
        <v>68</v>
      </c>
      <c r="B436" t="s">
        <v>69</v>
      </c>
      <c r="C436" t="s">
        <v>33</v>
      </c>
      <c r="D436" t="s">
        <v>155</v>
      </c>
      <c r="E436" t="s">
        <v>65</v>
      </c>
      <c r="F436" s="32">
        <v>294.62663040000001</v>
      </c>
      <c r="G436" s="23">
        <v>7.9310165778235326</v>
      </c>
      <c r="H436" s="29">
        <v>12.30665317394166</v>
      </c>
      <c r="I436" s="7">
        <f t="shared" si="18"/>
        <v>7.9310165778235326</v>
      </c>
      <c r="J436" s="7">
        <f t="shared" si="19"/>
        <v>14.323670900891337</v>
      </c>
    </row>
    <row r="437" spans="1:10" x14ac:dyDescent="0.35">
      <c r="A437" t="s">
        <v>68</v>
      </c>
      <c r="B437" t="s">
        <v>69</v>
      </c>
      <c r="C437" t="s">
        <v>34</v>
      </c>
      <c r="D437" t="s">
        <v>153</v>
      </c>
      <c r="E437" t="s">
        <v>65</v>
      </c>
      <c r="F437" s="32">
        <v>1.5882030999999999</v>
      </c>
      <c r="G437" s="23" t="e">
        <v>#N/A</v>
      </c>
      <c r="H437" s="29">
        <v>14.468885742364943</v>
      </c>
      <c r="I437" s="7" t="e">
        <f t="shared" si="18"/>
        <v>#N/A</v>
      </c>
      <c r="J437" s="7" t="e">
        <f t="shared" si="19"/>
        <v>#N/A</v>
      </c>
    </row>
    <row r="438" spans="1:10" x14ac:dyDescent="0.35">
      <c r="A438" t="s">
        <v>68</v>
      </c>
      <c r="B438" t="s">
        <v>69</v>
      </c>
      <c r="C438" t="s">
        <v>35</v>
      </c>
      <c r="D438" t="s">
        <v>154</v>
      </c>
      <c r="E438" t="s">
        <v>65</v>
      </c>
      <c r="F438" s="32">
        <v>94.496069500000004</v>
      </c>
      <c r="G438" s="23">
        <v>10.70727195223167</v>
      </c>
      <c r="H438" s="29">
        <v>35.500140722904341</v>
      </c>
      <c r="I438" s="7">
        <f t="shared" si="18"/>
        <v>10.70727195223167</v>
      </c>
      <c r="J438" s="7">
        <f t="shared" si="19"/>
        <v>19.337677356387342</v>
      </c>
    </row>
    <row r="439" spans="1:10" x14ac:dyDescent="0.35">
      <c r="A439" t="s">
        <v>68</v>
      </c>
      <c r="B439" t="s">
        <v>69</v>
      </c>
      <c r="C439" t="s">
        <v>36</v>
      </c>
      <c r="D439" t="s">
        <v>155</v>
      </c>
      <c r="E439" t="s">
        <v>65</v>
      </c>
      <c r="F439" s="32">
        <v>1.9322348</v>
      </c>
      <c r="G439" s="23" t="e">
        <v>#N/A</v>
      </c>
      <c r="H439" s="29">
        <v>25.213125574168032</v>
      </c>
      <c r="I439" s="7" t="e">
        <f t="shared" si="18"/>
        <v>#N/A</v>
      </c>
      <c r="J439" s="7" t="e">
        <f t="shared" si="19"/>
        <v>#N/A</v>
      </c>
    </row>
    <row r="440" spans="1:10" x14ac:dyDescent="0.35">
      <c r="A440" t="s">
        <v>68</v>
      </c>
      <c r="B440" t="s">
        <v>69</v>
      </c>
      <c r="C440" t="s">
        <v>37</v>
      </c>
      <c r="D440" t="s">
        <v>155</v>
      </c>
      <c r="E440" t="s">
        <v>65</v>
      </c>
      <c r="F440" s="32">
        <v>0.79633739999999997</v>
      </c>
      <c r="G440" s="23">
        <v>1.3659670748091624</v>
      </c>
      <c r="H440" s="29">
        <v>11.011791872292209</v>
      </c>
      <c r="I440" s="7">
        <f t="shared" si="18"/>
        <v>1.3659670748091624</v>
      </c>
      <c r="J440" s="7">
        <f t="shared" si="19"/>
        <v>2.466980449357346</v>
      </c>
    </row>
    <row r="441" spans="1:10" x14ac:dyDescent="0.35">
      <c r="A441" t="s">
        <v>68</v>
      </c>
      <c r="B441" t="s">
        <v>69</v>
      </c>
      <c r="C441" t="s">
        <v>38</v>
      </c>
      <c r="D441" t="s">
        <v>155</v>
      </c>
      <c r="E441" t="s">
        <v>65</v>
      </c>
      <c r="F441" s="32">
        <v>17.029594799999998</v>
      </c>
      <c r="G441" s="23">
        <v>0.48839356820017116</v>
      </c>
      <c r="H441" s="29">
        <v>10.483941293475951</v>
      </c>
      <c r="I441" s="7">
        <f t="shared" si="18"/>
        <v>0.48839356820017116</v>
      </c>
      <c r="J441" s="7">
        <f t="shared" si="19"/>
        <v>0.88205448473933756</v>
      </c>
    </row>
    <row r="442" spans="1:10" x14ac:dyDescent="0.35">
      <c r="A442" t="s">
        <v>68</v>
      </c>
      <c r="B442" t="s">
        <v>69</v>
      </c>
      <c r="C442" t="s">
        <v>39</v>
      </c>
      <c r="D442" t="s">
        <v>153</v>
      </c>
      <c r="E442" t="s">
        <v>65</v>
      </c>
      <c r="F442" s="32">
        <v>108.88772870000001</v>
      </c>
      <c r="G442" s="23" t="e">
        <v>#N/A</v>
      </c>
      <c r="H442" s="29">
        <v>27.666809760848036</v>
      </c>
      <c r="I442" s="7" t="e">
        <f t="shared" si="18"/>
        <v>#N/A</v>
      </c>
      <c r="J442" s="7" t="e">
        <f t="shared" si="19"/>
        <v>#N/A</v>
      </c>
    </row>
    <row r="443" spans="1:10" s="19" customFormat="1" x14ac:dyDescent="0.35">
      <c r="A443" s="19" t="s">
        <v>68</v>
      </c>
      <c r="B443" s="19" t="s">
        <v>69</v>
      </c>
      <c r="C443" s="19" t="s">
        <v>40</v>
      </c>
      <c r="D443" s="19" t="s">
        <v>154</v>
      </c>
      <c r="E443" s="19" t="s">
        <v>65</v>
      </c>
      <c r="F443" s="33">
        <v>0</v>
      </c>
      <c r="G443" s="24" t="e">
        <v>#N/A</v>
      </c>
      <c r="H443" s="30">
        <v>27.204217957420379</v>
      </c>
      <c r="I443" s="21" t="e">
        <f t="shared" si="18"/>
        <v>#N/A</v>
      </c>
      <c r="J443" s="21" t="e">
        <f t="shared" si="19"/>
        <v>#N/A</v>
      </c>
    </row>
    <row r="444" spans="1:10" x14ac:dyDescent="0.35">
      <c r="A444" t="s">
        <v>70</v>
      </c>
      <c r="B444" t="s">
        <v>71</v>
      </c>
      <c r="C444" t="s">
        <v>6</v>
      </c>
      <c r="D444" t="s">
        <v>153</v>
      </c>
      <c r="E444" t="s">
        <v>65</v>
      </c>
      <c r="F444" s="32">
        <v>7.0170779000000003</v>
      </c>
      <c r="G444" s="23" t="e">
        <v>#N/A</v>
      </c>
      <c r="H444" s="29">
        <v>0.74895548261295275</v>
      </c>
      <c r="I444" s="7" t="e">
        <f t="shared" si="18"/>
        <v>#N/A</v>
      </c>
      <c r="J444" s="7" t="e">
        <f>I444/0.5887</f>
        <v>#N/A</v>
      </c>
    </row>
    <row r="445" spans="1:10" x14ac:dyDescent="0.35">
      <c r="A445" t="s">
        <v>70</v>
      </c>
      <c r="B445" t="s">
        <v>71</v>
      </c>
      <c r="C445" t="s">
        <v>7</v>
      </c>
      <c r="D445" t="s">
        <v>153</v>
      </c>
      <c r="E445" t="s">
        <v>65</v>
      </c>
      <c r="F445" s="32">
        <v>0</v>
      </c>
      <c r="G445" s="23" t="e">
        <v>#N/A</v>
      </c>
      <c r="H445" s="29">
        <v>-0.10743215320224417</v>
      </c>
      <c r="I445" s="7" t="e">
        <f t="shared" si="18"/>
        <v>#N/A</v>
      </c>
      <c r="J445" s="7" t="e">
        <f t="shared" ref="J445:J477" si="20">I445/0.5887</f>
        <v>#N/A</v>
      </c>
    </row>
    <row r="446" spans="1:10" x14ac:dyDescent="0.35">
      <c r="A446" t="s">
        <v>70</v>
      </c>
      <c r="B446" t="s">
        <v>71</v>
      </c>
      <c r="C446" t="s">
        <v>8</v>
      </c>
      <c r="D446" t="s">
        <v>153</v>
      </c>
      <c r="E446" t="s">
        <v>65</v>
      </c>
      <c r="F446" s="32" t="e">
        <v>#N/A</v>
      </c>
      <c r="G446" s="23" t="e">
        <v>#N/A</v>
      </c>
      <c r="H446" s="29">
        <v>-4.2089757402524464E-2</v>
      </c>
      <c r="I446" s="7" t="e">
        <f t="shared" si="18"/>
        <v>#N/A</v>
      </c>
      <c r="J446" s="7" t="e">
        <f t="shared" si="20"/>
        <v>#N/A</v>
      </c>
    </row>
    <row r="447" spans="1:10" x14ac:dyDescent="0.35">
      <c r="A447" t="s">
        <v>70</v>
      </c>
      <c r="B447" t="s">
        <v>71</v>
      </c>
      <c r="C447" t="s">
        <v>9</v>
      </c>
      <c r="D447" t="s">
        <v>153</v>
      </c>
      <c r="E447" t="s">
        <v>65</v>
      </c>
      <c r="F447" s="32">
        <v>14.0620326</v>
      </c>
      <c r="G447" s="23" t="e">
        <v>#N/A</v>
      </c>
      <c r="H447" s="29">
        <v>-0.39618521296558928</v>
      </c>
      <c r="I447" s="7" t="e">
        <f t="shared" si="18"/>
        <v>#N/A</v>
      </c>
      <c r="J447" s="7" t="e">
        <f t="shared" si="20"/>
        <v>#N/A</v>
      </c>
    </row>
    <row r="448" spans="1:10" x14ac:dyDescent="0.35">
      <c r="A448" t="s">
        <v>70</v>
      </c>
      <c r="B448" t="s">
        <v>71</v>
      </c>
      <c r="C448" t="s">
        <v>10</v>
      </c>
      <c r="D448" t="s">
        <v>153</v>
      </c>
      <c r="E448" t="s">
        <v>65</v>
      </c>
      <c r="F448" s="32">
        <v>104.6600483</v>
      </c>
      <c r="G448" s="23" t="e">
        <v>#N/A</v>
      </c>
      <c r="H448" s="29">
        <v>-9.560389467444827E-2</v>
      </c>
      <c r="I448" s="7" t="e">
        <f t="shared" si="18"/>
        <v>#N/A</v>
      </c>
      <c r="J448" s="7" t="e">
        <f t="shared" si="20"/>
        <v>#N/A</v>
      </c>
    </row>
    <row r="449" spans="1:10" x14ac:dyDescent="0.35">
      <c r="A449" t="s">
        <v>70</v>
      </c>
      <c r="B449" t="s">
        <v>71</v>
      </c>
      <c r="C449" t="s">
        <v>11</v>
      </c>
      <c r="D449" t="s">
        <v>153</v>
      </c>
      <c r="E449" t="s">
        <v>65</v>
      </c>
      <c r="F449" s="32">
        <v>228.45541059999999</v>
      </c>
      <c r="G449" s="23">
        <v>0.51310925656713591</v>
      </c>
      <c r="H449" s="29">
        <v>1.560084280539513</v>
      </c>
      <c r="I449" s="7">
        <f t="shared" si="18"/>
        <v>0.51310925656713591</v>
      </c>
      <c r="J449" s="7">
        <f t="shared" si="20"/>
        <v>0.87159717439635787</v>
      </c>
    </row>
    <row r="450" spans="1:10" x14ac:dyDescent="0.35">
      <c r="A450" t="s">
        <v>70</v>
      </c>
      <c r="B450" t="s">
        <v>71</v>
      </c>
      <c r="C450" t="s">
        <v>12</v>
      </c>
      <c r="D450" t="s">
        <v>154</v>
      </c>
      <c r="E450" t="s">
        <v>65</v>
      </c>
      <c r="F450" s="32">
        <v>0</v>
      </c>
      <c r="G450" s="23" t="e">
        <v>#N/A</v>
      </c>
      <c r="H450" s="29">
        <v>-6.7060080056382435E-2</v>
      </c>
      <c r="I450" s="7" t="e">
        <f t="shared" ref="I450:I513" si="21">IF(G450&lt;0,0,G450)</f>
        <v>#N/A</v>
      </c>
      <c r="J450" s="7" t="e">
        <f t="shared" si="20"/>
        <v>#N/A</v>
      </c>
    </row>
    <row r="451" spans="1:10" x14ac:dyDescent="0.35">
      <c r="A451" t="s">
        <v>70</v>
      </c>
      <c r="B451" t="s">
        <v>71</v>
      </c>
      <c r="C451" t="s">
        <v>13</v>
      </c>
      <c r="D451" t="s">
        <v>153</v>
      </c>
      <c r="E451" t="s">
        <v>65</v>
      </c>
      <c r="F451" s="32">
        <v>18.218656800000002</v>
      </c>
      <c r="G451" s="23" t="e">
        <v>#N/A</v>
      </c>
      <c r="H451" s="29">
        <v>8.8146426924969754E-2</v>
      </c>
      <c r="I451" s="7" t="e">
        <f t="shared" si="21"/>
        <v>#N/A</v>
      </c>
      <c r="J451" s="7" t="e">
        <f t="shared" si="20"/>
        <v>#N/A</v>
      </c>
    </row>
    <row r="452" spans="1:10" x14ac:dyDescent="0.35">
      <c r="A452" t="s">
        <v>70</v>
      </c>
      <c r="B452" t="s">
        <v>71</v>
      </c>
      <c r="C452" t="s">
        <v>14</v>
      </c>
      <c r="D452" t="s">
        <v>154</v>
      </c>
      <c r="E452" t="s">
        <v>65</v>
      </c>
      <c r="F452" s="32">
        <v>3.6164394999999998</v>
      </c>
      <c r="G452" s="23" t="e">
        <v>#N/A</v>
      </c>
      <c r="H452" s="29">
        <v>-4.8070821518911878E-2</v>
      </c>
      <c r="I452" s="7" t="e">
        <f t="shared" si="21"/>
        <v>#N/A</v>
      </c>
      <c r="J452" s="7" t="e">
        <f t="shared" si="20"/>
        <v>#N/A</v>
      </c>
    </row>
    <row r="453" spans="1:10" x14ac:dyDescent="0.35">
      <c r="A453" t="s">
        <v>70</v>
      </c>
      <c r="B453" t="s">
        <v>71</v>
      </c>
      <c r="C453" t="s">
        <v>15</v>
      </c>
      <c r="D453" t="s">
        <v>153</v>
      </c>
      <c r="E453" t="s">
        <v>65</v>
      </c>
      <c r="F453" s="32">
        <v>7135.8008605000005</v>
      </c>
      <c r="G453" s="23">
        <v>43.426169569387554</v>
      </c>
      <c r="H453" s="29">
        <v>133.16912133818408</v>
      </c>
      <c r="I453" s="7">
        <f t="shared" si="21"/>
        <v>43.426169569387554</v>
      </c>
      <c r="J453" s="7">
        <f t="shared" si="20"/>
        <v>73.766212959720662</v>
      </c>
    </row>
    <row r="454" spans="1:10" x14ac:dyDescent="0.35">
      <c r="A454" t="s">
        <v>70</v>
      </c>
      <c r="B454" t="s">
        <v>71</v>
      </c>
      <c r="C454" t="s">
        <v>16</v>
      </c>
      <c r="D454" t="s">
        <v>154</v>
      </c>
      <c r="E454" t="s">
        <v>65</v>
      </c>
      <c r="F454" s="32">
        <v>672.0782676</v>
      </c>
      <c r="G454" s="23">
        <v>25.320667174313272</v>
      </c>
      <c r="H454" s="29">
        <v>69.81679359614435</v>
      </c>
      <c r="I454" s="7">
        <f t="shared" si="21"/>
        <v>25.320667174313272</v>
      </c>
      <c r="J454" s="7">
        <f t="shared" si="20"/>
        <v>43.011155383579535</v>
      </c>
    </row>
    <row r="455" spans="1:10" x14ac:dyDescent="0.35">
      <c r="A455" t="s">
        <v>70</v>
      </c>
      <c r="B455" t="s">
        <v>71</v>
      </c>
      <c r="C455" t="s">
        <v>18</v>
      </c>
      <c r="D455" t="s">
        <v>154</v>
      </c>
      <c r="E455" t="s">
        <v>65</v>
      </c>
      <c r="F455" s="32">
        <v>35.866234600000006</v>
      </c>
      <c r="G455" s="23" t="e">
        <v>#N/A</v>
      </c>
      <c r="H455" s="29">
        <v>-4.4088431787394293E-2</v>
      </c>
      <c r="I455" s="7" t="e">
        <f t="shared" si="21"/>
        <v>#N/A</v>
      </c>
      <c r="J455" s="7" t="e">
        <f t="shared" si="20"/>
        <v>#N/A</v>
      </c>
    </row>
    <row r="456" spans="1:10" x14ac:dyDescent="0.35">
      <c r="A456" t="s">
        <v>70</v>
      </c>
      <c r="B456" t="s">
        <v>71</v>
      </c>
      <c r="C456" t="s">
        <v>19</v>
      </c>
      <c r="D456" t="s">
        <v>153</v>
      </c>
      <c r="E456" t="s">
        <v>65</v>
      </c>
      <c r="F456" s="32">
        <v>645.73956529999998</v>
      </c>
      <c r="G456" s="23">
        <v>30.03729690216851</v>
      </c>
      <c r="H456" s="29">
        <v>37.120768547369664</v>
      </c>
      <c r="I456" s="7">
        <f t="shared" si="21"/>
        <v>30.03729690216851</v>
      </c>
      <c r="J456" s="7">
        <f t="shared" si="20"/>
        <v>51.023096487461373</v>
      </c>
    </row>
    <row r="457" spans="1:10" x14ac:dyDescent="0.35">
      <c r="A457" t="s">
        <v>70</v>
      </c>
      <c r="B457" t="s">
        <v>71</v>
      </c>
      <c r="C457" t="s">
        <v>20</v>
      </c>
      <c r="D457" t="s">
        <v>154</v>
      </c>
      <c r="E457" t="s">
        <v>65</v>
      </c>
      <c r="F457" s="32">
        <v>2472.5267080999997</v>
      </c>
      <c r="G457" s="23">
        <v>43.92671138105613</v>
      </c>
      <c r="H457" s="29">
        <v>24.363738128981577</v>
      </c>
      <c r="I457" s="7">
        <f t="shared" si="21"/>
        <v>43.92671138105613</v>
      </c>
      <c r="J457" s="7">
        <f t="shared" si="20"/>
        <v>74.616462342544807</v>
      </c>
    </row>
    <row r="458" spans="1:10" x14ac:dyDescent="0.35">
      <c r="A458" t="s">
        <v>70</v>
      </c>
      <c r="B458" t="s">
        <v>71</v>
      </c>
      <c r="C458" t="s">
        <v>21</v>
      </c>
      <c r="D458" t="s">
        <v>155</v>
      </c>
      <c r="E458" t="s">
        <v>65</v>
      </c>
      <c r="F458" s="32">
        <v>3.7790925000000004</v>
      </c>
      <c r="G458" s="23" t="e">
        <v>#N/A</v>
      </c>
      <c r="H458" s="29">
        <v>8.8662640945752103E-2</v>
      </c>
      <c r="I458" s="7" t="e">
        <f t="shared" si="21"/>
        <v>#N/A</v>
      </c>
      <c r="J458" s="7" t="e">
        <f t="shared" si="20"/>
        <v>#N/A</v>
      </c>
    </row>
    <row r="459" spans="1:10" x14ac:dyDescent="0.35">
      <c r="A459" t="s">
        <v>70</v>
      </c>
      <c r="B459" t="s">
        <v>71</v>
      </c>
      <c r="C459" t="s">
        <v>22</v>
      </c>
      <c r="D459" t="s">
        <v>155</v>
      </c>
      <c r="E459" t="s">
        <v>65</v>
      </c>
      <c r="F459" s="32">
        <v>2318.1243254000001</v>
      </c>
      <c r="G459" s="23">
        <v>11.273787970204497</v>
      </c>
      <c r="H459" s="29">
        <v>28.272495161167814</v>
      </c>
      <c r="I459" s="7">
        <f t="shared" si="21"/>
        <v>11.273787970204497</v>
      </c>
      <c r="J459" s="7">
        <f t="shared" si="20"/>
        <v>19.150310803812634</v>
      </c>
    </row>
    <row r="460" spans="1:10" x14ac:dyDescent="0.35">
      <c r="A460" t="s">
        <v>70</v>
      </c>
      <c r="B460" t="s">
        <v>71</v>
      </c>
      <c r="C460" t="s">
        <v>23</v>
      </c>
      <c r="D460" t="s">
        <v>155</v>
      </c>
      <c r="E460" t="s">
        <v>65</v>
      </c>
      <c r="F460" s="32">
        <v>0</v>
      </c>
      <c r="G460" s="23">
        <v>0.26358579676322691</v>
      </c>
      <c r="H460" s="29">
        <v>5.4500996453539272E-2</v>
      </c>
      <c r="I460" s="7">
        <f t="shared" si="21"/>
        <v>0.26358579676322691</v>
      </c>
      <c r="J460" s="7">
        <f t="shared" si="20"/>
        <v>0.44774213820830117</v>
      </c>
    </row>
    <row r="461" spans="1:10" x14ac:dyDescent="0.35">
      <c r="A461" t="s">
        <v>70</v>
      </c>
      <c r="B461" t="s">
        <v>71</v>
      </c>
      <c r="C461" t="s">
        <v>24</v>
      </c>
      <c r="D461" t="s">
        <v>155</v>
      </c>
      <c r="E461" t="s">
        <v>65</v>
      </c>
      <c r="F461" s="32">
        <v>4662.2390374999995</v>
      </c>
      <c r="G461" s="23">
        <v>2.1815463366798977</v>
      </c>
      <c r="H461" s="29">
        <v>3.799118748497825</v>
      </c>
      <c r="I461" s="7">
        <f t="shared" si="21"/>
        <v>2.1815463366798977</v>
      </c>
      <c r="J461" s="7">
        <f t="shared" si="20"/>
        <v>3.7057012683538266</v>
      </c>
    </row>
    <row r="462" spans="1:10" x14ac:dyDescent="0.35">
      <c r="A462" t="s">
        <v>70</v>
      </c>
      <c r="B462" t="s">
        <v>71</v>
      </c>
      <c r="C462" t="s">
        <v>25</v>
      </c>
      <c r="D462" t="s">
        <v>155</v>
      </c>
      <c r="E462" t="s">
        <v>65</v>
      </c>
      <c r="F462" s="32">
        <v>435.78198220000002</v>
      </c>
      <c r="G462" s="23" t="e">
        <v>#N/A</v>
      </c>
      <c r="H462" s="29">
        <v>0.15448911775963095</v>
      </c>
      <c r="I462" s="7" t="e">
        <f t="shared" si="21"/>
        <v>#N/A</v>
      </c>
      <c r="J462" s="7" t="e">
        <f t="shared" si="20"/>
        <v>#N/A</v>
      </c>
    </row>
    <row r="463" spans="1:10" x14ac:dyDescent="0.35">
      <c r="A463" t="s">
        <v>70</v>
      </c>
      <c r="B463" t="s">
        <v>71</v>
      </c>
      <c r="C463" t="s">
        <v>26</v>
      </c>
      <c r="D463" t="s">
        <v>153</v>
      </c>
      <c r="E463" t="s">
        <v>65</v>
      </c>
      <c r="F463" s="32">
        <v>27.809502299999998</v>
      </c>
      <c r="G463" s="23">
        <v>1.1174318243318684</v>
      </c>
      <c r="H463" s="29">
        <v>-3.8908082550963966E-2</v>
      </c>
      <c r="I463" s="7">
        <f t="shared" si="21"/>
        <v>1.1174318243318684</v>
      </c>
      <c r="J463" s="7">
        <f t="shared" si="20"/>
        <v>1.8981345750498868</v>
      </c>
    </row>
    <row r="464" spans="1:10" x14ac:dyDescent="0.35">
      <c r="A464" t="s">
        <v>70</v>
      </c>
      <c r="B464" t="s">
        <v>71</v>
      </c>
      <c r="C464" t="s">
        <v>27</v>
      </c>
      <c r="D464" t="s">
        <v>154</v>
      </c>
      <c r="E464" t="s">
        <v>65</v>
      </c>
      <c r="F464" s="32">
        <v>40.9244567</v>
      </c>
      <c r="G464" s="23">
        <v>5.4813258558497235</v>
      </c>
      <c r="H464" s="29">
        <v>2.9781943908847994</v>
      </c>
      <c r="I464" s="7">
        <f t="shared" si="21"/>
        <v>5.4813258558497235</v>
      </c>
      <c r="J464" s="7">
        <f t="shared" si="20"/>
        <v>9.3108983452517808</v>
      </c>
    </row>
    <row r="465" spans="1:10" x14ac:dyDescent="0.35">
      <c r="A465" t="s">
        <v>70</v>
      </c>
      <c r="B465" t="s">
        <v>71</v>
      </c>
      <c r="C465" t="s">
        <v>28</v>
      </c>
      <c r="D465" t="s">
        <v>155</v>
      </c>
      <c r="E465" t="s">
        <v>65</v>
      </c>
      <c r="F465" s="32">
        <v>11.014297500000001</v>
      </c>
      <c r="G465" s="23">
        <v>2.829429503409997</v>
      </c>
      <c r="H465" s="29">
        <v>7.2048439812909582</v>
      </c>
      <c r="I465" s="7">
        <f t="shared" si="21"/>
        <v>2.829429503409997</v>
      </c>
      <c r="J465" s="7">
        <f t="shared" si="20"/>
        <v>4.8062332315440752</v>
      </c>
    </row>
    <row r="466" spans="1:10" x14ac:dyDescent="0.35">
      <c r="A466" t="s">
        <v>70</v>
      </c>
      <c r="B466" t="s">
        <v>71</v>
      </c>
      <c r="C466" t="s">
        <v>29</v>
      </c>
      <c r="D466" t="s">
        <v>155</v>
      </c>
      <c r="E466" t="s">
        <v>65</v>
      </c>
      <c r="F466" s="32">
        <v>0.42648540000000001</v>
      </c>
      <c r="G466" s="23" t="e">
        <v>#N/A</v>
      </c>
      <c r="H466" s="29">
        <v>9.2637897566039601E-2</v>
      </c>
      <c r="I466" s="7" t="e">
        <f t="shared" si="21"/>
        <v>#N/A</v>
      </c>
      <c r="J466" s="7" t="e">
        <f t="shared" si="20"/>
        <v>#N/A</v>
      </c>
    </row>
    <row r="467" spans="1:10" x14ac:dyDescent="0.35">
      <c r="A467" t="s">
        <v>70</v>
      </c>
      <c r="B467" t="s">
        <v>71</v>
      </c>
      <c r="C467" t="s">
        <v>30</v>
      </c>
      <c r="D467" t="s">
        <v>155</v>
      </c>
      <c r="E467" t="s">
        <v>65</v>
      </c>
      <c r="F467" s="32">
        <v>70.756970100000004</v>
      </c>
      <c r="G467" s="23">
        <v>3.90856122736432</v>
      </c>
      <c r="H467" s="29">
        <v>24.222904439795336</v>
      </c>
      <c r="I467" s="7">
        <f t="shared" si="21"/>
        <v>3.90856122736432</v>
      </c>
      <c r="J467" s="7">
        <f t="shared" si="20"/>
        <v>6.6393090323837605</v>
      </c>
    </row>
    <row r="468" spans="1:10" x14ac:dyDescent="0.35">
      <c r="A468" t="s">
        <v>70</v>
      </c>
      <c r="B468" t="s">
        <v>71</v>
      </c>
      <c r="C468" t="s">
        <v>31</v>
      </c>
      <c r="D468" t="s">
        <v>155</v>
      </c>
      <c r="E468" t="s">
        <v>65</v>
      </c>
      <c r="F468" s="32">
        <v>3.9305621999999998</v>
      </c>
      <c r="G468" s="23" t="e">
        <v>#N/A</v>
      </c>
      <c r="H468" s="29">
        <v>6.9863668988114427E-2</v>
      </c>
      <c r="I468" s="7" t="e">
        <f t="shared" si="21"/>
        <v>#N/A</v>
      </c>
      <c r="J468" s="7" t="e">
        <f t="shared" si="20"/>
        <v>#N/A</v>
      </c>
    </row>
    <row r="469" spans="1:10" x14ac:dyDescent="0.35">
      <c r="A469" t="s">
        <v>70</v>
      </c>
      <c r="B469" t="s">
        <v>71</v>
      </c>
      <c r="C469" t="s">
        <v>32</v>
      </c>
      <c r="D469" t="s">
        <v>153</v>
      </c>
      <c r="E469" t="s">
        <v>65</v>
      </c>
      <c r="F469" s="32">
        <v>0</v>
      </c>
      <c r="G469" s="23" t="e">
        <v>#N/A</v>
      </c>
      <c r="H469" s="29">
        <v>2.1802832562219068E-2</v>
      </c>
      <c r="I469" s="7" t="e">
        <f t="shared" si="21"/>
        <v>#N/A</v>
      </c>
      <c r="J469" s="7" t="e">
        <f t="shared" si="20"/>
        <v>#N/A</v>
      </c>
    </row>
    <row r="470" spans="1:10" x14ac:dyDescent="0.35">
      <c r="A470" t="s">
        <v>70</v>
      </c>
      <c r="B470" t="s">
        <v>71</v>
      </c>
      <c r="C470" t="s">
        <v>33</v>
      </c>
      <c r="D470" t="s">
        <v>155</v>
      </c>
      <c r="E470" t="s">
        <v>65</v>
      </c>
      <c r="F470" s="32">
        <v>245.7771328</v>
      </c>
      <c r="G470" s="23">
        <v>4.9605788668772703</v>
      </c>
      <c r="H470" s="29">
        <v>10.072452858250475</v>
      </c>
      <c r="I470" s="7">
        <f t="shared" si="21"/>
        <v>4.9605788668772703</v>
      </c>
      <c r="J470" s="7">
        <f t="shared" si="20"/>
        <v>8.4263272751439953</v>
      </c>
    </row>
    <row r="471" spans="1:10" x14ac:dyDescent="0.35">
      <c r="A471" t="s">
        <v>70</v>
      </c>
      <c r="B471" t="s">
        <v>71</v>
      </c>
      <c r="C471" t="s">
        <v>34</v>
      </c>
      <c r="D471" t="s">
        <v>153</v>
      </c>
      <c r="E471" t="s">
        <v>65</v>
      </c>
      <c r="F471" s="32">
        <v>8.0548824000000003</v>
      </c>
      <c r="G471" s="23" t="e">
        <v>#N/A</v>
      </c>
      <c r="H471" s="29">
        <v>-0.16203981650577418</v>
      </c>
      <c r="I471" s="7" t="e">
        <f t="shared" si="21"/>
        <v>#N/A</v>
      </c>
      <c r="J471" s="7" t="e">
        <f t="shared" si="20"/>
        <v>#N/A</v>
      </c>
    </row>
    <row r="472" spans="1:10" x14ac:dyDescent="0.35">
      <c r="A472" t="s">
        <v>70</v>
      </c>
      <c r="B472" t="s">
        <v>71</v>
      </c>
      <c r="C472" t="s">
        <v>35</v>
      </c>
      <c r="D472" t="s">
        <v>154</v>
      </c>
      <c r="E472" t="s">
        <v>65</v>
      </c>
      <c r="F472" s="32">
        <v>156.79440289999999</v>
      </c>
      <c r="G472" s="23">
        <v>9.4357937525152309</v>
      </c>
      <c r="H472" s="29">
        <v>33.471768057909976</v>
      </c>
      <c r="I472" s="7">
        <f t="shared" si="21"/>
        <v>9.4357937525152309</v>
      </c>
      <c r="J472" s="7">
        <f t="shared" si="20"/>
        <v>16.028187111457839</v>
      </c>
    </row>
    <row r="473" spans="1:10" x14ac:dyDescent="0.35">
      <c r="A473" t="s">
        <v>70</v>
      </c>
      <c r="B473" t="s">
        <v>71</v>
      </c>
      <c r="C473" t="s">
        <v>36</v>
      </c>
      <c r="D473" t="s">
        <v>155</v>
      </c>
      <c r="E473" t="s">
        <v>65</v>
      </c>
      <c r="F473" s="32">
        <v>1.9360178000000001</v>
      </c>
      <c r="G473" s="23" t="e">
        <v>#N/A</v>
      </c>
      <c r="H473" s="29">
        <v>0.18759045869500443</v>
      </c>
      <c r="I473" s="7" t="e">
        <f t="shared" si="21"/>
        <v>#N/A</v>
      </c>
      <c r="J473" s="7" t="e">
        <f t="shared" si="20"/>
        <v>#N/A</v>
      </c>
    </row>
    <row r="474" spans="1:10" x14ac:dyDescent="0.35">
      <c r="A474" t="s">
        <v>70</v>
      </c>
      <c r="B474" t="s">
        <v>71</v>
      </c>
      <c r="C474" t="s">
        <v>37</v>
      </c>
      <c r="D474" t="s">
        <v>155</v>
      </c>
      <c r="E474" t="s">
        <v>65</v>
      </c>
      <c r="F474" s="32">
        <v>0.1548988</v>
      </c>
      <c r="G474" s="23">
        <v>0.92232595496003034</v>
      </c>
      <c r="H474" s="29">
        <v>1.5248517622975544</v>
      </c>
      <c r="I474" s="7">
        <f t="shared" si="21"/>
        <v>0.92232595496003034</v>
      </c>
      <c r="J474" s="7">
        <f t="shared" si="20"/>
        <v>1.5667164174622563</v>
      </c>
    </row>
    <row r="475" spans="1:10" x14ac:dyDescent="0.35">
      <c r="A475" t="s">
        <v>70</v>
      </c>
      <c r="B475" t="s">
        <v>71</v>
      </c>
      <c r="C475" t="s">
        <v>38</v>
      </c>
      <c r="D475" t="s">
        <v>155</v>
      </c>
      <c r="E475" t="s">
        <v>65</v>
      </c>
      <c r="F475" s="32">
        <v>12.651214099999999</v>
      </c>
      <c r="G475" s="23">
        <v>0.18249660016060432</v>
      </c>
      <c r="H475" s="29">
        <v>0.45499325869969859</v>
      </c>
      <c r="I475" s="7">
        <f t="shared" si="21"/>
        <v>0.18249660016060432</v>
      </c>
      <c r="J475" s="7">
        <f t="shared" si="20"/>
        <v>0.30999932080958775</v>
      </c>
    </row>
    <row r="476" spans="1:10" x14ac:dyDescent="0.35">
      <c r="A476" t="s">
        <v>70</v>
      </c>
      <c r="B476" t="s">
        <v>71</v>
      </c>
      <c r="C476" t="s">
        <v>39</v>
      </c>
      <c r="D476" t="s">
        <v>153</v>
      </c>
      <c r="E476" t="s">
        <v>65</v>
      </c>
      <c r="F476" s="32">
        <v>151.0980055</v>
      </c>
      <c r="G476" s="23" t="e">
        <v>#N/A</v>
      </c>
      <c r="H476" s="29">
        <v>-0.132709648931774</v>
      </c>
      <c r="I476" s="7" t="e">
        <f t="shared" si="21"/>
        <v>#N/A</v>
      </c>
      <c r="J476" s="7" t="e">
        <f t="shared" si="20"/>
        <v>#N/A</v>
      </c>
    </row>
    <row r="477" spans="1:10" s="19" customFormat="1" x14ac:dyDescent="0.35">
      <c r="A477" s="19" t="s">
        <v>70</v>
      </c>
      <c r="B477" s="19" t="s">
        <v>71</v>
      </c>
      <c r="C477" s="19" t="s">
        <v>40</v>
      </c>
      <c r="D477" s="19" t="s">
        <v>154</v>
      </c>
      <c r="E477" s="19" t="s">
        <v>65</v>
      </c>
      <c r="F477" s="33">
        <v>0</v>
      </c>
      <c r="G477" s="24" t="e">
        <v>#N/A</v>
      </c>
      <c r="H477" s="30">
        <v>-8.001838933743767E-2</v>
      </c>
      <c r="I477" s="21" t="e">
        <f t="shared" si="21"/>
        <v>#N/A</v>
      </c>
      <c r="J477" s="21" t="e">
        <f t="shared" si="20"/>
        <v>#N/A</v>
      </c>
    </row>
    <row r="478" spans="1:10" x14ac:dyDescent="0.35">
      <c r="A478" t="s">
        <v>72</v>
      </c>
      <c r="B478" t="s">
        <v>73</v>
      </c>
      <c r="C478" t="s">
        <v>6</v>
      </c>
      <c r="D478" t="s">
        <v>153</v>
      </c>
      <c r="E478" t="s">
        <v>65</v>
      </c>
      <c r="F478" s="32">
        <v>6.6740167000000001</v>
      </c>
      <c r="G478" s="23" t="e">
        <v>#N/A</v>
      </c>
      <c r="H478" s="29">
        <v>0.74786827054239058</v>
      </c>
      <c r="I478" s="7" t="e">
        <f t="shared" si="21"/>
        <v>#N/A</v>
      </c>
      <c r="J478" s="7" t="e">
        <f>I478/0.6675</f>
        <v>#N/A</v>
      </c>
    </row>
    <row r="479" spans="1:10" x14ac:dyDescent="0.35">
      <c r="A479" t="s">
        <v>72</v>
      </c>
      <c r="B479" t="s">
        <v>73</v>
      </c>
      <c r="C479" t="s">
        <v>7</v>
      </c>
      <c r="D479" t="s">
        <v>153</v>
      </c>
      <c r="E479" t="s">
        <v>65</v>
      </c>
      <c r="F479" s="32">
        <v>0</v>
      </c>
      <c r="G479" s="23" t="e">
        <v>#N/A</v>
      </c>
      <c r="H479" s="29">
        <v>-0.10423486493877006</v>
      </c>
      <c r="I479" s="7" t="e">
        <f t="shared" si="21"/>
        <v>#N/A</v>
      </c>
      <c r="J479" s="7" t="e">
        <f t="shared" ref="J479:J511" si="22">I479/0.6675</f>
        <v>#N/A</v>
      </c>
    </row>
    <row r="480" spans="1:10" x14ac:dyDescent="0.35">
      <c r="A480" t="s">
        <v>72</v>
      </c>
      <c r="B480" t="s">
        <v>73</v>
      </c>
      <c r="C480" t="s">
        <v>8</v>
      </c>
      <c r="D480" t="s">
        <v>153</v>
      </c>
      <c r="E480" t="s">
        <v>65</v>
      </c>
      <c r="F480" s="32" t="e">
        <v>#N/A</v>
      </c>
      <c r="G480" s="23" t="e">
        <v>#N/A</v>
      </c>
      <c r="H480" s="29">
        <v>-4.2017896042424438E-2</v>
      </c>
      <c r="I480" s="7" t="e">
        <f t="shared" si="21"/>
        <v>#N/A</v>
      </c>
      <c r="J480" s="7" t="e">
        <f t="shared" si="22"/>
        <v>#N/A</v>
      </c>
    </row>
    <row r="481" spans="1:10" x14ac:dyDescent="0.35">
      <c r="A481" t="s">
        <v>72</v>
      </c>
      <c r="B481" t="s">
        <v>73</v>
      </c>
      <c r="C481" t="s">
        <v>9</v>
      </c>
      <c r="D481" t="s">
        <v>153</v>
      </c>
      <c r="E481" t="s">
        <v>65</v>
      </c>
      <c r="F481" s="32">
        <v>3.9211511999999997</v>
      </c>
      <c r="G481" s="23" t="e">
        <v>#N/A</v>
      </c>
      <c r="H481" s="29">
        <v>-0.39611045641662779</v>
      </c>
      <c r="I481" s="7" t="e">
        <f t="shared" si="21"/>
        <v>#N/A</v>
      </c>
      <c r="J481" s="7" t="e">
        <f t="shared" si="22"/>
        <v>#N/A</v>
      </c>
    </row>
    <row r="482" spans="1:10" x14ac:dyDescent="0.35">
      <c r="A482" t="s">
        <v>72</v>
      </c>
      <c r="B482" t="s">
        <v>73</v>
      </c>
      <c r="C482" t="s">
        <v>10</v>
      </c>
      <c r="D482" t="s">
        <v>153</v>
      </c>
      <c r="E482" t="s">
        <v>65</v>
      </c>
      <c r="F482" s="32">
        <v>76.050122700000003</v>
      </c>
      <c r="G482" s="23" t="e">
        <v>#N/A</v>
      </c>
      <c r="H482" s="29">
        <v>-9.3753045888681844E-2</v>
      </c>
      <c r="I482" s="7" t="e">
        <f t="shared" si="21"/>
        <v>#N/A</v>
      </c>
      <c r="J482" s="7" t="e">
        <f t="shared" si="22"/>
        <v>#N/A</v>
      </c>
    </row>
    <row r="483" spans="1:10" x14ac:dyDescent="0.35">
      <c r="A483" t="s">
        <v>72</v>
      </c>
      <c r="B483" t="s">
        <v>73</v>
      </c>
      <c r="C483" t="s">
        <v>11</v>
      </c>
      <c r="D483" t="s">
        <v>153</v>
      </c>
      <c r="E483" t="s">
        <v>65</v>
      </c>
      <c r="F483" s="32">
        <v>79.314416100000003</v>
      </c>
      <c r="G483" s="23" t="e">
        <v>#N/A</v>
      </c>
      <c r="H483" s="29">
        <v>-0.26517379729723728</v>
      </c>
      <c r="I483" s="7" t="e">
        <f t="shared" si="21"/>
        <v>#N/A</v>
      </c>
      <c r="J483" s="7" t="e">
        <f t="shared" si="22"/>
        <v>#N/A</v>
      </c>
    </row>
    <row r="484" spans="1:10" x14ac:dyDescent="0.35">
      <c r="A484" t="s">
        <v>72</v>
      </c>
      <c r="B484" t="s">
        <v>73</v>
      </c>
      <c r="C484" t="s">
        <v>12</v>
      </c>
      <c r="D484" t="s">
        <v>154</v>
      </c>
      <c r="E484" t="s">
        <v>65</v>
      </c>
      <c r="F484" s="32">
        <v>0</v>
      </c>
      <c r="G484" s="23" t="e">
        <v>#N/A</v>
      </c>
      <c r="H484" s="29">
        <v>-6.5883955325847399E-2</v>
      </c>
      <c r="I484" s="7" t="e">
        <f t="shared" si="21"/>
        <v>#N/A</v>
      </c>
      <c r="J484" s="7" t="e">
        <f t="shared" si="22"/>
        <v>#N/A</v>
      </c>
    </row>
    <row r="485" spans="1:10" x14ac:dyDescent="0.35">
      <c r="A485" t="s">
        <v>72</v>
      </c>
      <c r="B485" t="s">
        <v>73</v>
      </c>
      <c r="C485" t="s">
        <v>13</v>
      </c>
      <c r="D485" t="s">
        <v>153</v>
      </c>
      <c r="E485" t="s">
        <v>65</v>
      </c>
      <c r="F485" s="32">
        <v>14.3998428</v>
      </c>
      <c r="G485" s="23" t="e">
        <v>#N/A</v>
      </c>
      <c r="H485" s="29">
        <v>-6.7194695652513611E-2</v>
      </c>
      <c r="I485" s="7" t="e">
        <f t="shared" si="21"/>
        <v>#N/A</v>
      </c>
      <c r="J485" s="7" t="e">
        <f t="shared" si="22"/>
        <v>#N/A</v>
      </c>
    </row>
    <row r="486" spans="1:10" x14ac:dyDescent="0.35">
      <c r="A486" t="s">
        <v>72</v>
      </c>
      <c r="B486" t="s">
        <v>73</v>
      </c>
      <c r="C486" t="s">
        <v>14</v>
      </c>
      <c r="D486" t="s">
        <v>154</v>
      </c>
      <c r="E486" t="s">
        <v>65</v>
      </c>
      <c r="F486" s="32">
        <v>0</v>
      </c>
      <c r="G486" s="23" t="e">
        <v>#N/A</v>
      </c>
      <c r="H486" s="29">
        <v>-5.3126712566258581E-2</v>
      </c>
      <c r="I486" s="7" t="e">
        <f t="shared" si="21"/>
        <v>#N/A</v>
      </c>
      <c r="J486" s="7" t="e">
        <f t="shared" si="22"/>
        <v>#N/A</v>
      </c>
    </row>
    <row r="487" spans="1:10" x14ac:dyDescent="0.35">
      <c r="A487" t="s">
        <v>72</v>
      </c>
      <c r="B487" t="s">
        <v>73</v>
      </c>
      <c r="C487" t="s">
        <v>15</v>
      </c>
      <c r="D487" t="s">
        <v>153</v>
      </c>
      <c r="E487" t="s">
        <v>65</v>
      </c>
      <c r="F487" s="32">
        <v>2314.9183994</v>
      </c>
      <c r="G487" s="23">
        <v>30.074108905531943</v>
      </c>
      <c r="H487" s="29">
        <v>92.773280273947464</v>
      </c>
      <c r="I487" s="7">
        <f t="shared" si="21"/>
        <v>30.074108905531943</v>
      </c>
      <c r="J487" s="7">
        <f t="shared" si="22"/>
        <v>45.054844802295051</v>
      </c>
    </row>
    <row r="488" spans="1:10" x14ac:dyDescent="0.35">
      <c r="A488" t="s">
        <v>72</v>
      </c>
      <c r="B488" t="s">
        <v>73</v>
      </c>
      <c r="C488" t="s">
        <v>16</v>
      </c>
      <c r="D488" t="s">
        <v>154</v>
      </c>
      <c r="E488" t="s">
        <v>65</v>
      </c>
      <c r="F488" s="32">
        <v>267.76593310000004</v>
      </c>
      <c r="G488" s="23">
        <v>10.276985673551444</v>
      </c>
      <c r="H488" s="29">
        <v>26.57946981381167</v>
      </c>
      <c r="I488" s="7">
        <f t="shared" si="21"/>
        <v>10.276985673551444</v>
      </c>
      <c r="J488" s="7">
        <f t="shared" si="22"/>
        <v>15.396233218803662</v>
      </c>
    </row>
    <row r="489" spans="1:10" x14ac:dyDescent="0.35">
      <c r="A489" t="s">
        <v>72</v>
      </c>
      <c r="B489" t="s">
        <v>73</v>
      </c>
      <c r="C489" t="s">
        <v>18</v>
      </c>
      <c r="D489" t="s">
        <v>154</v>
      </c>
      <c r="E489" t="s">
        <v>65</v>
      </c>
      <c r="F489" s="32">
        <v>0</v>
      </c>
      <c r="G489" s="23" t="e">
        <v>#N/A</v>
      </c>
      <c r="H489" s="29">
        <v>0.13402787620364393</v>
      </c>
      <c r="I489" s="7" t="e">
        <f t="shared" si="21"/>
        <v>#N/A</v>
      </c>
      <c r="J489" s="7" t="e">
        <f t="shared" si="22"/>
        <v>#N/A</v>
      </c>
    </row>
    <row r="490" spans="1:10" x14ac:dyDescent="0.35">
      <c r="A490" t="s">
        <v>72</v>
      </c>
      <c r="B490" t="s">
        <v>73</v>
      </c>
      <c r="C490" t="s">
        <v>19</v>
      </c>
      <c r="D490" t="s">
        <v>153</v>
      </c>
      <c r="E490" t="s">
        <v>65</v>
      </c>
      <c r="F490" s="32">
        <v>479.38030459999999</v>
      </c>
      <c r="G490" s="23">
        <v>30.544224883432452</v>
      </c>
      <c r="H490" s="29">
        <v>31.243279938257878</v>
      </c>
      <c r="I490" s="7">
        <f t="shared" si="21"/>
        <v>30.544224883432452</v>
      </c>
      <c r="J490" s="7">
        <f t="shared" si="22"/>
        <v>45.759138402146</v>
      </c>
    </row>
    <row r="491" spans="1:10" x14ac:dyDescent="0.35">
      <c r="A491" t="s">
        <v>72</v>
      </c>
      <c r="B491" t="s">
        <v>73</v>
      </c>
      <c r="C491" t="s">
        <v>20</v>
      </c>
      <c r="D491" t="s">
        <v>154</v>
      </c>
      <c r="E491" t="s">
        <v>65</v>
      </c>
      <c r="F491" s="32">
        <v>410.53133990000003</v>
      </c>
      <c r="G491" s="23">
        <v>9.0308704288493029</v>
      </c>
      <c r="H491" s="29">
        <v>113.17690718893755</v>
      </c>
      <c r="I491" s="7">
        <f t="shared" si="21"/>
        <v>9.0308704288493029</v>
      </c>
      <c r="J491" s="7">
        <f t="shared" si="22"/>
        <v>13.529393900897832</v>
      </c>
    </row>
    <row r="492" spans="1:10" x14ac:dyDescent="0.35">
      <c r="A492" t="s">
        <v>72</v>
      </c>
      <c r="B492" t="s">
        <v>73</v>
      </c>
      <c r="C492" t="s">
        <v>21</v>
      </c>
      <c r="D492" t="s">
        <v>155</v>
      </c>
      <c r="E492" t="s">
        <v>65</v>
      </c>
      <c r="F492" s="32">
        <v>1.4892816</v>
      </c>
      <c r="G492" s="23" t="e">
        <v>#N/A</v>
      </c>
      <c r="H492" s="29">
        <v>8.8802636118181774E-2</v>
      </c>
      <c r="I492" s="7" t="e">
        <f t="shared" si="21"/>
        <v>#N/A</v>
      </c>
      <c r="J492" s="7" t="e">
        <f t="shared" si="22"/>
        <v>#N/A</v>
      </c>
    </row>
    <row r="493" spans="1:10" x14ac:dyDescent="0.35">
      <c r="A493" t="s">
        <v>72</v>
      </c>
      <c r="B493" t="s">
        <v>73</v>
      </c>
      <c r="C493" t="s">
        <v>22</v>
      </c>
      <c r="D493" t="s">
        <v>155</v>
      </c>
      <c r="E493" t="s">
        <v>65</v>
      </c>
      <c r="F493" s="32">
        <v>196.64121510000001</v>
      </c>
      <c r="G493" s="23">
        <v>8.9004384194003823</v>
      </c>
      <c r="H493" s="29">
        <v>25.374912571732473</v>
      </c>
      <c r="I493" s="7">
        <f t="shared" si="21"/>
        <v>8.9004384194003823</v>
      </c>
      <c r="J493" s="7">
        <f t="shared" si="22"/>
        <v>13.333990141423794</v>
      </c>
    </row>
    <row r="494" spans="1:10" x14ac:dyDescent="0.35">
      <c r="A494" t="s">
        <v>72</v>
      </c>
      <c r="B494" t="s">
        <v>73</v>
      </c>
      <c r="C494" t="s">
        <v>23</v>
      </c>
      <c r="D494" t="s">
        <v>155</v>
      </c>
      <c r="E494" t="s">
        <v>65</v>
      </c>
      <c r="F494" s="32">
        <v>0.48720429999999998</v>
      </c>
      <c r="G494" s="23">
        <v>0.21617189540581777</v>
      </c>
      <c r="H494" s="29">
        <v>8.4223804492983431E-2</v>
      </c>
      <c r="I494" s="7">
        <f t="shared" si="21"/>
        <v>0.21617189540581777</v>
      </c>
      <c r="J494" s="7">
        <f t="shared" si="22"/>
        <v>0.32385302682519518</v>
      </c>
    </row>
    <row r="495" spans="1:10" x14ac:dyDescent="0.35">
      <c r="A495" t="s">
        <v>72</v>
      </c>
      <c r="B495" t="s">
        <v>73</v>
      </c>
      <c r="C495" t="s">
        <v>24</v>
      </c>
      <c r="D495" t="s">
        <v>155</v>
      </c>
      <c r="E495" t="s">
        <v>65</v>
      </c>
      <c r="F495" s="32">
        <v>171.92456200000001</v>
      </c>
      <c r="G495" s="23">
        <v>2.1475879320678715</v>
      </c>
      <c r="H495" s="29">
        <v>2.9612371081311966</v>
      </c>
      <c r="I495" s="7">
        <f t="shared" si="21"/>
        <v>2.1475879320678715</v>
      </c>
      <c r="J495" s="7">
        <f t="shared" si="22"/>
        <v>3.217360197854489</v>
      </c>
    </row>
    <row r="496" spans="1:10" x14ac:dyDescent="0.35">
      <c r="A496" t="s">
        <v>72</v>
      </c>
      <c r="B496" t="s">
        <v>73</v>
      </c>
      <c r="C496" t="s">
        <v>25</v>
      </c>
      <c r="D496" t="s">
        <v>155</v>
      </c>
      <c r="E496" t="s">
        <v>65</v>
      </c>
      <c r="F496" s="32">
        <v>7.9447387000000003</v>
      </c>
      <c r="G496" s="23" t="e">
        <v>#N/A</v>
      </c>
      <c r="H496" s="29">
        <v>0.78360536299392314</v>
      </c>
      <c r="I496" s="7" t="e">
        <f t="shared" si="21"/>
        <v>#N/A</v>
      </c>
      <c r="J496" s="7" t="e">
        <f t="shared" si="22"/>
        <v>#N/A</v>
      </c>
    </row>
    <row r="497" spans="1:10" x14ac:dyDescent="0.35">
      <c r="A497" t="s">
        <v>72</v>
      </c>
      <c r="B497" t="s">
        <v>73</v>
      </c>
      <c r="C497" t="s">
        <v>26</v>
      </c>
      <c r="D497" t="s">
        <v>153</v>
      </c>
      <c r="E497" t="s">
        <v>65</v>
      </c>
      <c r="F497" s="32">
        <v>1.3960406000000001</v>
      </c>
      <c r="G497" s="23">
        <v>1.1846308145484532</v>
      </c>
      <c r="H497" s="29">
        <v>3.3995663695418975E-2</v>
      </c>
      <c r="I497" s="7">
        <f t="shared" si="21"/>
        <v>1.1846308145484532</v>
      </c>
      <c r="J497" s="7">
        <f t="shared" si="22"/>
        <v>1.7747278120576078</v>
      </c>
    </row>
    <row r="498" spans="1:10" x14ac:dyDescent="0.35">
      <c r="A498" t="s">
        <v>72</v>
      </c>
      <c r="B498" t="s">
        <v>73</v>
      </c>
      <c r="C498" t="s">
        <v>27</v>
      </c>
      <c r="D498" t="s">
        <v>154</v>
      </c>
      <c r="E498" t="s">
        <v>65</v>
      </c>
      <c r="F498" s="32">
        <v>10.1013825</v>
      </c>
      <c r="G498" s="23">
        <v>4.1921500935893388</v>
      </c>
      <c r="H498" s="29">
        <v>5.915102040716862</v>
      </c>
      <c r="I498" s="7">
        <f t="shared" si="21"/>
        <v>4.1921500935893388</v>
      </c>
      <c r="J498" s="7">
        <f t="shared" si="22"/>
        <v>6.2803746720439531</v>
      </c>
    </row>
    <row r="499" spans="1:10" x14ac:dyDescent="0.35">
      <c r="A499" t="s">
        <v>72</v>
      </c>
      <c r="B499" t="s">
        <v>73</v>
      </c>
      <c r="C499" t="s">
        <v>28</v>
      </c>
      <c r="D499" t="s">
        <v>155</v>
      </c>
      <c r="E499" t="s">
        <v>65</v>
      </c>
      <c r="F499" s="32">
        <v>29.1996331</v>
      </c>
      <c r="G499" s="23">
        <v>3.0061892754095778</v>
      </c>
      <c r="H499" s="29">
        <v>7.3208451497064209</v>
      </c>
      <c r="I499" s="7">
        <f t="shared" si="21"/>
        <v>3.0061892754095778</v>
      </c>
      <c r="J499" s="7">
        <f t="shared" si="22"/>
        <v>4.5036543451828885</v>
      </c>
    </row>
    <row r="500" spans="1:10" x14ac:dyDescent="0.35">
      <c r="A500" t="s">
        <v>72</v>
      </c>
      <c r="B500" t="s">
        <v>73</v>
      </c>
      <c r="C500" t="s">
        <v>29</v>
      </c>
      <c r="D500" t="s">
        <v>155</v>
      </c>
      <c r="E500" t="s">
        <v>65</v>
      </c>
      <c r="F500" s="32">
        <v>0.65354269999999992</v>
      </c>
      <c r="G500" s="23">
        <v>0.3346238235645283</v>
      </c>
      <c r="H500" s="29">
        <v>3.9833785207008816</v>
      </c>
      <c r="I500" s="7">
        <f t="shared" si="21"/>
        <v>0.3346238235645283</v>
      </c>
      <c r="J500" s="7">
        <f t="shared" si="22"/>
        <v>0.50130909897307607</v>
      </c>
    </row>
    <row r="501" spans="1:10" x14ac:dyDescent="0.35">
      <c r="A501" t="s">
        <v>72</v>
      </c>
      <c r="B501" t="s">
        <v>73</v>
      </c>
      <c r="C501" t="s">
        <v>30</v>
      </c>
      <c r="D501" t="s">
        <v>155</v>
      </c>
      <c r="E501" t="s">
        <v>65</v>
      </c>
      <c r="F501" s="32">
        <v>205.3323513</v>
      </c>
      <c r="G501" s="23">
        <v>6.2406245064429893</v>
      </c>
      <c r="H501" s="29">
        <v>12.244044743013758</v>
      </c>
      <c r="I501" s="7">
        <f t="shared" si="21"/>
        <v>6.2406245064429893</v>
      </c>
      <c r="J501" s="7">
        <f t="shared" si="22"/>
        <v>9.3492501969183355</v>
      </c>
    </row>
    <row r="502" spans="1:10" x14ac:dyDescent="0.35">
      <c r="A502" t="s">
        <v>72</v>
      </c>
      <c r="B502" t="s">
        <v>73</v>
      </c>
      <c r="C502" t="s">
        <v>31</v>
      </c>
      <c r="D502" t="s">
        <v>155</v>
      </c>
      <c r="E502" t="s">
        <v>65</v>
      </c>
      <c r="F502" s="32" t="e">
        <v>#N/A</v>
      </c>
      <c r="G502" s="23" t="e">
        <v>#N/A</v>
      </c>
      <c r="H502" s="29">
        <v>6.9794493989918563E-2</v>
      </c>
      <c r="I502" s="7" t="e">
        <f t="shared" si="21"/>
        <v>#N/A</v>
      </c>
      <c r="J502" s="7" t="e">
        <f t="shared" si="22"/>
        <v>#N/A</v>
      </c>
    </row>
    <row r="503" spans="1:10" x14ac:dyDescent="0.35">
      <c r="A503" t="s">
        <v>72</v>
      </c>
      <c r="B503" t="s">
        <v>73</v>
      </c>
      <c r="C503" t="s">
        <v>32</v>
      </c>
      <c r="D503" t="s">
        <v>153</v>
      </c>
      <c r="E503" t="s">
        <v>65</v>
      </c>
      <c r="F503" s="32">
        <v>0</v>
      </c>
      <c r="G503" s="23" t="e">
        <v>#N/A</v>
      </c>
      <c r="H503" s="29">
        <v>1.9321473957835282E-2</v>
      </c>
      <c r="I503" s="7" t="e">
        <f t="shared" si="21"/>
        <v>#N/A</v>
      </c>
      <c r="J503" s="7" t="e">
        <f t="shared" si="22"/>
        <v>#N/A</v>
      </c>
    </row>
    <row r="504" spans="1:10" x14ac:dyDescent="0.35">
      <c r="A504" t="s">
        <v>72</v>
      </c>
      <c r="B504" t="s">
        <v>73</v>
      </c>
      <c r="C504" t="s">
        <v>33</v>
      </c>
      <c r="D504" t="s">
        <v>155</v>
      </c>
      <c r="E504" t="s">
        <v>65</v>
      </c>
      <c r="F504" s="32">
        <v>176.332233</v>
      </c>
      <c r="G504" s="23">
        <v>6.9074744534205434</v>
      </c>
      <c r="H504" s="29">
        <v>6.1200090286981021</v>
      </c>
      <c r="I504" s="7">
        <f t="shared" si="21"/>
        <v>6.9074744534205434</v>
      </c>
      <c r="J504" s="7">
        <f t="shared" si="22"/>
        <v>10.348276334712425</v>
      </c>
    </row>
    <row r="505" spans="1:10" x14ac:dyDescent="0.35">
      <c r="A505" t="s">
        <v>72</v>
      </c>
      <c r="B505" t="s">
        <v>73</v>
      </c>
      <c r="C505" t="s">
        <v>34</v>
      </c>
      <c r="D505" t="s">
        <v>153</v>
      </c>
      <c r="E505" t="s">
        <v>65</v>
      </c>
      <c r="F505" s="32">
        <v>0</v>
      </c>
      <c r="G505" s="23" t="e">
        <v>#N/A</v>
      </c>
      <c r="H505" s="29">
        <v>-0.15539064624484203</v>
      </c>
      <c r="I505" s="7" t="e">
        <f t="shared" si="21"/>
        <v>#N/A</v>
      </c>
      <c r="J505" s="7" t="e">
        <f t="shared" si="22"/>
        <v>#N/A</v>
      </c>
    </row>
    <row r="506" spans="1:10" x14ac:dyDescent="0.35">
      <c r="A506" t="s">
        <v>72</v>
      </c>
      <c r="B506" t="s">
        <v>73</v>
      </c>
      <c r="C506" t="s">
        <v>35</v>
      </c>
      <c r="D506" t="s">
        <v>154</v>
      </c>
      <c r="E506" t="s">
        <v>65</v>
      </c>
      <c r="F506" s="32">
        <v>121.65280560000001</v>
      </c>
      <c r="G506" s="23">
        <v>9.0422109409475375</v>
      </c>
      <c r="H506" s="29">
        <v>29.377379140012359</v>
      </c>
      <c r="I506" s="7">
        <f t="shared" si="21"/>
        <v>9.0422109409475375</v>
      </c>
      <c r="J506" s="7">
        <f t="shared" si="22"/>
        <v>13.546383432131142</v>
      </c>
    </row>
    <row r="507" spans="1:10" x14ac:dyDescent="0.35">
      <c r="A507" t="s">
        <v>72</v>
      </c>
      <c r="B507" t="s">
        <v>73</v>
      </c>
      <c r="C507" t="s">
        <v>36</v>
      </c>
      <c r="D507" t="s">
        <v>155</v>
      </c>
      <c r="E507" t="s">
        <v>65</v>
      </c>
      <c r="F507" s="32">
        <v>1.9353707</v>
      </c>
      <c r="G507" s="23" t="e">
        <v>#N/A</v>
      </c>
      <c r="H507" s="29">
        <v>0.14229258937586398</v>
      </c>
      <c r="I507" s="7" t="e">
        <f t="shared" si="21"/>
        <v>#N/A</v>
      </c>
      <c r="J507" s="7" t="e">
        <f t="shared" si="22"/>
        <v>#N/A</v>
      </c>
    </row>
    <row r="508" spans="1:10" x14ac:dyDescent="0.35">
      <c r="A508" t="s">
        <v>72</v>
      </c>
      <c r="B508" t="s">
        <v>73</v>
      </c>
      <c r="C508" t="s">
        <v>37</v>
      </c>
      <c r="D508" t="s">
        <v>155</v>
      </c>
      <c r="E508" t="s">
        <v>65</v>
      </c>
      <c r="F508" s="32">
        <v>6.9613172999999993</v>
      </c>
      <c r="G508" s="23">
        <v>1.4654511186161459</v>
      </c>
      <c r="H508" s="29">
        <v>1.1916142458240482</v>
      </c>
      <c r="I508" s="7">
        <f t="shared" si="21"/>
        <v>1.4654511186161459</v>
      </c>
      <c r="J508" s="7">
        <f t="shared" si="22"/>
        <v>2.1954323874399191</v>
      </c>
    </row>
    <row r="509" spans="1:10" x14ac:dyDescent="0.35">
      <c r="A509" t="s">
        <v>72</v>
      </c>
      <c r="B509" t="s">
        <v>73</v>
      </c>
      <c r="C509" t="s">
        <v>38</v>
      </c>
      <c r="D509" t="s">
        <v>155</v>
      </c>
      <c r="E509" t="s">
        <v>65</v>
      </c>
      <c r="F509" s="32">
        <v>6.4502670999999996</v>
      </c>
      <c r="G509" s="23">
        <v>0.59451943246789085</v>
      </c>
      <c r="H509" s="29">
        <v>0.21642365124866542</v>
      </c>
      <c r="I509" s="7">
        <f t="shared" si="21"/>
        <v>0.59451943246789085</v>
      </c>
      <c r="J509" s="7">
        <f t="shared" si="22"/>
        <v>0.89066581643129716</v>
      </c>
    </row>
    <row r="510" spans="1:10" x14ac:dyDescent="0.35">
      <c r="A510" t="s">
        <v>72</v>
      </c>
      <c r="B510" t="s">
        <v>73</v>
      </c>
      <c r="C510" t="s">
        <v>39</v>
      </c>
      <c r="D510" t="s">
        <v>153</v>
      </c>
      <c r="E510" t="s">
        <v>65</v>
      </c>
      <c r="F510" s="32">
        <v>12.6469337</v>
      </c>
      <c r="G510" s="23" t="e">
        <v>#N/A</v>
      </c>
      <c r="H510" s="29">
        <v>-0.40766015574180603</v>
      </c>
      <c r="I510" s="7" t="e">
        <f t="shared" si="21"/>
        <v>#N/A</v>
      </c>
      <c r="J510" s="7" t="e">
        <f t="shared" si="22"/>
        <v>#N/A</v>
      </c>
    </row>
    <row r="511" spans="1:10" s="19" customFormat="1" x14ac:dyDescent="0.35">
      <c r="A511" s="19" t="s">
        <v>72</v>
      </c>
      <c r="B511" s="19" t="s">
        <v>73</v>
      </c>
      <c r="C511" s="19" t="s">
        <v>40</v>
      </c>
      <c r="D511" s="19" t="s">
        <v>154</v>
      </c>
      <c r="E511" s="19" t="s">
        <v>65</v>
      </c>
      <c r="F511" s="33">
        <v>0</v>
      </c>
      <c r="G511" s="24" t="e">
        <v>#N/A</v>
      </c>
      <c r="H511" s="30">
        <v>0.17032186034577859</v>
      </c>
      <c r="I511" s="21" t="e">
        <f t="shared" si="21"/>
        <v>#N/A</v>
      </c>
      <c r="J511" s="21" t="e">
        <f t="shared" si="22"/>
        <v>#N/A</v>
      </c>
    </row>
    <row r="512" spans="1:10" x14ac:dyDescent="0.35">
      <c r="A512" t="s">
        <v>74</v>
      </c>
      <c r="B512" t="s">
        <v>75</v>
      </c>
      <c r="C512" t="s">
        <v>6</v>
      </c>
      <c r="D512" t="s">
        <v>153</v>
      </c>
      <c r="E512" t="s">
        <v>65</v>
      </c>
      <c r="F512" s="32">
        <v>6.7009607999999998</v>
      </c>
      <c r="G512" s="23" t="e">
        <v>#N/A</v>
      </c>
      <c r="H512" s="29">
        <v>0.75000663954800773</v>
      </c>
      <c r="I512" s="7" t="e">
        <f t="shared" si="21"/>
        <v>#N/A</v>
      </c>
      <c r="J512" s="7" t="e">
        <f>I512/0.4536</f>
        <v>#N/A</v>
      </c>
    </row>
    <row r="513" spans="1:10" x14ac:dyDescent="0.35">
      <c r="A513" t="s">
        <v>74</v>
      </c>
      <c r="B513" t="s">
        <v>75</v>
      </c>
      <c r="C513" t="s">
        <v>7</v>
      </c>
      <c r="D513" t="s">
        <v>153</v>
      </c>
      <c r="E513" t="s">
        <v>65</v>
      </c>
      <c r="F513" s="32">
        <v>0</v>
      </c>
      <c r="G513" s="23" t="e">
        <v>#N/A</v>
      </c>
      <c r="H513" s="29">
        <v>-0.10714936155788947</v>
      </c>
      <c r="I513" s="7" t="e">
        <f t="shared" si="21"/>
        <v>#N/A</v>
      </c>
      <c r="J513" s="7" t="e">
        <f t="shared" ref="J513:J545" si="23">I513/0.4536</f>
        <v>#N/A</v>
      </c>
    </row>
    <row r="514" spans="1:10" x14ac:dyDescent="0.35">
      <c r="A514" t="s">
        <v>74</v>
      </c>
      <c r="B514" t="s">
        <v>75</v>
      </c>
      <c r="C514" t="s">
        <v>8</v>
      </c>
      <c r="D514" t="s">
        <v>153</v>
      </c>
      <c r="E514" t="s">
        <v>65</v>
      </c>
      <c r="F514" s="32" t="e">
        <v>#N/A</v>
      </c>
      <c r="G514" s="23" t="e">
        <v>#N/A</v>
      </c>
      <c r="H514" s="29">
        <v>-4.2161057586765471E-2</v>
      </c>
      <c r="I514" s="7" t="e">
        <f t="shared" ref="I514:I577" si="24">IF(G514&lt;0,0,G514)</f>
        <v>#N/A</v>
      </c>
      <c r="J514" s="7" t="e">
        <f t="shared" si="23"/>
        <v>#N/A</v>
      </c>
    </row>
    <row r="515" spans="1:10" x14ac:dyDescent="0.35">
      <c r="A515" t="s">
        <v>74</v>
      </c>
      <c r="B515" t="s">
        <v>75</v>
      </c>
      <c r="C515" t="s">
        <v>9</v>
      </c>
      <c r="D515" t="s">
        <v>153</v>
      </c>
      <c r="E515" t="s">
        <v>65</v>
      </c>
      <c r="F515" s="32">
        <v>1.8041423000000001</v>
      </c>
      <c r="G515" s="23" t="e">
        <v>#N/A</v>
      </c>
      <c r="H515" s="29">
        <v>-0.39527722066817506</v>
      </c>
      <c r="I515" s="7" t="e">
        <f t="shared" si="24"/>
        <v>#N/A</v>
      </c>
      <c r="J515" s="7" t="e">
        <f t="shared" si="23"/>
        <v>#N/A</v>
      </c>
    </row>
    <row r="516" spans="1:10" x14ac:dyDescent="0.35">
      <c r="A516" t="s">
        <v>74</v>
      </c>
      <c r="B516" t="s">
        <v>75</v>
      </c>
      <c r="C516" t="s">
        <v>10</v>
      </c>
      <c r="D516" t="s">
        <v>153</v>
      </c>
      <c r="E516" t="s">
        <v>65</v>
      </c>
      <c r="F516" s="32">
        <v>71.632268400000001</v>
      </c>
      <c r="G516" s="23" t="e">
        <v>#N/A</v>
      </c>
      <c r="H516" s="29">
        <v>-9.410944448303632E-2</v>
      </c>
      <c r="I516" s="7" t="e">
        <f t="shared" si="24"/>
        <v>#N/A</v>
      </c>
      <c r="J516" s="7" t="e">
        <f t="shared" si="23"/>
        <v>#N/A</v>
      </c>
    </row>
    <row r="517" spans="1:10" x14ac:dyDescent="0.35">
      <c r="A517" t="s">
        <v>74</v>
      </c>
      <c r="B517" t="s">
        <v>75</v>
      </c>
      <c r="C517" t="s">
        <v>11</v>
      </c>
      <c r="D517" t="s">
        <v>153</v>
      </c>
      <c r="E517" t="s">
        <v>65</v>
      </c>
      <c r="F517" s="32">
        <v>44.227004299999997</v>
      </c>
      <c r="G517" s="23" t="e">
        <v>#N/A</v>
      </c>
      <c r="H517" s="29">
        <v>-0.30378983424655909</v>
      </c>
      <c r="I517" s="7" t="e">
        <f t="shared" si="24"/>
        <v>#N/A</v>
      </c>
      <c r="J517" s="7" t="e">
        <f t="shared" si="23"/>
        <v>#N/A</v>
      </c>
    </row>
    <row r="518" spans="1:10" x14ac:dyDescent="0.35">
      <c r="A518" t="s">
        <v>74</v>
      </c>
      <c r="B518" t="s">
        <v>75</v>
      </c>
      <c r="C518" t="s">
        <v>12</v>
      </c>
      <c r="D518" t="s">
        <v>154</v>
      </c>
      <c r="E518" t="s">
        <v>65</v>
      </c>
      <c r="F518" s="32">
        <v>0</v>
      </c>
      <c r="G518" s="23" t="e">
        <v>#N/A</v>
      </c>
      <c r="H518" s="29">
        <v>-6.4900840819266364E-2</v>
      </c>
      <c r="I518" s="7" t="e">
        <f t="shared" si="24"/>
        <v>#N/A</v>
      </c>
      <c r="J518" s="7" t="e">
        <f t="shared" si="23"/>
        <v>#N/A</v>
      </c>
    </row>
    <row r="519" spans="1:10" x14ac:dyDescent="0.35">
      <c r="A519" t="s">
        <v>74</v>
      </c>
      <c r="B519" t="s">
        <v>75</v>
      </c>
      <c r="C519" t="s">
        <v>13</v>
      </c>
      <c r="D519" t="s">
        <v>153</v>
      </c>
      <c r="E519" t="s">
        <v>65</v>
      </c>
      <c r="F519" s="32">
        <v>11.7503709</v>
      </c>
      <c r="G519" s="23" t="e">
        <v>#N/A</v>
      </c>
      <c r="H519" s="29">
        <v>-5.9713926290283457E-2</v>
      </c>
      <c r="I519" s="7" t="e">
        <f t="shared" si="24"/>
        <v>#N/A</v>
      </c>
      <c r="J519" s="7" t="e">
        <f t="shared" si="23"/>
        <v>#N/A</v>
      </c>
    </row>
    <row r="520" spans="1:10" x14ac:dyDescent="0.35">
      <c r="A520" t="s">
        <v>74</v>
      </c>
      <c r="B520" t="s">
        <v>75</v>
      </c>
      <c r="C520" t="s">
        <v>14</v>
      </c>
      <c r="D520" t="s">
        <v>154</v>
      </c>
      <c r="E520" t="s">
        <v>65</v>
      </c>
      <c r="F520" s="32">
        <v>0</v>
      </c>
      <c r="G520" s="23" t="e">
        <v>#N/A</v>
      </c>
      <c r="H520" s="29">
        <v>-5.2099683612361371E-2</v>
      </c>
      <c r="I520" s="7" t="e">
        <f t="shared" si="24"/>
        <v>#N/A</v>
      </c>
      <c r="J520" s="7" t="e">
        <f t="shared" si="23"/>
        <v>#N/A</v>
      </c>
    </row>
    <row r="521" spans="1:10" x14ac:dyDescent="0.35">
      <c r="A521" t="s">
        <v>74</v>
      </c>
      <c r="B521" t="s">
        <v>75</v>
      </c>
      <c r="C521" t="s">
        <v>15</v>
      </c>
      <c r="D521" t="s">
        <v>153</v>
      </c>
      <c r="E521" t="s">
        <v>65</v>
      </c>
      <c r="F521" s="32">
        <v>1889.5194114000001</v>
      </c>
      <c r="G521" s="23">
        <v>20.567525667484212</v>
      </c>
      <c r="H521" s="29">
        <v>63.463587040090736</v>
      </c>
      <c r="I521" s="7">
        <f t="shared" si="24"/>
        <v>20.567525667484212</v>
      </c>
      <c r="J521" s="7">
        <f t="shared" si="23"/>
        <v>45.342869637310869</v>
      </c>
    </row>
    <row r="522" spans="1:10" x14ac:dyDescent="0.35">
      <c r="A522" t="s">
        <v>74</v>
      </c>
      <c r="B522" t="s">
        <v>75</v>
      </c>
      <c r="C522" t="s">
        <v>16</v>
      </c>
      <c r="D522" t="s">
        <v>154</v>
      </c>
      <c r="E522" t="s">
        <v>65</v>
      </c>
      <c r="F522" s="32">
        <v>76.218546000000003</v>
      </c>
      <c r="G522" s="23">
        <v>2.0677311032579317</v>
      </c>
      <c r="H522" s="29">
        <v>5.1964344914690379</v>
      </c>
      <c r="I522" s="7">
        <f t="shared" si="24"/>
        <v>2.0677311032579317</v>
      </c>
      <c r="J522" s="7">
        <f t="shared" si="23"/>
        <v>4.5584900865474687</v>
      </c>
    </row>
    <row r="523" spans="1:10" x14ac:dyDescent="0.35">
      <c r="A523" t="s">
        <v>74</v>
      </c>
      <c r="B523" t="s">
        <v>75</v>
      </c>
      <c r="C523" t="s">
        <v>18</v>
      </c>
      <c r="D523" t="s">
        <v>154</v>
      </c>
      <c r="E523" t="s">
        <v>65</v>
      </c>
      <c r="F523" s="32">
        <v>0</v>
      </c>
      <c r="G523" s="23" t="e">
        <v>#N/A</v>
      </c>
      <c r="H523" s="29">
        <v>-3.4717374962608079E-2</v>
      </c>
      <c r="I523" s="7" t="e">
        <f t="shared" si="24"/>
        <v>#N/A</v>
      </c>
      <c r="J523" s="7" t="e">
        <f t="shared" si="23"/>
        <v>#N/A</v>
      </c>
    </row>
    <row r="524" spans="1:10" x14ac:dyDescent="0.35">
      <c r="A524" t="s">
        <v>74</v>
      </c>
      <c r="B524" t="s">
        <v>75</v>
      </c>
      <c r="C524" t="s">
        <v>19</v>
      </c>
      <c r="D524" t="s">
        <v>153</v>
      </c>
      <c r="E524" t="s">
        <v>65</v>
      </c>
      <c r="F524" s="32">
        <v>426.28469280000002</v>
      </c>
      <c r="G524" s="23">
        <v>24.8927187092313</v>
      </c>
      <c r="H524" s="29">
        <v>32.116349977123633</v>
      </c>
      <c r="I524" s="7">
        <f t="shared" si="24"/>
        <v>24.8927187092313</v>
      </c>
      <c r="J524" s="7">
        <f t="shared" si="23"/>
        <v>54.878127665853832</v>
      </c>
    </row>
    <row r="525" spans="1:10" x14ac:dyDescent="0.35">
      <c r="A525" t="s">
        <v>74</v>
      </c>
      <c r="B525" t="s">
        <v>75</v>
      </c>
      <c r="C525" t="s">
        <v>20</v>
      </c>
      <c r="D525" t="s">
        <v>154</v>
      </c>
      <c r="E525" t="s">
        <v>65</v>
      </c>
      <c r="F525" s="32">
        <v>285.97256809999999</v>
      </c>
      <c r="G525" s="23">
        <v>1.8987549497395093</v>
      </c>
      <c r="H525" s="29">
        <v>30.458752497029124</v>
      </c>
      <c r="I525" s="7">
        <f t="shared" si="24"/>
        <v>1.8987549497395093</v>
      </c>
      <c r="J525" s="7">
        <f t="shared" si="23"/>
        <v>4.1859677022475958</v>
      </c>
    </row>
    <row r="526" spans="1:10" x14ac:dyDescent="0.35">
      <c r="A526" t="s">
        <v>74</v>
      </c>
      <c r="B526" t="s">
        <v>75</v>
      </c>
      <c r="C526" t="s">
        <v>21</v>
      </c>
      <c r="D526" t="s">
        <v>155</v>
      </c>
      <c r="E526" t="s">
        <v>65</v>
      </c>
      <c r="F526" s="32">
        <v>0.34854680000000005</v>
      </c>
      <c r="G526" s="23" t="e">
        <v>#N/A</v>
      </c>
      <c r="H526" s="29">
        <v>0.13215751668166906</v>
      </c>
      <c r="I526" s="7" t="e">
        <f t="shared" si="24"/>
        <v>#N/A</v>
      </c>
      <c r="J526" s="7" t="e">
        <f t="shared" si="23"/>
        <v>#N/A</v>
      </c>
    </row>
    <row r="527" spans="1:10" x14ac:dyDescent="0.35">
      <c r="A527" t="s">
        <v>74</v>
      </c>
      <c r="B527" t="s">
        <v>75</v>
      </c>
      <c r="C527" t="s">
        <v>22</v>
      </c>
      <c r="D527" t="s">
        <v>155</v>
      </c>
      <c r="E527" t="s">
        <v>65</v>
      </c>
      <c r="F527" s="32">
        <v>112.635541</v>
      </c>
      <c r="G527" s="23">
        <v>7.0033057213779637</v>
      </c>
      <c r="H527" s="29">
        <v>20.124869557508177</v>
      </c>
      <c r="I527" s="7">
        <f t="shared" si="24"/>
        <v>7.0033057213779637</v>
      </c>
      <c r="J527" s="7">
        <f t="shared" si="23"/>
        <v>15.439386510974346</v>
      </c>
    </row>
    <row r="528" spans="1:10" x14ac:dyDescent="0.35">
      <c r="A528" t="s">
        <v>74</v>
      </c>
      <c r="B528" t="s">
        <v>75</v>
      </c>
      <c r="C528" t="s">
        <v>23</v>
      </c>
      <c r="D528" t="s">
        <v>155</v>
      </c>
      <c r="E528" t="s">
        <v>65</v>
      </c>
      <c r="F528" s="32">
        <v>0.24932679999999999</v>
      </c>
      <c r="G528" s="23" t="e">
        <v>#N/A</v>
      </c>
      <c r="H528" s="29">
        <v>9.8414313105630938E-2</v>
      </c>
      <c r="I528" s="7" t="e">
        <f t="shared" si="24"/>
        <v>#N/A</v>
      </c>
      <c r="J528" s="7" t="e">
        <f t="shared" si="23"/>
        <v>#N/A</v>
      </c>
    </row>
    <row r="529" spans="1:10" x14ac:dyDescent="0.35">
      <c r="A529" t="s">
        <v>74</v>
      </c>
      <c r="B529" t="s">
        <v>75</v>
      </c>
      <c r="C529" t="s">
        <v>24</v>
      </c>
      <c r="D529" t="s">
        <v>155</v>
      </c>
      <c r="E529" t="s">
        <v>65</v>
      </c>
      <c r="F529" s="32">
        <v>81.385994499999995</v>
      </c>
      <c r="G529" s="23" t="e">
        <v>#N/A</v>
      </c>
      <c r="H529" s="29">
        <v>2.8180123139770625</v>
      </c>
      <c r="I529" s="7" t="e">
        <f t="shared" si="24"/>
        <v>#N/A</v>
      </c>
      <c r="J529" s="7" t="e">
        <f t="shared" si="23"/>
        <v>#N/A</v>
      </c>
    </row>
    <row r="530" spans="1:10" x14ac:dyDescent="0.35">
      <c r="A530" t="s">
        <v>74</v>
      </c>
      <c r="B530" t="s">
        <v>75</v>
      </c>
      <c r="C530" t="s">
        <v>25</v>
      </c>
      <c r="D530" t="s">
        <v>155</v>
      </c>
      <c r="E530" t="s">
        <v>65</v>
      </c>
      <c r="F530" s="32">
        <v>0.47865540000000001</v>
      </c>
      <c r="G530" s="23" t="e">
        <v>#N/A</v>
      </c>
      <c r="H530" s="29">
        <v>0.60095881654308503</v>
      </c>
      <c r="I530" s="7" t="e">
        <f t="shared" si="24"/>
        <v>#N/A</v>
      </c>
      <c r="J530" s="7" t="e">
        <f t="shared" si="23"/>
        <v>#N/A</v>
      </c>
    </row>
    <row r="531" spans="1:10" x14ac:dyDescent="0.35">
      <c r="A531" t="s">
        <v>74</v>
      </c>
      <c r="B531" t="s">
        <v>75</v>
      </c>
      <c r="C531" t="s">
        <v>26</v>
      </c>
      <c r="D531" t="s">
        <v>153</v>
      </c>
      <c r="E531" t="s">
        <v>65</v>
      </c>
      <c r="F531" s="32">
        <v>1.8113054</v>
      </c>
      <c r="G531" s="23">
        <v>1.0267607324928418</v>
      </c>
      <c r="H531" s="29">
        <v>4.8517655334013803E-2</v>
      </c>
      <c r="I531" s="7">
        <f t="shared" si="24"/>
        <v>1.0267607324928418</v>
      </c>
      <c r="J531" s="7">
        <f t="shared" si="23"/>
        <v>2.2635818617567058</v>
      </c>
    </row>
    <row r="532" spans="1:10" x14ac:dyDescent="0.35">
      <c r="A532" t="s">
        <v>74</v>
      </c>
      <c r="B532" t="s">
        <v>75</v>
      </c>
      <c r="C532" t="s">
        <v>27</v>
      </c>
      <c r="D532" t="s">
        <v>154</v>
      </c>
      <c r="E532" t="s">
        <v>65</v>
      </c>
      <c r="F532" s="32">
        <v>7.4938226999999999</v>
      </c>
      <c r="G532" s="23">
        <v>2.0161756090837253</v>
      </c>
      <c r="H532" s="29">
        <v>4.9490151987982722</v>
      </c>
      <c r="I532" s="7">
        <f t="shared" si="24"/>
        <v>2.0161756090837253</v>
      </c>
      <c r="J532" s="7">
        <f t="shared" si="23"/>
        <v>4.444831589690752</v>
      </c>
    </row>
    <row r="533" spans="1:10" x14ac:dyDescent="0.35">
      <c r="A533" t="s">
        <v>74</v>
      </c>
      <c r="B533" t="s">
        <v>75</v>
      </c>
      <c r="C533" t="s">
        <v>28</v>
      </c>
      <c r="D533" t="s">
        <v>155</v>
      </c>
      <c r="E533" t="s">
        <v>65</v>
      </c>
      <c r="F533" s="32">
        <v>14.9099658</v>
      </c>
      <c r="G533" s="23">
        <v>2.346732508080454</v>
      </c>
      <c r="H533" s="29">
        <v>6.4086981522067132</v>
      </c>
      <c r="I533" s="7">
        <f t="shared" si="24"/>
        <v>2.346732508080454</v>
      </c>
      <c r="J533" s="7">
        <f t="shared" si="23"/>
        <v>5.1735725486782496</v>
      </c>
    </row>
    <row r="534" spans="1:10" x14ac:dyDescent="0.35">
      <c r="A534" t="s">
        <v>74</v>
      </c>
      <c r="B534" t="s">
        <v>75</v>
      </c>
      <c r="C534" t="s">
        <v>29</v>
      </c>
      <c r="D534" t="s">
        <v>155</v>
      </c>
      <c r="E534" t="s">
        <v>65</v>
      </c>
      <c r="F534" s="32">
        <v>0.43153140000000001</v>
      </c>
      <c r="G534" s="23">
        <v>0.15398068199436865</v>
      </c>
      <c r="H534" s="29">
        <v>6.9498729398148971</v>
      </c>
      <c r="I534" s="7">
        <f t="shared" si="24"/>
        <v>0.15398068199436865</v>
      </c>
      <c r="J534" s="7">
        <f t="shared" si="23"/>
        <v>0.33946358464366988</v>
      </c>
    </row>
    <row r="535" spans="1:10" x14ac:dyDescent="0.35">
      <c r="A535" t="s">
        <v>74</v>
      </c>
      <c r="B535" t="s">
        <v>75</v>
      </c>
      <c r="C535" t="s">
        <v>30</v>
      </c>
      <c r="D535" t="s">
        <v>155</v>
      </c>
      <c r="E535" t="s">
        <v>65</v>
      </c>
      <c r="F535" s="32">
        <v>114.3989926</v>
      </c>
      <c r="G535" s="23">
        <v>6.0051793065779986</v>
      </c>
      <c r="H535" s="29">
        <v>19.852359971491357</v>
      </c>
      <c r="I535" s="7">
        <f t="shared" si="24"/>
        <v>6.0051793065779986</v>
      </c>
      <c r="J535" s="7">
        <f t="shared" si="23"/>
        <v>13.238931451891531</v>
      </c>
    </row>
    <row r="536" spans="1:10" x14ac:dyDescent="0.35">
      <c r="A536" t="s">
        <v>74</v>
      </c>
      <c r="B536" t="s">
        <v>75</v>
      </c>
      <c r="C536" t="s">
        <v>31</v>
      </c>
      <c r="D536" t="s">
        <v>155</v>
      </c>
      <c r="E536" t="s">
        <v>65</v>
      </c>
      <c r="F536" s="32" t="e">
        <v>#N/A</v>
      </c>
      <c r="G536" s="23" t="e">
        <v>#N/A</v>
      </c>
      <c r="H536" s="29">
        <v>9.1551708727845765E-2</v>
      </c>
      <c r="I536" s="7" t="e">
        <f t="shared" si="24"/>
        <v>#N/A</v>
      </c>
      <c r="J536" s="7" t="e">
        <f t="shared" si="23"/>
        <v>#N/A</v>
      </c>
    </row>
    <row r="537" spans="1:10" x14ac:dyDescent="0.35">
      <c r="A537" t="s">
        <v>74</v>
      </c>
      <c r="B537" t="s">
        <v>75</v>
      </c>
      <c r="C537" t="s">
        <v>32</v>
      </c>
      <c r="D537" t="s">
        <v>153</v>
      </c>
      <c r="E537" t="s">
        <v>65</v>
      </c>
      <c r="F537" s="32">
        <v>0</v>
      </c>
      <c r="G537" s="23" t="e">
        <v>#N/A</v>
      </c>
      <c r="H537" s="29">
        <v>1.9956489174289514E-2</v>
      </c>
      <c r="I537" s="7" t="e">
        <f t="shared" si="24"/>
        <v>#N/A</v>
      </c>
      <c r="J537" s="7" t="e">
        <f t="shared" si="23"/>
        <v>#N/A</v>
      </c>
    </row>
    <row r="538" spans="1:10" x14ac:dyDescent="0.35">
      <c r="A538" t="s">
        <v>74</v>
      </c>
      <c r="B538" t="s">
        <v>75</v>
      </c>
      <c r="C538" t="s">
        <v>33</v>
      </c>
      <c r="D538" t="s">
        <v>155</v>
      </c>
      <c r="E538" t="s">
        <v>65</v>
      </c>
      <c r="F538" s="32">
        <v>102.3994093</v>
      </c>
      <c r="G538" s="23">
        <v>5.6601413497675965</v>
      </c>
      <c r="H538" s="29">
        <v>8.3044462770479388</v>
      </c>
      <c r="I538" s="7">
        <f t="shared" si="24"/>
        <v>5.6601413497675965</v>
      </c>
      <c r="J538" s="7">
        <f t="shared" si="23"/>
        <v>12.478265762274242</v>
      </c>
    </row>
    <row r="539" spans="1:10" x14ac:dyDescent="0.35">
      <c r="A539" t="s">
        <v>74</v>
      </c>
      <c r="B539" t="s">
        <v>75</v>
      </c>
      <c r="C539" t="s">
        <v>34</v>
      </c>
      <c r="D539" t="s">
        <v>153</v>
      </c>
      <c r="E539" t="s">
        <v>65</v>
      </c>
      <c r="F539" s="32">
        <v>0</v>
      </c>
      <c r="G539" s="23" t="e">
        <v>#N/A</v>
      </c>
      <c r="H539" s="29">
        <v>-0.14476831094551174</v>
      </c>
      <c r="I539" s="7" t="e">
        <f t="shared" si="24"/>
        <v>#N/A</v>
      </c>
      <c r="J539" s="7" t="e">
        <f t="shared" si="23"/>
        <v>#N/A</v>
      </c>
    </row>
    <row r="540" spans="1:10" x14ac:dyDescent="0.35">
      <c r="A540" t="s">
        <v>74</v>
      </c>
      <c r="B540" t="s">
        <v>75</v>
      </c>
      <c r="C540" t="s">
        <v>35</v>
      </c>
      <c r="D540" t="s">
        <v>154</v>
      </c>
      <c r="E540" t="s">
        <v>65</v>
      </c>
      <c r="F540" s="32">
        <v>109.0391614</v>
      </c>
      <c r="G540" s="23">
        <v>9.0894654524203791</v>
      </c>
      <c r="H540" s="29">
        <v>27.061978052133362</v>
      </c>
      <c r="I540" s="7">
        <f t="shared" si="24"/>
        <v>9.0894654524203791</v>
      </c>
      <c r="J540" s="7">
        <f t="shared" si="23"/>
        <v>20.038504083819177</v>
      </c>
    </row>
    <row r="541" spans="1:10" x14ac:dyDescent="0.35">
      <c r="A541" t="s">
        <v>74</v>
      </c>
      <c r="B541" t="s">
        <v>75</v>
      </c>
      <c r="C541" t="s">
        <v>36</v>
      </c>
      <c r="D541" t="s">
        <v>155</v>
      </c>
      <c r="E541" t="s">
        <v>65</v>
      </c>
      <c r="F541" s="32">
        <v>1.9337981</v>
      </c>
      <c r="G541" s="23" t="e">
        <v>#N/A</v>
      </c>
      <c r="H541" s="29">
        <v>0.17206774256630064</v>
      </c>
      <c r="I541" s="7" t="e">
        <f t="shared" si="24"/>
        <v>#N/A</v>
      </c>
      <c r="J541" s="7" t="e">
        <f t="shared" si="23"/>
        <v>#N/A</v>
      </c>
    </row>
    <row r="542" spans="1:10" x14ac:dyDescent="0.35">
      <c r="A542" t="s">
        <v>74</v>
      </c>
      <c r="B542" t="s">
        <v>75</v>
      </c>
      <c r="C542" t="s">
        <v>37</v>
      </c>
      <c r="D542" t="s">
        <v>155</v>
      </c>
      <c r="E542" t="s">
        <v>65</v>
      </c>
      <c r="F542" s="32">
        <v>2.3408259999999999</v>
      </c>
      <c r="G542" s="23">
        <v>1.3489775479930137</v>
      </c>
      <c r="H542" s="29">
        <v>1.804974808624318</v>
      </c>
      <c r="I542" s="7">
        <f t="shared" si="24"/>
        <v>1.3489775479930137</v>
      </c>
      <c r="J542" s="7">
        <f t="shared" si="23"/>
        <v>2.9739363932826581</v>
      </c>
    </row>
    <row r="543" spans="1:10" x14ac:dyDescent="0.35">
      <c r="A543" t="s">
        <v>74</v>
      </c>
      <c r="B543" t="s">
        <v>75</v>
      </c>
      <c r="C543" t="s">
        <v>38</v>
      </c>
      <c r="D543" t="s">
        <v>155</v>
      </c>
      <c r="E543" t="s">
        <v>65</v>
      </c>
      <c r="F543" s="32">
        <v>1.0731941999999999</v>
      </c>
      <c r="G543" s="23">
        <v>0.65097553278069809</v>
      </c>
      <c r="H543" s="29">
        <v>0.54607757124745571</v>
      </c>
      <c r="I543" s="7">
        <f t="shared" si="24"/>
        <v>0.65097553278069809</v>
      </c>
      <c r="J543" s="7">
        <f t="shared" si="23"/>
        <v>1.435131245107359</v>
      </c>
    </row>
    <row r="544" spans="1:10" x14ac:dyDescent="0.35">
      <c r="A544" t="s">
        <v>74</v>
      </c>
      <c r="B544" t="s">
        <v>75</v>
      </c>
      <c r="C544" t="s">
        <v>39</v>
      </c>
      <c r="D544" t="s">
        <v>153</v>
      </c>
      <c r="E544" t="s">
        <v>65</v>
      </c>
      <c r="F544" s="32">
        <v>9.0722939</v>
      </c>
      <c r="G544" s="23" t="e">
        <v>#N/A</v>
      </c>
      <c r="H544" s="29">
        <v>-1.5473235075658801E-2</v>
      </c>
      <c r="I544" s="7" t="e">
        <f t="shared" si="24"/>
        <v>#N/A</v>
      </c>
      <c r="J544" s="7" t="e">
        <f t="shared" si="23"/>
        <v>#N/A</v>
      </c>
    </row>
    <row r="545" spans="1:10" s="19" customFormat="1" x14ac:dyDescent="0.35">
      <c r="A545" s="19" t="s">
        <v>74</v>
      </c>
      <c r="B545" s="19" t="s">
        <v>75</v>
      </c>
      <c r="C545" s="19" t="s">
        <v>40</v>
      </c>
      <c r="D545" s="19" t="s">
        <v>154</v>
      </c>
      <c r="E545" s="19" t="s">
        <v>65</v>
      </c>
      <c r="F545" s="33">
        <v>0</v>
      </c>
      <c r="G545" s="24" t="e">
        <v>#N/A</v>
      </c>
      <c r="H545" s="30">
        <v>-2.0921843773610352E-2</v>
      </c>
      <c r="I545" s="21" t="e">
        <f t="shared" si="24"/>
        <v>#N/A</v>
      </c>
      <c r="J545" s="21" t="e">
        <f t="shared" si="23"/>
        <v>#N/A</v>
      </c>
    </row>
    <row r="546" spans="1:10" x14ac:dyDescent="0.35">
      <c r="A546" t="s">
        <v>76</v>
      </c>
      <c r="B546" t="s">
        <v>77</v>
      </c>
      <c r="C546" t="s">
        <v>6</v>
      </c>
      <c r="D546" t="s">
        <v>153</v>
      </c>
      <c r="E546" t="s">
        <v>65</v>
      </c>
      <c r="F546" s="32">
        <v>6.9302637000000002</v>
      </c>
      <c r="G546" s="23" t="e">
        <v>#N/A</v>
      </c>
      <c r="H546" s="29">
        <v>0.74868148376349652</v>
      </c>
      <c r="I546" s="7" t="e">
        <f t="shared" si="24"/>
        <v>#N/A</v>
      </c>
      <c r="J546" s="7" t="e">
        <f>I546/0.5635</f>
        <v>#N/A</v>
      </c>
    </row>
    <row r="547" spans="1:10" x14ac:dyDescent="0.35">
      <c r="A547" t="s">
        <v>76</v>
      </c>
      <c r="B547" t="s">
        <v>77</v>
      </c>
      <c r="C547" t="s">
        <v>7</v>
      </c>
      <c r="D547" t="s">
        <v>153</v>
      </c>
      <c r="E547" t="s">
        <v>65</v>
      </c>
      <c r="F547" s="32">
        <v>0</v>
      </c>
      <c r="G547" s="23" t="e">
        <v>#N/A</v>
      </c>
      <c r="H547" s="29">
        <v>-0.10706163188667658</v>
      </c>
      <c r="I547" s="7" t="e">
        <f t="shared" si="24"/>
        <v>#N/A</v>
      </c>
      <c r="J547" s="7" t="e">
        <f t="shared" ref="J547:J579" si="25">I547/0.5635</f>
        <v>#N/A</v>
      </c>
    </row>
    <row r="548" spans="1:10" x14ac:dyDescent="0.35">
      <c r="A548" t="s">
        <v>76</v>
      </c>
      <c r="B548" t="s">
        <v>77</v>
      </c>
      <c r="C548" t="s">
        <v>8</v>
      </c>
      <c r="D548" t="s">
        <v>153</v>
      </c>
      <c r="E548" t="s">
        <v>65</v>
      </c>
      <c r="F548" s="32" t="e">
        <v>#N/A</v>
      </c>
      <c r="G548" s="23" t="e">
        <v>#N/A</v>
      </c>
      <c r="H548" s="29">
        <v>-4.2112829977366456E-2</v>
      </c>
      <c r="I548" s="7" t="e">
        <f t="shared" si="24"/>
        <v>#N/A</v>
      </c>
      <c r="J548" s="7" t="e">
        <f t="shared" si="25"/>
        <v>#N/A</v>
      </c>
    </row>
    <row r="549" spans="1:10" x14ac:dyDescent="0.35">
      <c r="A549" t="s">
        <v>76</v>
      </c>
      <c r="B549" t="s">
        <v>77</v>
      </c>
      <c r="C549" t="s">
        <v>9</v>
      </c>
      <c r="D549" t="s">
        <v>153</v>
      </c>
      <c r="E549" t="s">
        <v>65</v>
      </c>
      <c r="F549" s="32">
        <v>0</v>
      </c>
      <c r="G549" s="23" t="e">
        <v>#N/A</v>
      </c>
      <c r="H549" s="29">
        <v>-0.3957765159601071</v>
      </c>
      <c r="I549" s="7" t="e">
        <f t="shared" si="24"/>
        <v>#N/A</v>
      </c>
      <c r="J549" s="7" t="e">
        <f t="shared" si="25"/>
        <v>#N/A</v>
      </c>
    </row>
    <row r="550" spans="1:10" x14ac:dyDescent="0.35">
      <c r="A550" t="s">
        <v>76</v>
      </c>
      <c r="B550" t="s">
        <v>77</v>
      </c>
      <c r="C550" t="s">
        <v>10</v>
      </c>
      <c r="D550" t="s">
        <v>153</v>
      </c>
      <c r="E550" t="s">
        <v>65</v>
      </c>
      <c r="F550" s="32">
        <v>58.130237000000001</v>
      </c>
      <c r="G550" s="23" t="e">
        <v>#N/A</v>
      </c>
      <c r="H550" s="29">
        <v>-9.5779496079137855E-2</v>
      </c>
      <c r="I550" s="7" t="e">
        <f t="shared" si="24"/>
        <v>#N/A</v>
      </c>
      <c r="J550" s="7" t="e">
        <f t="shared" si="25"/>
        <v>#N/A</v>
      </c>
    </row>
    <row r="551" spans="1:10" x14ac:dyDescent="0.35">
      <c r="A551" t="s">
        <v>76</v>
      </c>
      <c r="B551" t="s">
        <v>77</v>
      </c>
      <c r="C551" t="s">
        <v>11</v>
      </c>
      <c r="D551" t="s">
        <v>153</v>
      </c>
      <c r="E551" t="s">
        <v>65</v>
      </c>
      <c r="F551" s="32">
        <v>66.694819499999994</v>
      </c>
      <c r="G551" s="23" t="e">
        <v>#N/A</v>
      </c>
      <c r="H551" s="29">
        <v>-0.25853465749113391</v>
      </c>
      <c r="I551" s="7" t="e">
        <f t="shared" si="24"/>
        <v>#N/A</v>
      </c>
      <c r="J551" s="7" t="e">
        <f t="shared" si="25"/>
        <v>#N/A</v>
      </c>
    </row>
    <row r="552" spans="1:10" x14ac:dyDescent="0.35">
      <c r="A552" t="s">
        <v>76</v>
      </c>
      <c r="B552" t="s">
        <v>77</v>
      </c>
      <c r="C552" t="s">
        <v>12</v>
      </c>
      <c r="D552" t="s">
        <v>154</v>
      </c>
      <c r="E552" t="s">
        <v>65</v>
      </c>
      <c r="F552" s="32">
        <v>0</v>
      </c>
      <c r="G552" s="23" t="e">
        <v>#N/A</v>
      </c>
      <c r="H552" s="29">
        <v>-6.175706016165379E-2</v>
      </c>
      <c r="I552" s="7" t="e">
        <f t="shared" si="24"/>
        <v>#N/A</v>
      </c>
      <c r="J552" s="7" t="e">
        <f t="shared" si="25"/>
        <v>#N/A</v>
      </c>
    </row>
    <row r="553" spans="1:10" x14ac:dyDescent="0.35">
      <c r="A553" t="s">
        <v>76</v>
      </c>
      <c r="B553" t="s">
        <v>77</v>
      </c>
      <c r="C553" t="s">
        <v>13</v>
      </c>
      <c r="D553" t="s">
        <v>153</v>
      </c>
      <c r="E553" t="s">
        <v>65</v>
      </c>
      <c r="F553" s="32">
        <v>12.7353331</v>
      </c>
      <c r="G553" s="23" t="e">
        <v>#N/A</v>
      </c>
      <c r="H553" s="29">
        <v>9.6235175611229407E-2</v>
      </c>
      <c r="I553" s="7" t="e">
        <f t="shared" si="24"/>
        <v>#N/A</v>
      </c>
      <c r="J553" s="7" t="e">
        <f t="shared" si="25"/>
        <v>#N/A</v>
      </c>
    </row>
    <row r="554" spans="1:10" x14ac:dyDescent="0.35">
      <c r="A554" t="s">
        <v>76</v>
      </c>
      <c r="B554" t="s">
        <v>77</v>
      </c>
      <c r="C554" t="s">
        <v>14</v>
      </c>
      <c r="D554" t="s">
        <v>154</v>
      </c>
      <c r="E554" t="s">
        <v>65</v>
      </c>
      <c r="F554" s="32">
        <v>0</v>
      </c>
      <c r="G554" s="23" t="e">
        <v>#N/A</v>
      </c>
      <c r="H554" s="29">
        <v>-4.8591359686952114E-2</v>
      </c>
      <c r="I554" s="7" t="e">
        <f t="shared" si="24"/>
        <v>#N/A</v>
      </c>
      <c r="J554" s="7" t="e">
        <f t="shared" si="25"/>
        <v>#N/A</v>
      </c>
    </row>
    <row r="555" spans="1:10" x14ac:dyDescent="0.35">
      <c r="A555" t="s">
        <v>76</v>
      </c>
      <c r="B555" t="s">
        <v>77</v>
      </c>
      <c r="C555" t="s">
        <v>15</v>
      </c>
      <c r="D555" t="s">
        <v>153</v>
      </c>
      <c r="E555" t="s">
        <v>65</v>
      </c>
      <c r="F555" s="32">
        <v>2400.2797278999997</v>
      </c>
      <c r="G555" s="23">
        <v>41.136294021456379</v>
      </c>
      <c r="H555" s="29">
        <v>125.39666391348774</v>
      </c>
      <c r="I555" s="7">
        <f t="shared" si="24"/>
        <v>41.136294021456379</v>
      </c>
      <c r="J555" s="7">
        <f t="shared" si="25"/>
        <v>73.00140908865373</v>
      </c>
    </row>
    <row r="556" spans="1:10" x14ac:dyDescent="0.35">
      <c r="A556" t="s">
        <v>76</v>
      </c>
      <c r="B556" t="s">
        <v>77</v>
      </c>
      <c r="C556" t="s">
        <v>16</v>
      </c>
      <c r="D556" t="s">
        <v>154</v>
      </c>
      <c r="E556" t="s">
        <v>65</v>
      </c>
      <c r="F556" s="32">
        <v>235.98604349999999</v>
      </c>
      <c r="G556" s="23">
        <v>21.642936509232115</v>
      </c>
      <c r="H556" s="29">
        <v>58.542930655532047</v>
      </c>
      <c r="I556" s="7">
        <f t="shared" si="24"/>
        <v>21.642936509232115</v>
      </c>
      <c r="J556" s="7">
        <f t="shared" si="25"/>
        <v>38.408050593135961</v>
      </c>
    </row>
    <row r="557" spans="1:10" x14ac:dyDescent="0.35">
      <c r="A557" t="s">
        <v>76</v>
      </c>
      <c r="B557" t="s">
        <v>77</v>
      </c>
      <c r="C557" t="s">
        <v>18</v>
      </c>
      <c r="D557" t="s">
        <v>154</v>
      </c>
      <c r="E557" t="s">
        <v>65</v>
      </c>
      <c r="F557" s="32">
        <v>0</v>
      </c>
      <c r="G557" s="23" t="e">
        <v>#N/A</v>
      </c>
      <c r="H557" s="29">
        <v>-3.8394599421117108E-2</v>
      </c>
      <c r="I557" s="7" t="e">
        <f t="shared" si="24"/>
        <v>#N/A</v>
      </c>
      <c r="J557" s="7" t="e">
        <f t="shared" si="25"/>
        <v>#N/A</v>
      </c>
    </row>
    <row r="558" spans="1:10" x14ac:dyDescent="0.35">
      <c r="A558" t="s">
        <v>76</v>
      </c>
      <c r="B558" t="s">
        <v>77</v>
      </c>
      <c r="C558" t="s">
        <v>19</v>
      </c>
      <c r="D558" t="s">
        <v>153</v>
      </c>
      <c r="E558" t="s">
        <v>65</v>
      </c>
      <c r="F558" s="32">
        <v>508.78927429999999</v>
      </c>
      <c r="G558" s="23">
        <v>30.265421146694123</v>
      </c>
      <c r="H558" s="29">
        <v>25.729118154226512</v>
      </c>
      <c r="I558" s="7">
        <f t="shared" si="24"/>
        <v>30.265421146694123</v>
      </c>
      <c r="J558" s="7">
        <f t="shared" si="25"/>
        <v>53.709709222172357</v>
      </c>
    </row>
    <row r="559" spans="1:10" x14ac:dyDescent="0.35">
      <c r="A559" t="s">
        <v>76</v>
      </c>
      <c r="B559" t="s">
        <v>77</v>
      </c>
      <c r="C559" t="s">
        <v>20</v>
      </c>
      <c r="D559" t="s">
        <v>154</v>
      </c>
      <c r="E559" t="s">
        <v>65</v>
      </c>
      <c r="F559" s="32">
        <v>398.91752480000002</v>
      </c>
      <c r="G559" s="23">
        <v>48.650542881280572</v>
      </c>
      <c r="H559" s="29">
        <v>8.5832832386311892</v>
      </c>
      <c r="I559" s="7">
        <f t="shared" si="24"/>
        <v>48.650542881280572</v>
      </c>
      <c r="J559" s="7">
        <f t="shared" si="25"/>
        <v>86.336367136256555</v>
      </c>
    </row>
    <row r="560" spans="1:10" x14ac:dyDescent="0.35">
      <c r="A560" t="s">
        <v>76</v>
      </c>
      <c r="B560" t="s">
        <v>77</v>
      </c>
      <c r="C560" t="s">
        <v>21</v>
      </c>
      <c r="D560" t="s">
        <v>155</v>
      </c>
      <c r="E560" t="s">
        <v>65</v>
      </c>
      <c r="F560" s="32">
        <v>0.34857530000000003</v>
      </c>
      <c r="G560" s="23" t="e">
        <v>#N/A</v>
      </c>
      <c r="H560" s="29">
        <v>9.0036038404962909E-2</v>
      </c>
      <c r="I560" s="7" t="e">
        <f t="shared" si="24"/>
        <v>#N/A</v>
      </c>
      <c r="J560" s="7" t="e">
        <f t="shared" si="25"/>
        <v>#N/A</v>
      </c>
    </row>
    <row r="561" spans="1:10" x14ac:dyDescent="0.35">
      <c r="A561" t="s">
        <v>76</v>
      </c>
      <c r="B561" t="s">
        <v>77</v>
      </c>
      <c r="C561" t="s">
        <v>22</v>
      </c>
      <c r="D561" t="s">
        <v>155</v>
      </c>
      <c r="E561" t="s">
        <v>65</v>
      </c>
      <c r="F561" s="32">
        <v>201.41716920000002</v>
      </c>
      <c r="G561" s="23">
        <v>15.579406349808714</v>
      </c>
      <c r="H561" s="29">
        <v>15.745211301968808</v>
      </c>
      <c r="I561" s="7">
        <f t="shared" si="24"/>
        <v>15.579406349808714</v>
      </c>
      <c r="J561" s="7">
        <f t="shared" si="25"/>
        <v>27.647571162038535</v>
      </c>
    </row>
    <row r="562" spans="1:10" x14ac:dyDescent="0.35">
      <c r="A562" t="s">
        <v>76</v>
      </c>
      <c r="B562" t="s">
        <v>77</v>
      </c>
      <c r="C562" t="s">
        <v>23</v>
      </c>
      <c r="D562" t="s">
        <v>155</v>
      </c>
      <c r="E562" t="s">
        <v>65</v>
      </c>
      <c r="F562" s="32" t="e">
        <v>#N/A</v>
      </c>
      <c r="G562" s="23">
        <v>0.40292852916345179</v>
      </c>
      <c r="H562" s="29">
        <v>2.3175742592899652E-2</v>
      </c>
      <c r="I562" s="7">
        <f t="shared" si="24"/>
        <v>0.40292852916345179</v>
      </c>
      <c r="J562" s="7">
        <f t="shared" si="25"/>
        <v>0.71504619194933772</v>
      </c>
    </row>
    <row r="563" spans="1:10" x14ac:dyDescent="0.35">
      <c r="A563" t="s">
        <v>76</v>
      </c>
      <c r="B563" t="s">
        <v>77</v>
      </c>
      <c r="C563" t="s">
        <v>24</v>
      </c>
      <c r="D563" t="s">
        <v>155</v>
      </c>
      <c r="E563" t="s">
        <v>65</v>
      </c>
      <c r="F563" s="32">
        <v>177.0767367</v>
      </c>
      <c r="G563" s="23">
        <v>3.5953337117202189</v>
      </c>
      <c r="H563" s="29">
        <v>1.3313830489292133</v>
      </c>
      <c r="I563" s="7">
        <f t="shared" si="24"/>
        <v>3.5953337117202189</v>
      </c>
      <c r="J563" s="7">
        <f t="shared" si="25"/>
        <v>6.3803615114821985</v>
      </c>
    </row>
    <row r="564" spans="1:10" x14ac:dyDescent="0.35">
      <c r="A564" t="s">
        <v>76</v>
      </c>
      <c r="B564" t="s">
        <v>77</v>
      </c>
      <c r="C564" t="s">
        <v>25</v>
      </c>
      <c r="D564" t="s">
        <v>155</v>
      </c>
      <c r="E564" t="s">
        <v>65</v>
      </c>
      <c r="F564" s="32">
        <v>9.7597837999999992</v>
      </c>
      <c r="G564" s="23" t="e">
        <v>#N/A</v>
      </c>
      <c r="H564" s="29">
        <v>0.15525759809251247</v>
      </c>
      <c r="I564" s="7" t="e">
        <f t="shared" si="24"/>
        <v>#N/A</v>
      </c>
      <c r="J564" s="7" t="e">
        <f t="shared" si="25"/>
        <v>#N/A</v>
      </c>
    </row>
    <row r="565" spans="1:10" x14ac:dyDescent="0.35">
      <c r="A565" t="s">
        <v>76</v>
      </c>
      <c r="B565" t="s">
        <v>77</v>
      </c>
      <c r="C565" t="s">
        <v>26</v>
      </c>
      <c r="D565" t="s">
        <v>153</v>
      </c>
      <c r="E565" t="s">
        <v>65</v>
      </c>
      <c r="F565" s="32">
        <v>6.3919606999999994</v>
      </c>
      <c r="G565" s="23">
        <v>0.50108107629288623</v>
      </c>
      <c r="H565" s="29">
        <v>4.3064999325443463E-2</v>
      </c>
      <c r="I565" s="7">
        <f t="shared" si="24"/>
        <v>0.50108107629288623</v>
      </c>
      <c r="J565" s="7">
        <f t="shared" si="25"/>
        <v>0.88922994905569874</v>
      </c>
    </row>
    <row r="566" spans="1:10" x14ac:dyDescent="0.35">
      <c r="A566" t="s">
        <v>76</v>
      </c>
      <c r="B566" t="s">
        <v>77</v>
      </c>
      <c r="C566" t="s">
        <v>27</v>
      </c>
      <c r="D566" t="s">
        <v>154</v>
      </c>
      <c r="E566" t="s">
        <v>65</v>
      </c>
      <c r="F566" s="32">
        <v>8.7549446</v>
      </c>
      <c r="G566" s="23">
        <v>4.8268316758192933</v>
      </c>
      <c r="H566" s="29">
        <v>3.0641040198885259</v>
      </c>
      <c r="I566" s="7">
        <f t="shared" si="24"/>
        <v>4.8268316758192933</v>
      </c>
      <c r="J566" s="7">
        <f t="shared" si="25"/>
        <v>8.565805990806199</v>
      </c>
    </row>
    <row r="567" spans="1:10" x14ac:dyDescent="0.35">
      <c r="A567" t="s">
        <v>76</v>
      </c>
      <c r="B567" t="s">
        <v>77</v>
      </c>
      <c r="C567" t="s">
        <v>28</v>
      </c>
      <c r="D567" t="s">
        <v>155</v>
      </c>
      <c r="E567" t="s">
        <v>65</v>
      </c>
      <c r="F567" s="32">
        <v>26.735094799999999</v>
      </c>
      <c r="G567" s="23">
        <v>3.4563505936621555</v>
      </c>
      <c r="H567" s="29">
        <v>7.2428114193840267</v>
      </c>
      <c r="I567" s="7">
        <f t="shared" si="24"/>
        <v>3.4563505936621555</v>
      </c>
      <c r="J567" s="7">
        <f t="shared" si="25"/>
        <v>6.1337188884865226</v>
      </c>
    </row>
    <row r="568" spans="1:10" x14ac:dyDescent="0.35">
      <c r="A568" t="s">
        <v>76</v>
      </c>
      <c r="B568" t="s">
        <v>77</v>
      </c>
      <c r="C568" t="s">
        <v>29</v>
      </c>
      <c r="D568" t="s">
        <v>155</v>
      </c>
      <c r="E568" t="s">
        <v>65</v>
      </c>
      <c r="F568" s="32" t="e">
        <v>#N/A</v>
      </c>
      <c r="G568" s="23">
        <v>0.36890794139482486</v>
      </c>
      <c r="H568" s="29">
        <v>9.2545763527620145E-2</v>
      </c>
      <c r="I568" s="7">
        <f t="shared" si="24"/>
        <v>0.36890794139482486</v>
      </c>
      <c r="J568" s="7">
        <f t="shared" si="25"/>
        <v>0.65467247807422335</v>
      </c>
    </row>
    <row r="569" spans="1:10" x14ac:dyDescent="0.35">
      <c r="A569" t="s">
        <v>76</v>
      </c>
      <c r="B569" t="s">
        <v>77</v>
      </c>
      <c r="C569" t="s">
        <v>30</v>
      </c>
      <c r="D569" t="s">
        <v>155</v>
      </c>
      <c r="E569" t="s">
        <v>65</v>
      </c>
      <c r="F569" s="32">
        <v>201.34779139999998</v>
      </c>
      <c r="G569" s="23">
        <v>6.3050816830868204</v>
      </c>
      <c r="H569" s="29">
        <v>18.501385412703765</v>
      </c>
      <c r="I569" s="7">
        <f t="shared" si="24"/>
        <v>6.3050816830868204</v>
      </c>
      <c r="J569" s="7">
        <f t="shared" si="25"/>
        <v>11.189142294741474</v>
      </c>
    </row>
    <row r="570" spans="1:10" x14ac:dyDescent="0.35">
      <c r="A570" t="s">
        <v>76</v>
      </c>
      <c r="B570" t="s">
        <v>77</v>
      </c>
      <c r="C570" t="s">
        <v>31</v>
      </c>
      <c r="D570" t="s">
        <v>155</v>
      </c>
      <c r="E570" t="s">
        <v>65</v>
      </c>
      <c r="F570" s="32" t="e">
        <v>#N/A</v>
      </c>
      <c r="G570" s="23" t="e">
        <v>#N/A</v>
      </c>
      <c r="H570" s="29">
        <v>8.2735905389192801E-2</v>
      </c>
      <c r="I570" s="7" t="e">
        <f t="shared" si="24"/>
        <v>#N/A</v>
      </c>
      <c r="J570" s="7" t="e">
        <f t="shared" si="25"/>
        <v>#N/A</v>
      </c>
    </row>
    <row r="571" spans="1:10" x14ac:dyDescent="0.35">
      <c r="A571" t="s">
        <v>76</v>
      </c>
      <c r="B571" t="s">
        <v>77</v>
      </c>
      <c r="C571" t="s">
        <v>32</v>
      </c>
      <c r="D571" t="s">
        <v>153</v>
      </c>
      <c r="E571" t="s">
        <v>65</v>
      </c>
      <c r="F571" s="32">
        <v>0</v>
      </c>
      <c r="G571" s="23" t="e">
        <v>#N/A</v>
      </c>
      <c r="H571" s="29">
        <v>5.5470144929464373E-2</v>
      </c>
      <c r="I571" s="7" t="e">
        <f t="shared" si="24"/>
        <v>#N/A</v>
      </c>
      <c r="J571" s="7" t="e">
        <f t="shared" si="25"/>
        <v>#N/A</v>
      </c>
    </row>
    <row r="572" spans="1:10" x14ac:dyDescent="0.35">
      <c r="A572" t="s">
        <v>76</v>
      </c>
      <c r="B572" t="s">
        <v>77</v>
      </c>
      <c r="C572" t="s">
        <v>33</v>
      </c>
      <c r="D572" t="s">
        <v>155</v>
      </c>
      <c r="E572" t="s">
        <v>65</v>
      </c>
      <c r="F572" s="32">
        <v>178.7790397</v>
      </c>
      <c r="G572" s="23">
        <v>7.1443967967910771</v>
      </c>
      <c r="H572" s="29">
        <v>7.1484647912351198</v>
      </c>
      <c r="I572" s="7">
        <f t="shared" si="24"/>
        <v>7.1443967967910771</v>
      </c>
      <c r="J572" s="7">
        <f t="shared" si="25"/>
        <v>12.67861010965586</v>
      </c>
    </row>
    <row r="573" spans="1:10" x14ac:dyDescent="0.35">
      <c r="A573" t="s">
        <v>76</v>
      </c>
      <c r="B573" t="s">
        <v>77</v>
      </c>
      <c r="C573" t="s">
        <v>34</v>
      </c>
      <c r="D573" t="s">
        <v>153</v>
      </c>
      <c r="E573" t="s">
        <v>65</v>
      </c>
      <c r="F573" s="32">
        <v>0</v>
      </c>
      <c r="G573" s="23" t="e">
        <v>#N/A</v>
      </c>
      <c r="H573" s="29">
        <v>-0.17101173652556492</v>
      </c>
      <c r="I573" s="7" t="e">
        <f t="shared" si="24"/>
        <v>#N/A</v>
      </c>
      <c r="J573" s="7" t="e">
        <f t="shared" si="25"/>
        <v>#N/A</v>
      </c>
    </row>
    <row r="574" spans="1:10" x14ac:dyDescent="0.35">
      <c r="A574" t="s">
        <v>76</v>
      </c>
      <c r="B574" t="s">
        <v>77</v>
      </c>
      <c r="C574" t="s">
        <v>35</v>
      </c>
      <c r="D574" t="s">
        <v>154</v>
      </c>
      <c r="E574" t="s">
        <v>65</v>
      </c>
      <c r="F574" s="32">
        <v>122.6897874</v>
      </c>
      <c r="G574" s="23">
        <v>8.9992558548432928</v>
      </c>
      <c r="H574" s="29">
        <v>28.505336869773366</v>
      </c>
      <c r="I574" s="7">
        <f t="shared" si="24"/>
        <v>8.9992558548432928</v>
      </c>
      <c r="J574" s="7">
        <f t="shared" si="25"/>
        <v>15.970285456687298</v>
      </c>
    </row>
    <row r="575" spans="1:10" x14ac:dyDescent="0.35">
      <c r="A575" t="s">
        <v>76</v>
      </c>
      <c r="B575" t="s">
        <v>77</v>
      </c>
      <c r="C575" t="s">
        <v>36</v>
      </c>
      <c r="D575" t="s">
        <v>155</v>
      </c>
      <c r="E575" t="s">
        <v>65</v>
      </c>
      <c r="F575" s="32">
        <v>1.9588975</v>
      </c>
      <c r="G575" s="23" t="e">
        <v>#N/A</v>
      </c>
      <c r="H575" s="29">
        <v>0.1477643007210441</v>
      </c>
      <c r="I575" s="7" t="e">
        <f t="shared" si="24"/>
        <v>#N/A</v>
      </c>
      <c r="J575" s="7" t="e">
        <f t="shared" si="25"/>
        <v>#N/A</v>
      </c>
    </row>
    <row r="576" spans="1:10" x14ac:dyDescent="0.35">
      <c r="A576" t="s">
        <v>76</v>
      </c>
      <c r="B576" t="s">
        <v>77</v>
      </c>
      <c r="C576" t="s">
        <v>37</v>
      </c>
      <c r="D576" t="s">
        <v>155</v>
      </c>
      <c r="E576" t="s">
        <v>65</v>
      </c>
      <c r="F576" s="32">
        <v>5.0671295000000001</v>
      </c>
      <c r="G576" s="23">
        <v>1.2488334514519805</v>
      </c>
      <c r="H576" s="29">
        <v>1.6439957275161516</v>
      </c>
      <c r="I576" s="7">
        <f t="shared" si="24"/>
        <v>1.2488334514519805</v>
      </c>
      <c r="J576" s="7">
        <f t="shared" si="25"/>
        <v>2.216208432035458</v>
      </c>
    </row>
    <row r="577" spans="1:10" x14ac:dyDescent="0.35">
      <c r="A577" t="s">
        <v>76</v>
      </c>
      <c r="B577" t="s">
        <v>77</v>
      </c>
      <c r="C577" t="s">
        <v>38</v>
      </c>
      <c r="D577" t="s">
        <v>155</v>
      </c>
      <c r="E577" t="s">
        <v>65</v>
      </c>
      <c r="F577" s="32">
        <v>4.9528833000000008</v>
      </c>
      <c r="G577" s="23">
        <v>0.40085476525285069</v>
      </c>
      <c r="H577" s="29">
        <v>0.62991881867878241</v>
      </c>
      <c r="I577" s="7">
        <f t="shared" si="24"/>
        <v>0.40085476525285069</v>
      </c>
      <c r="J577" s="7">
        <f t="shared" si="25"/>
        <v>0.711366043039664</v>
      </c>
    </row>
    <row r="578" spans="1:10" x14ac:dyDescent="0.35">
      <c r="A578" t="s">
        <v>76</v>
      </c>
      <c r="B578" t="s">
        <v>77</v>
      </c>
      <c r="C578" t="s">
        <v>39</v>
      </c>
      <c r="D578" t="s">
        <v>153</v>
      </c>
      <c r="E578" t="s">
        <v>65</v>
      </c>
      <c r="F578" s="32">
        <v>13.239547</v>
      </c>
      <c r="G578" s="23" t="e">
        <v>#N/A</v>
      </c>
      <c r="H578" s="29">
        <v>-0.42657247387253072</v>
      </c>
      <c r="I578" s="7" t="e">
        <f t="shared" ref="I578:I641" si="26">IF(G578&lt;0,0,G578)</f>
        <v>#N/A</v>
      </c>
      <c r="J578" s="7" t="e">
        <f t="shared" si="25"/>
        <v>#N/A</v>
      </c>
    </row>
    <row r="579" spans="1:10" s="19" customFormat="1" x14ac:dyDescent="0.35">
      <c r="A579" s="19" t="s">
        <v>76</v>
      </c>
      <c r="B579" s="19" t="s">
        <v>77</v>
      </c>
      <c r="C579" s="19" t="s">
        <v>40</v>
      </c>
      <c r="D579" s="19" t="s">
        <v>154</v>
      </c>
      <c r="E579" s="19" t="s">
        <v>65</v>
      </c>
      <c r="F579" s="33">
        <v>0</v>
      </c>
      <c r="G579" s="24" t="e">
        <v>#N/A</v>
      </c>
      <c r="H579" s="30">
        <v>9.2869916525957302E-2</v>
      </c>
      <c r="I579" s="21" t="e">
        <f t="shared" si="26"/>
        <v>#N/A</v>
      </c>
      <c r="J579" s="21" t="e">
        <f t="shared" si="25"/>
        <v>#N/A</v>
      </c>
    </row>
    <row r="580" spans="1:10" x14ac:dyDescent="0.35">
      <c r="A580" t="s">
        <v>78</v>
      </c>
      <c r="B580" t="s">
        <v>79</v>
      </c>
      <c r="C580" t="s">
        <v>6</v>
      </c>
      <c r="D580" t="s">
        <v>153</v>
      </c>
      <c r="E580" t="s">
        <v>65</v>
      </c>
      <c r="F580" s="32">
        <v>7.0599457000000001</v>
      </c>
      <c r="G580" s="23" t="e">
        <v>#N/A</v>
      </c>
      <c r="H580" s="29">
        <v>0.75117443680012785</v>
      </c>
      <c r="I580" s="7" t="e">
        <f t="shared" si="26"/>
        <v>#N/A</v>
      </c>
      <c r="J580" s="7" t="e">
        <f>I580/0.73</f>
        <v>#N/A</v>
      </c>
    </row>
    <row r="581" spans="1:10" x14ac:dyDescent="0.35">
      <c r="A581" t="s">
        <v>78</v>
      </c>
      <c r="B581" t="s">
        <v>79</v>
      </c>
      <c r="C581" t="s">
        <v>7</v>
      </c>
      <c r="D581" t="s">
        <v>153</v>
      </c>
      <c r="E581" t="s">
        <v>65</v>
      </c>
      <c r="F581" s="32">
        <v>0</v>
      </c>
      <c r="G581" s="23" t="e">
        <v>#N/A</v>
      </c>
      <c r="H581" s="29">
        <v>-0.10762313167736817</v>
      </c>
      <c r="I581" s="7" t="e">
        <f t="shared" si="26"/>
        <v>#N/A</v>
      </c>
      <c r="J581" s="7" t="e">
        <f t="shared" ref="J581:J613" si="27">I581/0.73</f>
        <v>#N/A</v>
      </c>
    </row>
    <row r="582" spans="1:10" x14ac:dyDescent="0.35">
      <c r="A582" t="s">
        <v>78</v>
      </c>
      <c r="B582" t="s">
        <v>79</v>
      </c>
      <c r="C582" t="s">
        <v>8</v>
      </c>
      <c r="D582" t="s">
        <v>153</v>
      </c>
      <c r="E582" t="s">
        <v>65</v>
      </c>
      <c r="F582" s="32" t="e">
        <v>#N/A</v>
      </c>
      <c r="G582" s="23" t="e">
        <v>#N/A</v>
      </c>
      <c r="H582" s="29">
        <v>-4.3566760953661902E-2</v>
      </c>
      <c r="I582" s="7" t="e">
        <f t="shared" si="26"/>
        <v>#N/A</v>
      </c>
      <c r="J582" s="7" t="e">
        <f t="shared" si="27"/>
        <v>#N/A</v>
      </c>
    </row>
    <row r="583" spans="1:10" x14ac:dyDescent="0.35">
      <c r="A583" t="s">
        <v>78</v>
      </c>
      <c r="B583" t="s">
        <v>79</v>
      </c>
      <c r="C583" t="s">
        <v>9</v>
      </c>
      <c r="D583" t="s">
        <v>153</v>
      </c>
      <c r="E583" t="s">
        <v>65</v>
      </c>
      <c r="F583" s="32">
        <v>2.4583841000000004</v>
      </c>
      <c r="G583" s="23" t="e">
        <v>#N/A</v>
      </c>
      <c r="H583" s="29">
        <v>-0.39600913138042593</v>
      </c>
      <c r="I583" s="7" t="e">
        <f t="shared" si="26"/>
        <v>#N/A</v>
      </c>
      <c r="J583" s="7" t="e">
        <f t="shared" si="27"/>
        <v>#N/A</v>
      </c>
    </row>
    <row r="584" spans="1:10" x14ac:dyDescent="0.35">
      <c r="A584" t="s">
        <v>78</v>
      </c>
      <c r="B584" t="s">
        <v>79</v>
      </c>
      <c r="C584" t="s">
        <v>10</v>
      </c>
      <c r="D584" t="s">
        <v>153</v>
      </c>
      <c r="E584" t="s">
        <v>65</v>
      </c>
      <c r="F584" s="32">
        <v>74.712324900000013</v>
      </c>
      <c r="G584" s="23" t="e">
        <v>#N/A</v>
      </c>
      <c r="H584" s="29">
        <v>-9.4757222144732645E-2</v>
      </c>
      <c r="I584" s="7" t="e">
        <f t="shared" si="26"/>
        <v>#N/A</v>
      </c>
      <c r="J584" s="7" t="e">
        <f t="shared" si="27"/>
        <v>#N/A</v>
      </c>
    </row>
    <row r="585" spans="1:10" x14ac:dyDescent="0.35">
      <c r="A585" t="s">
        <v>78</v>
      </c>
      <c r="B585" t="s">
        <v>79</v>
      </c>
      <c r="C585" t="s">
        <v>11</v>
      </c>
      <c r="D585" t="s">
        <v>153</v>
      </c>
      <c r="E585" t="s">
        <v>65</v>
      </c>
      <c r="F585" s="32">
        <v>54.893558499999997</v>
      </c>
      <c r="G585" s="23">
        <v>0.42824206345929677</v>
      </c>
      <c r="H585" s="29">
        <v>1.4364054145411098</v>
      </c>
      <c r="I585" s="7">
        <f t="shared" si="26"/>
        <v>0.42824206345929677</v>
      </c>
      <c r="J585" s="7">
        <f t="shared" si="27"/>
        <v>0.58663296364287232</v>
      </c>
    </row>
    <row r="586" spans="1:10" x14ac:dyDescent="0.35">
      <c r="A586" t="s">
        <v>78</v>
      </c>
      <c r="B586" t="s">
        <v>79</v>
      </c>
      <c r="C586" t="s">
        <v>12</v>
      </c>
      <c r="D586" t="s">
        <v>154</v>
      </c>
      <c r="E586" t="s">
        <v>65</v>
      </c>
      <c r="F586" s="32">
        <v>0</v>
      </c>
      <c r="G586" s="23" t="e">
        <v>#N/A</v>
      </c>
      <c r="H586" s="29">
        <v>-7.7372958748123125E-2</v>
      </c>
      <c r="I586" s="7" t="e">
        <f t="shared" si="26"/>
        <v>#N/A</v>
      </c>
      <c r="J586" s="7" t="e">
        <f t="shared" si="27"/>
        <v>#N/A</v>
      </c>
    </row>
    <row r="587" spans="1:10" x14ac:dyDescent="0.35">
      <c r="A587" t="s">
        <v>78</v>
      </c>
      <c r="B587" t="s">
        <v>79</v>
      </c>
      <c r="C587" t="s">
        <v>13</v>
      </c>
      <c r="D587" t="s">
        <v>153</v>
      </c>
      <c r="E587" t="s">
        <v>65</v>
      </c>
      <c r="F587" s="32">
        <v>6.449668</v>
      </c>
      <c r="G587" s="23" t="e">
        <v>#N/A</v>
      </c>
      <c r="H587" s="29">
        <v>0.15112966138850178</v>
      </c>
      <c r="I587" s="7" t="e">
        <f t="shared" si="26"/>
        <v>#N/A</v>
      </c>
      <c r="J587" s="7" t="e">
        <f t="shared" si="27"/>
        <v>#N/A</v>
      </c>
    </row>
    <row r="588" spans="1:10" x14ac:dyDescent="0.35">
      <c r="A588" t="s">
        <v>78</v>
      </c>
      <c r="B588" t="s">
        <v>79</v>
      </c>
      <c r="C588" t="s">
        <v>14</v>
      </c>
      <c r="D588" t="s">
        <v>154</v>
      </c>
      <c r="E588" t="s">
        <v>65</v>
      </c>
      <c r="F588" s="32">
        <v>0</v>
      </c>
      <c r="G588" s="23" t="e">
        <v>#N/A</v>
      </c>
      <c r="H588" s="29">
        <v>0.33808768798767713</v>
      </c>
      <c r="I588" s="7" t="e">
        <f t="shared" si="26"/>
        <v>#N/A</v>
      </c>
      <c r="J588" s="7" t="e">
        <f t="shared" si="27"/>
        <v>#N/A</v>
      </c>
    </row>
    <row r="589" spans="1:10" x14ac:dyDescent="0.35">
      <c r="A589" t="s">
        <v>78</v>
      </c>
      <c r="B589" t="s">
        <v>79</v>
      </c>
      <c r="C589" t="s">
        <v>15</v>
      </c>
      <c r="D589" t="s">
        <v>153</v>
      </c>
      <c r="E589" t="s">
        <v>65</v>
      </c>
      <c r="F589" s="32">
        <v>2264.3087267000001</v>
      </c>
      <c r="G589" s="23">
        <v>53.939004509695529</v>
      </c>
      <c r="H589" s="29">
        <v>166.03684624309358</v>
      </c>
      <c r="I589" s="7">
        <f t="shared" si="26"/>
        <v>53.939004509695529</v>
      </c>
      <c r="J589" s="7">
        <f t="shared" si="27"/>
        <v>73.889047273555519</v>
      </c>
    </row>
    <row r="590" spans="1:10" x14ac:dyDescent="0.35">
      <c r="A590" t="s">
        <v>78</v>
      </c>
      <c r="B590" t="s">
        <v>79</v>
      </c>
      <c r="C590" t="s">
        <v>16</v>
      </c>
      <c r="D590" t="s">
        <v>154</v>
      </c>
      <c r="E590" t="s">
        <v>65</v>
      </c>
      <c r="F590" s="32">
        <v>264.58078869999997</v>
      </c>
      <c r="G590" s="23">
        <v>32.565615554398065</v>
      </c>
      <c r="H590" s="29">
        <v>91.785145246943628</v>
      </c>
      <c r="I590" s="7">
        <f t="shared" si="26"/>
        <v>32.565615554398065</v>
      </c>
      <c r="J590" s="7">
        <f t="shared" si="27"/>
        <v>44.610432266298723</v>
      </c>
    </row>
    <row r="591" spans="1:10" x14ac:dyDescent="0.35">
      <c r="A591" t="s">
        <v>78</v>
      </c>
      <c r="B591" t="s">
        <v>79</v>
      </c>
      <c r="C591" t="s">
        <v>18</v>
      </c>
      <c r="D591" t="s">
        <v>154</v>
      </c>
      <c r="E591" t="s">
        <v>65</v>
      </c>
      <c r="F591" s="32">
        <v>0</v>
      </c>
      <c r="G591" s="23" t="e">
        <v>#N/A</v>
      </c>
      <c r="H591" s="29">
        <v>-4.1800567275766115E-2</v>
      </c>
      <c r="I591" s="7" t="e">
        <f t="shared" si="26"/>
        <v>#N/A</v>
      </c>
      <c r="J591" s="7" t="e">
        <f t="shared" si="27"/>
        <v>#N/A</v>
      </c>
    </row>
    <row r="592" spans="1:10" x14ac:dyDescent="0.35">
      <c r="A592" t="s">
        <v>78</v>
      </c>
      <c r="B592" t="s">
        <v>79</v>
      </c>
      <c r="C592" t="s">
        <v>19</v>
      </c>
      <c r="D592" t="s">
        <v>153</v>
      </c>
      <c r="E592" t="s">
        <v>65</v>
      </c>
      <c r="F592" s="32">
        <v>466.23439809999996</v>
      </c>
      <c r="G592" s="23">
        <v>34.855429448654441</v>
      </c>
      <c r="H592" s="29">
        <v>29.805424881581391</v>
      </c>
      <c r="I592" s="7">
        <f t="shared" si="26"/>
        <v>34.855429448654441</v>
      </c>
      <c r="J592" s="7">
        <f t="shared" si="27"/>
        <v>47.747163628293755</v>
      </c>
    </row>
    <row r="593" spans="1:10" x14ac:dyDescent="0.35">
      <c r="A593" t="s">
        <v>78</v>
      </c>
      <c r="B593" t="s">
        <v>79</v>
      </c>
      <c r="C593" t="s">
        <v>20</v>
      </c>
      <c r="D593" t="s">
        <v>154</v>
      </c>
      <c r="E593" t="s">
        <v>65</v>
      </c>
      <c r="F593" s="32">
        <v>323.44556969999996</v>
      </c>
      <c r="G593" s="23">
        <v>55.294394435103158</v>
      </c>
      <c r="H593" s="29">
        <v>124.20566754728338</v>
      </c>
      <c r="I593" s="7">
        <f t="shared" si="26"/>
        <v>55.294394435103158</v>
      </c>
      <c r="J593" s="7">
        <f t="shared" si="27"/>
        <v>75.745745801511177</v>
      </c>
    </row>
    <row r="594" spans="1:10" x14ac:dyDescent="0.35">
      <c r="A594" t="s">
        <v>78</v>
      </c>
      <c r="B594" t="s">
        <v>79</v>
      </c>
      <c r="C594" t="s">
        <v>21</v>
      </c>
      <c r="D594" t="s">
        <v>155</v>
      </c>
      <c r="E594" t="s">
        <v>65</v>
      </c>
      <c r="F594" s="32">
        <v>0.24411289999999999</v>
      </c>
      <c r="G594" s="23" t="e">
        <v>#N/A</v>
      </c>
      <c r="H594" s="29">
        <v>8.8532967514466224E-2</v>
      </c>
      <c r="I594" s="7" t="e">
        <f t="shared" si="26"/>
        <v>#N/A</v>
      </c>
      <c r="J594" s="7" t="e">
        <f t="shared" si="27"/>
        <v>#N/A</v>
      </c>
    </row>
    <row r="595" spans="1:10" x14ac:dyDescent="0.35">
      <c r="A595" t="s">
        <v>78</v>
      </c>
      <c r="B595" t="s">
        <v>79</v>
      </c>
      <c r="C595" t="s">
        <v>22</v>
      </c>
      <c r="D595" t="s">
        <v>155</v>
      </c>
      <c r="E595" t="s">
        <v>65</v>
      </c>
      <c r="F595" s="32">
        <v>174.77678969999999</v>
      </c>
      <c r="G595" s="23">
        <v>21.917082263146902</v>
      </c>
      <c r="H595" s="29">
        <v>34.850558932431284</v>
      </c>
      <c r="I595" s="7">
        <f t="shared" si="26"/>
        <v>21.917082263146902</v>
      </c>
      <c r="J595" s="7">
        <f t="shared" si="27"/>
        <v>30.023400360475208</v>
      </c>
    </row>
    <row r="596" spans="1:10" x14ac:dyDescent="0.35">
      <c r="A596" t="s">
        <v>78</v>
      </c>
      <c r="B596" t="s">
        <v>79</v>
      </c>
      <c r="C596" t="s">
        <v>23</v>
      </c>
      <c r="D596" t="s">
        <v>155</v>
      </c>
      <c r="E596" t="s">
        <v>65</v>
      </c>
      <c r="F596" s="32">
        <v>0.23757639999999999</v>
      </c>
      <c r="G596" s="23">
        <v>1.3441501185678777</v>
      </c>
      <c r="H596" s="29">
        <v>2.132250745718418E-2</v>
      </c>
      <c r="I596" s="7">
        <f t="shared" si="26"/>
        <v>1.3441501185678777</v>
      </c>
      <c r="J596" s="7">
        <f t="shared" si="27"/>
        <v>1.8413015322847641</v>
      </c>
    </row>
    <row r="597" spans="1:10" x14ac:dyDescent="0.35">
      <c r="A597" t="s">
        <v>78</v>
      </c>
      <c r="B597" t="s">
        <v>79</v>
      </c>
      <c r="C597" t="s">
        <v>24</v>
      </c>
      <c r="D597" t="s">
        <v>155</v>
      </c>
      <c r="E597" t="s">
        <v>65</v>
      </c>
      <c r="F597" s="32">
        <v>108.2591523</v>
      </c>
      <c r="G597" s="23">
        <v>6.2199432809022781</v>
      </c>
      <c r="H597" s="29">
        <v>4.7513407282139406</v>
      </c>
      <c r="I597" s="7">
        <f t="shared" si="26"/>
        <v>6.2199432809022781</v>
      </c>
      <c r="J597" s="7">
        <f t="shared" si="27"/>
        <v>8.5204702478113408</v>
      </c>
    </row>
    <row r="598" spans="1:10" x14ac:dyDescent="0.35">
      <c r="A598" t="s">
        <v>78</v>
      </c>
      <c r="B598" t="s">
        <v>79</v>
      </c>
      <c r="C598" t="s">
        <v>25</v>
      </c>
      <c r="D598" t="s">
        <v>155</v>
      </c>
      <c r="E598" t="s">
        <v>65</v>
      </c>
      <c r="F598" s="32">
        <v>0.29718720000000004</v>
      </c>
      <c r="G598" s="23">
        <v>1.731852439661103</v>
      </c>
      <c r="H598" s="29">
        <v>0.81979991795224405</v>
      </c>
      <c r="I598" s="7">
        <f t="shared" si="26"/>
        <v>1.731852439661103</v>
      </c>
      <c r="J598" s="7">
        <f t="shared" si="27"/>
        <v>2.3724006022754835</v>
      </c>
    </row>
    <row r="599" spans="1:10" x14ac:dyDescent="0.35">
      <c r="A599" t="s">
        <v>78</v>
      </c>
      <c r="B599" t="s">
        <v>79</v>
      </c>
      <c r="C599" t="s">
        <v>26</v>
      </c>
      <c r="D599" t="s">
        <v>153</v>
      </c>
      <c r="E599" t="s">
        <v>65</v>
      </c>
      <c r="F599" s="32">
        <v>1.6299003000000001</v>
      </c>
      <c r="G599" s="23"/>
      <c r="H599" s="29">
        <v>-3.9763957665114022E-2</v>
      </c>
      <c r="I599" s="7">
        <f t="shared" si="26"/>
        <v>0</v>
      </c>
      <c r="J599" s="7">
        <f t="shared" si="27"/>
        <v>0</v>
      </c>
    </row>
    <row r="600" spans="1:10" x14ac:dyDescent="0.35">
      <c r="A600" t="s">
        <v>78</v>
      </c>
      <c r="B600" t="s">
        <v>79</v>
      </c>
      <c r="C600" t="s">
        <v>27</v>
      </c>
      <c r="D600" t="s">
        <v>154</v>
      </c>
      <c r="E600" t="s">
        <v>65</v>
      </c>
      <c r="F600" s="32">
        <v>9.4087100000000007E-2</v>
      </c>
      <c r="G600" s="23">
        <v>5.2518815145917586</v>
      </c>
      <c r="H600" s="29">
        <v>5.6961450571238226</v>
      </c>
      <c r="I600" s="7">
        <f t="shared" si="26"/>
        <v>5.2518815145917586</v>
      </c>
      <c r="J600" s="7">
        <f t="shared" si="27"/>
        <v>7.1943582391667924</v>
      </c>
    </row>
    <row r="601" spans="1:10" x14ac:dyDescent="0.35">
      <c r="A601" t="s">
        <v>78</v>
      </c>
      <c r="B601" t="s">
        <v>79</v>
      </c>
      <c r="C601" t="s">
        <v>28</v>
      </c>
      <c r="D601" t="s">
        <v>155</v>
      </c>
      <c r="E601" t="s">
        <v>65</v>
      </c>
      <c r="F601" s="32">
        <v>33.724539499999999</v>
      </c>
      <c r="G601" s="23">
        <v>6.7917954140569803</v>
      </c>
      <c r="H601" s="29">
        <v>9.9463266570758115</v>
      </c>
      <c r="I601" s="7">
        <f t="shared" si="26"/>
        <v>6.7917954140569803</v>
      </c>
      <c r="J601" s="7">
        <f t="shared" si="27"/>
        <v>9.3038293343246306</v>
      </c>
    </row>
    <row r="602" spans="1:10" x14ac:dyDescent="0.35">
      <c r="A602" t="s">
        <v>78</v>
      </c>
      <c r="B602" t="s">
        <v>79</v>
      </c>
      <c r="C602" t="s">
        <v>29</v>
      </c>
      <c r="D602" t="s">
        <v>155</v>
      </c>
      <c r="E602" t="s">
        <v>65</v>
      </c>
      <c r="F602" s="32">
        <v>0.41930090000000003</v>
      </c>
      <c r="G602" s="23">
        <v>1.8890043166842476</v>
      </c>
      <c r="H602" s="29">
        <v>8.9991371227238368E-2</v>
      </c>
      <c r="I602" s="7">
        <f t="shared" si="26"/>
        <v>1.8890043166842476</v>
      </c>
      <c r="J602" s="7">
        <f t="shared" si="27"/>
        <v>2.5876771461428052</v>
      </c>
    </row>
    <row r="603" spans="1:10" x14ac:dyDescent="0.35">
      <c r="A603" t="s">
        <v>78</v>
      </c>
      <c r="B603" t="s">
        <v>79</v>
      </c>
      <c r="C603" t="s">
        <v>30</v>
      </c>
      <c r="D603" t="s">
        <v>155</v>
      </c>
      <c r="E603" t="s">
        <v>65</v>
      </c>
      <c r="F603" s="32">
        <v>210.168442</v>
      </c>
      <c r="G603" s="23">
        <v>14.81770023091272</v>
      </c>
      <c r="H603" s="29">
        <v>19.511629792393737</v>
      </c>
      <c r="I603" s="7">
        <f t="shared" si="26"/>
        <v>14.81770023091272</v>
      </c>
      <c r="J603" s="7">
        <f t="shared" si="27"/>
        <v>20.298219494400989</v>
      </c>
    </row>
    <row r="604" spans="1:10" x14ac:dyDescent="0.35">
      <c r="A604" t="s">
        <v>78</v>
      </c>
      <c r="B604" t="s">
        <v>79</v>
      </c>
      <c r="C604" t="s">
        <v>31</v>
      </c>
      <c r="D604" t="s">
        <v>155</v>
      </c>
      <c r="E604" t="s">
        <v>65</v>
      </c>
      <c r="F604" s="32" t="e">
        <v>#N/A</v>
      </c>
      <c r="G604" s="23" t="e">
        <v>#N/A</v>
      </c>
      <c r="H604" s="29">
        <v>6.9794493989918563E-2</v>
      </c>
      <c r="I604" s="7" t="e">
        <f t="shared" si="26"/>
        <v>#N/A</v>
      </c>
      <c r="J604" s="7" t="e">
        <f t="shared" si="27"/>
        <v>#N/A</v>
      </c>
    </row>
    <row r="605" spans="1:10" x14ac:dyDescent="0.35">
      <c r="A605" t="s">
        <v>78</v>
      </c>
      <c r="B605" t="s">
        <v>79</v>
      </c>
      <c r="C605" t="s">
        <v>32</v>
      </c>
      <c r="D605" t="s">
        <v>153</v>
      </c>
      <c r="E605" t="s">
        <v>65</v>
      </c>
      <c r="F605" s="32">
        <v>0</v>
      </c>
      <c r="G605" s="23" t="e">
        <v>#N/A</v>
      </c>
      <c r="H605" s="29">
        <v>4.4354106624862541E-2</v>
      </c>
      <c r="I605" s="7" t="e">
        <f t="shared" si="26"/>
        <v>#N/A</v>
      </c>
      <c r="J605" s="7" t="e">
        <f t="shared" si="27"/>
        <v>#N/A</v>
      </c>
    </row>
    <row r="606" spans="1:10" x14ac:dyDescent="0.35">
      <c r="A606" t="s">
        <v>78</v>
      </c>
      <c r="B606" t="s">
        <v>79</v>
      </c>
      <c r="C606" t="s">
        <v>33</v>
      </c>
      <c r="D606" t="s">
        <v>155</v>
      </c>
      <c r="E606" t="s">
        <v>65</v>
      </c>
      <c r="F606" s="32">
        <v>175.02227770000002</v>
      </c>
      <c r="G606" s="23">
        <v>17.254703336818316</v>
      </c>
      <c r="H606" s="29">
        <v>8.71827919216887</v>
      </c>
      <c r="I606" s="7">
        <f t="shared" si="26"/>
        <v>17.254703336818316</v>
      </c>
      <c r="J606" s="7">
        <f t="shared" si="27"/>
        <v>23.636579913449751</v>
      </c>
    </row>
    <row r="607" spans="1:10" x14ac:dyDescent="0.35">
      <c r="A607" t="s">
        <v>78</v>
      </c>
      <c r="B607" t="s">
        <v>79</v>
      </c>
      <c r="C607" t="s">
        <v>34</v>
      </c>
      <c r="D607" t="s">
        <v>153</v>
      </c>
      <c r="E607" t="s">
        <v>65</v>
      </c>
      <c r="F607" s="32">
        <v>0</v>
      </c>
      <c r="G607" s="23" t="e">
        <v>#N/A</v>
      </c>
      <c r="H607" s="29">
        <v>-0.15620806795398071</v>
      </c>
      <c r="I607" s="7" t="e">
        <f t="shared" si="26"/>
        <v>#N/A</v>
      </c>
      <c r="J607" s="7" t="e">
        <f t="shared" si="27"/>
        <v>#N/A</v>
      </c>
    </row>
    <row r="608" spans="1:10" x14ac:dyDescent="0.35">
      <c r="A608" t="s">
        <v>78</v>
      </c>
      <c r="B608" t="s">
        <v>79</v>
      </c>
      <c r="C608" t="s">
        <v>35</v>
      </c>
      <c r="D608" t="s">
        <v>154</v>
      </c>
      <c r="E608" t="s">
        <v>65</v>
      </c>
      <c r="F608" s="32">
        <v>99.914845900000003</v>
      </c>
      <c r="G608" s="23">
        <v>9.0650598963382141</v>
      </c>
      <c r="H608" s="29">
        <v>28.032961709557298</v>
      </c>
      <c r="I608" s="7">
        <f t="shared" si="26"/>
        <v>9.0650598963382141</v>
      </c>
      <c r="J608" s="7">
        <f t="shared" si="27"/>
        <v>12.417890268956459</v>
      </c>
    </row>
    <row r="609" spans="1:10" x14ac:dyDescent="0.35">
      <c r="A609" t="s">
        <v>78</v>
      </c>
      <c r="B609" t="s">
        <v>79</v>
      </c>
      <c r="C609" t="s">
        <v>36</v>
      </c>
      <c r="D609" t="s">
        <v>155</v>
      </c>
      <c r="E609" t="s">
        <v>65</v>
      </c>
      <c r="F609" s="32">
        <v>1.9156862000000001</v>
      </c>
      <c r="G609" s="23" t="e">
        <v>#N/A</v>
      </c>
      <c r="H609" s="29">
        <v>0.16948720554667551</v>
      </c>
      <c r="I609" s="7" t="e">
        <f t="shared" si="26"/>
        <v>#N/A</v>
      </c>
      <c r="J609" s="7" t="e">
        <f t="shared" si="27"/>
        <v>#N/A</v>
      </c>
    </row>
    <row r="610" spans="1:10" x14ac:dyDescent="0.35">
      <c r="A610" t="s">
        <v>78</v>
      </c>
      <c r="B610" t="s">
        <v>79</v>
      </c>
      <c r="C610" t="s">
        <v>37</v>
      </c>
      <c r="D610" t="s">
        <v>155</v>
      </c>
      <c r="E610" t="s">
        <v>65</v>
      </c>
      <c r="F610" s="32">
        <v>5.3807232999999997</v>
      </c>
      <c r="G610" s="23">
        <v>3.5030998843913164</v>
      </c>
      <c r="H610" s="29">
        <v>1.4248119906684154</v>
      </c>
      <c r="I610" s="7">
        <f t="shared" si="26"/>
        <v>3.5030998843913164</v>
      </c>
      <c r="J610" s="7">
        <f t="shared" si="27"/>
        <v>4.7987669649196114</v>
      </c>
    </row>
    <row r="611" spans="1:10" x14ac:dyDescent="0.35">
      <c r="A611" t="s">
        <v>78</v>
      </c>
      <c r="B611" t="s">
        <v>79</v>
      </c>
      <c r="C611" t="s">
        <v>38</v>
      </c>
      <c r="D611" t="s">
        <v>155</v>
      </c>
      <c r="E611" t="s">
        <v>65</v>
      </c>
      <c r="F611" s="32">
        <v>5.8417789000000004</v>
      </c>
      <c r="G611" s="23">
        <v>1.79958379227021</v>
      </c>
      <c r="H611" s="29">
        <v>0.41301113829191988</v>
      </c>
      <c r="I611" s="7">
        <f t="shared" si="26"/>
        <v>1.79958379227021</v>
      </c>
      <c r="J611" s="7">
        <f t="shared" si="27"/>
        <v>2.4651832770824798</v>
      </c>
    </row>
    <row r="612" spans="1:10" x14ac:dyDescent="0.35">
      <c r="A612" t="s">
        <v>78</v>
      </c>
      <c r="B612" t="s">
        <v>79</v>
      </c>
      <c r="C612" t="s">
        <v>39</v>
      </c>
      <c r="D612" t="s">
        <v>153</v>
      </c>
      <c r="E612" t="s">
        <v>65</v>
      </c>
      <c r="F612" s="32">
        <v>0</v>
      </c>
      <c r="G612" s="23" t="e">
        <v>#N/A</v>
      </c>
      <c r="H612" s="29">
        <v>-3.8358850774552623E-2</v>
      </c>
      <c r="I612" s="7" t="e">
        <f t="shared" si="26"/>
        <v>#N/A</v>
      </c>
      <c r="J612" s="7" t="e">
        <f t="shared" si="27"/>
        <v>#N/A</v>
      </c>
    </row>
    <row r="613" spans="1:10" s="19" customFormat="1" x14ac:dyDescent="0.35">
      <c r="A613" s="19" t="s">
        <v>78</v>
      </c>
      <c r="B613" s="19" t="s">
        <v>79</v>
      </c>
      <c r="C613" s="19" t="s">
        <v>40</v>
      </c>
      <c r="D613" s="19" t="s">
        <v>154</v>
      </c>
      <c r="E613" s="19" t="s">
        <v>65</v>
      </c>
      <c r="F613" s="33">
        <v>0</v>
      </c>
      <c r="G613" s="24" t="e">
        <v>#N/A</v>
      </c>
      <c r="H613" s="30">
        <v>-1.4762326689852187E-2</v>
      </c>
      <c r="I613" s="21" t="e">
        <f t="shared" si="26"/>
        <v>#N/A</v>
      </c>
      <c r="J613" s="21" t="e">
        <f t="shared" si="27"/>
        <v>#N/A</v>
      </c>
    </row>
    <row r="614" spans="1:10" x14ac:dyDescent="0.35">
      <c r="A614" t="s">
        <v>80</v>
      </c>
      <c r="B614" t="s">
        <v>81</v>
      </c>
      <c r="C614" t="s">
        <v>6</v>
      </c>
      <c r="D614" t="s">
        <v>153</v>
      </c>
      <c r="E614" t="s">
        <v>65</v>
      </c>
      <c r="F614" s="32">
        <v>6.7010839999999998</v>
      </c>
      <c r="G614" s="23" t="e">
        <v>#N/A</v>
      </c>
      <c r="H614" s="29">
        <v>0.749252185692594</v>
      </c>
      <c r="I614" s="7" t="e">
        <f t="shared" si="26"/>
        <v>#N/A</v>
      </c>
      <c r="J614" s="7" t="e">
        <f>I614/0.4519</f>
        <v>#N/A</v>
      </c>
    </row>
    <row r="615" spans="1:10" x14ac:dyDescent="0.35">
      <c r="A615" t="s">
        <v>80</v>
      </c>
      <c r="B615" t="s">
        <v>81</v>
      </c>
      <c r="C615" t="s">
        <v>7</v>
      </c>
      <c r="D615" t="s">
        <v>153</v>
      </c>
      <c r="E615" t="s">
        <v>65</v>
      </c>
      <c r="F615" s="32">
        <v>0</v>
      </c>
      <c r="G615" s="23" t="e">
        <v>#N/A</v>
      </c>
      <c r="H615" s="29">
        <v>-0.10655886490112967</v>
      </c>
      <c r="I615" s="7" t="e">
        <f t="shared" si="26"/>
        <v>#N/A</v>
      </c>
      <c r="J615" s="7" t="e">
        <f t="shared" ref="J615:J647" si="28">I615/0.4519</f>
        <v>#N/A</v>
      </c>
    </row>
    <row r="616" spans="1:10" x14ac:dyDescent="0.35">
      <c r="A616" t="s">
        <v>80</v>
      </c>
      <c r="B616" t="s">
        <v>81</v>
      </c>
      <c r="C616" t="s">
        <v>8</v>
      </c>
      <c r="D616" t="s">
        <v>153</v>
      </c>
      <c r="E616" t="s">
        <v>65</v>
      </c>
      <c r="F616" s="32" t="e">
        <v>#N/A</v>
      </c>
      <c r="G616" s="23" t="e">
        <v>#N/A</v>
      </c>
      <c r="H616" s="29">
        <v>-3.4523013693408794E-2</v>
      </c>
      <c r="I616" s="7" t="e">
        <f t="shared" si="26"/>
        <v>#N/A</v>
      </c>
      <c r="J616" s="7" t="e">
        <f t="shared" si="28"/>
        <v>#N/A</v>
      </c>
    </row>
    <row r="617" spans="1:10" x14ac:dyDescent="0.35">
      <c r="A617" t="s">
        <v>80</v>
      </c>
      <c r="B617" t="s">
        <v>81</v>
      </c>
      <c r="C617" t="s">
        <v>9</v>
      </c>
      <c r="D617" t="s">
        <v>153</v>
      </c>
      <c r="E617" t="s">
        <v>65</v>
      </c>
      <c r="F617" s="32">
        <v>1.1361460999999999</v>
      </c>
      <c r="G617" s="23" t="e">
        <v>#N/A</v>
      </c>
      <c r="H617" s="29">
        <v>-0.39495721983087645</v>
      </c>
      <c r="I617" s="7" t="e">
        <f t="shared" si="26"/>
        <v>#N/A</v>
      </c>
      <c r="J617" s="7" t="e">
        <f t="shared" si="28"/>
        <v>#N/A</v>
      </c>
    </row>
    <row r="618" spans="1:10" x14ac:dyDescent="0.35">
      <c r="A618" t="s">
        <v>80</v>
      </c>
      <c r="B618" t="s">
        <v>81</v>
      </c>
      <c r="C618" t="s">
        <v>10</v>
      </c>
      <c r="D618" t="s">
        <v>153</v>
      </c>
      <c r="E618" t="s">
        <v>65</v>
      </c>
      <c r="F618" s="32">
        <v>71.046942200000004</v>
      </c>
      <c r="G618" s="23" t="e">
        <v>#N/A</v>
      </c>
      <c r="H618" s="29">
        <v>-9.2286379663795173E-2</v>
      </c>
      <c r="I618" s="7" t="e">
        <f t="shared" si="26"/>
        <v>#N/A</v>
      </c>
      <c r="J618" s="7" t="e">
        <f t="shared" si="28"/>
        <v>#N/A</v>
      </c>
    </row>
    <row r="619" spans="1:10" x14ac:dyDescent="0.35">
      <c r="A619" t="s">
        <v>80</v>
      </c>
      <c r="B619" t="s">
        <v>81</v>
      </c>
      <c r="C619" t="s">
        <v>11</v>
      </c>
      <c r="D619" t="s">
        <v>153</v>
      </c>
      <c r="E619" t="s">
        <v>65</v>
      </c>
      <c r="F619" s="32">
        <v>66.590006799999998</v>
      </c>
      <c r="G619" s="23">
        <v>0.45076108377296398</v>
      </c>
      <c r="H619" s="29">
        <v>1.5377648994405764</v>
      </c>
      <c r="I619" s="7">
        <f t="shared" si="26"/>
        <v>0.45076108377296398</v>
      </c>
      <c r="J619" s="7">
        <f t="shared" si="28"/>
        <v>0.99747971624909038</v>
      </c>
    </row>
    <row r="620" spans="1:10" x14ac:dyDescent="0.35">
      <c r="A620" t="s">
        <v>80</v>
      </c>
      <c r="B620" t="s">
        <v>81</v>
      </c>
      <c r="C620" t="s">
        <v>12</v>
      </c>
      <c r="D620" t="s">
        <v>154</v>
      </c>
      <c r="E620" t="s">
        <v>65</v>
      </c>
      <c r="F620" s="32">
        <v>1.2378943</v>
      </c>
      <c r="G620" s="23" t="e">
        <v>#N/A</v>
      </c>
      <c r="H620" s="29">
        <v>-2.0367871696513034E-2</v>
      </c>
      <c r="I620" s="7" t="e">
        <f t="shared" si="26"/>
        <v>#N/A</v>
      </c>
      <c r="J620" s="7" t="e">
        <f t="shared" si="28"/>
        <v>#N/A</v>
      </c>
    </row>
    <row r="621" spans="1:10" x14ac:dyDescent="0.35">
      <c r="A621" t="s">
        <v>80</v>
      </c>
      <c r="B621" t="s">
        <v>81</v>
      </c>
      <c r="C621" t="s">
        <v>13</v>
      </c>
      <c r="D621" t="s">
        <v>153</v>
      </c>
      <c r="E621" t="s">
        <v>65</v>
      </c>
      <c r="F621" s="32">
        <v>10.521297500000001</v>
      </c>
      <c r="G621" s="23" t="e">
        <v>#N/A</v>
      </c>
      <c r="H621" s="29">
        <v>8.0911838283797416E-2</v>
      </c>
      <c r="I621" s="7" t="e">
        <f t="shared" si="26"/>
        <v>#N/A</v>
      </c>
      <c r="J621" s="7" t="e">
        <f t="shared" si="28"/>
        <v>#N/A</v>
      </c>
    </row>
    <row r="622" spans="1:10" x14ac:dyDescent="0.35">
      <c r="A622" t="s">
        <v>80</v>
      </c>
      <c r="B622" t="s">
        <v>81</v>
      </c>
      <c r="C622" t="s">
        <v>14</v>
      </c>
      <c r="D622" t="s">
        <v>154</v>
      </c>
      <c r="E622" t="s">
        <v>65</v>
      </c>
      <c r="F622" s="32">
        <v>0</v>
      </c>
      <c r="G622" s="23" t="e">
        <v>#N/A</v>
      </c>
      <c r="H622" s="29">
        <v>-4.3978564549827195E-2</v>
      </c>
      <c r="I622" s="7" t="e">
        <f t="shared" si="26"/>
        <v>#N/A</v>
      </c>
      <c r="J622" s="7" t="e">
        <f t="shared" si="28"/>
        <v>#N/A</v>
      </c>
    </row>
    <row r="623" spans="1:10" x14ac:dyDescent="0.35">
      <c r="A623" t="s">
        <v>80</v>
      </c>
      <c r="B623" t="s">
        <v>81</v>
      </c>
      <c r="C623" t="s">
        <v>15</v>
      </c>
      <c r="D623" t="s">
        <v>153</v>
      </c>
      <c r="E623" t="s">
        <v>65</v>
      </c>
      <c r="F623" s="32">
        <v>2176.9346734999999</v>
      </c>
      <c r="G623" s="23">
        <v>46.116191030889631</v>
      </c>
      <c r="H623" s="29">
        <v>142.85387207150291</v>
      </c>
      <c r="I623" s="7">
        <f t="shared" si="26"/>
        <v>46.116191030889631</v>
      </c>
      <c r="J623" s="7">
        <f t="shared" si="28"/>
        <v>102.04954864104808</v>
      </c>
    </row>
    <row r="624" spans="1:10" x14ac:dyDescent="0.35">
      <c r="A624" t="s">
        <v>80</v>
      </c>
      <c r="B624" t="s">
        <v>81</v>
      </c>
      <c r="C624" t="s">
        <v>16</v>
      </c>
      <c r="D624" t="s">
        <v>154</v>
      </c>
      <c r="E624" t="s">
        <v>65</v>
      </c>
      <c r="F624" s="32">
        <v>206.1811222</v>
      </c>
      <c r="G624" s="23">
        <v>23.33231564880036</v>
      </c>
      <c r="H624" s="29">
        <v>63.569187230047035</v>
      </c>
      <c r="I624" s="7">
        <f t="shared" si="26"/>
        <v>23.33231564880036</v>
      </c>
      <c r="J624" s="7">
        <f t="shared" si="28"/>
        <v>51.631590282806727</v>
      </c>
    </row>
    <row r="625" spans="1:10" x14ac:dyDescent="0.35">
      <c r="A625" t="s">
        <v>80</v>
      </c>
      <c r="B625" t="s">
        <v>81</v>
      </c>
      <c r="C625" t="s">
        <v>18</v>
      </c>
      <c r="D625" t="s">
        <v>154</v>
      </c>
      <c r="E625" t="s">
        <v>65</v>
      </c>
      <c r="F625" s="32" t="e">
        <v>#N/A</v>
      </c>
      <c r="G625" s="23" t="e">
        <v>#N/A</v>
      </c>
      <c r="H625" s="29">
        <v>-5.0805961356885851E-2</v>
      </c>
      <c r="I625" s="7" t="e">
        <f t="shared" si="26"/>
        <v>#N/A</v>
      </c>
      <c r="J625" s="7" t="e">
        <f t="shared" si="28"/>
        <v>#N/A</v>
      </c>
    </row>
    <row r="626" spans="1:10" x14ac:dyDescent="0.35">
      <c r="A626" t="s">
        <v>80</v>
      </c>
      <c r="B626" t="s">
        <v>81</v>
      </c>
      <c r="C626" t="s">
        <v>19</v>
      </c>
      <c r="D626" t="s">
        <v>153</v>
      </c>
      <c r="E626" t="s">
        <v>65</v>
      </c>
      <c r="F626" s="32">
        <v>464.6292072</v>
      </c>
      <c r="G626" s="23">
        <v>32.041100422774711</v>
      </c>
      <c r="H626" s="29">
        <v>36.652401227537624</v>
      </c>
      <c r="I626" s="7">
        <f t="shared" si="26"/>
        <v>32.041100422774711</v>
      </c>
      <c r="J626" s="7">
        <f t="shared" si="28"/>
        <v>70.903076837297434</v>
      </c>
    </row>
    <row r="627" spans="1:10" x14ac:dyDescent="0.35">
      <c r="A627" t="s">
        <v>80</v>
      </c>
      <c r="B627" t="s">
        <v>81</v>
      </c>
      <c r="C627" t="s">
        <v>20</v>
      </c>
      <c r="D627" t="s">
        <v>154</v>
      </c>
      <c r="E627" t="s">
        <v>65</v>
      </c>
      <c r="F627" s="32">
        <v>393.180453</v>
      </c>
      <c r="G627" s="23">
        <v>43.609515116720068</v>
      </c>
      <c r="H627" s="29">
        <v>137.3336854516194</v>
      </c>
      <c r="I627" s="7">
        <f t="shared" si="26"/>
        <v>43.609515116720068</v>
      </c>
      <c r="J627" s="7">
        <f t="shared" si="28"/>
        <v>96.502578262270561</v>
      </c>
    </row>
    <row r="628" spans="1:10" x14ac:dyDescent="0.35">
      <c r="A628" t="s">
        <v>80</v>
      </c>
      <c r="B628" t="s">
        <v>81</v>
      </c>
      <c r="C628" t="s">
        <v>21</v>
      </c>
      <c r="D628" t="s">
        <v>155</v>
      </c>
      <c r="E628" t="s">
        <v>65</v>
      </c>
      <c r="F628" s="32">
        <v>0.55528319999999998</v>
      </c>
      <c r="G628" s="23" t="e">
        <v>#N/A</v>
      </c>
      <c r="H628" s="29">
        <v>9.1042947799280155E-2</v>
      </c>
      <c r="I628" s="7" t="e">
        <f t="shared" si="26"/>
        <v>#N/A</v>
      </c>
      <c r="J628" s="7" t="e">
        <f t="shared" si="28"/>
        <v>#N/A</v>
      </c>
    </row>
    <row r="629" spans="1:10" x14ac:dyDescent="0.35">
      <c r="A629" t="s">
        <v>80</v>
      </c>
      <c r="B629" t="s">
        <v>81</v>
      </c>
      <c r="C629" t="s">
        <v>22</v>
      </c>
      <c r="D629" t="s">
        <v>155</v>
      </c>
      <c r="E629" t="s">
        <v>65</v>
      </c>
      <c r="F629" s="32">
        <v>147.4145571</v>
      </c>
      <c r="G629" s="23">
        <v>14.912858285019851</v>
      </c>
      <c r="H629" s="29">
        <v>49.676441833970202</v>
      </c>
      <c r="I629" s="7">
        <f t="shared" si="26"/>
        <v>14.912858285019851</v>
      </c>
      <c r="J629" s="7">
        <f t="shared" si="28"/>
        <v>33.000350265589404</v>
      </c>
    </row>
    <row r="630" spans="1:10" x14ac:dyDescent="0.35">
      <c r="A630" t="s">
        <v>80</v>
      </c>
      <c r="B630" t="s">
        <v>81</v>
      </c>
      <c r="C630" t="s">
        <v>23</v>
      </c>
      <c r="D630" t="s">
        <v>155</v>
      </c>
      <c r="E630" t="s">
        <v>65</v>
      </c>
      <c r="F630" s="32">
        <v>0.10090449999999999</v>
      </c>
      <c r="G630" s="23">
        <v>0.32742260329194872</v>
      </c>
      <c r="H630" s="29">
        <v>-1.4042663673506806E-2</v>
      </c>
      <c r="I630" s="7">
        <f t="shared" si="26"/>
        <v>0.32742260329194872</v>
      </c>
      <c r="J630" s="7">
        <f t="shared" si="28"/>
        <v>0.72454658838669772</v>
      </c>
    </row>
    <row r="631" spans="1:10" x14ac:dyDescent="0.35">
      <c r="A631" t="s">
        <v>80</v>
      </c>
      <c r="B631" t="s">
        <v>81</v>
      </c>
      <c r="C631" t="s">
        <v>24</v>
      </c>
      <c r="D631" t="s">
        <v>155</v>
      </c>
      <c r="E631" t="s">
        <v>65</v>
      </c>
      <c r="F631" s="32">
        <v>108.1641024</v>
      </c>
      <c r="G631" s="23">
        <v>2.9333202035413319</v>
      </c>
      <c r="H631" s="29">
        <v>8.2010577989453921</v>
      </c>
      <c r="I631" s="7">
        <f t="shared" si="26"/>
        <v>2.9333202035413319</v>
      </c>
      <c r="J631" s="7">
        <f t="shared" si="28"/>
        <v>6.4910825482215797</v>
      </c>
    </row>
    <row r="632" spans="1:10" x14ac:dyDescent="0.35">
      <c r="A632" t="s">
        <v>80</v>
      </c>
      <c r="B632" t="s">
        <v>81</v>
      </c>
      <c r="C632" t="s">
        <v>25</v>
      </c>
      <c r="D632" t="s">
        <v>155</v>
      </c>
      <c r="E632" t="s">
        <v>65</v>
      </c>
      <c r="F632" s="32">
        <v>0.66443730000000001</v>
      </c>
      <c r="G632" s="23" t="e">
        <v>#N/A</v>
      </c>
      <c r="H632" s="29">
        <v>1.4929192432643226</v>
      </c>
      <c r="I632" s="7" t="e">
        <f t="shared" si="26"/>
        <v>#N/A</v>
      </c>
      <c r="J632" s="7" t="e">
        <f t="shared" si="28"/>
        <v>#N/A</v>
      </c>
    </row>
    <row r="633" spans="1:10" x14ac:dyDescent="0.35">
      <c r="A633" t="s">
        <v>80</v>
      </c>
      <c r="B633" t="s">
        <v>81</v>
      </c>
      <c r="C633" t="s">
        <v>26</v>
      </c>
      <c r="D633" t="s">
        <v>153</v>
      </c>
      <c r="E633" t="s">
        <v>65</v>
      </c>
      <c r="F633" s="32">
        <v>1.6217752000000001</v>
      </c>
      <c r="G633" s="23">
        <v>0.4614489169980599</v>
      </c>
      <c r="H633" s="29">
        <v>-3.1945387268719982E-2</v>
      </c>
      <c r="I633" s="7">
        <f t="shared" si="26"/>
        <v>0.4614489169980599</v>
      </c>
      <c r="J633" s="7">
        <f t="shared" si="28"/>
        <v>1.0211305974730247</v>
      </c>
    </row>
    <row r="634" spans="1:10" x14ac:dyDescent="0.35">
      <c r="A634" t="s">
        <v>80</v>
      </c>
      <c r="B634" t="s">
        <v>81</v>
      </c>
      <c r="C634" t="s">
        <v>27</v>
      </c>
      <c r="D634" t="s">
        <v>154</v>
      </c>
      <c r="E634" t="s">
        <v>65</v>
      </c>
      <c r="F634" s="32">
        <v>10.371822</v>
      </c>
      <c r="G634" s="23">
        <v>5.3011082683688855</v>
      </c>
      <c r="H634" s="29">
        <v>8.2402600069138483</v>
      </c>
      <c r="I634" s="7">
        <f t="shared" si="26"/>
        <v>5.3011082683688855</v>
      </c>
      <c r="J634" s="7">
        <f t="shared" si="28"/>
        <v>11.730710928012581</v>
      </c>
    </row>
    <row r="635" spans="1:10" x14ac:dyDescent="0.35">
      <c r="A635" t="s">
        <v>80</v>
      </c>
      <c r="B635" t="s">
        <v>81</v>
      </c>
      <c r="C635" t="s">
        <v>28</v>
      </c>
      <c r="D635" t="s">
        <v>155</v>
      </c>
      <c r="E635" t="s">
        <v>65</v>
      </c>
      <c r="F635" s="32">
        <v>13.381612199999999</v>
      </c>
      <c r="G635" s="23">
        <v>3.2257274027288951</v>
      </c>
      <c r="H635" s="29">
        <v>18.600850990551109</v>
      </c>
      <c r="I635" s="7">
        <f t="shared" si="26"/>
        <v>3.2257274027288951</v>
      </c>
      <c r="J635" s="7">
        <f t="shared" si="28"/>
        <v>7.1381442857466144</v>
      </c>
    </row>
    <row r="636" spans="1:10" x14ac:dyDescent="0.35">
      <c r="A636" t="s">
        <v>80</v>
      </c>
      <c r="B636" t="s">
        <v>81</v>
      </c>
      <c r="C636" t="s">
        <v>29</v>
      </c>
      <c r="D636" t="s">
        <v>155</v>
      </c>
      <c r="E636" t="s">
        <v>65</v>
      </c>
      <c r="F636" s="32">
        <v>0.41200680000000001</v>
      </c>
      <c r="G636" s="23">
        <v>0.44991122768343833</v>
      </c>
      <c r="H636" s="29">
        <v>3.9348732932455022</v>
      </c>
      <c r="I636" s="7">
        <f t="shared" si="26"/>
        <v>0.44991122768343833</v>
      </c>
      <c r="J636" s="7">
        <f t="shared" si="28"/>
        <v>0.99559908759335758</v>
      </c>
    </row>
    <row r="637" spans="1:10" x14ac:dyDescent="0.35">
      <c r="A637" t="s">
        <v>80</v>
      </c>
      <c r="B637" t="s">
        <v>81</v>
      </c>
      <c r="C637" t="s">
        <v>30</v>
      </c>
      <c r="D637" t="s">
        <v>155</v>
      </c>
      <c r="E637" t="s">
        <v>65</v>
      </c>
      <c r="F637" s="32">
        <v>101.86172789999999</v>
      </c>
      <c r="G637" s="23">
        <v>8.0570870116929854</v>
      </c>
      <c r="H637" s="29">
        <v>45.558122217801568</v>
      </c>
      <c r="I637" s="7">
        <f t="shared" si="26"/>
        <v>8.0570870116929854</v>
      </c>
      <c r="J637" s="7">
        <f t="shared" si="28"/>
        <v>17.82935829097806</v>
      </c>
    </row>
    <row r="638" spans="1:10" x14ac:dyDescent="0.35">
      <c r="A638" t="s">
        <v>80</v>
      </c>
      <c r="B638" t="s">
        <v>81</v>
      </c>
      <c r="C638" t="s">
        <v>31</v>
      </c>
      <c r="D638" t="s">
        <v>155</v>
      </c>
      <c r="E638" t="s">
        <v>65</v>
      </c>
      <c r="F638" s="32" t="e">
        <v>#N/A</v>
      </c>
      <c r="G638" s="23" t="e">
        <v>#N/A</v>
      </c>
      <c r="H638" s="29">
        <v>7.013862308946861E-2</v>
      </c>
      <c r="I638" s="7" t="e">
        <f t="shared" si="26"/>
        <v>#N/A</v>
      </c>
      <c r="J638" s="7" t="e">
        <f t="shared" si="28"/>
        <v>#N/A</v>
      </c>
    </row>
    <row r="639" spans="1:10" x14ac:dyDescent="0.35">
      <c r="A639" t="s">
        <v>80</v>
      </c>
      <c r="B639" t="s">
        <v>81</v>
      </c>
      <c r="C639" t="s">
        <v>32</v>
      </c>
      <c r="D639" t="s">
        <v>153</v>
      </c>
      <c r="E639" t="s">
        <v>65</v>
      </c>
      <c r="F639" s="32">
        <v>0</v>
      </c>
      <c r="G639" s="23" t="e">
        <v>#N/A</v>
      </c>
      <c r="H639" s="29">
        <v>5.9733689525289513E-2</v>
      </c>
      <c r="I639" s="7" t="e">
        <f t="shared" si="26"/>
        <v>#N/A</v>
      </c>
      <c r="J639" s="7" t="e">
        <f t="shared" si="28"/>
        <v>#N/A</v>
      </c>
    </row>
    <row r="640" spans="1:10" x14ac:dyDescent="0.35">
      <c r="A640" t="s">
        <v>80</v>
      </c>
      <c r="B640" t="s">
        <v>81</v>
      </c>
      <c r="C640" t="s">
        <v>33</v>
      </c>
      <c r="D640" t="s">
        <v>155</v>
      </c>
      <c r="E640" t="s">
        <v>65</v>
      </c>
      <c r="F640" s="32">
        <v>109.0812284</v>
      </c>
      <c r="G640" s="23">
        <v>8.4478793973279505</v>
      </c>
      <c r="H640" s="29">
        <v>21.536959980221532</v>
      </c>
      <c r="I640" s="7">
        <f t="shared" si="26"/>
        <v>8.4478793973279505</v>
      </c>
      <c r="J640" s="7">
        <f t="shared" si="28"/>
        <v>18.694134537127571</v>
      </c>
    </row>
    <row r="641" spans="1:10" x14ac:dyDescent="0.35">
      <c r="A641" t="s">
        <v>80</v>
      </c>
      <c r="B641" t="s">
        <v>81</v>
      </c>
      <c r="C641" t="s">
        <v>34</v>
      </c>
      <c r="D641" t="s">
        <v>153</v>
      </c>
      <c r="E641" t="s">
        <v>65</v>
      </c>
      <c r="F641" s="32">
        <v>0</v>
      </c>
      <c r="G641" s="23" t="e">
        <v>#N/A</v>
      </c>
      <c r="H641" s="29">
        <v>-0.15995503386952648</v>
      </c>
      <c r="I641" s="7" t="e">
        <f t="shared" si="26"/>
        <v>#N/A</v>
      </c>
      <c r="J641" s="7" t="e">
        <f t="shared" si="28"/>
        <v>#N/A</v>
      </c>
    </row>
    <row r="642" spans="1:10" x14ac:dyDescent="0.35">
      <c r="A642" t="s">
        <v>80</v>
      </c>
      <c r="B642" t="s">
        <v>81</v>
      </c>
      <c r="C642" t="s">
        <v>35</v>
      </c>
      <c r="D642" t="s">
        <v>154</v>
      </c>
      <c r="E642" t="s">
        <v>65</v>
      </c>
      <c r="F642" s="32">
        <v>117.46670810000001</v>
      </c>
      <c r="G642" s="23">
        <v>7.7455479695678786</v>
      </c>
      <c r="H642" s="29">
        <v>28.366642592461453</v>
      </c>
      <c r="I642" s="7">
        <f t="shared" ref="I642:I705" si="29">IF(G642&lt;0,0,G642)</f>
        <v>7.7455479695678786</v>
      </c>
      <c r="J642" s="7">
        <f t="shared" si="28"/>
        <v>17.139960100836198</v>
      </c>
    </row>
    <row r="643" spans="1:10" x14ac:dyDescent="0.35">
      <c r="A643" t="s">
        <v>80</v>
      </c>
      <c r="B643" t="s">
        <v>81</v>
      </c>
      <c r="C643" t="s">
        <v>36</v>
      </c>
      <c r="D643" t="s">
        <v>155</v>
      </c>
      <c r="E643" t="s">
        <v>65</v>
      </c>
      <c r="F643" s="32">
        <v>1.8754280000000001</v>
      </c>
      <c r="G643" s="23" t="e">
        <v>#N/A</v>
      </c>
      <c r="H643" s="29">
        <v>0.17206798794037975</v>
      </c>
      <c r="I643" s="7" t="e">
        <f t="shared" si="29"/>
        <v>#N/A</v>
      </c>
      <c r="J643" s="7" t="e">
        <f t="shared" si="28"/>
        <v>#N/A</v>
      </c>
    </row>
    <row r="644" spans="1:10" x14ac:dyDescent="0.35">
      <c r="A644" t="s">
        <v>80</v>
      </c>
      <c r="B644" t="s">
        <v>81</v>
      </c>
      <c r="C644" t="s">
        <v>37</v>
      </c>
      <c r="D644" t="s">
        <v>155</v>
      </c>
      <c r="E644" t="s">
        <v>65</v>
      </c>
      <c r="F644" s="32">
        <v>2.6542840000000001</v>
      </c>
      <c r="G644" s="23">
        <v>1.8227262869699818</v>
      </c>
      <c r="H644" s="29">
        <v>4.5593952387798184</v>
      </c>
      <c r="I644" s="7">
        <f t="shared" si="29"/>
        <v>1.8227262869699818</v>
      </c>
      <c r="J644" s="7">
        <f t="shared" si="28"/>
        <v>4.0334726421110458</v>
      </c>
    </row>
    <row r="645" spans="1:10" x14ac:dyDescent="0.35">
      <c r="A645" t="s">
        <v>80</v>
      </c>
      <c r="B645" t="s">
        <v>81</v>
      </c>
      <c r="C645" t="s">
        <v>38</v>
      </c>
      <c r="D645" t="s">
        <v>155</v>
      </c>
      <c r="E645" t="s">
        <v>65</v>
      </c>
      <c r="F645" s="32">
        <v>1.7200401999999999</v>
      </c>
      <c r="G645" s="23">
        <v>0.62171631797456117</v>
      </c>
      <c r="H645" s="29">
        <v>2.0515619497519713</v>
      </c>
      <c r="I645" s="7">
        <f t="shared" si="29"/>
        <v>0.62171631797456117</v>
      </c>
      <c r="J645" s="7">
        <f t="shared" si="28"/>
        <v>1.3757829563499915</v>
      </c>
    </row>
    <row r="646" spans="1:10" x14ac:dyDescent="0.35">
      <c r="A646" t="s">
        <v>80</v>
      </c>
      <c r="B646" t="s">
        <v>81</v>
      </c>
      <c r="C646" t="s">
        <v>39</v>
      </c>
      <c r="D646" t="s">
        <v>153</v>
      </c>
      <c r="E646" t="s">
        <v>65</v>
      </c>
      <c r="F646" s="32">
        <v>0</v>
      </c>
      <c r="G646" s="23" t="e">
        <v>#N/A</v>
      </c>
      <c r="H646" s="29">
        <v>0.16302299965436609</v>
      </c>
      <c r="I646" s="7" t="e">
        <f t="shared" si="29"/>
        <v>#N/A</v>
      </c>
      <c r="J646" s="7" t="e">
        <f t="shared" si="28"/>
        <v>#N/A</v>
      </c>
    </row>
    <row r="647" spans="1:10" s="19" customFormat="1" x14ac:dyDescent="0.35">
      <c r="A647" s="19" t="s">
        <v>80</v>
      </c>
      <c r="B647" s="19" t="s">
        <v>81</v>
      </c>
      <c r="C647" s="19" t="s">
        <v>40</v>
      </c>
      <c r="D647" s="19" t="s">
        <v>154</v>
      </c>
      <c r="E647" s="19" t="s">
        <v>65</v>
      </c>
      <c r="F647" s="33">
        <v>0</v>
      </c>
      <c r="G647" s="24" t="e">
        <v>#N/A</v>
      </c>
      <c r="H647" s="30">
        <v>0.18412498684257439</v>
      </c>
      <c r="I647" s="21" t="e">
        <f t="shared" si="29"/>
        <v>#N/A</v>
      </c>
      <c r="J647" s="21" t="e">
        <f t="shared" si="28"/>
        <v>#N/A</v>
      </c>
    </row>
    <row r="648" spans="1:10" x14ac:dyDescent="0.35">
      <c r="A648" t="s">
        <v>82</v>
      </c>
      <c r="B648" t="s">
        <v>83</v>
      </c>
      <c r="C648" t="s">
        <v>6</v>
      </c>
      <c r="D648" t="s">
        <v>153</v>
      </c>
      <c r="E648" t="s">
        <v>65</v>
      </c>
      <c r="F648" s="32">
        <v>6.7255191000000005</v>
      </c>
      <c r="G648" s="23" t="e">
        <v>#N/A</v>
      </c>
      <c r="H648" s="29">
        <v>0.74956773609226945</v>
      </c>
      <c r="I648" s="7" t="e">
        <f t="shared" si="29"/>
        <v>#N/A</v>
      </c>
      <c r="J648" s="7" t="e">
        <f>I648/0.5069</f>
        <v>#N/A</v>
      </c>
    </row>
    <row r="649" spans="1:10" x14ac:dyDescent="0.35">
      <c r="A649" t="s">
        <v>82</v>
      </c>
      <c r="B649" t="s">
        <v>83</v>
      </c>
      <c r="C649" t="s">
        <v>7</v>
      </c>
      <c r="D649" t="s">
        <v>153</v>
      </c>
      <c r="E649" t="s">
        <v>65</v>
      </c>
      <c r="F649" s="32">
        <v>0</v>
      </c>
      <c r="G649" s="23" t="e">
        <v>#N/A</v>
      </c>
      <c r="H649" s="29">
        <v>-0.10776271130976929</v>
      </c>
      <c r="I649" s="7" t="e">
        <f t="shared" si="29"/>
        <v>#N/A</v>
      </c>
      <c r="J649" s="7" t="e">
        <f t="shared" ref="J649:J681" si="30">I649/0.5069</f>
        <v>#N/A</v>
      </c>
    </row>
    <row r="650" spans="1:10" x14ac:dyDescent="0.35">
      <c r="A650" t="s">
        <v>82</v>
      </c>
      <c r="B650" t="s">
        <v>83</v>
      </c>
      <c r="C650" t="s">
        <v>8</v>
      </c>
      <c r="D650" t="s">
        <v>153</v>
      </c>
      <c r="E650" t="s">
        <v>65</v>
      </c>
      <c r="F650" s="32" t="e">
        <v>#N/A</v>
      </c>
      <c r="G650" s="23" t="e">
        <v>#N/A</v>
      </c>
      <c r="H650" s="29">
        <v>-4.313762846342295E-2</v>
      </c>
      <c r="I650" s="7" t="e">
        <f t="shared" si="29"/>
        <v>#N/A</v>
      </c>
      <c r="J650" s="7" t="e">
        <f t="shared" si="30"/>
        <v>#N/A</v>
      </c>
    </row>
    <row r="651" spans="1:10" x14ac:dyDescent="0.35">
      <c r="A651" t="s">
        <v>82</v>
      </c>
      <c r="B651" t="s">
        <v>83</v>
      </c>
      <c r="C651" t="s">
        <v>9</v>
      </c>
      <c r="D651" t="s">
        <v>153</v>
      </c>
      <c r="E651" t="s">
        <v>65</v>
      </c>
      <c r="F651" s="32">
        <v>16.954508499999999</v>
      </c>
      <c r="G651" s="23" t="e">
        <v>#N/A</v>
      </c>
      <c r="H651" s="29">
        <v>-0.39642717872062533</v>
      </c>
      <c r="I651" s="7" t="e">
        <f t="shared" si="29"/>
        <v>#N/A</v>
      </c>
      <c r="J651" s="7" t="e">
        <f t="shared" si="30"/>
        <v>#N/A</v>
      </c>
    </row>
    <row r="652" spans="1:10" x14ac:dyDescent="0.35">
      <c r="A652" t="s">
        <v>82</v>
      </c>
      <c r="B652" t="s">
        <v>83</v>
      </c>
      <c r="C652" t="s">
        <v>10</v>
      </c>
      <c r="D652" t="s">
        <v>153</v>
      </c>
      <c r="E652" t="s">
        <v>65</v>
      </c>
      <c r="F652" s="32">
        <v>98.337982699999998</v>
      </c>
      <c r="G652" s="23" t="e">
        <v>#N/A</v>
      </c>
      <c r="H652" s="29">
        <v>-9.228213173597638E-2</v>
      </c>
      <c r="I652" s="7" t="e">
        <f t="shared" si="29"/>
        <v>#N/A</v>
      </c>
      <c r="J652" s="7" t="e">
        <f t="shared" si="30"/>
        <v>#N/A</v>
      </c>
    </row>
    <row r="653" spans="1:10" x14ac:dyDescent="0.35">
      <c r="A653" t="s">
        <v>82</v>
      </c>
      <c r="B653" t="s">
        <v>83</v>
      </c>
      <c r="C653" t="s">
        <v>11</v>
      </c>
      <c r="D653" t="s">
        <v>153</v>
      </c>
      <c r="E653" t="s">
        <v>65</v>
      </c>
      <c r="F653" s="32">
        <v>111.37034600000001</v>
      </c>
      <c r="G653" s="23">
        <v>0.15094285532049156</v>
      </c>
      <c r="H653" s="29">
        <v>0.83790569816736704</v>
      </c>
      <c r="I653" s="7">
        <f t="shared" si="29"/>
        <v>0.15094285532049156</v>
      </c>
      <c r="J653" s="7">
        <f t="shared" si="30"/>
        <v>0.29777639637106246</v>
      </c>
    </row>
    <row r="654" spans="1:10" x14ac:dyDescent="0.35">
      <c r="A654" t="s">
        <v>82</v>
      </c>
      <c r="B654" t="s">
        <v>83</v>
      </c>
      <c r="C654" t="s">
        <v>12</v>
      </c>
      <c r="D654" t="s">
        <v>154</v>
      </c>
      <c r="E654" t="s">
        <v>65</v>
      </c>
      <c r="F654" s="32">
        <v>0</v>
      </c>
      <c r="G654" s="23" t="e">
        <v>#N/A</v>
      </c>
      <c r="H654" s="29">
        <v>-3.204281607473923E-2</v>
      </c>
      <c r="I654" s="7" t="e">
        <f t="shared" si="29"/>
        <v>#N/A</v>
      </c>
      <c r="J654" s="7" t="e">
        <f t="shared" si="30"/>
        <v>#N/A</v>
      </c>
    </row>
    <row r="655" spans="1:10" x14ac:dyDescent="0.35">
      <c r="A655" t="s">
        <v>82</v>
      </c>
      <c r="B655" t="s">
        <v>83</v>
      </c>
      <c r="C655" t="s">
        <v>13</v>
      </c>
      <c r="D655" t="s">
        <v>153</v>
      </c>
      <c r="E655" t="s">
        <v>65</v>
      </c>
      <c r="F655" s="32">
        <v>19.481494600000001</v>
      </c>
      <c r="G655" s="23" t="e">
        <v>#N/A</v>
      </c>
      <c r="H655" s="29">
        <v>6.124323920288776E-2</v>
      </c>
      <c r="I655" s="7" t="e">
        <f t="shared" si="29"/>
        <v>#N/A</v>
      </c>
      <c r="J655" s="7" t="e">
        <f t="shared" si="30"/>
        <v>#N/A</v>
      </c>
    </row>
    <row r="656" spans="1:10" x14ac:dyDescent="0.35">
      <c r="A656" t="s">
        <v>82</v>
      </c>
      <c r="B656" t="s">
        <v>83</v>
      </c>
      <c r="C656" t="s">
        <v>14</v>
      </c>
      <c r="D656" t="s">
        <v>154</v>
      </c>
      <c r="E656" t="s">
        <v>65</v>
      </c>
      <c r="F656" s="32">
        <v>0</v>
      </c>
      <c r="G656" s="23" t="e">
        <v>#N/A</v>
      </c>
      <c r="H656" s="29">
        <v>-4.9149491668886061E-2</v>
      </c>
      <c r="I656" s="7" t="e">
        <f t="shared" si="29"/>
        <v>#N/A</v>
      </c>
      <c r="J656" s="7" t="e">
        <f t="shared" si="30"/>
        <v>#N/A</v>
      </c>
    </row>
    <row r="657" spans="1:10" x14ac:dyDescent="0.35">
      <c r="A657" t="s">
        <v>82</v>
      </c>
      <c r="B657" t="s">
        <v>83</v>
      </c>
      <c r="C657" t="s">
        <v>15</v>
      </c>
      <c r="D657" t="s">
        <v>153</v>
      </c>
      <c r="E657" t="s">
        <v>65</v>
      </c>
      <c r="F657" s="32">
        <v>2738.5680073000003</v>
      </c>
      <c r="G657" s="23">
        <v>39.984886903758834</v>
      </c>
      <c r="H657" s="29">
        <v>124.58740540591606</v>
      </c>
      <c r="I657" s="7">
        <f t="shared" si="29"/>
        <v>39.984886903758834</v>
      </c>
      <c r="J657" s="7">
        <f t="shared" si="30"/>
        <v>78.881213067190444</v>
      </c>
    </row>
    <row r="658" spans="1:10" x14ac:dyDescent="0.35">
      <c r="A658" t="s">
        <v>82</v>
      </c>
      <c r="B658" t="s">
        <v>83</v>
      </c>
      <c r="C658" t="s">
        <v>16</v>
      </c>
      <c r="D658" t="s">
        <v>154</v>
      </c>
      <c r="E658" t="s">
        <v>65</v>
      </c>
      <c r="F658" s="32">
        <v>347.50973759999999</v>
      </c>
      <c r="G658" s="23">
        <v>14.470368271943485</v>
      </c>
      <c r="H658" s="29">
        <v>38.014852052948719</v>
      </c>
      <c r="I658" s="7">
        <f t="shared" si="29"/>
        <v>14.470368271943485</v>
      </c>
      <c r="J658" s="7">
        <f t="shared" si="30"/>
        <v>28.546790830427074</v>
      </c>
    </row>
    <row r="659" spans="1:10" x14ac:dyDescent="0.35">
      <c r="A659" t="s">
        <v>82</v>
      </c>
      <c r="B659" t="s">
        <v>83</v>
      </c>
      <c r="C659" t="s">
        <v>18</v>
      </c>
      <c r="D659" t="s">
        <v>154</v>
      </c>
      <c r="E659" t="s">
        <v>65</v>
      </c>
      <c r="F659" s="32">
        <v>0</v>
      </c>
      <c r="G659" s="23" t="e">
        <v>#N/A</v>
      </c>
      <c r="H659" s="29">
        <v>-4.9754705703641336E-2</v>
      </c>
      <c r="I659" s="7" t="e">
        <f t="shared" si="29"/>
        <v>#N/A</v>
      </c>
      <c r="J659" s="7" t="e">
        <f t="shared" si="30"/>
        <v>#N/A</v>
      </c>
    </row>
    <row r="660" spans="1:10" x14ac:dyDescent="0.35">
      <c r="A660" t="s">
        <v>82</v>
      </c>
      <c r="B660" t="s">
        <v>83</v>
      </c>
      <c r="C660" t="s">
        <v>19</v>
      </c>
      <c r="D660" t="s">
        <v>153</v>
      </c>
      <c r="E660" t="s">
        <v>65</v>
      </c>
      <c r="F660" s="32">
        <v>549.42976870000007</v>
      </c>
      <c r="G660" s="23">
        <v>29.882089759922298</v>
      </c>
      <c r="H660" s="29">
        <v>33.813652765137178</v>
      </c>
      <c r="I660" s="7">
        <f t="shared" si="29"/>
        <v>29.882089759922298</v>
      </c>
      <c r="J660" s="7">
        <f t="shared" si="30"/>
        <v>58.950660406238505</v>
      </c>
    </row>
    <row r="661" spans="1:10" x14ac:dyDescent="0.35">
      <c r="A661" t="s">
        <v>82</v>
      </c>
      <c r="B661" t="s">
        <v>83</v>
      </c>
      <c r="C661" t="s">
        <v>20</v>
      </c>
      <c r="D661" t="s">
        <v>154</v>
      </c>
      <c r="E661" t="s">
        <v>65</v>
      </c>
      <c r="F661" s="32">
        <v>477.99272210000004</v>
      </c>
      <c r="G661" s="23">
        <v>39.485228490692911</v>
      </c>
      <c r="H661" s="29">
        <v>114.57098308684951</v>
      </c>
      <c r="I661" s="7">
        <f t="shared" si="29"/>
        <v>39.485228490692911</v>
      </c>
      <c r="J661" s="7">
        <f t="shared" si="30"/>
        <v>77.895499093890137</v>
      </c>
    </row>
    <row r="662" spans="1:10" x14ac:dyDescent="0.35">
      <c r="A662" t="s">
        <v>82</v>
      </c>
      <c r="B662" t="s">
        <v>83</v>
      </c>
      <c r="C662" t="s">
        <v>21</v>
      </c>
      <c r="D662" t="s">
        <v>155</v>
      </c>
      <c r="E662" t="s">
        <v>65</v>
      </c>
      <c r="F662" s="32">
        <v>1.9112914000000001</v>
      </c>
      <c r="G662" s="23" t="e">
        <v>#N/A</v>
      </c>
      <c r="H662" s="29">
        <v>8.5935056604898696E-2</v>
      </c>
      <c r="I662" s="7" t="e">
        <f t="shared" si="29"/>
        <v>#N/A</v>
      </c>
      <c r="J662" s="7" t="e">
        <f t="shared" si="30"/>
        <v>#N/A</v>
      </c>
    </row>
    <row r="663" spans="1:10" x14ac:dyDescent="0.35">
      <c r="A663" t="s">
        <v>82</v>
      </c>
      <c r="B663" t="s">
        <v>83</v>
      </c>
      <c r="C663" t="s">
        <v>22</v>
      </c>
      <c r="D663" t="s">
        <v>155</v>
      </c>
      <c r="E663" t="s">
        <v>65</v>
      </c>
      <c r="F663" s="32">
        <v>286.14591769999998</v>
      </c>
      <c r="G663" s="23">
        <v>17.713771503613252</v>
      </c>
      <c r="H663" s="29">
        <v>33.7096655735089</v>
      </c>
      <c r="I663" s="7">
        <f t="shared" si="29"/>
        <v>17.713771503613252</v>
      </c>
      <c r="J663" s="7">
        <f t="shared" si="30"/>
        <v>34.94529789625814</v>
      </c>
    </row>
    <row r="664" spans="1:10" x14ac:dyDescent="0.35">
      <c r="A664" t="s">
        <v>82</v>
      </c>
      <c r="B664" t="s">
        <v>83</v>
      </c>
      <c r="C664" t="s">
        <v>23</v>
      </c>
      <c r="D664" t="s">
        <v>155</v>
      </c>
      <c r="E664" t="s">
        <v>65</v>
      </c>
      <c r="F664" s="32">
        <v>0</v>
      </c>
      <c r="G664" s="23">
        <v>0.54664121493990647</v>
      </c>
      <c r="H664" s="29">
        <v>2.1957865807022362E-2</v>
      </c>
      <c r="I664" s="7">
        <f t="shared" si="29"/>
        <v>0.54664121493990647</v>
      </c>
      <c r="J664" s="7">
        <f t="shared" si="30"/>
        <v>1.0784005029392512</v>
      </c>
    </row>
    <row r="665" spans="1:10" x14ac:dyDescent="0.35">
      <c r="A665" t="s">
        <v>82</v>
      </c>
      <c r="B665" t="s">
        <v>83</v>
      </c>
      <c r="C665" t="s">
        <v>24</v>
      </c>
      <c r="D665" t="s">
        <v>155</v>
      </c>
      <c r="E665" t="s">
        <v>65</v>
      </c>
      <c r="F665" s="32">
        <v>274.66328340000001</v>
      </c>
      <c r="G665" s="23">
        <v>3.6873017689356224</v>
      </c>
      <c r="H665" s="29">
        <v>3.7776686839719229</v>
      </c>
      <c r="I665" s="7">
        <f t="shared" si="29"/>
        <v>3.6873017689356224</v>
      </c>
      <c r="J665" s="7">
        <f t="shared" si="30"/>
        <v>7.2742193113742797</v>
      </c>
    </row>
    <row r="666" spans="1:10" x14ac:dyDescent="0.35">
      <c r="A666" t="s">
        <v>82</v>
      </c>
      <c r="B666" t="s">
        <v>83</v>
      </c>
      <c r="C666" t="s">
        <v>25</v>
      </c>
      <c r="D666" t="s">
        <v>155</v>
      </c>
      <c r="E666" t="s">
        <v>65</v>
      </c>
      <c r="F666" s="32">
        <v>16.514241900000002</v>
      </c>
      <c r="G666" s="23" t="e">
        <v>#N/A</v>
      </c>
      <c r="H666" s="29">
        <v>0.71628123823596968</v>
      </c>
      <c r="I666" s="7" t="e">
        <f t="shared" si="29"/>
        <v>#N/A</v>
      </c>
      <c r="J666" s="7" t="e">
        <f t="shared" si="30"/>
        <v>#N/A</v>
      </c>
    </row>
    <row r="667" spans="1:10" x14ac:dyDescent="0.35">
      <c r="A667" t="s">
        <v>82</v>
      </c>
      <c r="B667" t="s">
        <v>83</v>
      </c>
      <c r="C667" t="s">
        <v>26</v>
      </c>
      <c r="D667" t="s">
        <v>153</v>
      </c>
      <c r="E667" t="s">
        <v>65</v>
      </c>
      <c r="F667" s="32">
        <v>1.69143</v>
      </c>
      <c r="G667" s="23">
        <v>0.69275340381371797</v>
      </c>
      <c r="H667" s="29">
        <v>7.6216794830841705E-2</v>
      </c>
      <c r="I667" s="7">
        <f t="shared" si="29"/>
        <v>0.69275340381371797</v>
      </c>
      <c r="J667" s="7">
        <f t="shared" si="30"/>
        <v>1.3666470779517024</v>
      </c>
    </row>
    <row r="668" spans="1:10" x14ac:dyDescent="0.35">
      <c r="A668" t="s">
        <v>82</v>
      </c>
      <c r="B668" t="s">
        <v>83</v>
      </c>
      <c r="C668" t="s">
        <v>27</v>
      </c>
      <c r="D668" t="s">
        <v>154</v>
      </c>
      <c r="E668" t="s">
        <v>65</v>
      </c>
      <c r="F668" s="32">
        <v>16.010990799999998</v>
      </c>
      <c r="G668" s="23">
        <v>3.7487867330677487</v>
      </c>
      <c r="H668" s="29">
        <v>5.9610429841245063</v>
      </c>
      <c r="I668" s="7">
        <f t="shared" si="29"/>
        <v>3.7487867330677487</v>
      </c>
      <c r="J668" s="7">
        <f t="shared" si="30"/>
        <v>7.3955153542468901</v>
      </c>
    </row>
    <row r="669" spans="1:10" x14ac:dyDescent="0.35">
      <c r="A669" t="s">
        <v>82</v>
      </c>
      <c r="B669" t="s">
        <v>83</v>
      </c>
      <c r="C669" t="s">
        <v>28</v>
      </c>
      <c r="D669" t="s">
        <v>155</v>
      </c>
      <c r="E669" t="s">
        <v>65</v>
      </c>
      <c r="F669" s="32">
        <v>38.918843699999996</v>
      </c>
      <c r="G669" s="23">
        <v>1.9198642684459863</v>
      </c>
      <c r="H669" s="29">
        <v>8.8999064544620143</v>
      </c>
      <c r="I669" s="7">
        <f t="shared" si="29"/>
        <v>1.9198642684459863</v>
      </c>
      <c r="J669" s="7">
        <f t="shared" si="30"/>
        <v>3.7874615672637328</v>
      </c>
    </row>
    <row r="670" spans="1:10" x14ac:dyDescent="0.35">
      <c r="A670" t="s">
        <v>82</v>
      </c>
      <c r="B670" t="s">
        <v>83</v>
      </c>
      <c r="C670" t="s">
        <v>29</v>
      </c>
      <c r="D670" t="s">
        <v>155</v>
      </c>
      <c r="E670" t="s">
        <v>65</v>
      </c>
      <c r="F670" s="32">
        <v>0.91557699999999997</v>
      </c>
      <c r="G670" s="23" t="e">
        <v>#N/A</v>
      </c>
      <c r="H670" s="29">
        <v>9.2926115356007505E-2</v>
      </c>
      <c r="I670" s="7" t="e">
        <f t="shared" si="29"/>
        <v>#N/A</v>
      </c>
      <c r="J670" s="7" t="e">
        <f t="shared" si="30"/>
        <v>#N/A</v>
      </c>
    </row>
    <row r="671" spans="1:10" x14ac:dyDescent="0.35">
      <c r="A671" t="s">
        <v>82</v>
      </c>
      <c r="B671" t="s">
        <v>83</v>
      </c>
      <c r="C671" t="s">
        <v>30</v>
      </c>
      <c r="D671" t="s">
        <v>155</v>
      </c>
      <c r="E671" t="s">
        <v>65</v>
      </c>
      <c r="F671" s="32">
        <v>263.19871120000005</v>
      </c>
      <c r="G671" s="23">
        <v>6.888528217403751</v>
      </c>
      <c r="H671" s="29">
        <v>25.03559667623627</v>
      </c>
      <c r="I671" s="7">
        <f t="shared" si="29"/>
        <v>6.888528217403751</v>
      </c>
      <c r="J671" s="7">
        <f t="shared" si="30"/>
        <v>13.589521044394852</v>
      </c>
    </row>
    <row r="672" spans="1:10" x14ac:dyDescent="0.35">
      <c r="A672" t="s">
        <v>82</v>
      </c>
      <c r="B672" t="s">
        <v>83</v>
      </c>
      <c r="C672" t="s">
        <v>31</v>
      </c>
      <c r="D672" t="s">
        <v>155</v>
      </c>
      <c r="E672" t="s">
        <v>65</v>
      </c>
      <c r="F672" s="32">
        <v>9.8058727999999995</v>
      </c>
      <c r="G672" s="23" t="e">
        <v>#N/A</v>
      </c>
      <c r="H672" s="29">
        <v>1.9896637188737427E-2</v>
      </c>
      <c r="I672" s="7" t="e">
        <f t="shared" si="29"/>
        <v>#N/A</v>
      </c>
      <c r="J672" s="7" t="e">
        <f t="shared" si="30"/>
        <v>#N/A</v>
      </c>
    </row>
    <row r="673" spans="1:14" x14ac:dyDescent="0.35">
      <c r="A673" t="s">
        <v>82</v>
      </c>
      <c r="B673" t="s">
        <v>83</v>
      </c>
      <c r="C673" t="s">
        <v>32</v>
      </c>
      <c r="D673" t="s">
        <v>153</v>
      </c>
      <c r="E673" t="s">
        <v>65</v>
      </c>
      <c r="F673" s="32">
        <v>0</v>
      </c>
      <c r="G673" s="23" t="e">
        <v>#N/A</v>
      </c>
      <c r="H673" s="29">
        <v>5.2058200743057754E-4</v>
      </c>
      <c r="I673" s="7" t="e">
        <f t="shared" si="29"/>
        <v>#N/A</v>
      </c>
      <c r="J673" s="7" t="e">
        <f t="shared" si="30"/>
        <v>#N/A</v>
      </c>
    </row>
    <row r="674" spans="1:14" x14ac:dyDescent="0.35">
      <c r="A674" t="s">
        <v>82</v>
      </c>
      <c r="B674" t="s">
        <v>83</v>
      </c>
      <c r="C674" t="s">
        <v>33</v>
      </c>
      <c r="D674" t="s">
        <v>155</v>
      </c>
      <c r="E674" t="s">
        <v>65</v>
      </c>
      <c r="F674" s="32">
        <v>213.88310750000002</v>
      </c>
      <c r="G674" s="23">
        <v>8.8483066125127419</v>
      </c>
      <c r="H674" s="29">
        <v>10.505603753897311</v>
      </c>
      <c r="I674" s="7">
        <f t="shared" si="29"/>
        <v>8.8483066125127419</v>
      </c>
      <c r="J674" s="7">
        <f t="shared" si="30"/>
        <v>17.455724230642616</v>
      </c>
    </row>
    <row r="675" spans="1:14" x14ac:dyDescent="0.35">
      <c r="A675" t="s">
        <v>82</v>
      </c>
      <c r="B675" t="s">
        <v>83</v>
      </c>
      <c r="C675" t="s">
        <v>34</v>
      </c>
      <c r="D675" t="s">
        <v>153</v>
      </c>
      <c r="E675" t="s">
        <v>65</v>
      </c>
      <c r="F675" s="32">
        <v>0</v>
      </c>
      <c r="G675" s="23" t="e">
        <v>#N/A</v>
      </c>
      <c r="H675" s="29">
        <v>-0.16137622865854243</v>
      </c>
      <c r="I675" s="7" t="e">
        <f t="shared" si="29"/>
        <v>#N/A</v>
      </c>
      <c r="J675" s="7" t="e">
        <f t="shared" si="30"/>
        <v>#N/A</v>
      </c>
    </row>
    <row r="676" spans="1:14" x14ac:dyDescent="0.35">
      <c r="A676" t="s">
        <v>82</v>
      </c>
      <c r="B676" t="s">
        <v>83</v>
      </c>
      <c r="C676" t="s">
        <v>35</v>
      </c>
      <c r="D676" t="s">
        <v>154</v>
      </c>
      <c r="E676" t="s">
        <v>65</v>
      </c>
      <c r="F676" s="32">
        <v>116.80064160000001</v>
      </c>
      <c r="G676" s="23">
        <v>4.2327192559476687</v>
      </c>
      <c r="H676" s="29">
        <v>23.138353154294752</v>
      </c>
      <c r="I676" s="7">
        <f t="shared" si="29"/>
        <v>4.2327192559476687</v>
      </c>
      <c r="J676" s="7">
        <f t="shared" si="30"/>
        <v>8.3502056735996621</v>
      </c>
    </row>
    <row r="677" spans="1:14" x14ac:dyDescent="0.35">
      <c r="A677" t="s">
        <v>82</v>
      </c>
      <c r="B677" t="s">
        <v>83</v>
      </c>
      <c r="C677" t="s">
        <v>36</v>
      </c>
      <c r="D677" t="s">
        <v>155</v>
      </c>
      <c r="E677" t="s">
        <v>65</v>
      </c>
      <c r="F677" s="32">
        <v>1.9571567000000001</v>
      </c>
      <c r="G677" s="23" t="e">
        <v>#N/A</v>
      </c>
      <c r="H677" s="29">
        <v>0.17841991311912553</v>
      </c>
      <c r="I677" s="7" t="e">
        <f t="shared" si="29"/>
        <v>#N/A</v>
      </c>
      <c r="J677" s="7" t="e">
        <f t="shared" si="30"/>
        <v>#N/A</v>
      </c>
    </row>
    <row r="678" spans="1:14" x14ac:dyDescent="0.35">
      <c r="A678" t="s">
        <v>82</v>
      </c>
      <c r="B678" t="s">
        <v>83</v>
      </c>
      <c r="C678" t="s">
        <v>37</v>
      </c>
      <c r="D678" t="s">
        <v>155</v>
      </c>
      <c r="E678" t="s">
        <v>65</v>
      </c>
      <c r="F678" s="32">
        <v>7.7411357000000001</v>
      </c>
      <c r="G678" s="23">
        <v>1.3702422932757599</v>
      </c>
      <c r="H678" s="29">
        <v>2.100208232454424</v>
      </c>
      <c r="I678" s="7">
        <f t="shared" si="29"/>
        <v>1.3702422932757599</v>
      </c>
      <c r="J678" s="7">
        <f t="shared" si="30"/>
        <v>2.7031806929882816</v>
      </c>
    </row>
    <row r="679" spans="1:14" x14ac:dyDescent="0.35">
      <c r="A679" t="s">
        <v>82</v>
      </c>
      <c r="B679" t="s">
        <v>83</v>
      </c>
      <c r="C679" t="s">
        <v>38</v>
      </c>
      <c r="D679" t="s">
        <v>155</v>
      </c>
      <c r="E679" t="s">
        <v>65</v>
      </c>
      <c r="F679" s="32">
        <v>8.2331139000000011</v>
      </c>
      <c r="G679" s="23">
        <v>0.42749934176474219</v>
      </c>
      <c r="H679" s="29">
        <v>0.81999107632718182</v>
      </c>
      <c r="I679" s="7">
        <f t="shared" si="29"/>
        <v>0.42749934176474219</v>
      </c>
      <c r="J679" s="7">
        <f t="shared" si="30"/>
        <v>0.84336031123444899</v>
      </c>
    </row>
    <row r="680" spans="1:14" x14ac:dyDescent="0.35">
      <c r="A680" t="s">
        <v>82</v>
      </c>
      <c r="B680" t="s">
        <v>83</v>
      </c>
      <c r="C680" t="s">
        <v>39</v>
      </c>
      <c r="D680" t="s">
        <v>153</v>
      </c>
      <c r="E680" t="s">
        <v>65</v>
      </c>
      <c r="F680" s="32">
        <v>0</v>
      </c>
      <c r="G680" s="23" t="e">
        <v>#N/A</v>
      </c>
      <c r="H680" s="29">
        <v>2.8088081683064064E-2</v>
      </c>
      <c r="I680" s="7" t="e">
        <f t="shared" si="29"/>
        <v>#N/A</v>
      </c>
      <c r="J680" s="7" t="e">
        <f t="shared" si="30"/>
        <v>#N/A</v>
      </c>
    </row>
    <row r="681" spans="1:14" s="19" customFormat="1" x14ac:dyDescent="0.35">
      <c r="A681" s="19" t="s">
        <v>82</v>
      </c>
      <c r="B681" s="19" t="s">
        <v>83</v>
      </c>
      <c r="C681" s="19" t="s">
        <v>40</v>
      </c>
      <c r="D681" s="19" t="s">
        <v>154</v>
      </c>
      <c r="E681" s="19" t="s">
        <v>65</v>
      </c>
      <c r="F681" s="33">
        <v>0</v>
      </c>
      <c r="G681" s="24" t="e">
        <v>#N/A</v>
      </c>
      <c r="H681" s="30">
        <v>-0.10306154953758087</v>
      </c>
      <c r="I681" s="21" t="e">
        <f t="shared" si="29"/>
        <v>#N/A</v>
      </c>
      <c r="J681" s="21" t="e">
        <f t="shared" si="30"/>
        <v>#N/A</v>
      </c>
      <c r="N681"/>
    </row>
    <row r="682" spans="1:14" x14ac:dyDescent="0.35">
      <c r="A682" t="s">
        <v>84</v>
      </c>
      <c r="B682" t="s">
        <v>85</v>
      </c>
      <c r="C682" t="s">
        <v>6</v>
      </c>
      <c r="D682" t="s">
        <v>153</v>
      </c>
      <c r="E682" t="s">
        <v>86</v>
      </c>
      <c r="F682" s="32">
        <v>6.7232431999999998</v>
      </c>
      <c r="G682" s="23" t="e">
        <v>#N/A</v>
      </c>
      <c r="H682" s="29">
        <v>0.74947072902282019</v>
      </c>
      <c r="I682" s="7" t="e">
        <f t="shared" si="29"/>
        <v>#N/A</v>
      </c>
      <c r="J682" s="7" t="e">
        <f>I682/0.5409</f>
        <v>#N/A</v>
      </c>
    </row>
    <row r="683" spans="1:14" x14ac:dyDescent="0.35">
      <c r="A683" t="s">
        <v>84</v>
      </c>
      <c r="B683" t="s">
        <v>85</v>
      </c>
      <c r="C683" t="s">
        <v>7</v>
      </c>
      <c r="D683" t="s">
        <v>153</v>
      </c>
      <c r="E683" t="s">
        <v>86</v>
      </c>
      <c r="F683" s="32">
        <v>0</v>
      </c>
      <c r="G683" s="23" t="e">
        <v>#N/A</v>
      </c>
      <c r="H683" s="29">
        <v>-0.10146162856274504</v>
      </c>
      <c r="I683" s="7" t="e">
        <f t="shared" si="29"/>
        <v>#N/A</v>
      </c>
      <c r="J683" s="7" t="e">
        <f t="shared" ref="J683:J715" si="31">I683/0.5409</f>
        <v>#N/A</v>
      </c>
    </row>
    <row r="684" spans="1:14" x14ac:dyDescent="0.35">
      <c r="A684" t="s">
        <v>84</v>
      </c>
      <c r="B684" t="s">
        <v>85</v>
      </c>
      <c r="C684" t="s">
        <v>8</v>
      </c>
      <c r="D684" t="s">
        <v>153</v>
      </c>
      <c r="E684" t="s">
        <v>86</v>
      </c>
      <c r="F684" s="32" t="e">
        <v>#N/A</v>
      </c>
      <c r="G684" s="23" t="e">
        <v>#N/A</v>
      </c>
      <c r="H684" s="29">
        <v>-4.3020709256347857E-2</v>
      </c>
      <c r="I684" s="7" t="e">
        <f t="shared" si="29"/>
        <v>#N/A</v>
      </c>
      <c r="J684" s="7" t="e">
        <f t="shared" si="31"/>
        <v>#N/A</v>
      </c>
    </row>
    <row r="685" spans="1:14" x14ac:dyDescent="0.35">
      <c r="A685" t="s">
        <v>84</v>
      </c>
      <c r="B685" t="s">
        <v>85</v>
      </c>
      <c r="C685" t="s">
        <v>9</v>
      </c>
      <c r="D685" t="s">
        <v>153</v>
      </c>
      <c r="E685" t="s">
        <v>86</v>
      </c>
      <c r="F685" s="32">
        <v>7.1924260000000002</v>
      </c>
      <c r="G685" s="23" t="e">
        <v>#N/A</v>
      </c>
      <c r="H685" s="29">
        <v>-0.2253910149840363</v>
      </c>
      <c r="I685" s="7" t="e">
        <f t="shared" si="29"/>
        <v>#N/A</v>
      </c>
      <c r="J685" s="7" t="e">
        <f t="shared" si="31"/>
        <v>#N/A</v>
      </c>
    </row>
    <row r="686" spans="1:14" x14ac:dyDescent="0.35">
      <c r="A686" t="s">
        <v>84</v>
      </c>
      <c r="B686" t="s">
        <v>85</v>
      </c>
      <c r="C686" t="s">
        <v>10</v>
      </c>
      <c r="D686" t="s">
        <v>153</v>
      </c>
      <c r="E686" t="s">
        <v>86</v>
      </c>
      <c r="F686" s="32">
        <v>89.016080299999999</v>
      </c>
      <c r="G686" s="23" t="e">
        <v>#N/A</v>
      </c>
      <c r="H686" s="29">
        <v>-9.4466946249341169E-2</v>
      </c>
      <c r="I686" s="7" t="e">
        <f t="shared" si="29"/>
        <v>#N/A</v>
      </c>
      <c r="J686" s="7" t="e">
        <f t="shared" si="31"/>
        <v>#N/A</v>
      </c>
    </row>
    <row r="687" spans="1:14" x14ac:dyDescent="0.35">
      <c r="A687" t="s">
        <v>84</v>
      </c>
      <c r="B687" t="s">
        <v>85</v>
      </c>
      <c r="C687" t="s">
        <v>11</v>
      </c>
      <c r="D687" t="s">
        <v>153</v>
      </c>
      <c r="E687" t="s">
        <v>86</v>
      </c>
      <c r="F687" s="32">
        <v>56.979877600000002</v>
      </c>
      <c r="G687" s="23" t="e">
        <v>#N/A</v>
      </c>
      <c r="H687" s="29">
        <v>-6.667130263639616E-2</v>
      </c>
      <c r="I687" s="7" t="e">
        <f t="shared" si="29"/>
        <v>#N/A</v>
      </c>
      <c r="J687" s="7" t="e">
        <f t="shared" si="31"/>
        <v>#N/A</v>
      </c>
    </row>
    <row r="688" spans="1:14" x14ac:dyDescent="0.35">
      <c r="A688" t="s">
        <v>84</v>
      </c>
      <c r="B688" t="s">
        <v>85</v>
      </c>
      <c r="C688" t="s">
        <v>12</v>
      </c>
      <c r="D688" t="s">
        <v>154</v>
      </c>
      <c r="E688" t="s">
        <v>86</v>
      </c>
      <c r="F688" s="32">
        <v>0</v>
      </c>
      <c r="G688" s="23" t="e">
        <v>#N/A</v>
      </c>
      <c r="H688" s="29">
        <v>-5.5470922659725211E-2</v>
      </c>
      <c r="I688" s="7" t="e">
        <f t="shared" si="29"/>
        <v>#N/A</v>
      </c>
      <c r="J688" s="7" t="e">
        <f t="shared" si="31"/>
        <v>#N/A</v>
      </c>
    </row>
    <row r="689" spans="1:10" x14ac:dyDescent="0.35">
      <c r="A689" t="s">
        <v>84</v>
      </c>
      <c r="B689" t="s">
        <v>85</v>
      </c>
      <c r="C689" t="s">
        <v>13</v>
      </c>
      <c r="D689" t="s">
        <v>153</v>
      </c>
      <c r="E689" t="s">
        <v>86</v>
      </c>
      <c r="F689" s="32">
        <v>9.3105071000000006</v>
      </c>
      <c r="G689" s="23" t="e">
        <v>#N/A</v>
      </c>
      <c r="H689" s="29">
        <v>-5.4470940143016261E-2</v>
      </c>
      <c r="I689" s="7" t="e">
        <f t="shared" si="29"/>
        <v>#N/A</v>
      </c>
      <c r="J689" s="7" t="e">
        <f t="shared" si="31"/>
        <v>#N/A</v>
      </c>
    </row>
    <row r="690" spans="1:10" x14ac:dyDescent="0.35">
      <c r="A690" t="s">
        <v>84</v>
      </c>
      <c r="B690" t="s">
        <v>85</v>
      </c>
      <c r="C690" t="s">
        <v>14</v>
      </c>
      <c r="D690" t="s">
        <v>154</v>
      </c>
      <c r="E690" t="s">
        <v>86</v>
      </c>
      <c r="F690" s="32">
        <v>0</v>
      </c>
      <c r="G690" s="23" t="e">
        <v>#N/A</v>
      </c>
      <c r="H690" s="29">
        <v>-4.8139226674906457E-2</v>
      </c>
      <c r="I690" s="7" t="e">
        <f t="shared" si="29"/>
        <v>#N/A</v>
      </c>
      <c r="J690" s="7" t="e">
        <f t="shared" si="31"/>
        <v>#N/A</v>
      </c>
    </row>
    <row r="691" spans="1:10" x14ac:dyDescent="0.35">
      <c r="A691" t="s">
        <v>84</v>
      </c>
      <c r="B691" t="s">
        <v>85</v>
      </c>
      <c r="C691" t="s">
        <v>15</v>
      </c>
      <c r="D691" t="s">
        <v>153</v>
      </c>
      <c r="E691" t="s">
        <v>86</v>
      </c>
      <c r="F691" s="32">
        <v>1936.7175377999999</v>
      </c>
      <c r="G691" s="23">
        <v>26.392725520838248</v>
      </c>
      <c r="H691" s="29">
        <v>80.861933536206593</v>
      </c>
      <c r="I691" s="7">
        <f t="shared" si="29"/>
        <v>26.392725520838248</v>
      </c>
      <c r="J691" s="7">
        <f t="shared" si="31"/>
        <v>48.794094140947024</v>
      </c>
    </row>
    <row r="692" spans="1:10" x14ac:dyDescent="0.35">
      <c r="A692" t="s">
        <v>84</v>
      </c>
      <c r="B692" t="s">
        <v>85</v>
      </c>
      <c r="C692" t="s">
        <v>16</v>
      </c>
      <c r="D692" t="s">
        <v>154</v>
      </c>
      <c r="E692" t="s">
        <v>86</v>
      </c>
      <c r="F692" s="32">
        <v>159.33959250000001</v>
      </c>
      <c r="G692" s="23">
        <v>3.7991612711562439</v>
      </c>
      <c r="H692" s="29">
        <v>9.7388205951656452</v>
      </c>
      <c r="I692" s="7">
        <f t="shared" si="29"/>
        <v>3.7991612711562439</v>
      </c>
      <c r="J692" s="7">
        <f t="shared" si="31"/>
        <v>7.0237775395752333</v>
      </c>
    </row>
    <row r="693" spans="1:10" x14ac:dyDescent="0.35">
      <c r="A693" t="s">
        <v>84</v>
      </c>
      <c r="B693" t="s">
        <v>85</v>
      </c>
      <c r="C693" t="s">
        <v>18</v>
      </c>
      <c r="D693" t="s">
        <v>154</v>
      </c>
      <c r="E693" t="s">
        <v>86</v>
      </c>
      <c r="F693" s="32">
        <v>0</v>
      </c>
      <c r="G693" s="23" t="e">
        <v>#N/A</v>
      </c>
      <c r="H693" s="29">
        <v>-1.6356363852286362E-2</v>
      </c>
      <c r="I693" s="7" t="e">
        <f t="shared" si="29"/>
        <v>#N/A</v>
      </c>
      <c r="J693" s="7" t="e">
        <f t="shared" si="31"/>
        <v>#N/A</v>
      </c>
    </row>
    <row r="694" spans="1:10" x14ac:dyDescent="0.35">
      <c r="A694" t="s">
        <v>84</v>
      </c>
      <c r="B694" t="s">
        <v>85</v>
      </c>
      <c r="C694" t="s">
        <v>19</v>
      </c>
      <c r="D694" t="s">
        <v>153</v>
      </c>
      <c r="E694" t="s">
        <v>86</v>
      </c>
      <c r="F694" s="32">
        <v>442.89497649999998</v>
      </c>
      <c r="G694" s="23">
        <v>26.906466801114316</v>
      </c>
      <c r="H694" s="29">
        <v>30.999024079377747</v>
      </c>
      <c r="I694" s="7">
        <f t="shared" si="29"/>
        <v>26.906466801114316</v>
      </c>
      <c r="J694" s="7">
        <f t="shared" si="31"/>
        <v>49.743883899268468</v>
      </c>
    </row>
    <row r="695" spans="1:10" x14ac:dyDescent="0.35">
      <c r="A695" t="s">
        <v>84</v>
      </c>
      <c r="B695" t="s">
        <v>85</v>
      </c>
      <c r="C695" t="s">
        <v>20</v>
      </c>
      <c r="D695" t="s">
        <v>154</v>
      </c>
      <c r="E695" t="s">
        <v>86</v>
      </c>
      <c r="F695" s="32">
        <v>335.34007030000004</v>
      </c>
      <c r="G695" s="23">
        <v>12.226224227797239</v>
      </c>
      <c r="H695" s="29">
        <v>107.70580508016279</v>
      </c>
      <c r="I695" s="7">
        <f t="shared" si="29"/>
        <v>12.226224227797239</v>
      </c>
      <c r="J695" s="7">
        <f t="shared" si="31"/>
        <v>22.603483504894136</v>
      </c>
    </row>
    <row r="696" spans="1:10" x14ac:dyDescent="0.35">
      <c r="A696" t="s">
        <v>84</v>
      </c>
      <c r="B696" t="s">
        <v>85</v>
      </c>
      <c r="C696" t="s">
        <v>21</v>
      </c>
      <c r="D696" t="s">
        <v>155</v>
      </c>
      <c r="E696" t="s">
        <v>86</v>
      </c>
      <c r="F696" s="32">
        <v>0.3407386</v>
      </c>
      <c r="G696" s="23" t="e">
        <v>#N/A</v>
      </c>
      <c r="H696" s="29">
        <v>9.5112379071669792E-2</v>
      </c>
      <c r="I696" s="7" t="e">
        <f t="shared" si="29"/>
        <v>#N/A</v>
      </c>
      <c r="J696" s="7" t="e">
        <f t="shared" si="31"/>
        <v>#N/A</v>
      </c>
    </row>
    <row r="697" spans="1:10" x14ac:dyDescent="0.35">
      <c r="A697" t="s">
        <v>84</v>
      </c>
      <c r="B697" t="s">
        <v>85</v>
      </c>
      <c r="C697" t="s">
        <v>22</v>
      </c>
      <c r="D697" t="s">
        <v>155</v>
      </c>
      <c r="E697" t="s">
        <v>86</v>
      </c>
      <c r="F697" s="32">
        <v>117.20800689999999</v>
      </c>
      <c r="G697" s="23">
        <v>7.194027816532067</v>
      </c>
      <c r="H697" s="29">
        <v>40.648047045839199</v>
      </c>
      <c r="I697" s="7">
        <f t="shared" si="29"/>
        <v>7.194027816532067</v>
      </c>
      <c r="J697" s="7">
        <f t="shared" si="31"/>
        <v>13.300106889502803</v>
      </c>
    </row>
    <row r="698" spans="1:10" x14ac:dyDescent="0.35">
      <c r="A698" t="s">
        <v>84</v>
      </c>
      <c r="B698" t="s">
        <v>85</v>
      </c>
      <c r="C698" t="s">
        <v>23</v>
      </c>
      <c r="D698" t="s">
        <v>155</v>
      </c>
      <c r="E698" t="s">
        <v>86</v>
      </c>
      <c r="F698" s="32">
        <v>0.13098089999999998</v>
      </c>
      <c r="G698" s="23" t="e">
        <v>#N/A</v>
      </c>
      <c r="H698" s="29">
        <v>1.7292157028523159E-2</v>
      </c>
      <c r="I698" s="7" t="e">
        <f t="shared" si="29"/>
        <v>#N/A</v>
      </c>
      <c r="J698" s="7" t="e">
        <f t="shared" si="31"/>
        <v>#N/A</v>
      </c>
    </row>
    <row r="699" spans="1:10" x14ac:dyDescent="0.35">
      <c r="A699" t="s">
        <v>84</v>
      </c>
      <c r="B699" t="s">
        <v>85</v>
      </c>
      <c r="C699" t="s">
        <v>24</v>
      </c>
      <c r="D699" t="s">
        <v>155</v>
      </c>
      <c r="E699" t="s">
        <v>86</v>
      </c>
      <c r="F699" s="32">
        <v>88.699407199999996</v>
      </c>
      <c r="G699" s="23">
        <v>1.2098365758140268</v>
      </c>
      <c r="H699" s="29">
        <v>4.8777215128541593</v>
      </c>
      <c r="I699" s="7">
        <f t="shared" si="29"/>
        <v>1.2098365758140268</v>
      </c>
      <c r="J699" s="7">
        <f t="shared" si="31"/>
        <v>2.2367102529377458</v>
      </c>
    </row>
    <row r="700" spans="1:10" x14ac:dyDescent="0.35">
      <c r="A700" t="s">
        <v>84</v>
      </c>
      <c r="B700" t="s">
        <v>85</v>
      </c>
      <c r="C700" t="s">
        <v>25</v>
      </c>
      <c r="D700" t="s">
        <v>155</v>
      </c>
      <c r="E700" t="s">
        <v>86</v>
      </c>
      <c r="F700" s="32">
        <v>0.75011329999999998</v>
      </c>
      <c r="G700" s="23" t="e">
        <v>#N/A</v>
      </c>
      <c r="H700" s="29">
        <v>0.97522516898551015</v>
      </c>
      <c r="I700" s="7" t="e">
        <f t="shared" si="29"/>
        <v>#N/A</v>
      </c>
      <c r="J700" s="7" t="e">
        <f t="shared" si="31"/>
        <v>#N/A</v>
      </c>
    </row>
    <row r="701" spans="1:10" x14ac:dyDescent="0.35">
      <c r="A701" t="s">
        <v>84</v>
      </c>
      <c r="B701" t="s">
        <v>85</v>
      </c>
      <c r="C701" t="s">
        <v>26</v>
      </c>
      <c r="D701" t="s">
        <v>153</v>
      </c>
      <c r="E701" t="s">
        <v>86</v>
      </c>
      <c r="F701" s="32">
        <v>1.6099726000000001</v>
      </c>
      <c r="G701" s="23">
        <v>0.95441015083290526</v>
      </c>
      <c r="H701" s="29">
        <v>-3.6523800233298861E-2</v>
      </c>
      <c r="I701" s="7">
        <f t="shared" si="29"/>
        <v>0.95441015083290526</v>
      </c>
      <c r="J701" s="7">
        <f t="shared" si="31"/>
        <v>1.7644853962523668</v>
      </c>
    </row>
    <row r="702" spans="1:10" x14ac:dyDescent="0.35">
      <c r="A702" t="s">
        <v>84</v>
      </c>
      <c r="B702" t="s">
        <v>85</v>
      </c>
      <c r="C702" t="s">
        <v>27</v>
      </c>
      <c r="D702" t="s">
        <v>154</v>
      </c>
      <c r="E702" t="s">
        <v>86</v>
      </c>
      <c r="F702" s="32">
        <v>8.6810985999999986</v>
      </c>
      <c r="G702" s="23">
        <v>1.5639147122038661</v>
      </c>
      <c r="H702" s="29">
        <v>5.0449164583660187</v>
      </c>
      <c r="I702" s="7">
        <f t="shared" si="29"/>
        <v>1.5639147122038661</v>
      </c>
      <c r="J702" s="7">
        <f t="shared" si="31"/>
        <v>2.8913194901162247</v>
      </c>
    </row>
    <row r="703" spans="1:10" x14ac:dyDescent="0.35">
      <c r="A703" t="s">
        <v>84</v>
      </c>
      <c r="B703" t="s">
        <v>85</v>
      </c>
      <c r="C703" t="s">
        <v>28</v>
      </c>
      <c r="D703" t="s">
        <v>155</v>
      </c>
      <c r="E703" t="s">
        <v>86</v>
      </c>
      <c r="F703" s="32">
        <v>13.280417999999999</v>
      </c>
      <c r="G703" s="23">
        <v>2.3575527519000521</v>
      </c>
      <c r="H703" s="29">
        <v>6.8266990056760344</v>
      </c>
      <c r="I703" s="7">
        <f t="shared" si="29"/>
        <v>2.3575527519000521</v>
      </c>
      <c r="J703" s="7">
        <f t="shared" si="31"/>
        <v>4.3585741392125197</v>
      </c>
    </row>
    <row r="704" spans="1:10" x14ac:dyDescent="0.35">
      <c r="A704" t="s">
        <v>84</v>
      </c>
      <c r="B704" t="s">
        <v>85</v>
      </c>
      <c r="C704" t="s">
        <v>29</v>
      </c>
      <c r="D704" t="s">
        <v>155</v>
      </c>
      <c r="E704" t="s">
        <v>86</v>
      </c>
      <c r="F704" s="32">
        <v>14.096272900000001</v>
      </c>
      <c r="G704" s="23">
        <v>0.70145611792131057</v>
      </c>
      <c r="H704" s="29">
        <v>3.9788410079620293E-2</v>
      </c>
      <c r="I704" s="7">
        <f t="shared" si="29"/>
        <v>0.70145611792131057</v>
      </c>
      <c r="J704" s="7">
        <f t="shared" si="31"/>
        <v>1.2968314252566289</v>
      </c>
    </row>
    <row r="705" spans="1:10" x14ac:dyDescent="0.35">
      <c r="A705" t="s">
        <v>84</v>
      </c>
      <c r="B705" t="s">
        <v>85</v>
      </c>
      <c r="C705" t="s">
        <v>30</v>
      </c>
      <c r="D705" t="s">
        <v>155</v>
      </c>
      <c r="E705" t="s">
        <v>86</v>
      </c>
      <c r="F705" s="32">
        <v>91.994641600000008</v>
      </c>
      <c r="G705" s="23">
        <v>7.6380758533747191</v>
      </c>
      <c r="H705" s="29">
        <v>21.460640186989949</v>
      </c>
      <c r="I705" s="7">
        <f t="shared" si="29"/>
        <v>7.6380758533747191</v>
      </c>
      <c r="J705" s="7">
        <f t="shared" si="31"/>
        <v>14.121049830605877</v>
      </c>
    </row>
    <row r="706" spans="1:10" x14ac:dyDescent="0.35">
      <c r="A706" t="s">
        <v>84</v>
      </c>
      <c r="B706" t="s">
        <v>85</v>
      </c>
      <c r="C706" t="s">
        <v>31</v>
      </c>
      <c r="D706" t="s">
        <v>155</v>
      </c>
      <c r="E706" t="s">
        <v>86</v>
      </c>
      <c r="F706" s="32" t="e">
        <v>#N/A</v>
      </c>
      <c r="G706" s="23" t="e">
        <v>#N/A</v>
      </c>
      <c r="H706" s="29">
        <v>0.12869656791353476</v>
      </c>
      <c r="I706" s="7" t="e">
        <f t="shared" ref="I706:I769" si="32">IF(G706&lt;0,0,G706)</f>
        <v>#N/A</v>
      </c>
      <c r="J706" s="7" t="e">
        <f t="shared" si="31"/>
        <v>#N/A</v>
      </c>
    </row>
    <row r="707" spans="1:10" x14ac:dyDescent="0.35">
      <c r="A707" t="s">
        <v>84</v>
      </c>
      <c r="B707" t="s">
        <v>85</v>
      </c>
      <c r="C707" t="s">
        <v>32</v>
      </c>
      <c r="D707" t="s">
        <v>153</v>
      </c>
      <c r="E707" t="s">
        <v>86</v>
      </c>
      <c r="F707" s="32">
        <v>0</v>
      </c>
      <c r="G707" s="23" t="e">
        <v>#N/A</v>
      </c>
      <c r="H707" s="29">
        <v>6.8699254398757473E-2</v>
      </c>
      <c r="I707" s="7" t="e">
        <f t="shared" si="32"/>
        <v>#N/A</v>
      </c>
      <c r="J707" s="7" t="e">
        <f t="shared" si="31"/>
        <v>#N/A</v>
      </c>
    </row>
    <row r="708" spans="1:10" x14ac:dyDescent="0.35">
      <c r="A708" t="s">
        <v>84</v>
      </c>
      <c r="B708" t="s">
        <v>85</v>
      </c>
      <c r="C708" t="s">
        <v>33</v>
      </c>
      <c r="D708" t="s">
        <v>155</v>
      </c>
      <c r="E708" t="s">
        <v>86</v>
      </c>
      <c r="F708" s="32">
        <v>98.284169699999993</v>
      </c>
      <c r="G708" s="23">
        <v>6.935009088051669</v>
      </c>
      <c r="H708" s="29">
        <v>10.784736440604643</v>
      </c>
      <c r="I708" s="7">
        <f t="shared" si="32"/>
        <v>6.935009088051669</v>
      </c>
      <c r="J708" s="7">
        <f t="shared" si="31"/>
        <v>12.821240687838173</v>
      </c>
    </row>
    <row r="709" spans="1:10" x14ac:dyDescent="0.35">
      <c r="A709" t="s">
        <v>84</v>
      </c>
      <c r="B709" t="s">
        <v>85</v>
      </c>
      <c r="C709" t="s">
        <v>34</v>
      </c>
      <c r="D709" t="s">
        <v>153</v>
      </c>
      <c r="E709" t="s">
        <v>86</v>
      </c>
      <c r="F709" s="32">
        <v>0</v>
      </c>
      <c r="G709" s="23" t="e">
        <v>#N/A</v>
      </c>
      <c r="H709" s="29">
        <v>-0.15737365837859751</v>
      </c>
      <c r="I709" s="7" t="e">
        <f t="shared" si="32"/>
        <v>#N/A</v>
      </c>
      <c r="J709" s="7" t="e">
        <f t="shared" si="31"/>
        <v>#N/A</v>
      </c>
    </row>
    <row r="710" spans="1:10" x14ac:dyDescent="0.35">
      <c r="A710" t="s">
        <v>84</v>
      </c>
      <c r="B710" t="s">
        <v>85</v>
      </c>
      <c r="C710" t="s">
        <v>35</v>
      </c>
      <c r="D710" t="s">
        <v>154</v>
      </c>
      <c r="E710" t="s">
        <v>86</v>
      </c>
      <c r="F710" s="32">
        <v>119.90831080000001</v>
      </c>
      <c r="G710" s="23">
        <v>7.7253864898822311</v>
      </c>
      <c r="H710" s="29">
        <v>21.318034351536468</v>
      </c>
      <c r="I710" s="7">
        <f t="shared" si="32"/>
        <v>7.7253864898822311</v>
      </c>
      <c r="J710" s="7">
        <f t="shared" si="31"/>
        <v>14.282467165616991</v>
      </c>
    </row>
    <row r="711" spans="1:10" x14ac:dyDescent="0.35">
      <c r="A711" t="s">
        <v>84</v>
      </c>
      <c r="B711" t="s">
        <v>85</v>
      </c>
      <c r="C711" t="s">
        <v>36</v>
      </c>
      <c r="D711" t="s">
        <v>155</v>
      </c>
      <c r="E711" t="s">
        <v>86</v>
      </c>
      <c r="F711" s="32">
        <v>1.972998</v>
      </c>
      <c r="G711" s="23" t="e">
        <v>#N/A</v>
      </c>
      <c r="H711" s="29">
        <v>0.14751714928479148</v>
      </c>
      <c r="I711" s="7" t="e">
        <f t="shared" si="32"/>
        <v>#N/A</v>
      </c>
      <c r="J711" s="7" t="e">
        <f t="shared" si="31"/>
        <v>#N/A</v>
      </c>
    </row>
    <row r="712" spans="1:10" x14ac:dyDescent="0.35">
      <c r="A712" t="s">
        <v>84</v>
      </c>
      <c r="B712" t="s">
        <v>85</v>
      </c>
      <c r="C712" t="s">
        <v>37</v>
      </c>
      <c r="D712" t="s">
        <v>155</v>
      </c>
      <c r="E712" t="s">
        <v>86</v>
      </c>
      <c r="F712" s="32">
        <v>2.6072953000000001</v>
      </c>
      <c r="G712" s="23">
        <v>1.4352463483589564</v>
      </c>
      <c r="H712" s="29">
        <v>1.7068386710241681</v>
      </c>
      <c r="I712" s="7">
        <f t="shared" si="32"/>
        <v>1.4352463483589564</v>
      </c>
      <c r="J712" s="7">
        <f t="shared" si="31"/>
        <v>2.6534412060620376</v>
      </c>
    </row>
    <row r="713" spans="1:10" x14ac:dyDescent="0.35">
      <c r="A713" t="s">
        <v>84</v>
      </c>
      <c r="B713" t="s">
        <v>85</v>
      </c>
      <c r="C713" t="s">
        <v>38</v>
      </c>
      <c r="D713" t="s">
        <v>155</v>
      </c>
      <c r="E713" t="s">
        <v>86</v>
      </c>
      <c r="F713" s="32">
        <v>0.49858179999999996</v>
      </c>
      <c r="G713" s="23">
        <v>0.6882857050518133</v>
      </c>
      <c r="H713" s="29">
        <v>0.58573221625906768</v>
      </c>
      <c r="I713" s="7">
        <f t="shared" si="32"/>
        <v>0.6882857050518133</v>
      </c>
      <c r="J713" s="7">
        <f t="shared" si="31"/>
        <v>1.2724823535807233</v>
      </c>
    </row>
    <row r="714" spans="1:10" x14ac:dyDescent="0.35">
      <c r="A714" t="s">
        <v>84</v>
      </c>
      <c r="B714" t="s">
        <v>85</v>
      </c>
      <c r="C714" t="s">
        <v>39</v>
      </c>
      <c r="D714" t="s">
        <v>153</v>
      </c>
      <c r="E714" t="s">
        <v>86</v>
      </c>
      <c r="F714" s="32">
        <v>0</v>
      </c>
      <c r="G714" s="23" t="e">
        <v>#N/A</v>
      </c>
      <c r="H714" s="29">
        <v>-6.9557208504914342E-2</v>
      </c>
      <c r="I714" s="7" t="e">
        <f t="shared" si="32"/>
        <v>#N/A</v>
      </c>
      <c r="J714" s="7" t="e">
        <f t="shared" si="31"/>
        <v>#N/A</v>
      </c>
    </row>
    <row r="715" spans="1:10" s="19" customFormat="1" x14ac:dyDescent="0.35">
      <c r="A715" s="19" t="s">
        <v>84</v>
      </c>
      <c r="B715" s="19" t="s">
        <v>85</v>
      </c>
      <c r="C715" s="19" t="s">
        <v>40</v>
      </c>
      <c r="D715" s="19" t="s">
        <v>154</v>
      </c>
      <c r="E715" s="19" t="s">
        <v>86</v>
      </c>
      <c r="F715" s="33">
        <v>0</v>
      </c>
      <c r="G715" s="24" t="e">
        <v>#N/A</v>
      </c>
      <c r="H715" s="30">
        <v>-0.11298586724811223</v>
      </c>
      <c r="I715" s="21" t="e">
        <f t="shared" si="32"/>
        <v>#N/A</v>
      </c>
      <c r="J715" s="21" t="e">
        <f t="shared" si="31"/>
        <v>#N/A</v>
      </c>
    </row>
    <row r="716" spans="1:10" x14ac:dyDescent="0.35">
      <c r="A716" t="s">
        <v>87</v>
      </c>
      <c r="B716" t="s">
        <v>88</v>
      </c>
      <c r="C716" t="s">
        <v>6</v>
      </c>
      <c r="D716" t="s">
        <v>153</v>
      </c>
      <c r="E716" t="s">
        <v>86</v>
      </c>
      <c r="F716" s="32">
        <v>6.8768636000000001</v>
      </c>
      <c r="G716" s="23" t="e">
        <v>#N/A</v>
      </c>
      <c r="H716" s="29">
        <v>0.74535031449211542</v>
      </c>
      <c r="I716" s="7" t="e">
        <f t="shared" si="32"/>
        <v>#N/A</v>
      </c>
      <c r="J716" s="7" t="e">
        <f>I716/0.4663</f>
        <v>#N/A</v>
      </c>
    </row>
    <row r="717" spans="1:10" x14ac:dyDescent="0.35">
      <c r="A717" t="s">
        <v>87</v>
      </c>
      <c r="B717" t="s">
        <v>88</v>
      </c>
      <c r="C717" t="s">
        <v>7</v>
      </c>
      <c r="D717" t="s">
        <v>153</v>
      </c>
      <c r="E717" t="s">
        <v>86</v>
      </c>
      <c r="F717" s="32">
        <v>0</v>
      </c>
      <c r="G717" s="23" t="e">
        <v>#N/A</v>
      </c>
      <c r="H717" s="29">
        <v>-0.1089883389163508</v>
      </c>
      <c r="I717" s="7" t="e">
        <f t="shared" si="32"/>
        <v>#N/A</v>
      </c>
      <c r="J717" s="7" t="e">
        <f t="shared" ref="J717:J749" si="33">I717/0.4663</f>
        <v>#N/A</v>
      </c>
    </row>
    <row r="718" spans="1:10" x14ac:dyDescent="0.35">
      <c r="A718" t="s">
        <v>87</v>
      </c>
      <c r="B718" t="s">
        <v>88</v>
      </c>
      <c r="C718" t="s">
        <v>8</v>
      </c>
      <c r="D718" t="s">
        <v>153</v>
      </c>
      <c r="E718" t="s">
        <v>86</v>
      </c>
      <c r="F718" s="32" t="e">
        <v>#N/A</v>
      </c>
      <c r="G718" s="23" t="e">
        <v>#N/A</v>
      </c>
      <c r="H718" s="29">
        <v>-4.1929068343176959E-2</v>
      </c>
      <c r="I718" s="7" t="e">
        <f t="shared" si="32"/>
        <v>#N/A</v>
      </c>
      <c r="J718" s="7" t="e">
        <f t="shared" si="33"/>
        <v>#N/A</v>
      </c>
    </row>
    <row r="719" spans="1:10" x14ac:dyDescent="0.35">
      <c r="A719" t="s">
        <v>87</v>
      </c>
      <c r="B719" t="s">
        <v>88</v>
      </c>
      <c r="C719" t="s">
        <v>9</v>
      </c>
      <c r="D719" t="s">
        <v>153</v>
      </c>
      <c r="E719" t="s">
        <v>86</v>
      </c>
      <c r="F719" s="32">
        <v>5.7644688999999998</v>
      </c>
      <c r="G719" s="23" t="e">
        <v>#N/A</v>
      </c>
      <c r="H719" s="29">
        <v>-0.27061875283161946</v>
      </c>
      <c r="I719" s="7" t="e">
        <f t="shared" si="32"/>
        <v>#N/A</v>
      </c>
      <c r="J719" s="7" t="e">
        <f t="shared" si="33"/>
        <v>#N/A</v>
      </c>
    </row>
    <row r="720" spans="1:10" x14ac:dyDescent="0.35">
      <c r="A720" t="s">
        <v>87</v>
      </c>
      <c r="B720" t="s">
        <v>88</v>
      </c>
      <c r="C720" t="s">
        <v>10</v>
      </c>
      <c r="D720" t="s">
        <v>153</v>
      </c>
      <c r="E720" t="s">
        <v>86</v>
      </c>
      <c r="F720" s="32">
        <v>80.764719700000001</v>
      </c>
      <c r="G720" s="23" t="e">
        <v>#N/A</v>
      </c>
      <c r="H720" s="29">
        <v>-9.5039268076396718E-2</v>
      </c>
      <c r="I720" s="7" t="e">
        <f t="shared" si="32"/>
        <v>#N/A</v>
      </c>
      <c r="J720" s="7" t="e">
        <f t="shared" si="33"/>
        <v>#N/A</v>
      </c>
    </row>
    <row r="721" spans="1:10" x14ac:dyDescent="0.35">
      <c r="A721" t="s">
        <v>87</v>
      </c>
      <c r="B721" t="s">
        <v>88</v>
      </c>
      <c r="C721" t="s">
        <v>11</v>
      </c>
      <c r="D721" t="s">
        <v>153</v>
      </c>
      <c r="E721" t="s">
        <v>86</v>
      </c>
      <c r="F721" s="32">
        <v>76.653050700000009</v>
      </c>
      <c r="G721" s="23">
        <v>14.841251799651435</v>
      </c>
      <c r="H721" s="29">
        <v>3.0215662082844426</v>
      </c>
      <c r="I721" s="7">
        <f t="shared" si="32"/>
        <v>14.841251799651435</v>
      </c>
      <c r="J721" s="7">
        <f t="shared" si="33"/>
        <v>31.827689898459006</v>
      </c>
    </row>
    <row r="722" spans="1:10" x14ac:dyDescent="0.35">
      <c r="A722" t="s">
        <v>87</v>
      </c>
      <c r="B722" t="s">
        <v>88</v>
      </c>
      <c r="C722" t="s">
        <v>12</v>
      </c>
      <c r="D722" t="s">
        <v>154</v>
      </c>
      <c r="E722" t="s">
        <v>86</v>
      </c>
      <c r="F722" s="32">
        <v>0</v>
      </c>
      <c r="G722" s="23" t="e">
        <v>#N/A</v>
      </c>
      <c r="H722" s="29">
        <v>-2.6432722373567169E-2</v>
      </c>
      <c r="I722" s="7" t="e">
        <f t="shared" si="32"/>
        <v>#N/A</v>
      </c>
      <c r="J722" s="7" t="e">
        <f t="shared" si="33"/>
        <v>#N/A</v>
      </c>
    </row>
    <row r="723" spans="1:10" x14ac:dyDescent="0.35">
      <c r="A723" t="s">
        <v>87</v>
      </c>
      <c r="B723" t="s">
        <v>88</v>
      </c>
      <c r="C723" t="s">
        <v>13</v>
      </c>
      <c r="D723" t="s">
        <v>153</v>
      </c>
      <c r="E723" t="s">
        <v>86</v>
      </c>
      <c r="F723" s="32">
        <v>13.141641600000002</v>
      </c>
      <c r="G723" s="23" t="e">
        <v>#N/A</v>
      </c>
      <c r="H723" s="29">
        <v>8.8419125571225346E-2</v>
      </c>
      <c r="I723" s="7" t="e">
        <f t="shared" si="32"/>
        <v>#N/A</v>
      </c>
      <c r="J723" s="7" t="e">
        <f t="shared" si="33"/>
        <v>#N/A</v>
      </c>
    </row>
    <row r="724" spans="1:10" x14ac:dyDescent="0.35">
      <c r="A724" t="s">
        <v>87</v>
      </c>
      <c r="B724" t="s">
        <v>88</v>
      </c>
      <c r="C724" t="s">
        <v>14</v>
      </c>
      <c r="D724" t="s">
        <v>154</v>
      </c>
      <c r="E724" t="s">
        <v>86</v>
      </c>
      <c r="F724" s="32">
        <v>0</v>
      </c>
      <c r="G724" s="23" t="e">
        <v>#N/A</v>
      </c>
      <c r="H724" s="29">
        <v>-3.9459534837311225E-2</v>
      </c>
      <c r="I724" s="7" t="e">
        <f t="shared" si="32"/>
        <v>#N/A</v>
      </c>
      <c r="J724" s="7" t="e">
        <f t="shared" si="33"/>
        <v>#N/A</v>
      </c>
    </row>
    <row r="725" spans="1:10" x14ac:dyDescent="0.35">
      <c r="A725" t="s">
        <v>87</v>
      </c>
      <c r="B725" t="s">
        <v>88</v>
      </c>
      <c r="C725" t="s">
        <v>15</v>
      </c>
      <c r="D725" t="s">
        <v>153</v>
      </c>
      <c r="E725" t="s">
        <v>86</v>
      </c>
      <c r="F725" s="32">
        <v>2267.1541937000002</v>
      </c>
      <c r="G725" s="23">
        <v>40.095121807719352</v>
      </c>
      <c r="H725" s="29">
        <v>122.93454801569294</v>
      </c>
      <c r="I725" s="7">
        <f t="shared" si="32"/>
        <v>40.095121807719352</v>
      </c>
      <c r="J725" s="7">
        <f t="shared" si="33"/>
        <v>85.985678335233445</v>
      </c>
    </row>
    <row r="726" spans="1:10" x14ac:dyDescent="0.35">
      <c r="A726" t="s">
        <v>87</v>
      </c>
      <c r="B726" t="s">
        <v>88</v>
      </c>
      <c r="C726" t="s">
        <v>16</v>
      </c>
      <c r="D726" t="s">
        <v>154</v>
      </c>
      <c r="E726" t="s">
        <v>86</v>
      </c>
      <c r="F726" s="32">
        <v>292.75304090000003</v>
      </c>
      <c r="G726" s="23">
        <v>21.137871493614448</v>
      </c>
      <c r="H726" s="29">
        <v>56.577449084076818</v>
      </c>
      <c r="I726" s="7">
        <f t="shared" si="32"/>
        <v>21.137871493614448</v>
      </c>
      <c r="J726" s="7">
        <f t="shared" si="33"/>
        <v>45.331056173309989</v>
      </c>
    </row>
    <row r="727" spans="1:10" x14ac:dyDescent="0.35">
      <c r="A727" t="s">
        <v>87</v>
      </c>
      <c r="B727" t="s">
        <v>88</v>
      </c>
      <c r="C727" t="s">
        <v>18</v>
      </c>
      <c r="D727" t="s">
        <v>154</v>
      </c>
      <c r="E727" t="s">
        <v>86</v>
      </c>
      <c r="F727" s="32">
        <v>0.53909699999999994</v>
      </c>
      <c r="G727" s="23" t="e">
        <v>#N/A</v>
      </c>
      <c r="H727" s="29">
        <v>-3.8443718571956373E-2</v>
      </c>
      <c r="I727" s="7" t="e">
        <f t="shared" si="32"/>
        <v>#N/A</v>
      </c>
      <c r="J727" s="7" t="e">
        <f t="shared" si="33"/>
        <v>#N/A</v>
      </c>
    </row>
    <row r="728" spans="1:10" x14ac:dyDescent="0.35">
      <c r="A728" t="s">
        <v>87</v>
      </c>
      <c r="B728" t="s">
        <v>88</v>
      </c>
      <c r="C728" t="s">
        <v>19</v>
      </c>
      <c r="D728" t="s">
        <v>153</v>
      </c>
      <c r="E728" t="s">
        <v>86</v>
      </c>
      <c r="F728" s="32">
        <v>466.51220490000003</v>
      </c>
      <c r="G728" s="23">
        <v>27.701740658806941</v>
      </c>
      <c r="H728" s="29">
        <v>27.792494224961111</v>
      </c>
      <c r="I728" s="7">
        <f t="shared" si="32"/>
        <v>27.701740658806941</v>
      </c>
      <c r="J728" s="7">
        <f t="shared" si="33"/>
        <v>59.407550201172938</v>
      </c>
    </row>
    <row r="729" spans="1:10" x14ac:dyDescent="0.35">
      <c r="A729" t="s">
        <v>87</v>
      </c>
      <c r="B729" t="s">
        <v>88</v>
      </c>
      <c r="C729" t="s">
        <v>20</v>
      </c>
      <c r="D729" t="s">
        <v>154</v>
      </c>
      <c r="E729" t="s">
        <v>86</v>
      </c>
      <c r="F729" s="32">
        <v>336.1057563</v>
      </c>
      <c r="G729" s="23">
        <v>1.8574138757165948</v>
      </c>
      <c r="H729" s="29">
        <v>34.025805386799334</v>
      </c>
      <c r="I729" s="7">
        <f t="shared" si="32"/>
        <v>1.8574138757165948</v>
      </c>
      <c r="J729" s="7">
        <f t="shared" si="33"/>
        <v>3.98330232836499</v>
      </c>
    </row>
    <row r="730" spans="1:10" x14ac:dyDescent="0.35">
      <c r="A730" t="s">
        <v>87</v>
      </c>
      <c r="B730" t="s">
        <v>88</v>
      </c>
      <c r="C730" t="s">
        <v>21</v>
      </c>
      <c r="D730" t="s">
        <v>155</v>
      </c>
      <c r="E730" t="s">
        <v>86</v>
      </c>
      <c r="F730" s="32">
        <v>0.29446349999999999</v>
      </c>
      <c r="G730" s="23" t="e">
        <v>#N/A</v>
      </c>
      <c r="H730" s="29">
        <v>0.2609001914013645</v>
      </c>
      <c r="I730" s="7" t="e">
        <f t="shared" si="32"/>
        <v>#N/A</v>
      </c>
      <c r="J730" s="7" t="e">
        <f t="shared" si="33"/>
        <v>#N/A</v>
      </c>
    </row>
    <row r="731" spans="1:10" x14ac:dyDescent="0.35">
      <c r="A731" t="s">
        <v>87</v>
      </c>
      <c r="B731" t="s">
        <v>88</v>
      </c>
      <c r="C731" t="s">
        <v>22</v>
      </c>
      <c r="D731" t="s">
        <v>155</v>
      </c>
      <c r="E731" t="s">
        <v>86</v>
      </c>
      <c r="F731" s="32">
        <v>153.96691179999999</v>
      </c>
      <c r="G731" s="23">
        <v>10.672451643102752</v>
      </c>
      <c r="H731" s="29">
        <v>16.24611213534266</v>
      </c>
      <c r="I731" s="7">
        <f t="shared" si="32"/>
        <v>10.672451643102752</v>
      </c>
      <c r="J731" s="7">
        <f t="shared" si="33"/>
        <v>22.887522288446821</v>
      </c>
    </row>
    <row r="732" spans="1:10" x14ac:dyDescent="0.35">
      <c r="A732" t="s">
        <v>87</v>
      </c>
      <c r="B732" t="s">
        <v>88</v>
      </c>
      <c r="C732" t="s">
        <v>23</v>
      </c>
      <c r="D732" t="s">
        <v>155</v>
      </c>
      <c r="E732" t="s">
        <v>86</v>
      </c>
      <c r="F732" s="32">
        <v>0</v>
      </c>
      <c r="G732" s="23">
        <v>0.39302439496169561</v>
      </c>
      <c r="H732" s="29">
        <v>7.1725010062786379E-2</v>
      </c>
      <c r="I732" s="7">
        <f t="shared" si="32"/>
        <v>0.39302439496169561</v>
      </c>
      <c r="J732" s="7">
        <f t="shared" si="33"/>
        <v>0.84285737714281705</v>
      </c>
    </row>
    <row r="733" spans="1:10" x14ac:dyDescent="0.35">
      <c r="A733" t="s">
        <v>87</v>
      </c>
      <c r="B733" t="s">
        <v>88</v>
      </c>
      <c r="C733" t="s">
        <v>24</v>
      </c>
      <c r="D733" t="s">
        <v>155</v>
      </c>
      <c r="E733" t="s">
        <v>86</v>
      </c>
      <c r="F733" s="32">
        <v>117.5720901</v>
      </c>
      <c r="G733" s="23">
        <v>2.4271707327223848</v>
      </c>
      <c r="H733" s="29">
        <v>1.6369706674035511</v>
      </c>
      <c r="I733" s="7">
        <f t="shared" si="32"/>
        <v>2.4271707327223848</v>
      </c>
      <c r="J733" s="7">
        <f t="shared" si="33"/>
        <v>5.2051699179120412</v>
      </c>
    </row>
    <row r="734" spans="1:10" x14ac:dyDescent="0.35">
      <c r="A734" t="s">
        <v>87</v>
      </c>
      <c r="B734" t="s">
        <v>88</v>
      </c>
      <c r="C734" t="s">
        <v>25</v>
      </c>
      <c r="D734" t="s">
        <v>155</v>
      </c>
      <c r="E734" t="s">
        <v>86</v>
      </c>
      <c r="F734" s="32">
        <v>10.186507799999999</v>
      </c>
      <c r="G734" s="23">
        <v>0.57359393372174361</v>
      </c>
      <c r="H734" s="29">
        <v>0.14723932989687136</v>
      </c>
      <c r="I734" s="7">
        <f t="shared" si="32"/>
        <v>0.57359393372174361</v>
      </c>
      <c r="J734" s="7">
        <f t="shared" si="33"/>
        <v>1.2300963622597976</v>
      </c>
    </row>
    <row r="735" spans="1:10" x14ac:dyDescent="0.35">
      <c r="A735" t="s">
        <v>87</v>
      </c>
      <c r="B735" t="s">
        <v>88</v>
      </c>
      <c r="C735" t="s">
        <v>26</v>
      </c>
      <c r="D735" t="s">
        <v>153</v>
      </c>
      <c r="E735" t="s">
        <v>86</v>
      </c>
      <c r="F735" s="32">
        <v>2.4318781</v>
      </c>
      <c r="G735" s="23">
        <v>1.0188844085495228</v>
      </c>
      <c r="H735" s="29">
        <v>-2.6148801031046859E-2</v>
      </c>
      <c r="I735" s="7">
        <f t="shared" si="32"/>
        <v>1.0188844085495228</v>
      </c>
      <c r="J735" s="7">
        <f t="shared" si="33"/>
        <v>2.1850405501812626</v>
      </c>
    </row>
    <row r="736" spans="1:10" x14ac:dyDescent="0.35">
      <c r="A736" t="s">
        <v>87</v>
      </c>
      <c r="B736" t="s">
        <v>88</v>
      </c>
      <c r="C736" t="s">
        <v>27</v>
      </c>
      <c r="D736" t="s">
        <v>154</v>
      </c>
      <c r="E736" t="s">
        <v>86</v>
      </c>
      <c r="F736" s="32">
        <v>0.25653680000000001</v>
      </c>
      <c r="G736" s="23">
        <v>2.367822041839303</v>
      </c>
      <c r="H736" s="29">
        <v>1.267933312851226</v>
      </c>
      <c r="I736" s="7">
        <f t="shared" si="32"/>
        <v>2.367822041839303</v>
      </c>
      <c r="J736" s="7">
        <f t="shared" si="33"/>
        <v>5.0778941493444201</v>
      </c>
    </row>
    <row r="737" spans="1:10" x14ac:dyDescent="0.35">
      <c r="A737" t="s">
        <v>87</v>
      </c>
      <c r="B737" t="s">
        <v>88</v>
      </c>
      <c r="C737" t="s">
        <v>28</v>
      </c>
      <c r="D737" t="s">
        <v>155</v>
      </c>
      <c r="E737" t="s">
        <v>86</v>
      </c>
      <c r="F737" s="32">
        <v>16.474373200000002</v>
      </c>
      <c r="G737" s="23">
        <v>2.686191210342086</v>
      </c>
      <c r="H737" s="29">
        <v>4.8928637322835913</v>
      </c>
      <c r="I737" s="7">
        <f t="shared" si="32"/>
        <v>2.686191210342086</v>
      </c>
      <c r="J737" s="7">
        <f t="shared" si="33"/>
        <v>5.7606502473559642</v>
      </c>
    </row>
    <row r="738" spans="1:10" x14ac:dyDescent="0.35">
      <c r="A738" t="s">
        <v>87</v>
      </c>
      <c r="B738" t="s">
        <v>88</v>
      </c>
      <c r="C738" t="s">
        <v>29</v>
      </c>
      <c r="D738" t="s">
        <v>155</v>
      </c>
      <c r="E738" t="s">
        <v>86</v>
      </c>
      <c r="F738" s="32">
        <v>0.42555770000000004</v>
      </c>
      <c r="G738" s="23">
        <v>0.26480299952588804</v>
      </c>
      <c r="H738" s="29">
        <v>9.1032251666721811E-2</v>
      </c>
      <c r="I738" s="7">
        <f t="shared" si="32"/>
        <v>0.26480299952588804</v>
      </c>
      <c r="J738" s="7">
        <f t="shared" si="33"/>
        <v>0.56788119134867687</v>
      </c>
    </row>
    <row r="739" spans="1:10" x14ac:dyDescent="0.35">
      <c r="A739" t="s">
        <v>87</v>
      </c>
      <c r="B739" t="s">
        <v>88</v>
      </c>
      <c r="C739" t="s">
        <v>30</v>
      </c>
      <c r="D739" t="s">
        <v>155</v>
      </c>
      <c r="E739" t="s">
        <v>86</v>
      </c>
      <c r="F739" s="32">
        <v>140.12785200000002</v>
      </c>
      <c r="G739" s="23">
        <v>6.4883447523529982</v>
      </c>
      <c r="H739" s="29">
        <v>23.2093900222266</v>
      </c>
      <c r="I739" s="7">
        <f t="shared" si="32"/>
        <v>6.4883447523529982</v>
      </c>
      <c r="J739" s="7">
        <f t="shared" si="33"/>
        <v>13.914528741910784</v>
      </c>
    </row>
    <row r="740" spans="1:10" x14ac:dyDescent="0.35">
      <c r="A740" t="s">
        <v>87</v>
      </c>
      <c r="B740" t="s">
        <v>88</v>
      </c>
      <c r="C740" t="s">
        <v>31</v>
      </c>
      <c r="D740" t="s">
        <v>155</v>
      </c>
      <c r="E740" t="s">
        <v>86</v>
      </c>
      <c r="F740" s="32" t="e">
        <v>#N/A</v>
      </c>
      <c r="G740" s="23" t="e">
        <v>#N/A</v>
      </c>
      <c r="H740" s="29">
        <v>6.8484091038790745E-2</v>
      </c>
      <c r="I740" s="7" t="e">
        <f t="shared" si="32"/>
        <v>#N/A</v>
      </c>
      <c r="J740" s="7" t="e">
        <f t="shared" si="33"/>
        <v>#N/A</v>
      </c>
    </row>
    <row r="741" spans="1:10" x14ac:dyDescent="0.35">
      <c r="A741" t="s">
        <v>87</v>
      </c>
      <c r="B741" t="s">
        <v>88</v>
      </c>
      <c r="C741" t="s">
        <v>32</v>
      </c>
      <c r="D741" t="s">
        <v>153</v>
      </c>
      <c r="E741" t="s">
        <v>86</v>
      </c>
      <c r="F741" s="32">
        <v>0</v>
      </c>
      <c r="G741" s="23" t="e">
        <v>#N/A</v>
      </c>
      <c r="H741" s="29">
        <v>3.1476536766384178E-2</v>
      </c>
      <c r="I741" s="7" t="e">
        <f t="shared" si="32"/>
        <v>#N/A</v>
      </c>
      <c r="J741" s="7" t="e">
        <f t="shared" si="33"/>
        <v>#N/A</v>
      </c>
    </row>
    <row r="742" spans="1:10" x14ac:dyDescent="0.35">
      <c r="A742" t="s">
        <v>87</v>
      </c>
      <c r="B742" t="s">
        <v>88</v>
      </c>
      <c r="C742" t="s">
        <v>33</v>
      </c>
      <c r="D742" t="s">
        <v>155</v>
      </c>
      <c r="E742" t="s">
        <v>86</v>
      </c>
      <c r="F742" s="32">
        <v>155.76380570000001</v>
      </c>
      <c r="G742" s="23">
        <v>7.2981816305716638</v>
      </c>
      <c r="H742" s="29">
        <v>8.4577451666918524</v>
      </c>
      <c r="I742" s="7">
        <f t="shared" si="32"/>
        <v>7.2981816305716638</v>
      </c>
      <c r="J742" s="7">
        <f t="shared" si="33"/>
        <v>15.651258053981694</v>
      </c>
    </row>
    <row r="743" spans="1:10" x14ac:dyDescent="0.35">
      <c r="A743" t="s">
        <v>87</v>
      </c>
      <c r="B743" t="s">
        <v>88</v>
      </c>
      <c r="C743" t="s">
        <v>34</v>
      </c>
      <c r="D743" t="s">
        <v>153</v>
      </c>
      <c r="E743" t="s">
        <v>86</v>
      </c>
      <c r="F743" s="32">
        <v>0</v>
      </c>
      <c r="G743" s="23" t="e">
        <v>#N/A</v>
      </c>
      <c r="H743" s="29">
        <v>-0.15640533530159068</v>
      </c>
      <c r="I743" s="7" t="e">
        <f t="shared" si="32"/>
        <v>#N/A</v>
      </c>
      <c r="J743" s="7" t="e">
        <f t="shared" si="33"/>
        <v>#N/A</v>
      </c>
    </row>
    <row r="744" spans="1:10" x14ac:dyDescent="0.35">
      <c r="A744" t="s">
        <v>87</v>
      </c>
      <c r="B744" t="s">
        <v>88</v>
      </c>
      <c r="C744" t="s">
        <v>35</v>
      </c>
      <c r="D744" t="s">
        <v>154</v>
      </c>
      <c r="E744" t="s">
        <v>86</v>
      </c>
      <c r="F744" s="32">
        <v>118.8679376</v>
      </c>
      <c r="G744" s="23">
        <v>6.7294417921964289</v>
      </c>
      <c r="H744" s="29">
        <v>23.414063238691796</v>
      </c>
      <c r="I744" s="7">
        <f t="shared" si="32"/>
        <v>6.7294417921964289</v>
      </c>
      <c r="J744" s="7">
        <f t="shared" si="33"/>
        <v>14.431571503745291</v>
      </c>
    </row>
    <row r="745" spans="1:10" x14ac:dyDescent="0.35">
      <c r="A745" t="s">
        <v>87</v>
      </c>
      <c r="B745" t="s">
        <v>88</v>
      </c>
      <c r="C745" t="s">
        <v>36</v>
      </c>
      <c r="D745" t="s">
        <v>155</v>
      </c>
      <c r="E745" t="s">
        <v>86</v>
      </c>
      <c r="F745" s="32">
        <v>1.9537872000000001</v>
      </c>
      <c r="G745" s="23" t="e">
        <v>#N/A</v>
      </c>
      <c r="H745" s="29">
        <v>1.5518502973045063</v>
      </c>
      <c r="I745" s="7" t="e">
        <f t="shared" si="32"/>
        <v>#N/A</v>
      </c>
      <c r="J745" s="7" t="e">
        <f t="shared" si="33"/>
        <v>#N/A</v>
      </c>
    </row>
    <row r="746" spans="1:10" x14ac:dyDescent="0.35">
      <c r="A746" t="s">
        <v>87</v>
      </c>
      <c r="B746" t="s">
        <v>88</v>
      </c>
      <c r="C746" t="s">
        <v>37</v>
      </c>
      <c r="D746" t="s">
        <v>155</v>
      </c>
      <c r="E746" t="s">
        <v>86</v>
      </c>
      <c r="F746" s="32">
        <v>4.3420641</v>
      </c>
      <c r="G746" s="23">
        <v>1.3582059988415627</v>
      </c>
      <c r="H746" s="29">
        <v>1.7628517674920274</v>
      </c>
      <c r="I746" s="7">
        <f t="shared" si="32"/>
        <v>1.3582059988415627</v>
      </c>
      <c r="J746" s="7">
        <f t="shared" si="33"/>
        <v>2.9127299996602245</v>
      </c>
    </row>
    <row r="747" spans="1:10" x14ac:dyDescent="0.35">
      <c r="A747" t="s">
        <v>87</v>
      </c>
      <c r="B747" t="s">
        <v>88</v>
      </c>
      <c r="C747" t="s">
        <v>38</v>
      </c>
      <c r="D747" t="s">
        <v>155</v>
      </c>
      <c r="E747" t="s">
        <v>86</v>
      </c>
      <c r="F747" s="32">
        <v>2.4813516</v>
      </c>
      <c r="G747" s="23">
        <v>0.2948061188257925</v>
      </c>
      <c r="H747" s="29">
        <v>0.76463552169459037</v>
      </c>
      <c r="I747" s="7">
        <f t="shared" si="32"/>
        <v>0.2948061188257925</v>
      </c>
      <c r="J747" s="7">
        <f t="shared" si="33"/>
        <v>0.63222414502636182</v>
      </c>
    </row>
    <row r="748" spans="1:10" x14ac:dyDescent="0.35">
      <c r="A748" t="s">
        <v>87</v>
      </c>
      <c r="B748" t="s">
        <v>88</v>
      </c>
      <c r="C748" t="s">
        <v>39</v>
      </c>
      <c r="D748" t="s">
        <v>153</v>
      </c>
      <c r="E748" t="s">
        <v>86</v>
      </c>
      <c r="F748" s="32">
        <v>14.3991209</v>
      </c>
      <c r="G748" s="23" t="e">
        <v>#N/A</v>
      </c>
      <c r="H748" s="29">
        <v>-0.41724929931194649</v>
      </c>
      <c r="I748" s="7" t="e">
        <f t="shared" si="32"/>
        <v>#N/A</v>
      </c>
      <c r="J748" s="7" t="e">
        <f t="shared" si="33"/>
        <v>#N/A</v>
      </c>
    </row>
    <row r="749" spans="1:10" s="19" customFormat="1" x14ac:dyDescent="0.35">
      <c r="A749" s="19" t="s">
        <v>87</v>
      </c>
      <c r="B749" s="19" t="s">
        <v>88</v>
      </c>
      <c r="C749" s="19" t="s">
        <v>40</v>
      </c>
      <c r="D749" s="19" t="s">
        <v>154</v>
      </c>
      <c r="E749" s="19" t="s">
        <v>86</v>
      </c>
      <c r="F749" s="33">
        <v>0</v>
      </c>
      <c r="G749" s="24" t="e">
        <v>#N/A</v>
      </c>
      <c r="H749" s="30">
        <v>-6.014213671009698E-2</v>
      </c>
      <c r="I749" s="21" t="e">
        <f t="shared" si="32"/>
        <v>#N/A</v>
      </c>
      <c r="J749" s="21" t="e">
        <f t="shared" si="33"/>
        <v>#N/A</v>
      </c>
    </row>
    <row r="750" spans="1:10" x14ac:dyDescent="0.35">
      <c r="A750" t="s">
        <v>89</v>
      </c>
      <c r="B750" t="s">
        <v>90</v>
      </c>
      <c r="C750" t="s">
        <v>6</v>
      </c>
      <c r="D750" t="s">
        <v>153</v>
      </c>
      <c r="E750" t="s">
        <v>86</v>
      </c>
      <c r="F750" s="32">
        <v>6.7338294999999997</v>
      </c>
      <c r="G750" s="23" t="e">
        <v>#N/A</v>
      </c>
      <c r="H750" s="29">
        <v>0.74906802461529309</v>
      </c>
      <c r="I750" s="7" t="e">
        <f t="shared" si="32"/>
        <v>#N/A</v>
      </c>
      <c r="J750" s="7" t="e">
        <f>I750/0.5612</f>
        <v>#N/A</v>
      </c>
    </row>
    <row r="751" spans="1:10" x14ac:dyDescent="0.35">
      <c r="A751" t="s">
        <v>89</v>
      </c>
      <c r="B751" t="s">
        <v>90</v>
      </c>
      <c r="C751" t="s">
        <v>7</v>
      </c>
      <c r="D751" t="s">
        <v>153</v>
      </c>
      <c r="E751" t="s">
        <v>86</v>
      </c>
      <c r="F751" s="32">
        <v>1.5662897</v>
      </c>
      <c r="G751" s="23" t="e">
        <v>#N/A</v>
      </c>
      <c r="H751" s="29">
        <v>-0.10911167393445997</v>
      </c>
      <c r="I751" s="7" t="e">
        <f t="shared" si="32"/>
        <v>#N/A</v>
      </c>
      <c r="J751" s="7" t="e">
        <f t="shared" ref="J751:J783" si="34">I751/0.5612</f>
        <v>#N/A</v>
      </c>
    </row>
    <row r="752" spans="1:10" x14ac:dyDescent="0.35">
      <c r="A752" t="s">
        <v>89</v>
      </c>
      <c r="B752" t="s">
        <v>90</v>
      </c>
      <c r="C752" t="s">
        <v>8</v>
      </c>
      <c r="D752" t="s">
        <v>153</v>
      </c>
      <c r="E752" t="s">
        <v>86</v>
      </c>
      <c r="F752" s="32" t="e">
        <v>#N/A</v>
      </c>
      <c r="G752" s="23" t="e">
        <v>#N/A</v>
      </c>
      <c r="H752" s="29">
        <v>-4.1847187144254942E-2</v>
      </c>
      <c r="I752" s="7" t="e">
        <f t="shared" si="32"/>
        <v>#N/A</v>
      </c>
      <c r="J752" s="7" t="e">
        <f t="shared" si="34"/>
        <v>#N/A</v>
      </c>
    </row>
    <row r="753" spans="1:10" x14ac:dyDescent="0.35">
      <c r="A753" t="s">
        <v>89</v>
      </c>
      <c r="B753" t="s">
        <v>90</v>
      </c>
      <c r="C753" t="s">
        <v>9</v>
      </c>
      <c r="D753" t="s">
        <v>153</v>
      </c>
      <c r="E753" t="s">
        <v>86</v>
      </c>
      <c r="F753" s="32">
        <v>15.172462299999999</v>
      </c>
      <c r="G753" s="23" t="e">
        <v>#N/A</v>
      </c>
      <c r="H753" s="29">
        <v>-0.39599197283193055</v>
      </c>
      <c r="I753" s="7" t="e">
        <f t="shared" si="32"/>
        <v>#N/A</v>
      </c>
      <c r="J753" s="7" t="e">
        <f t="shared" si="34"/>
        <v>#N/A</v>
      </c>
    </row>
    <row r="754" spans="1:10" x14ac:dyDescent="0.35">
      <c r="A754" t="s">
        <v>89</v>
      </c>
      <c r="B754" t="s">
        <v>90</v>
      </c>
      <c r="C754" t="s">
        <v>10</v>
      </c>
      <c r="D754" t="s">
        <v>153</v>
      </c>
      <c r="E754" t="s">
        <v>86</v>
      </c>
      <c r="F754" s="32">
        <v>96.950537999999995</v>
      </c>
      <c r="G754" s="23" t="e">
        <v>#N/A</v>
      </c>
      <c r="H754" s="29">
        <v>-9.4765996208506953E-2</v>
      </c>
      <c r="I754" s="7" t="e">
        <f t="shared" si="32"/>
        <v>#N/A</v>
      </c>
      <c r="J754" s="7" t="e">
        <f t="shared" si="34"/>
        <v>#N/A</v>
      </c>
    </row>
    <row r="755" spans="1:10" x14ac:dyDescent="0.35">
      <c r="A755" t="s">
        <v>89</v>
      </c>
      <c r="B755" t="s">
        <v>90</v>
      </c>
      <c r="C755" t="s">
        <v>11</v>
      </c>
      <c r="D755" t="s">
        <v>153</v>
      </c>
      <c r="E755" t="s">
        <v>86</v>
      </c>
      <c r="F755" s="32">
        <v>90.808160099999995</v>
      </c>
      <c r="G755" s="23" t="e">
        <v>#N/A</v>
      </c>
      <c r="H755" s="29">
        <v>-0.29065487755053798</v>
      </c>
      <c r="I755" s="7" t="e">
        <f t="shared" si="32"/>
        <v>#N/A</v>
      </c>
      <c r="J755" s="7" t="e">
        <f t="shared" si="34"/>
        <v>#N/A</v>
      </c>
    </row>
    <row r="756" spans="1:10" x14ac:dyDescent="0.35">
      <c r="A756" t="s">
        <v>89</v>
      </c>
      <c r="B756" t="s">
        <v>90</v>
      </c>
      <c r="C756" t="s">
        <v>12</v>
      </c>
      <c r="D756" t="s">
        <v>154</v>
      </c>
      <c r="E756" t="s">
        <v>86</v>
      </c>
      <c r="F756" s="32">
        <v>0</v>
      </c>
      <c r="G756" s="23" t="e">
        <v>#N/A</v>
      </c>
      <c r="H756" s="29">
        <v>-4.13422767311327E-2</v>
      </c>
      <c r="I756" s="7" t="e">
        <f t="shared" si="32"/>
        <v>#N/A</v>
      </c>
      <c r="J756" s="7" t="e">
        <f t="shared" si="34"/>
        <v>#N/A</v>
      </c>
    </row>
    <row r="757" spans="1:10" x14ac:dyDescent="0.35">
      <c r="A757" t="s">
        <v>89</v>
      </c>
      <c r="B757" t="s">
        <v>90</v>
      </c>
      <c r="C757" t="s">
        <v>13</v>
      </c>
      <c r="D757" t="s">
        <v>153</v>
      </c>
      <c r="E757" t="s">
        <v>86</v>
      </c>
      <c r="F757" s="32">
        <v>11.251206399999999</v>
      </c>
      <c r="G757" s="23" t="e">
        <v>#N/A</v>
      </c>
      <c r="H757" s="29">
        <v>-5.4756057417677445E-2</v>
      </c>
      <c r="I757" s="7" t="e">
        <f t="shared" si="32"/>
        <v>#N/A</v>
      </c>
      <c r="J757" s="7" t="e">
        <f t="shared" si="34"/>
        <v>#N/A</v>
      </c>
    </row>
    <row r="758" spans="1:10" x14ac:dyDescent="0.35">
      <c r="A758" t="s">
        <v>89</v>
      </c>
      <c r="B758" t="s">
        <v>90</v>
      </c>
      <c r="C758" t="s">
        <v>14</v>
      </c>
      <c r="D758" t="s">
        <v>154</v>
      </c>
      <c r="E758" t="s">
        <v>86</v>
      </c>
      <c r="F758" s="32">
        <v>0</v>
      </c>
      <c r="G758" s="23" t="e">
        <v>#N/A</v>
      </c>
      <c r="H758" s="29">
        <v>-4.7598954011596466E-2</v>
      </c>
      <c r="I758" s="7" t="e">
        <f t="shared" si="32"/>
        <v>#N/A</v>
      </c>
      <c r="J758" s="7" t="e">
        <f t="shared" si="34"/>
        <v>#N/A</v>
      </c>
    </row>
    <row r="759" spans="1:10" x14ac:dyDescent="0.35">
      <c r="A759" t="s">
        <v>89</v>
      </c>
      <c r="B759" t="s">
        <v>90</v>
      </c>
      <c r="C759" t="s">
        <v>15</v>
      </c>
      <c r="D759" t="s">
        <v>153</v>
      </c>
      <c r="E759" t="s">
        <v>86</v>
      </c>
      <c r="F759" s="32">
        <v>2681.8350313000001</v>
      </c>
      <c r="G759" s="23">
        <v>29.863615175051812</v>
      </c>
      <c r="H759" s="29">
        <v>93.208360669300959</v>
      </c>
      <c r="I759" s="7">
        <f t="shared" si="32"/>
        <v>29.863615175051812</v>
      </c>
      <c r="J759" s="7">
        <f t="shared" si="34"/>
        <v>53.213854552836438</v>
      </c>
    </row>
    <row r="760" spans="1:10" x14ac:dyDescent="0.35">
      <c r="A760" t="s">
        <v>89</v>
      </c>
      <c r="B760" t="s">
        <v>90</v>
      </c>
      <c r="C760" t="s">
        <v>16</v>
      </c>
      <c r="D760" t="s">
        <v>154</v>
      </c>
      <c r="E760" t="s">
        <v>86</v>
      </c>
      <c r="F760" s="32">
        <v>418.14089680000001</v>
      </c>
      <c r="G760" s="23">
        <v>9.4005201904187885</v>
      </c>
      <c r="H760" s="29">
        <v>24.467305164019876</v>
      </c>
      <c r="I760" s="7">
        <f t="shared" si="32"/>
        <v>9.4005201904187885</v>
      </c>
      <c r="J760" s="7">
        <f t="shared" si="34"/>
        <v>16.750748735600123</v>
      </c>
    </row>
    <row r="761" spans="1:10" x14ac:dyDescent="0.35">
      <c r="A761" t="s">
        <v>89</v>
      </c>
      <c r="B761" t="s">
        <v>90</v>
      </c>
      <c r="C761" t="s">
        <v>18</v>
      </c>
      <c r="D761" t="s">
        <v>154</v>
      </c>
      <c r="E761" t="s">
        <v>86</v>
      </c>
      <c r="F761" s="32">
        <v>0</v>
      </c>
      <c r="G761" s="23" t="e">
        <v>#N/A</v>
      </c>
      <c r="H761" s="29">
        <v>-3.6044733377297453E-2</v>
      </c>
      <c r="I761" s="7" t="e">
        <f t="shared" si="32"/>
        <v>#N/A</v>
      </c>
      <c r="J761" s="7" t="e">
        <f t="shared" si="34"/>
        <v>#N/A</v>
      </c>
    </row>
    <row r="762" spans="1:10" x14ac:dyDescent="0.35">
      <c r="A762" t="s">
        <v>89</v>
      </c>
      <c r="B762" t="s">
        <v>90</v>
      </c>
      <c r="C762" t="s">
        <v>19</v>
      </c>
      <c r="D762" t="s">
        <v>153</v>
      </c>
      <c r="E762" t="s">
        <v>86</v>
      </c>
      <c r="F762" s="32">
        <v>510.02374609999998</v>
      </c>
      <c r="G762" s="23">
        <v>26.413310544628807</v>
      </c>
      <c r="H762" s="29">
        <v>28.506250195361822</v>
      </c>
      <c r="I762" s="7">
        <f t="shared" si="32"/>
        <v>26.413310544628807</v>
      </c>
      <c r="J762" s="7">
        <f t="shared" si="34"/>
        <v>47.065770749516759</v>
      </c>
    </row>
    <row r="763" spans="1:10" x14ac:dyDescent="0.35">
      <c r="A763" t="s">
        <v>89</v>
      </c>
      <c r="B763" t="s">
        <v>90</v>
      </c>
      <c r="C763" t="s">
        <v>20</v>
      </c>
      <c r="D763" t="s">
        <v>154</v>
      </c>
      <c r="E763" t="s">
        <v>86</v>
      </c>
      <c r="F763" s="32">
        <v>433.0092123</v>
      </c>
      <c r="G763" s="23">
        <v>18.402044572424522</v>
      </c>
      <c r="H763" s="29">
        <v>71.72218417940276</v>
      </c>
      <c r="I763" s="7">
        <f t="shared" si="32"/>
        <v>18.402044572424522</v>
      </c>
      <c r="J763" s="7">
        <f t="shared" si="34"/>
        <v>32.790528461198363</v>
      </c>
    </row>
    <row r="764" spans="1:10" x14ac:dyDescent="0.35">
      <c r="A764" t="s">
        <v>89</v>
      </c>
      <c r="B764" t="s">
        <v>90</v>
      </c>
      <c r="C764" t="s">
        <v>21</v>
      </c>
      <c r="D764" t="s">
        <v>155</v>
      </c>
      <c r="E764" t="s">
        <v>86</v>
      </c>
      <c r="F764" s="32">
        <v>2.2944054999999999</v>
      </c>
      <c r="G764" s="23" t="e">
        <v>#N/A</v>
      </c>
      <c r="H764" s="29">
        <v>9.7139333627792201E-2</v>
      </c>
      <c r="I764" s="7" t="e">
        <f t="shared" si="32"/>
        <v>#N/A</v>
      </c>
      <c r="J764" s="7" t="e">
        <f t="shared" si="34"/>
        <v>#N/A</v>
      </c>
    </row>
    <row r="765" spans="1:10" x14ac:dyDescent="0.35">
      <c r="A765" t="s">
        <v>89</v>
      </c>
      <c r="B765" t="s">
        <v>90</v>
      </c>
      <c r="C765" t="s">
        <v>22</v>
      </c>
      <c r="D765" t="s">
        <v>155</v>
      </c>
      <c r="E765" t="s">
        <v>86</v>
      </c>
      <c r="F765" s="32">
        <v>231.05647769999999</v>
      </c>
      <c r="G765" s="23">
        <v>5.2441801540368882</v>
      </c>
      <c r="H765" s="29">
        <v>23.884001275936157</v>
      </c>
      <c r="I765" s="7">
        <f t="shared" si="32"/>
        <v>5.2441801540368882</v>
      </c>
      <c r="J765" s="7">
        <f t="shared" si="34"/>
        <v>9.3445833108283818</v>
      </c>
    </row>
    <row r="766" spans="1:10" x14ac:dyDescent="0.35">
      <c r="A766" t="s">
        <v>89</v>
      </c>
      <c r="B766" t="s">
        <v>90</v>
      </c>
      <c r="C766" t="s">
        <v>23</v>
      </c>
      <c r="D766" t="s">
        <v>155</v>
      </c>
      <c r="E766" t="s">
        <v>86</v>
      </c>
      <c r="F766" s="32">
        <v>22.888521900000001</v>
      </c>
      <c r="G766" s="23" t="e">
        <v>#N/A</v>
      </c>
      <c r="H766" s="29">
        <v>6.6459528227982317E-2</v>
      </c>
      <c r="I766" s="7" t="e">
        <f t="shared" si="32"/>
        <v>#N/A</v>
      </c>
      <c r="J766" s="7" t="e">
        <f t="shared" si="34"/>
        <v>#N/A</v>
      </c>
    </row>
    <row r="767" spans="1:10" x14ac:dyDescent="0.35">
      <c r="A767" t="s">
        <v>89</v>
      </c>
      <c r="B767" t="s">
        <v>90</v>
      </c>
      <c r="C767" t="s">
        <v>24</v>
      </c>
      <c r="D767" t="s">
        <v>155</v>
      </c>
      <c r="E767" t="s">
        <v>86</v>
      </c>
      <c r="F767" s="32">
        <v>225.59529709999998</v>
      </c>
      <c r="G767" s="23">
        <v>1.2005915954476374</v>
      </c>
      <c r="H767" s="29">
        <v>3.2641198778822567</v>
      </c>
      <c r="I767" s="7">
        <f t="shared" si="32"/>
        <v>1.2005915954476374</v>
      </c>
      <c r="J767" s="7">
        <f t="shared" si="34"/>
        <v>2.1393292862573721</v>
      </c>
    </row>
    <row r="768" spans="1:10" x14ac:dyDescent="0.35">
      <c r="A768" t="s">
        <v>89</v>
      </c>
      <c r="B768" t="s">
        <v>90</v>
      </c>
      <c r="C768" t="s">
        <v>25</v>
      </c>
      <c r="D768" t="s">
        <v>155</v>
      </c>
      <c r="E768" t="s">
        <v>86</v>
      </c>
      <c r="F768" s="32">
        <v>18.420323400000001</v>
      </c>
      <c r="G768" s="23" t="e">
        <v>#N/A</v>
      </c>
      <c r="H768" s="29">
        <v>0.64584563850594634</v>
      </c>
      <c r="I768" s="7" t="e">
        <f t="shared" si="32"/>
        <v>#N/A</v>
      </c>
      <c r="J768" s="7" t="e">
        <f t="shared" si="34"/>
        <v>#N/A</v>
      </c>
    </row>
    <row r="769" spans="1:10" x14ac:dyDescent="0.35">
      <c r="A769" t="s">
        <v>89</v>
      </c>
      <c r="B769" t="s">
        <v>90</v>
      </c>
      <c r="C769" t="s">
        <v>26</v>
      </c>
      <c r="D769" t="s">
        <v>153</v>
      </c>
      <c r="E769" t="s">
        <v>86</v>
      </c>
      <c r="F769" s="32">
        <v>1.6016769</v>
      </c>
      <c r="G769" s="23">
        <v>0.66434305919904268</v>
      </c>
      <c r="H769" s="29">
        <v>-4.3360471824403328E-2</v>
      </c>
      <c r="I769" s="7">
        <f t="shared" si="32"/>
        <v>0.66434305919904268</v>
      </c>
      <c r="J769" s="7">
        <f t="shared" si="34"/>
        <v>1.1837901981451224</v>
      </c>
    </row>
    <row r="770" spans="1:10" x14ac:dyDescent="0.35">
      <c r="A770" t="s">
        <v>89</v>
      </c>
      <c r="B770" t="s">
        <v>90</v>
      </c>
      <c r="C770" t="s">
        <v>27</v>
      </c>
      <c r="D770" t="s">
        <v>154</v>
      </c>
      <c r="E770" t="s">
        <v>86</v>
      </c>
      <c r="F770" s="32">
        <v>7.7440865999999993</v>
      </c>
      <c r="G770" s="23">
        <v>1.1068528204617507</v>
      </c>
      <c r="H770" s="29">
        <v>1.9333656859689419</v>
      </c>
      <c r="I770" s="7">
        <f t="shared" ref="I770:I833" si="35">IF(G770&lt;0,0,G770)</f>
        <v>1.1068528204617507</v>
      </c>
      <c r="J770" s="7">
        <f t="shared" si="34"/>
        <v>1.9722965439446734</v>
      </c>
    </row>
    <row r="771" spans="1:10" x14ac:dyDescent="0.35">
      <c r="A771" t="s">
        <v>89</v>
      </c>
      <c r="B771" t="s">
        <v>90</v>
      </c>
      <c r="C771" t="s">
        <v>28</v>
      </c>
      <c r="D771" t="s">
        <v>155</v>
      </c>
      <c r="E771" t="s">
        <v>86</v>
      </c>
      <c r="F771" s="32">
        <v>29.200894599999998</v>
      </c>
      <c r="G771" s="23">
        <v>0.9354517164995324</v>
      </c>
      <c r="H771" s="29">
        <v>6.7571942836297696</v>
      </c>
      <c r="I771" s="7">
        <f t="shared" si="35"/>
        <v>0.9354517164995324</v>
      </c>
      <c r="J771" s="7">
        <f t="shared" si="34"/>
        <v>1.6668776131495586</v>
      </c>
    </row>
    <row r="772" spans="1:10" x14ac:dyDescent="0.35">
      <c r="A772" t="s">
        <v>89</v>
      </c>
      <c r="B772" t="s">
        <v>90</v>
      </c>
      <c r="C772" t="s">
        <v>29</v>
      </c>
      <c r="D772" t="s">
        <v>155</v>
      </c>
      <c r="E772" t="s">
        <v>86</v>
      </c>
      <c r="F772" s="32">
        <v>1.2008975</v>
      </c>
      <c r="G772" s="23" t="e">
        <v>#N/A</v>
      </c>
      <c r="H772" s="29">
        <v>9.4869151308369731E-2</v>
      </c>
      <c r="I772" s="7" t="e">
        <f t="shared" si="35"/>
        <v>#N/A</v>
      </c>
      <c r="J772" s="7" t="e">
        <f t="shared" si="34"/>
        <v>#N/A</v>
      </c>
    </row>
    <row r="773" spans="1:10" x14ac:dyDescent="0.35">
      <c r="A773" t="s">
        <v>89</v>
      </c>
      <c r="B773" t="s">
        <v>90</v>
      </c>
      <c r="C773" t="s">
        <v>30</v>
      </c>
      <c r="D773" t="s">
        <v>155</v>
      </c>
      <c r="E773" t="s">
        <v>86</v>
      </c>
      <c r="F773" s="32">
        <v>252.48778760000002</v>
      </c>
      <c r="G773" s="23">
        <v>4.6663170134117173</v>
      </c>
      <c r="H773" s="29">
        <v>19.908762434794887</v>
      </c>
      <c r="I773" s="7">
        <f t="shared" si="35"/>
        <v>4.6663170134117173</v>
      </c>
      <c r="J773" s="7">
        <f t="shared" si="34"/>
        <v>8.3148913282461105</v>
      </c>
    </row>
    <row r="774" spans="1:10" x14ac:dyDescent="0.35">
      <c r="A774" t="s">
        <v>89</v>
      </c>
      <c r="B774" t="s">
        <v>90</v>
      </c>
      <c r="C774" t="s">
        <v>31</v>
      </c>
      <c r="D774" t="s">
        <v>155</v>
      </c>
      <c r="E774" t="s">
        <v>86</v>
      </c>
      <c r="F774" s="32">
        <v>8.6348212000000011</v>
      </c>
      <c r="G774" s="23" t="e">
        <v>#N/A</v>
      </c>
      <c r="H774" s="29">
        <v>0.13661735951488679</v>
      </c>
      <c r="I774" s="7" t="e">
        <f t="shared" si="35"/>
        <v>#N/A</v>
      </c>
      <c r="J774" s="7" t="e">
        <f t="shared" si="34"/>
        <v>#N/A</v>
      </c>
    </row>
    <row r="775" spans="1:10" x14ac:dyDescent="0.35">
      <c r="A775" t="s">
        <v>89</v>
      </c>
      <c r="B775" t="s">
        <v>90</v>
      </c>
      <c r="C775" t="s">
        <v>32</v>
      </c>
      <c r="D775" t="s">
        <v>153</v>
      </c>
      <c r="E775" t="s">
        <v>86</v>
      </c>
      <c r="F775" s="32">
        <v>0</v>
      </c>
      <c r="G775" s="23" t="e">
        <v>#N/A</v>
      </c>
      <c r="H775" s="29">
        <v>1.9717457328703655E-2</v>
      </c>
      <c r="I775" s="7" t="e">
        <f t="shared" si="35"/>
        <v>#N/A</v>
      </c>
      <c r="J775" s="7" t="e">
        <f t="shared" si="34"/>
        <v>#N/A</v>
      </c>
    </row>
    <row r="776" spans="1:10" x14ac:dyDescent="0.35">
      <c r="A776" t="s">
        <v>89</v>
      </c>
      <c r="B776" t="s">
        <v>90</v>
      </c>
      <c r="C776" t="s">
        <v>33</v>
      </c>
      <c r="D776" t="s">
        <v>155</v>
      </c>
      <c r="E776" t="s">
        <v>86</v>
      </c>
      <c r="F776" s="32">
        <v>240.54604749999999</v>
      </c>
      <c r="G776" s="23">
        <v>4.250386519559151</v>
      </c>
      <c r="H776" s="29">
        <v>8.919262447623689</v>
      </c>
      <c r="I776" s="7">
        <f t="shared" si="35"/>
        <v>4.250386519559151</v>
      </c>
      <c r="J776" s="7">
        <f t="shared" si="34"/>
        <v>7.5737464710604971</v>
      </c>
    </row>
    <row r="777" spans="1:10" x14ac:dyDescent="0.35">
      <c r="A777" t="s">
        <v>89</v>
      </c>
      <c r="B777" t="s">
        <v>90</v>
      </c>
      <c r="C777" t="s">
        <v>34</v>
      </c>
      <c r="D777" t="s">
        <v>153</v>
      </c>
      <c r="E777" t="s">
        <v>86</v>
      </c>
      <c r="F777" s="32">
        <v>0</v>
      </c>
      <c r="G777" s="23" t="e">
        <v>#N/A</v>
      </c>
      <c r="H777" s="29">
        <v>-0.14382219422675371</v>
      </c>
      <c r="I777" s="7" t="e">
        <f t="shared" si="35"/>
        <v>#N/A</v>
      </c>
      <c r="J777" s="7" t="e">
        <f t="shared" si="34"/>
        <v>#N/A</v>
      </c>
    </row>
    <row r="778" spans="1:10" x14ac:dyDescent="0.35">
      <c r="A778" t="s">
        <v>89</v>
      </c>
      <c r="B778" t="s">
        <v>90</v>
      </c>
      <c r="C778" t="s">
        <v>35</v>
      </c>
      <c r="D778" t="s">
        <v>154</v>
      </c>
      <c r="E778" t="s">
        <v>86</v>
      </c>
      <c r="F778" s="32">
        <v>107.9605569</v>
      </c>
      <c r="G778" s="23">
        <v>5.6293915397612384</v>
      </c>
      <c r="H778" s="29">
        <v>21.518258146461967</v>
      </c>
      <c r="I778" s="7">
        <f t="shared" si="35"/>
        <v>5.6293915397612384</v>
      </c>
      <c r="J778" s="7">
        <f t="shared" si="34"/>
        <v>10.030989914043547</v>
      </c>
    </row>
    <row r="779" spans="1:10" x14ac:dyDescent="0.35">
      <c r="A779" t="s">
        <v>89</v>
      </c>
      <c r="B779" t="s">
        <v>90</v>
      </c>
      <c r="C779" t="s">
        <v>36</v>
      </c>
      <c r="D779" t="s">
        <v>155</v>
      </c>
      <c r="E779" t="s">
        <v>86</v>
      </c>
      <c r="F779" s="32">
        <v>7.4573210999999997</v>
      </c>
      <c r="G779" s="23" t="e">
        <v>#N/A</v>
      </c>
      <c r="H779" s="29">
        <v>1.7059386340308413</v>
      </c>
      <c r="I779" s="7" t="e">
        <f t="shared" si="35"/>
        <v>#N/A</v>
      </c>
      <c r="J779" s="7" t="e">
        <f t="shared" si="34"/>
        <v>#N/A</v>
      </c>
    </row>
    <row r="780" spans="1:10" x14ac:dyDescent="0.35">
      <c r="A780" t="s">
        <v>89</v>
      </c>
      <c r="B780" t="s">
        <v>90</v>
      </c>
      <c r="C780" t="s">
        <v>37</v>
      </c>
      <c r="D780" t="s">
        <v>155</v>
      </c>
      <c r="E780" t="s">
        <v>86</v>
      </c>
      <c r="F780" s="32">
        <v>7.6749007000000002</v>
      </c>
      <c r="G780" s="23">
        <v>1.0027315122786518</v>
      </c>
      <c r="H780" s="29">
        <v>1.4154742664065092</v>
      </c>
      <c r="I780" s="7">
        <f t="shared" si="35"/>
        <v>1.0027315122786518</v>
      </c>
      <c r="J780" s="7">
        <f t="shared" si="34"/>
        <v>1.7867632079092155</v>
      </c>
    </row>
    <row r="781" spans="1:10" x14ac:dyDescent="0.35">
      <c r="A781" t="s">
        <v>89</v>
      </c>
      <c r="B781" t="s">
        <v>90</v>
      </c>
      <c r="C781" t="s">
        <v>38</v>
      </c>
      <c r="D781" t="s">
        <v>155</v>
      </c>
      <c r="E781" t="s">
        <v>86</v>
      </c>
      <c r="F781" s="32">
        <v>6.7180198999999998</v>
      </c>
      <c r="G781" s="23">
        <v>0.29346694540823615</v>
      </c>
      <c r="H781" s="29">
        <v>0.40175973316367403</v>
      </c>
      <c r="I781" s="7">
        <f t="shared" si="35"/>
        <v>0.29346694540823615</v>
      </c>
      <c r="J781" s="7">
        <f t="shared" si="34"/>
        <v>0.52292755774810429</v>
      </c>
    </row>
    <row r="782" spans="1:10" x14ac:dyDescent="0.35">
      <c r="A782" t="s">
        <v>89</v>
      </c>
      <c r="B782" t="s">
        <v>90</v>
      </c>
      <c r="C782" t="s">
        <v>39</v>
      </c>
      <c r="D782" t="s">
        <v>153</v>
      </c>
      <c r="E782" t="s">
        <v>86</v>
      </c>
      <c r="F782" s="32">
        <v>10.869472999999999</v>
      </c>
      <c r="G782" s="23" t="e">
        <v>#N/A</v>
      </c>
      <c r="H782" s="29">
        <v>-6.5959517822737151E-2</v>
      </c>
      <c r="I782" s="7" t="e">
        <f t="shared" si="35"/>
        <v>#N/A</v>
      </c>
      <c r="J782" s="7" t="e">
        <f t="shared" si="34"/>
        <v>#N/A</v>
      </c>
    </row>
    <row r="783" spans="1:10" s="19" customFormat="1" x14ac:dyDescent="0.35">
      <c r="A783" s="19" t="s">
        <v>89</v>
      </c>
      <c r="B783" s="19" t="s">
        <v>90</v>
      </c>
      <c r="C783" s="19" t="s">
        <v>40</v>
      </c>
      <c r="D783" s="19" t="s">
        <v>154</v>
      </c>
      <c r="E783" s="19" t="s">
        <v>86</v>
      </c>
      <c r="F783" s="33">
        <v>0</v>
      </c>
      <c r="G783" s="24" t="e">
        <v>#N/A</v>
      </c>
      <c r="H783" s="30">
        <v>-0.11826732503701287</v>
      </c>
      <c r="I783" s="21" t="e">
        <f t="shared" si="35"/>
        <v>#N/A</v>
      </c>
      <c r="J783" s="21" t="e">
        <f t="shared" si="34"/>
        <v>#N/A</v>
      </c>
    </row>
    <row r="784" spans="1:10" x14ac:dyDescent="0.35">
      <c r="A784" t="s">
        <v>91</v>
      </c>
      <c r="B784" t="s">
        <v>92</v>
      </c>
      <c r="C784" t="s">
        <v>6</v>
      </c>
      <c r="D784" t="s">
        <v>153</v>
      </c>
      <c r="E784" t="s">
        <v>86</v>
      </c>
      <c r="F784" s="32">
        <v>6.8677396000000002</v>
      </c>
      <c r="G784" s="23" t="e">
        <v>#N/A</v>
      </c>
      <c r="H784" s="29">
        <v>0.7497006869807793</v>
      </c>
      <c r="I784" s="7" t="e">
        <f t="shared" si="35"/>
        <v>#N/A</v>
      </c>
      <c r="J784" s="7" t="e">
        <f>I784/0.6193</f>
        <v>#N/A</v>
      </c>
    </row>
    <row r="785" spans="1:10" x14ac:dyDescent="0.35">
      <c r="A785" t="s">
        <v>91</v>
      </c>
      <c r="B785" t="s">
        <v>92</v>
      </c>
      <c r="C785" t="s">
        <v>7</v>
      </c>
      <c r="D785" t="s">
        <v>153</v>
      </c>
      <c r="E785" t="s">
        <v>86</v>
      </c>
      <c r="F785" s="32">
        <v>1.0888094000000001</v>
      </c>
      <c r="G785" s="23" t="e">
        <v>#N/A</v>
      </c>
      <c r="H785" s="29">
        <v>-0.10920037804567713</v>
      </c>
      <c r="I785" s="7" t="e">
        <f t="shared" si="35"/>
        <v>#N/A</v>
      </c>
      <c r="J785" s="7" t="e">
        <f t="shared" ref="J785:J817" si="36">I785/0.6193</f>
        <v>#N/A</v>
      </c>
    </row>
    <row r="786" spans="1:10" x14ac:dyDescent="0.35">
      <c r="A786" t="s">
        <v>91</v>
      </c>
      <c r="B786" t="s">
        <v>92</v>
      </c>
      <c r="C786" t="s">
        <v>8</v>
      </c>
      <c r="D786" t="s">
        <v>153</v>
      </c>
      <c r="E786" t="s">
        <v>86</v>
      </c>
      <c r="F786" s="32" t="e">
        <v>#N/A</v>
      </c>
      <c r="G786" s="23" t="e">
        <v>#N/A</v>
      </c>
      <c r="H786" s="29">
        <v>-4.1768776381327963E-2</v>
      </c>
      <c r="I786" s="7" t="e">
        <f t="shared" si="35"/>
        <v>#N/A</v>
      </c>
      <c r="J786" s="7" t="e">
        <f t="shared" si="36"/>
        <v>#N/A</v>
      </c>
    </row>
    <row r="787" spans="1:10" x14ac:dyDescent="0.35">
      <c r="A787" t="s">
        <v>91</v>
      </c>
      <c r="B787" t="s">
        <v>92</v>
      </c>
      <c r="C787" t="s">
        <v>9</v>
      </c>
      <c r="D787" t="s">
        <v>153</v>
      </c>
      <c r="E787" t="s">
        <v>86</v>
      </c>
      <c r="F787" s="32">
        <v>16.6845298</v>
      </c>
      <c r="G787" s="23" t="e">
        <v>#N/A</v>
      </c>
      <c r="H787" s="29">
        <v>-0.39632024681241446</v>
      </c>
      <c r="I787" s="7" t="e">
        <f t="shared" si="35"/>
        <v>#N/A</v>
      </c>
      <c r="J787" s="7" t="e">
        <f t="shared" si="36"/>
        <v>#N/A</v>
      </c>
    </row>
    <row r="788" spans="1:10" x14ac:dyDescent="0.35">
      <c r="A788" t="s">
        <v>91</v>
      </c>
      <c r="B788" t="s">
        <v>92</v>
      </c>
      <c r="C788" t="s">
        <v>10</v>
      </c>
      <c r="D788" t="s">
        <v>153</v>
      </c>
      <c r="E788" t="s">
        <v>86</v>
      </c>
      <c r="F788" s="32">
        <v>100.9588437</v>
      </c>
      <c r="G788" s="23" t="e">
        <v>#N/A</v>
      </c>
      <c r="H788" s="29">
        <v>-9.4481638519457262E-2</v>
      </c>
      <c r="I788" s="7" t="e">
        <f t="shared" si="35"/>
        <v>#N/A</v>
      </c>
      <c r="J788" s="7" t="e">
        <f t="shared" si="36"/>
        <v>#N/A</v>
      </c>
    </row>
    <row r="789" spans="1:10" x14ac:dyDescent="0.35">
      <c r="A789" t="s">
        <v>91</v>
      </c>
      <c r="B789" t="s">
        <v>92</v>
      </c>
      <c r="C789" t="s">
        <v>11</v>
      </c>
      <c r="D789" t="s">
        <v>153</v>
      </c>
      <c r="E789" t="s">
        <v>86</v>
      </c>
      <c r="F789" s="32">
        <v>84.719422399999999</v>
      </c>
      <c r="G789" s="23" t="e">
        <v>#N/A</v>
      </c>
      <c r="H789" s="29">
        <v>0.10312285688631773</v>
      </c>
      <c r="I789" s="7" t="e">
        <f t="shared" si="35"/>
        <v>#N/A</v>
      </c>
      <c r="J789" s="7" t="e">
        <f t="shared" si="36"/>
        <v>#N/A</v>
      </c>
    </row>
    <row r="790" spans="1:10" x14ac:dyDescent="0.35">
      <c r="A790" t="s">
        <v>91</v>
      </c>
      <c r="B790" t="s">
        <v>92</v>
      </c>
      <c r="C790" t="s">
        <v>12</v>
      </c>
      <c r="D790" t="s">
        <v>154</v>
      </c>
      <c r="E790" t="s">
        <v>86</v>
      </c>
      <c r="F790" s="32">
        <v>0</v>
      </c>
      <c r="G790" s="23" t="e">
        <v>#N/A</v>
      </c>
      <c r="H790" s="29">
        <v>6.4707068511867513E-2</v>
      </c>
      <c r="I790" s="7" t="e">
        <f t="shared" si="35"/>
        <v>#N/A</v>
      </c>
      <c r="J790" s="7" t="e">
        <f t="shared" si="36"/>
        <v>#N/A</v>
      </c>
    </row>
    <row r="791" spans="1:10" x14ac:dyDescent="0.35">
      <c r="A791" t="s">
        <v>91</v>
      </c>
      <c r="B791" t="s">
        <v>92</v>
      </c>
      <c r="C791" t="s">
        <v>13</v>
      </c>
      <c r="D791" t="s">
        <v>153</v>
      </c>
      <c r="E791" t="s">
        <v>86</v>
      </c>
      <c r="F791" s="32">
        <v>14.5837579</v>
      </c>
      <c r="G791" s="23" t="e">
        <v>#N/A</v>
      </c>
      <c r="H791" s="29">
        <v>-5.6047848512075574E-2</v>
      </c>
      <c r="I791" s="7" t="e">
        <f t="shared" si="35"/>
        <v>#N/A</v>
      </c>
      <c r="J791" s="7" t="e">
        <f t="shared" si="36"/>
        <v>#N/A</v>
      </c>
    </row>
    <row r="792" spans="1:10" x14ac:dyDescent="0.35">
      <c r="A792" t="s">
        <v>91</v>
      </c>
      <c r="B792" t="s">
        <v>92</v>
      </c>
      <c r="C792" t="s">
        <v>14</v>
      </c>
      <c r="D792" t="s">
        <v>154</v>
      </c>
      <c r="E792" t="s">
        <v>86</v>
      </c>
      <c r="F792" s="32">
        <v>0</v>
      </c>
      <c r="G792" s="23" t="e">
        <v>#N/A</v>
      </c>
      <c r="H792" s="29">
        <v>-5.005199136680609E-2</v>
      </c>
      <c r="I792" s="7" t="e">
        <f t="shared" si="35"/>
        <v>#N/A</v>
      </c>
      <c r="J792" s="7" t="e">
        <f t="shared" si="36"/>
        <v>#N/A</v>
      </c>
    </row>
    <row r="793" spans="1:10" x14ac:dyDescent="0.35">
      <c r="A793" t="s">
        <v>91</v>
      </c>
      <c r="B793" t="s">
        <v>92</v>
      </c>
      <c r="C793" t="s">
        <v>15</v>
      </c>
      <c r="D793" t="s">
        <v>153</v>
      </c>
      <c r="E793" t="s">
        <v>86</v>
      </c>
      <c r="F793" s="32">
        <v>2450.7073688</v>
      </c>
      <c r="G793" s="23">
        <v>25.234053384226822</v>
      </c>
      <c r="H793" s="29">
        <v>77.823421236331342</v>
      </c>
      <c r="I793" s="7">
        <f t="shared" si="35"/>
        <v>25.234053384226822</v>
      </c>
      <c r="J793" s="7">
        <f t="shared" si="36"/>
        <v>40.746089753313136</v>
      </c>
    </row>
    <row r="794" spans="1:10" x14ac:dyDescent="0.35">
      <c r="A794" t="s">
        <v>91</v>
      </c>
      <c r="B794" t="s">
        <v>92</v>
      </c>
      <c r="C794" t="s">
        <v>16</v>
      </c>
      <c r="D794" t="s">
        <v>154</v>
      </c>
      <c r="E794" t="s">
        <v>86</v>
      </c>
      <c r="F794" s="32">
        <v>323.61403789999997</v>
      </c>
      <c r="G794" s="23">
        <v>7.6044676716777211</v>
      </c>
      <c r="H794" s="29">
        <v>19.351140355062718</v>
      </c>
      <c r="I794" s="7">
        <f t="shared" si="35"/>
        <v>7.6044676716777211</v>
      </c>
      <c r="J794" s="7">
        <f t="shared" si="36"/>
        <v>12.279133976550495</v>
      </c>
    </row>
    <row r="795" spans="1:10" x14ac:dyDescent="0.35">
      <c r="A795" t="s">
        <v>91</v>
      </c>
      <c r="B795" t="s">
        <v>92</v>
      </c>
      <c r="C795" t="s">
        <v>18</v>
      </c>
      <c r="D795" t="s">
        <v>154</v>
      </c>
      <c r="E795" t="s">
        <v>86</v>
      </c>
      <c r="F795" s="32" t="e">
        <v>#N/A</v>
      </c>
      <c r="G795" s="23" t="e">
        <v>#N/A</v>
      </c>
      <c r="H795" s="29">
        <v>0.12108653927080659</v>
      </c>
      <c r="I795" s="7" t="e">
        <f t="shared" si="35"/>
        <v>#N/A</v>
      </c>
      <c r="J795" s="7" t="e">
        <f t="shared" si="36"/>
        <v>#N/A</v>
      </c>
    </row>
    <row r="796" spans="1:10" x14ac:dyDescent="0.35">
      <c r="A796" t="s">
        <v>91</v>
      </c>
      <c r="B796" t="s">
        <v>92</v>
      </c>
      <c r="C796" t="s">
        <v>19</v>
      </c>
      <c r="D796" t="s">
        <v>153</v>
      </c>
      <c r="E796" t="s">
        <v>86</v>
      </c>
      <c r="F796" s="32">
        <v>501.55448200000001</v>
      </c>
      <c r="G796" s="23">
        <v>24.282049215747993</v>
      </c>
      <c r="H796" s="29">
        <v>27.243335332616965</v>
      </c>
      <c r="I796" s="7">
        <f t="shared" si="35"/>
        <v>24.282049215747993</v>
      </c>
      <c r="J796" s="7">
        <f t="shared" si="36"/>
        <v>39.208863581056022</v>
      </c>
    </row>
    <row r="797" spans="1:10" x14ac:dyDescent="0.35">
      <c r="A797" t="s">
        <v>91</v>
      </c>
      <c r="B797" t="s">
        <v>92</v>
      </c>
      <c r="C797" t="s">
        <v>20</v>
      </c>
      <c r="D797" t="s">
        <v>154</v>
      </c>
      <c r="E797" t="s">
        <v>86</v>
      </c>
      <c r="F797" s="32">
        <v>484.74813510000001</v>
      </c>
      <c r="G797" s="23">
        <v>16.763235264463294</v>
      </c>
      <c r="H797" s="29">
        <v>52.30119300563409</v>
      </c>
      <c r="I797" s="7">
        <f t="shared" si="35"/>
        <v>16.763235264463294</v>
      </c>
      <c r="J797" s="7">
        <f t="shared" si="36"/>
        <v>27.068036919850307</v>
      </c>
    </row>
    <row r="798" spans="1:10" x14ac:dyDescent="0.35">
      <c r="A798" t="s">
        <v>91</v>
      </c>
      <c r="B798" t="s">
        <v>92</v>
      </c>
      <c r="C798" t="s">
        <v>21</v>
      </c>
      <c r="D798" t="s">
        <v>155</v>
      </c>
      <c r="E798" t="s">
        <v>86</v>
      </c>
      <c r="F798" s="32">
        <v>0.1108309</v>
      </c>
      <c r="G798" s="23" t="e">
        <v>#N/A</v>
      </c>
      <c r="H798" s="29">
        <v>0.12663148297349847</v>
      </c>
      <c r="I798" s="7" t="e">
        <f t="shared" si="35"/>
        <v>#N/A</v>
      </c>
      <c r="J798" s="7" t="e">
        <f t="shared" si="36"/>
        <v>#N/A</v>
      </c>
    </row>
    <row r="799" spans="1:10" x14ac:dyDescent="0.35">
      <c r="A799" t="s">
        <v>91</v>
      </c>
      <c r="B799" t="s">
        <v>92</v>
      </c>
      <c r="C799" t="s">
        <v>22</v>
      </c>
      <c r="D799" t="s">
        <v>155</v>
      </c>
      <c r="E799" t="s">
        <v>86</v>
      </c>
      <c r="F799" s="32">
        <v>258.65551099999999</v>
      </c>
      <c r="G799" s="23">
        <v>0.70348260868533607</v>
      </c>
      <c r="H799" s="29">
        <v>11.648064741657107</v>
      </c>
      <c r="I799" s="7">
        <f t="shared" si="35"/>
        <v>0.70348260868533607</v>
      </c>
      <c r="J799" s="7">
        <f t="shared" si="36"/>
        <v>1.1359318725744165</v>
      </c>
    </row>
    <row r="800" spans="1:10" x14ac:dyDescent="0.35">
      <c r="A800" t="s">
        <v>91</v>
      </c>
      <c r="B800" t="s">
        <v>92</v>
      </c>
      <c r="C800" t="s">
        <v>23</v>
      </c>
      <c r="D800" t="s">
        <v>155</v>
      </c>
      <c r="E800" t="s">
        <v>86</v>
      </c>
      <c r="F800" s="32">
        <v>0</v>
      </c>
      <c r="G800" s="23" t="e">
        <v>#N/A</v>
      </c>
      <c r="H800" s="29">
        <v>3.2000244648145E-2</v>
      </c>
      <c r="I800" s="7" t="e">
        <f t="shared" si="35"/>
        <v>#N/A</v>
      </c>
      <c r="J800" s="7" t="e">
        <f t="shared" si="36"/>
        <v>#N/A</v>
      </c>
    </row>
    <row r="801" spans="1:10" x14ac:dyDescent="0.35">
      <c r="A801" t="s">
        <v>91</v>
      </c>
      <c r="B801" t="s">
        <v>92</v>
      </c>
      <c r="C801" t="s">
        <v>24</v>
      </c>
      <c r="D801" t="s">
        <v>155</v>
      </c>
      <c r="E801" t="s">
        <v>86</v>
      </c>
      <c r="F801" s="32">
        <v>264.73478769999997</v>
      </c>
      <c r="G801" s="23">
        <v>1.2860472755604868</v>
      </c>
      <c r="H801" s="29">
        <v>1.6713274573028436</v>
      </c>
      <c r="I801" s="7">
        <f t="shared" si="35"/>
        <v>1.2860472755604868</v>
      </c>
      <c r="J801" s="7">
        <f t="shared" si="36"/>
        <v>2.0766143638955059</v>
      </c>
    </row>
    <row r="802" spans="1:10" x14ac:dyDescent="0.35">
      <c r="A802" t="s">
        <v>91</v>
      </c>
      <c r="B802" t="s">
        <v>92</v>
      </c>
      <c r="C802" t="s">
        <v>25</v>
      </c>
      <c r="D802" t="s">
        <v>155</v>
      </c>
      <c r="E802" t="s">
        <v>86</v>
      </c>
      <c r="F802" s="32">
        <v>12.528589</v>
      </c>
      <c r="G802" s="23" t="e">
        <v>#N/A</v>
      </c>
      <c r="H802" s="29">
        <v>0.1549440784650051</v>
      </c>
      <c r="I802" s="7" t="e">
        <f t="shared" si="35"/>
        <v>#N/A</v>
      </c>
      <c r="J802" s="7" t="e">
        <f t="shared" si="36"/>
        <v>#N/A</v>
      </c>
    </row>
    <row r="803" spans="1:10" x14ac:dyDescent="0.35">
      <c r="A803" t="s">
        <v>91</v>
      </c>
      <c r="B803" t="s">
        <v>92</v>
      </c>
      <c r="C803" t="s">
        <v>26</v>
      </c>
      <c r="D803" t="s">
        <v>153</v>
      </c>
      <c r="E803" t="s">
        <v>86</v>
      </c>
      <c r="F803" s="32">
        <v>1.7239437</v>
      </c>
      <c r="G803" s="23">
        <v>0.74374210410904185</v>
      </c>
      <c r="H803" s="29">
        <v>-3.9024653026548894E-2</v>
      </c>
      <c r="I803" s="7">
        <f t="shared" si="35"/>
        <v>0.74374210410904185</v>
      </c>
      <c r="J803" s="7">
        <f t="shared" si="36"/>
        <v>1.2009399388164732</v>
      </c>
    </row>
    <row r="804" spans="1:10" x14ac:dyDescent="0.35">
      <c r="A804" t="s">
        <v>91</v>
      </c>
      <c r="B804" t="s">
        <v>92</v>
      </c>
      <c r="C804" t="s">
        <v>27</v>
      </c>
      <c r="D804" t="s">
        <v>154</v>
      </c>
      <c r="E804" t="s">
        <v>86</v>
      </c>
      <c r="F804" s="32">
        <v>15.196997799999998</v>
      </c>
      <c r="G804" s="23">
        <v>2.2080525134589948</v>
      </c>
      <c r="H804" s="29">
        <v>1.6522193214944214</v>
      </c>
      <c r="I804" s="7">
        <f t="shared" si="35"/>
        <v>2.2080525134589948</v>
      </c>
      <c r="J804" s="7">
        <f t="shared" si="36"/>
        <v>3.5654004738559584</v>
      </c>
    </row>
    <row r="805" spans="1:10" x14ac:dyDescent="0.35">
      <c r="A805" t="s">
        <v>91</v>
      </c>
      <c r="B805" t="s">
        <v>92</v>
      </c>
      <c r="C805" t="s">
        <v>28</v>
      </c>
      <c r="D805" t="s">
        <v>155</v>
      </c>
      <c r="E805" t="s">
        <v>86</v>
      </c>
      <c r="F805" s="32">
        <v>36.381873500000005</v>
      </c>
      <c r="G805" s="23">
        <v>2.1398311876813789</v>
      </c>
      <c r="H805" s="29">
        <v>3.2214403488522594</v>
      </c>
      <c r="I805" s="7">
        <f t="shared" si="35"/>
        <v>2.1398311876813789</v>
      </c>
      <c r="J805" s="7">
        <f t="shared" si="36"/>
        <v>3.4552417046364914</v>
      </c>
    </row>
    <row r="806" spans="1:10" x14ac:dyDescent="0.35">
      <c r="A806" t="s">
        <v>91</v>
      </c>
      <c r="B806" t="s">
        <v>92</v>
      </c>
      <c r="C806" t="s">
        <v>29</v>
      </c>
      <c r="D806" t="s">
        <v>155</v>
      </c>
      <c r="E806" t="s">
        <v>86</v>
      </c>
      <c r="F806" s="32">
        <v>0.29078519999999997</v>
      </c>
      <c r="G806" s="23">
        <v>0.15177043321520109</v>
      </c>
      <c r="H806" s="29">
        <v>0.1236440805347771</v>
      </c>
      <c r="I806" s="7">
        <f t="shared" si="35"/>
        <v>0.15177043321520109</v>
      </c>
      <c r="J806" s="7">
        <f t="shared" si="36"/>
        <v>0.24506771066559196</v>
      </c>
    </row>
    <row r="807" spans="1:10" x14ac:dyDescent="0.35">
      <c r="A807" t="s">
        <v>91</v>
      </c>
      <c r="B807" t="s">
        <v>92</v>
      </c>
      <c r="C807" t="s">
        <v>30</v>
      </c>
      <c r="D807" t="s">
        <v>155</v>
      </c>
      <c r="E807" t="s">
        <v>86</v>
      </c>
      <c r="F807" s="32">
        <v>216.8623528</v>
      </c>
      <c r="G807" s="23">
        <v>5.2852593301087394</v>
      </c>
      <c r="H807" s="29">
        <v>14.683328161615171</v>
      </c>
      <c r="I807" s="7">
        <f t="shared" si="35"/>
        <v>5.2852593301087394</v>
      </c>
      <c r="J807" s="7">
        <f t="shared" si="36"/>
        <v>8.5342472632144997</v>
      </c>
    </row>
    <row r="808" spans="1:10" x14ac:dyDescent="0.35">
      <c r="A808" t="s">
        <v>91</v>
      </c>
      <c r="B808" t="s">
        <v>92</v>
      </c>
      <c r="C808" t="s">
        <v>31</v>
      </c>
      <c r="D808" t="s">
        <v>155</v>
      </c>
      <c r="E808" t="s">
        <v>86</v>
      </c>
      <c r="F808" s="32" t="e">
        <v>#N/A</v>
      </c>
      <c r="G808" s="23" t="e">
        <v>#N/A</v>
      </c>
      <c r="H808" s="29">
        <v>8.6130322057057451E-2</v>
      </c>
      <c r="I808" s="7" t="e">
        <f t="shared" si="35"/>
        <v>#N/A</v>
      </c>
      <c r="J808" s="7" t="e">
        <f t="shared" si="36"/>
        <v>#N/A</v>
      </c>
    </row>
    <row r="809" spans="1:10" x14ac:dyDescent="0.35">
      <c r="A809" t="s">
        <v>91</v>
      </c>
      <c r="B809" t="s">
        <v>92</v>
      </c>
      <c r="C809" t="s">
        <v>32</v>
      </c>
      <c r="D809" t="s">
        <v>153</v>
      </c>
      <c r="E809" t="s">
        <v>86</v>
      </c>
      <c r="F809" s="32">
        <v>0</v>
      </c>
      <c r="G809" s="23" t="e">
        <v>#N/A</v>
      </c>
      <c r="H809" s="29">
        <v>3.1276891638203588E-2</v>
      </c>
      <c r="I809" s="7" t="e">
        <f t="shared" si="35"/>
        <v>#N/A</v>
      </c>
      <c r="J809" s="7" t="e">
        <f t="shared" si="36"/>
        <v>#N/A</v>
      </c>
    </row>
    <row r="810" spans="1:10" x14ac:dyDescent="0.35">
      <c r="A810" t="s">
        <v>91</v>
      </c>
      <c r="B810" t="s">
        <v>92</v>
      </c>
      <c r="C810" t="s">
        <v>33</v>
      </c>
      <c r="D810" t="s">
        <v>155</v>
      </c>
      <c r="E810" t="s">
        <v>86</v>
      </c>
      <c r="F810" s="32">
        <v>190.06237760000002</v>
      </c>
      <c r="G810" s="23">
        <v>5.5809795118870866</v>
      </c>
      <c r="H810" s="29">
        <v>5.2541063390051557</v>
      </c>
      <c r="I810" s="7">
        <f t="shared" si="35"/>
        <v>5.5809795118870866</v>
      </c>
      <c r="J810" s="7">
        <f t="shared" si="36"/>
        <v>9.0117544193235695</v>
      </c>
    </row>
    <row r="811" spans="1:10" x14ac:dyDescent="0.35">
      <c r="A811" t="s">
        <v>91</v>
      </c>
      <c r="B811" t="s">
        <v>92</v>
      </c>
      <c r="C811" t="s">
        <v>34</v>
      </c>
      <c r="D811" t="s">
        <v>153</v>
      </c>
      <c r="E811" t="s">
        <v>86</v>
      </c>
      <c r="F811" s="32">
        <v>0</v>
      </c>
      <c r="G811" s="23" t="e">
        <v>#N/A</v>
      </c>
      <c r="H811" s="29">
        <v>-8.814065979288796E-2</v>
      </c>
      <c r="I811" s="7" t="e">
        <f t="shared" si="35"/>
        <v>#N/A</v>
      </c>
      <c r="J811" s="7" t="e">
        <f t="shared" si="36"/>
        <v>#N/A</v>
      </c>
    </row>
    <row r="812" spans="1:10" x14ac:dyDescent="0.35">
      <c r="A812" t="s">
        <v>91</v>
      </c>
      <c r="B812" t="s">
        <v>92</v>
      </c>
      <c r="C812" t="s">
        <v>35</v>
      </c>
      <c r="D812" t="s">
        <v>154</v>
      </c>
      <c r="E812" t="s">
        <v>86</v>
      </c>
      <c r="F812" s="32">
        <v>120.5201481</v>
      </c>
      <c r="G812" s="23">
        <v>6.2659422123445889</v>
      </c>
      <c r="H812" s="29">
        <v>17.74198937484141</v>
      </c>
      <c r="I812" s="7">
        <f t="shared" si="35"/>
        <v>6.2659422123445889</v>
      </c>
      <c r="J812" s="7">
        <f t="shared" si="36"/>
        <v>10.117781708936848</v>
      </c>
    </row>
    <row r="813" spans="1:10" x14ac:dyDescent="0.35">
      <c r="A813" t="s">
        <v>91</v>
      </c>
      <c r="B813" t="s">
        <v>92</v>
      </c>
      <c r="C813" t="s">
        <v>36</v>
      </c>
      <c r="D813" t="s">
        <v>155</v>
      </c>
      <c r="E813" t="s">
        <v>86</v>
      </c>
      <c r="F813" s="32">
        <v>1.9489389000000001</v>
      </c>
      <c r="G813" s="23" t="e">
        <v>#N/A</v>
      </c>
      <c r="H813" s="29">
        <v>1.1348900591975022</v>
      </c>
      <c r="I813" s="7" t="e">
        <f t="shared" si="35"/>
        <v>#N/A</v>
      </c>
      <c r="J813" s="7" t="e">
        <f t="shared" si="36"/>
        <v>#N/A</v>
      </c>
    </row>
    <row r="814" spans="1:10" x14ac:dyDescent="0.35">
      <c r="A814" t="s">
        <v>91</v>
      </c>
      <c r="B814" t="s">
        <v>92</v>
      </c>
      <c r="C814" t="s">
        <v>37</v>
      </c>
      <c r="D814" t="s">
        <v>155</v>
      </c>
      <c r="E814" t="s">
        <v>86</v>
      </c>
      <c r="F814" s="32">
        <v>6.7048836000000005</v>
      </c>
      <c r="G814" s="23">
        <v>1.2394714981271788</v>
      </c>
      <c r="H814" s="29">
        <v>1.06805030717538</v>
      </c>
      <c r="I814" s="7">
        <f t="shared" si="35"/>
        <v>1.2394714981271788</v>
      </c>
      <c r="J814" s="7">
        <f t="shared" si="36"/>
        <v>2.0014072309497482</v>
      </c>
    </row>
    <row r="815" spans="1:10" x14ac:dyDescent="0.35">
      <c r="A815" t="s">
        <v>91</v>
      </c>
      <c r="B815" t="s">
        <v>92</v>
      </c>
      <c r="C815" t="s">
        <v>38</v>
      </c>
      <c r="D815" t="s">
        <v>155</v>
      </c>
      <c r="E815" t="s">
        <v>86</v>
      </c>
      <c r="F815" s="32">
        <v>4.7687079000000008</v>
      </c>
      <c r="G815" s="23">
        <v>0.3329112349715958</v>
      </c>
      <c r="H815" s="29">
        <v>0.26702246216670311</v>
      </c>
      <c r="I815" s="7">
        <f t="shared" si="35"/>
        <v>0.3329112349715958</v>
      </c>
      <c r="J815" s="7">
        <f t="shared" si="36"/>
        <v>0.53756052796963638</v>
      </c>
    </row>
    <row r="816" spans="1:10" x14ac:dyDescent="0.35">
      <c r="A816" t="s">
        <v>91</v>
      </c>
      <c r="B816" t="s">
        <v>92</v>
      </c>
      <c r="C816" t="s">
        <v>39</v>
      </c>
      <c r="D816" t="s">
        <v>153</v>
      </c>
      <c r="E816" t="s">
        <v>86</v>
      </c>
      <c r="F816" s="32">
        <v>13.1466727</v>
      </c>
      <c r="G816" s="23" t="e">
        <v>#N/A</v>
      </c>
      <c r="H816" s="29">
        <v>-0.44293158057919291</v>
      </c>
      <c r="I816" s="7" t="e">
        <f t="shared" si="35"/>
        <v>#N/A</v>
      </c>
      <c r="J816" s="7" t="e">
        <f t="shared" si="36"/>
        <v>#N/A</v>
      </c>
    </row>
    <row r="817" spans="1:10" s="19" customFormat="1" x14ac:dyDescent="0.35">
      <c r="A817" s="19" t="s">
        <v>91</v>
      </c>
      <c r="B817" s="19" t="s">
        <v>92</v>
      </c>
      <c r="C817" s="19" t="s">
        <v>40</v>
      </c>
      <c r="D817" s="19" t="s">
        <v>154</v>
      </c>
      <c r="E817" s="19" t="s">
        <v>86</v>
      </c>
      <c r="F817" s="33">
        <v>0</v>
      </c>
      <c r="G817" s="24" t="e">
        <v>#N/A</v>
      </c>
      <c r="H817" s="30">
        <v>-0.10225615633255764</v>
      </c>
      <c r="I817" s="21" t="e">
        <f t="shared" si="35"/>
        <v>#N/A</v>
      </c>
      <c r="J817" s="21" t="e">
        <f t="shared" si="36"/>
        <v>#N/A</v>
      </c>
    </row>
    <row r="818" spans="1:10" x14ac:dyDescent="0.35">
      <c r="A818" t="s">
        <v>93</v>
      </c>
      <c r="B818" t="s">
        <v>94</v>
      </c>
      <c r="C818" t="s">
        <v>6</v>
      </c>
      <c r="D818" t="s">
        <v>153</v>
      </c>
      <c r="E818" t="s">
        <v>86</v>
      </c>
      <c r="F818" s="32">
        <v>6.8067529000000002</v>
      </c>
      <c r="G818" s="23" t="e">
        <v>#N/A</v>
      </c>
      <c r="H818" s="29">
        <v>0.7543339909761122</v>
      </c>
      <c r="I818" s="7" t="e">
        <f t="shared" si="35"/>
        <v>#N/A</v>
      </c>
      <c r="J818" s="7" t="e">
        <f>I818/0.6198</f>
        <v>#N/A</v>
      </c>
    </row>
    <row r="819" spans="1:10" x14ac:dyDescent="0.35">
      <c r="A819" t="s">
        <v>93</v>
      </c>
      <c r="B819" t="s">
        <v>94</v>
      </c>
      <c r="C819" t="s">
        <v>7</v>
      </c>
      <c r="D819" t="s">
        <v>153</v>
      </c>
      <c r="E819" t="s">
        <v>86</v>
      </c>
      <c r="F819" s="32">
        <v>0</v>
      </c>
      <c r="G819" s="23" t="e">
        <v>#N/A</v>
      </c>
      <c r="H819" s="29">
        <v>-0.10921482511283775</v>
      </c>
      <c r="I819" s="7" t="e">
        <f t="shared" si="35"/>
        <v>#N/A</v>
      </c>
      <c r="J819" s="7" t="e">
        <f t="shared" ref="J819:J851" si="37">I819/0.6198</f>
        <v>#N/A</v>
      </c>
    </row>
    <row r="820" spans="1:10" x14ac:dyDescent="0.35">
      <c r="A820" t="s">
        <v>93</v>
      </c>
      <c r="B820" t="s">
        <v>94</v>
      </c>
      <c r="C820" t="s">
        <v>8</v>
      </c>
      <c r="D820" t="s">
        <v>153</v>
      </c>
      <c r="E820" t="s">
        <v>86</v>
      </c>
      <c r="F820" s="32">
        <v>0</v>
      </c>
      <c r="G820" s="23" t="e">
        <v>#N/A</v>
      </c>
      <c r="H820" s="29">
        <v>-4.0411993575439835E-2</v>
      </c>
      <c r="I820" s="7" t="e">
        <f t="shared" si="35"/>
        <v>#N/A</v>
      </c>
      <c r="J820" s="7" t="e">
        <f t="shared" si="37"/>
        <v>#N/A</v>
      </c>
    </row>
    <row r="821" spans="1:10" x14ac:dyDescent="0.35">
      <c r="A821" t="s">
        <v>93</v>
      </c>
      <c r="B821" t="s">
        <v>94</v>
      </c>
      <c r="C821" t="s">
        <v>9</v>
      </c>
      <c r="D821" t="s">
        <v>153</v>
      </c>
      <c r="E821" t="s">
        <v>86</v>
      </c>
      <c r="F821" s="32">
        <v>0</v>
      </c>
      <c r="G821" s="23" t="e">
        <v>#N/A</v>
      </c>
      <c r="H821" s="29">
        <v>-0.39017528147758263</v>
      </c>
      <c r="I821" s="7" t="e">
        <f t="shared" si="35"/>
        <v>#N/A</v>
      </c>
      <c r="J821" s="7" t="e">
        <f t="shared" si="37"/>
        <v>#N/A</v>
      </c>
    </row>
    <row r="822" spans="1:10" x14ac:dyDescent="0.35">
      <c r="A822" t="s">
        <v>93</v>
      </c>
      <c r="B822" t="s">
        <v>94</v>
      </c>
      <c r="C822" t="s">
        <v>10</v>
      </c>
      <c r="D822" t="s">
        <v>153</v>
      </c>
      <c r="E822" t="s">
        <v>86</v>
      </c>
      <c r="F822" s="32">
        <v>0</v>
      </c>
      <c r="G822" s="23" t="e">
        <v>#N/A</v>
      </c>
      <c r="H822" s="29">
        <v>-9.2515420859270586E-2</v>
      </c>
      <c r="I822" s="7" t="e">
        <f t="shared" si="35"/>
        <v>#N/A</v>
      </c>
      <c r="J822" s="7" t="e">
        <f t="shared" si="37"/>
        <v>#N/A</v>
      </c>
    </row>
    <row r="823" spans="1:10" x14ac:dyDescent="0.35">
      <c r="A823" t="s">
        <v>93</v>
      </c>
      <c r="B823" t="s">
        <v>94</v>
      </c>
      <c r="C823" t="s">
        <v>11</v>
      </c>
      <c r="D823" t="s">
        <v>153</v>
      </c>
      <c r="E823" t="s">
        <v>86</v>
      </c>
      <c r="F823" s="32">
        <v>22.754871599999998</v>
      </c>
      <c r="G823" s="23" t="e">
        <v>#N/A</v>
      </c>
      <c r="H823" s="29">
        <v>7.2736930121325871</v>
      </c>
      <c r="I823" s="7" t="e">
        <f t="shared" si="35"/>
        <v>#N/A</v>
      </c>
      <c r="J823" s="7" t="e">
        <f t="shared" si="37"/>
        <v>#N/A</v>
      </c>
    </row>
    <row r="824" spans="1:10" x14ac:dyDescent="0.35">
      <c r="A824" t="s">
        <v>93</v>
      </c>
      <c r="B824" t="s">
        <v>94</v>
      </c>
      <c r="C824" t="s">
        <v>12</v>
      </c>
      <c r="D824" t="s">
        <v>154</v>
      </c>
      <c r="E824" t="s">
        <v>86</v>
      </c>
      <c r="F824" s="32">
        <v>0</v>
      </c>
      <c r="G824" s="23" t="e">
        <v>#N/A</v>
      </c>
      <c r="H824" s="29">
        <v>-5.8921691995686865E-2</v>
      </c>
      <c r="I824" s="7" t="e">
        <f t="shared" si="35"/>
        <v>#N/A</v>
      </c>
      <c r="J824" s="7" t="e">
        <f t="shared" si="37"/>
        <v>#N/A</v>
      </c>
    </row>
    <row r="825" spans="1:10" x14ac:dyDescent="0.35">
      <c r="A825" t="s">
        <v>93</v>
      </c>
      <c r="B825" t="s">
        <v>94</v>
      </c>
      <c r="C825" t="s">
        <v>13</v>
      </c>
      <c r="D825" t="s">
        <v>153</v>
      </c>
      <c r="E825" t="s">
        <v>86</v>
      </c>
      <c r="F825" s="32">
        <v>0</v>
      </c>
      <c r="G825" s="23" t="e">
        <v>#N/A</v>
      </c>
      <c r="H825" s="29">
        <v>-3.8107863467185546E-2</v>
      </c>
      <c r="I825" s="7" t="e">
        <f t="shared" si="35"/>
        <v>#N/A</v>
      </c>
      <c r="J825" s="7" t="e">
        <f t="shared" si="37"/>
        <v>#N/A</v>
      </c>
    </row>
    <row r="826" spans="1:10" x14ac:dyDescent="0.35">
      <c r="A826" t="s">
        <v>93</v>
      </c>
      <c r="B826" t="s">
        <v>94</v>
      </c>
      <c r="C826" t="s">
        <v>14</v>
      </c>
      <c r="D826" t="s">
        <v>154</v>
      </c>
      <c r="E826" t="s">
        <v>86</v>
      </c>
      <c r="F826" s="32">
        <v>0</v>
      </c>
      <c r="G826" s="23" t="e">
        <v>#N/A</v>
      </c>
      <c r="H826" s="29">
        <v>5.0036463677933275E-3</v>
      </c>
      <c r="I826" s="7" t="e">
        <f t="shared" si="35"/>
        <v>#N/A</v>
      </c>
      <c r="J826" s="7" t="e">
        <f t="shared" si="37"/>
        <v>#N/A</v>
      </c>
    </row>
    <row r="827" spans="1:10" x14ac:dyDescent="0.35">
      <c r="A827" t="s">
        <v>93</v>
      </c>
      <c r="B827" t="s">
        <v>94</v>
      </c>
      <c r="C827" t="s">
        <v>15</v>
      </c>
      <c r="D827" t="s">
        <v>153</v>
      </c>
      <c r="E827" t="s">
        <v>86</v>
      </c>
      <c r="F827" s="32">
        <v>2728.8565564999999</v>
      </c>
      <c r="G827" s="23">
        <v>63.741440714556745</v>
      </c>
      <c r="H827" s="29">
        <v>198.88352133752133</v>
      </c>
      <c r="I827" s="7">
        <f t="shared" si="35"/>
        <v>63.741440714556745</v>
      </c>
      <c r="J827" s="7">
        <f t="shared" si="37"/>
        <v>102.84195016869432</v>
      </c>
    </row>
    <row r="828" spans="1:10" x14ac:dyDescent="0.35">
      <c r="A828" t="s">
        <v>93</v>
      </c>
      <c r="B828" t="s">
        <v>94</v>
      </c>
      <c r="C828" t="s">
        <v>16</v>
      </c>
      <c r="D828" t="s">
        <v>154</v>
      </c>
      <c r="E828" t="s">
        <v>86</v>
      </c>
      <c r="F828" s="32">
        <v>368.42243510000003</v>
      </c>
      <c r="G828" s="23">
        <v>33.852932557971329</v>
      </c>
      <c r="H828" s="29">
        <v>92.64008794720759</v>
      </c>
      <c r="I828" s="7">
        <f t="shared" si="35"/>
        <v>33.852932557971329</v>
      </c>
      <c r="J828" s="7">
        <f t="shared" si="37"/>
        <v>54.619123197759485</v>
      </c>
    </row>
    <row r="829" spans="1:10" x14ac:dyDescent="0.35">
      <c r="A829" t="s">
        <v>93</v>
      </c>
      <c r="B829" t="s">
        <v>94</v>
      </c>
      <c r="C829" t="s">
        <v>18</v>
      </c>
      <c r="D829" t="s">
        <v>154</v>
      </c>
      <c r="E829" t="s">
        <v>86</v>
      </c>
      <c r="F829" s="32">
        <v>0</v>
      </c>
      <c r="G829" s="23" t="e">
        <v>#N/A</v>
      </c>
      <c r="H829" s="29">
        <v>44.274018231287222</v>
      </c>
      <c r="I829" s="7" t="e">
        <f t="shared" si="35"/>
        <v>#N/A</v>
      </c>
      <c r="J829" s="7" t="e">
        <f t="shared" si="37"/>
        <v>#N/A</v>
      </c>
    </row>
    <row r="830" spans="1:10" x14ac:dyDescent="0.35">
      <c r="A830" t="s">
        <v>93</v>
      </c>
      <c r="B830" t="s">
        <v>94</v>
      </c>
      <c r="C830" t="s">
        <v>19</v>
      </c>
      <c r="D830" t="s">
        <v>153</v>
      </c>
      <c r="E830" t="s">
        <v>86</v>
      </c>
      <c r="F830" s="32">
        <v>522.27766389999999</v>
      </c>
      <c r="G830" s="23">
        <v>40.484161290174576</v>
      </c>
      <c r="H830" s="29">
        <v>33.939843197615183</v>
      </c>
      <c r="I830" s="7">
        <f t="shared" si="35"/>
        <v>40.484161290174576</v>
      </c>
      <c r="J830" s="7">
        <f t="shared" si="37"/>
        <v>65.318104695344587</v>
      </c>
    </row>
    <row r="831" spans="1:10" x14ac:dyDescent="0.35">
      <c r="A831" t="s">
        <v>93</v>
      </c>
      <c r="B831" t="s">
        <v>94</v>
      </c>
      <c r="C831" t="s">
        <v>20</v>
      </c>
      <c r="D831" t="s">
        <v>154</v>
      </c>
      <c r="E831" t="s">
        <v>86</v>
      </c>
      <c r="F831" s="32">
        <v>510.79971340000003</v>
      </c>
      <c r="G831" s="23">
        <v>47.15845226241079</v>
      </c>
      <c r="H831" s="29">
        <v>117.52651243556171</v>
      </c>
      <c r="I831" s="7">
        <f t="shared" si="35"/>
        <v>47.15845226241079</v>
      </c>
      <c r="J831" s="7">
        <f t="shared" si="37"/>
        <v>76.086563830930601</v>
      </c>
    </row>
    <row r="832" spans="1:10" x14ac:dyDescent="0.35">
      <c r="A832" t="s">
        <v>93</v>
      </c>
      <c r="B832" t="s">
        <v>94</v>
      </c>
      <c r="C832" t="s">
        <v>21</v>
      </c>
      <c r="D832" t="s">
        <v>155</v>
      </c>
      <c r="E832" t="s">
        <v>86</v>
      </c>
      <c r="F832" s="32">
        <v>0.34658069999999996</v>
      </c>
      <c r="G832" s="23" t="e">
        <v>#N/A</v>
      </c>
      <c r="H832" s="29">
        <v>17.971004753400905</v>
      </c>
      <c r="I832" s="7" t="e">
        <f t="shared" si="35"/>
        <v>#N/A</v>
      </c>
      <c r="J832" s="7" t="e">
        <f t="shared" si="37"/>
        <v>#N/A</v>
      </c>
    </row>
    <row r="833" spans="1:10" x14ac:dyDescent="0.35">
      <c r="A833" t="s">
        <v>93</v>
      </c>
      <c r="B833" t="s">
        <v>94</v>
      </c>
      <c r="C833" t="s">
        <v>22</v>
      </c>
      <c r="D833" t="s">
        <v>155</v>
      </c>
      <c r="E833" t="s">
        <v>86</v>
      </c>
      <c r="F833" s="32">
        <v>233.1699204</v>
      </c>
      <c r="G833" s="23">
        <v>17.284314879126089</v>
      </c>
      <c r="H833" s="29">
        <v>32.569947930312608</v>
      </c>
      <c r="I833" s="7">
        <f t="shared" si="35"/>
        <v>17.284314879126089</v>
      </c>
      <c r="J833" s="7">
        <f t="shared" si="37"/>
        <v>27.886923006011759</v>
      </c>
    </row>
    <row r="834" spans="1:10" x14ac:dyDescent="0.35">
      <c r="A834" t="s">
        <v>93</v>
      </c>
      <c r="B834" t="s">
        <v>94</v>
      </c>
      <c r="C834" t="s">
        <v>23</v>
      </c>
      <c r="D834" t="s">
        <v>155</v>
      </c>
      <c r="E834" t="s">
        <v>86</v>
      </c>
      <c r="F834" s="32">
        <v>0</v>
      </c>
      <c r="G834" s="23" t="e">
        <v>#N/A</v>
      </c>
      <c r="H834" s="29">
        <v>29.136300704046988</v>
      </c>
      <c r="I834" s="7" t="e">
        <f t="shared" ref="I834:I897" si="38">IF(G834&lt;0,0,G834)</f>
        <v>#N/A</v>
      </c>
      <c r="J834" s="7" t="e">
        <f t="shared" si="37"/>
        <v>#N/A</v>
      </c>
    </row>
    <row r="835" spans="1:10" x14ac:dyDescent="0.35">
      <c r="A835" t="s">
        <v>93</v>
      </c>
      <c r="B835" t="s">
        <v>94</v>
      </c>
      <c r="C835" t="s">
        <v>24</v>
      </c>
      <c r="D835" t="s">
        <v>155</v>
      </c>
      <c r="E835" t="s">
        <v>86</v>
      </c>
      <c r="F835" s="32">
        <v>166.2772243</v>
      </c>
      <c r="G835" s="23">
        <v>3.5786345314123724</v>
      </c>
      <c r="H835" s="29">
        <v>16.521608065705905</v>
      </c>
      <c r="I835" s="7">
        <f t="shared" si="38"/>
        <v>3.5786345314123724</v>
      </c>
      <c r="J835" s="7">
        <f t="shared" si="37"/>
        <v>5.7738537131532306</v>
      </c>
    </row>
    <row r="836" spans="1:10" x14ac:dyDescent="0.35">
      <c r="A836" t="s">
        <v>93</v>
      </c>
      <c r="B836" t="s">
        <v>94</v>
      </c>
      <c r="C836" t="s">
        <v>25</v>
      </c>
      <c r="D836" t="s">
        <v>155</v>
      </c>
      <c r="E836" t="s">
        <v>86</v>
      </c>
      <c r="F836" s="32">
        <v>11.946372199999999</v>
      </c>
      <c r="G836" s="23">
        <v>8.2605235320423298E-2</v>
      </c>
      <c r="H836" s="29">
        <v>10.133625339657353</v>
      </c>
      <c r="I836" s="7">
        <f t="shared" si="38"/>
        <v>8.2605235320423298E-2</v>
      </c>
      <c r="J836" s="7">
        <f t="shared" si="37"/>
        <v>0.13327724317590076</v>
      </c>
    </row>
    <row r="837" spans="1:10" x14ac:dyDescent="0.35">
      <c r="A837" t="s">
        <v>93</v>
      </c>
      <c r="B837" t="s">
        <v>94</v>
      </c>
      <c r="C837" t="s">
        <v>26</v>
      </c>
      <c r="D837" t="s">
        <v>153</v>
      </c>
      <c r="E837" t="s">
        <v>86</v>
      </c>
      <c r="F837" s="32">
        <v>1.6218454</v>
      </c>
      <c r="G837" s="23">
        <v>1.1055153015452177</v>
      </c>
      <c r="H837" s="29">
        <v>8.4203024098104002</v>
      </c>
      <c r="I837" s="7">
        <f t="shared" si="38"/>
        <v>1.1055153015452177</v>
      </c>
      <c r="J837" s="7">
        <f t="shared" si="37"/>
        <v>1.783664571708967</v>
      </c>
    </row>
    <row r="838" spans="1:10" x14ac:dyDescent="0.35">
      <c r="A838" t="s">
        <v>93</v>
      </c>
      <c r="B838" t="s">
        <v>94</v>
      </c>
      <c r="C838" t="s">
        <v>27</v>
      </c>
      <c r="D838" t="s">
        <v>154</v>
      </c>
      <c r="E838" t="s">
        <v>86</v>
      </c>
      <c r="F838" s="32">
        <v>12.233281999999999</v>
      </c>
      <c r="G838" s="23">
        <v>4.0466952902675093</v>
      </c>
      <c r="H838" s="29">
        <v>14.291844142621517</v>
      </c>
      <c r="I838" s="7">
        <f t="shared" si="38"/>
        <v>4.0466952902675093</v>
      </c>
      <c r="J838" s="7">
        <f t="shared" si="37"/>
        <v>6.5290340275371239</v>
      </c>
    </row>
    <row r="839" spans="1:10" x14ac:dyDescent="0.35">
      <c r="A839" t="s">
        <v>93</v>
      </c>
      <c r="B839" t="s">
        <v>94</v>
      </c>
      <c r="C839" t="s">
        <v>28</v>
      </c>
      <c r="D839" t="s">
        <v>155</v>
      </c>
      <c r="E839" t="s">
        <v>86</v>
      </c>
      <c r="F839" s="32">
        <v>24.755922399999999</v>
      </c>
      <c r="G839" s="23">
        <v>2.7417002557847518</v>
      </c>
      <c r="H839" s="29">
        <v>32.667688613215894</v>
      </c>
      <c r="I839" s="7">
        <f t="shared" si="38"/>
        <v>2.7417002557847518</v>
      </c>
      <c r="J839" s="7">
        <f t="shared" si="37"/>
        <v>4.4235241300173476</v>
      </c>
    </row>
    <row r="840" spans="1:10" x14ac:dyDescent="0.35">
      <c r="A840" t="s">
        <v>93</v>
      </c>
      <c r="B840" t="s">
        <v>94</v>
      </c>
      <c r="C840" t="s">
        <v>29</v>
      </c>
      <c r="D840" t="s">
        <v>155</v>
      </c>
      <c r="E840" t="s">
        <v>86</v>
      </c>
      <c r="F840" s="32">
        <v>0.41876990000000003</v>
      </c>
      <c r="G840" s="23" t="e">
        <v>#N/A</v>
      </c>
      <c r="H840" s="29">
        <v>21.851084571110981</v>
      </c>
      <c r="I840" s="7" t="e">
        <f t="shared" si="38"/>
        <v>#N/A</v>
      </c>
      <c r="J840" s="7" t="e">
        <f t="shared" si="37"/>
        <v>#N/A</v>
      </c>
    </row>
    <row r="841" spans="1:10" x14ac:dyDescent="0.35">
      <c r="A841" t="s">
        <v>93</v>
      </c>
      <c r="B841" t="s">
        <v>94</v>
      </c>
      <c r="C841" t="s">
        <v>30</v>
      </c>
      <c r="D841" t="s">
        <v>155</v>
      </c>
      <c r="E841" t="s">
        <v>86</v>
      </c>
      <c r="F841" s="32">
        <v>188.72962650000002</v>
      </c>
      <c r="G841" s="23">
        <v>7.456968282325029</v>
      </c>
      <c r="H841" s="29">
        <v>32.435357594654391</v>
      </c>
      <c r="I841" s="7">
        <f t="shared" si="38"/>
        <v>7.456968282325029</v>
      </c>
      <c r="J841" s="7">
        <f t="shared" si="37"/>
        <v>12.031249245442124</v>
      </c>
    </row>
    <row r="842" spans="1:10" x14ac:dyDescent="0.35">
      <c r="A842" t="s">
        <v>93</v>
      </c>
      <c r="B842" t="s">
        <v>94</v>
      </c>
      <c r="C842" t="s">
        <v>31</v>
      </c>
      <c r="D842" t="s">
        <v>155</v>
      </c>
      <c r="E842" t="s">
        <v>86</v>
      </c>
      <c r="F842" s="32" t="e">
        <v>#N/A</v>
      </c>
      <c r="G842" s="23" t="e">
        <v>#N/A</v>
      </c>
      <c r="H842" s="29">
        <v>17.283219942368206</v>
      </c>
      <c r="I842" s="7" t="e">
        <f t="shared" si="38"/>
        <v>#N/A</v>
      </c>
      <c r="J842" s="7" t="e">
        <f t="shared" si="37"/>
        <v>#N/A</v>
      </c>
    </row>
    <row r="843" spans="1:10" x14ac:dyDescent="0.35">
      <c r="A843" t="s">
        <v>93</v>
      </c>
      <c r="B843" t="s">
        <v>94</v>
      </c>
      <c r="C843" t="s">
        <v>32</v>
      </c>
      <c r="D843" t="s">
        <v>153</v>
      </c>
      <c r="E843" t="s">
        <v>86</v>
      </c>
      <c r="F843" s="32">
        <v>0</v>
      </c>
      <c r="G843" s="23" t="e">
        <v>#N/A</v>
      </c>
      <c r="H843" s="29">
        <v>37.500769864338508</v>
      </c>
      <c r="I843" s="7" t="e">
        <f t="shared" si="38"/>
        <v>#N/A</v>
      </c>
      <c r="J843" s="7" t="e">
        <f t="shared" si="37"/>
        <v>#N/A</v>
      </c>
    </row>
    <row r="844" spans="1:10" x14ac:dyDescent="0.35">
      <c r="A844" t="s">
        <v>93</v>
      </c>
      <c r="B844" t="s">
        <v>94</v>
      </c>
      <c r="C844" t="s">
        <v>33</v>
      </c>
      <c r="D844" t="s">
        <v>155</v>
      </c>
      <c r="E844" t="s">
        <v>86</v>
      </c>
      <c r="F844" s="32">
        <v>165.29629440000002</v>
      </c>
      <c r="G844" s="23">
        <v>8.6876401789811091</v>
      </c>
      <c r="H844" s="29">
        <v>11.81745882924011</v>
      </c>
      <c r="I844" s="7">
        <f t="shared" si="38"/>
        <v>8.6876401789811091</v>
      </c>
      <c r="J844" s="7">
        <f t="shared" si="37"/>
        <v>14.016844432044383</v>
      </c>
    </row>
    <row r="845" spans="1:10" x14ac:dyDescent="0.35">
      <c r="A845" t="s">
        <v>93</v>
      </c>
      <c r="B845" t="s">
        <v>94</v>
      </c>
      <c r="C845" t="s">
        <v>34</v>
      </c>
      <c r="D845" t="s">
        <v>153</v>
      </c>
      <c r="E845" t="s">
        <v>86</v>
      </c>
      <c r="F845" s="32">
        <v>0</v>
      </c>
      <c r="G845" s="23" t="e">
        <v>#N/A</v>
      </c>
      <c r="H845" s="29">
        <v>13.922509559531029</v>
      </c>
      <c r="I845" s="7" t="e">
        <f t="shared" si="38"/>
        <v>#N/A</v>
      </c>
      <c r="J845" s="7" t="e">
        <f t="shared" si="37"/>
        <v>#N/A</v>
      </c>
    </row>
    <row r="846" spans="1:10" x14ac:dyDescent="0.35">
      <c r="A846" t="s">
        <v>93</v>
      </c>
      <c r="B846" t="s">
        <v>94</v>
      </c>
      <c r="C846" t="s">
        <v>35</v>
      </c>
      <c r="D846" t="s">
        <v>154</v>
      </c>
      <c r="E846" t="s">
        <v>86</v>
      </c>
      <c r="F846" s="32">
        <v>120.6710405</v>
      </c>
      <c r="G846" s="23">
        <v>11.871975869137415</v>
      </c>
      <c r="H846" s="29">
        <v>33.549329370577269</v>
      </c>
      <c r="I846" s="7">
        <f t="shared" si="38"/>
        <v>11.871975869137415</v>
      </c>
      <c r="J846" s="7">
        <f t="shared" si="37"/>
        <v>19.154527055723484</v>
      </c>
    </row>
    <row r="847" spans="1:10" x14ac:dyDescent="0.35">
      <c r="A847" t="s">
        <v>93</v>
      </c>
      <c r="B847" t="s">
        <v>94</v>
      </c>
      <c r="C847" t="s">
        <v>36</v>
      </c>
      <c r="D847" t="s">
        <v>155</v>
      </c>
      <c r="E847" t="s">
        <v>86</v>
      </c>
      <c r="F847" s="32">
        <v>6.8642025000000002</v>
      </c>
      <c r="G847" s="23">
        <v>4.8919083950062649E-2</v>
      </c>
      <c r="H847" s="29">
        <v>23.618296938704411</v>
      </c>
      <c r="I847" s="7">
        <f t="shared" si="38"/>
        <v>4.8919083950062649E-2</v>
      </c>
      <c r="J847" s="7">
        <f t="shared" si="37"/>
        <v>7.892720869645474E-2</v>
      </c>
    </row>
    <row r="848" spans="1:10" x14ac:dyDescent="0.35">
      <c r="A848" t="s">
        <v>93</v>
      </c>
      <c r="B848" t="s">
        <v>94</v>
      </c>
      <c r="C848" t="s">
        <v>37</v>
      </c>
      <c r="D848" t="s">
        <v>155</v>
      </c>
      <c r="E848" t="s">
        <v>86</v>
      </c>
      <c r="F848" s="32">
        <v>4.8574674999999994</v>
      </c>
      <c r="G848" s="23">
        <v>1.328585561060875</v>
      </c>
      <c r="H848" s="29">
        <v>10.431342725054407</v>
      </c>
      <c r="I848" s="7">
        <f t="shared" si="38"/>
        <v>1.328585561060875</v>
      </c>
      <c r="J848" s="7">
        <f t="shared" si="37"/>
        <v>2.1435714118439417</v>
      </c>
    </row>
    <row r="849" spans="1:14" x14ac:dyDescent="0.35">
      <c r="A849" t="s">
        <v>93</v>
      </c>
      <c r="B849" t="s">
        <v>94</v>
      </c>
      <c r="C849" t="s">
        <v>38</v>
      </c>
      <c r="D849" t="s">
        <v>155</v>
      </c>
      <c r="E849" t="s">
        <v>86</v>
      </c>
      <c r="F849" s="32">
        <v>2.3249919000000001</v>
      </c>
      <c r="G849" s="23">
        <v>0.35453998873912101</v>
      </c>
      <c r="H849" s="29">
        <v>10.028997386537803</v>
      </c>
      <c r="I849" s="7">
        <f t="shared" si="38"/>
        <v>0.35453998873912101</v>
      </c>
      <c r="J849" s="7">
        <f t="shared" si="37"/>
        <v>0.57202321513249599</v>
      </c>
    </row>
    <row r="850" spans="1:14" x14ac:dyDescent="0.35">
      <c r="A850" t="s">
        <v>93</v>
      </c>
      <c r="B850" t="s">
        <v>94</v>
      </c>
      <c r="C850" t="s">
        <v>39</v>
      </c>
      <c r="D850" t="s">
        <v>153</v>
      </c>
      <c r="E850" t="s">
        <v>86</v>
      </c>
      <c r="F850" s="32">
        <v>6.4418001999999994</v>
      </c>
      <c r="G850" s="23" t="e">
        <v>#N/A</v>
      </c>
      <c r="H850" s="29">
        <v>26.411441869556576</v>
      </c>
      <c r="I850" s="7" t="e">
        <f t="shared" si="38"/>
        <v>#N/A</v>
      </c>
      <c r="J850" s="7" t="e">
        <f t="shared" si="37"/>
        <v>#N/A</v>
      </c>
    </row>
    <row r="851" spans="1:14" s="19" customFormat="1" x14ac:dyDescent="0.35">
      <c r="A851" s="19" t="s">
        <v>93</v>
      </c>
      <c r="B851" s="19" t="s">
        <v>94</v>
      </c>
      <c r="C851" s="19" t="s">
        <v>40</v>
      </c>
      <c r="D851" s="19" t="s">
        <v>154</v>
      </c>
      <c r="E851" s="19" t="s">
        <v>86</v>
      </c>
      <c r="F851" s="33">
        <v>0</v>
      </c>
      <c r="G851" s="24" t="e">
        <v>#N/A</v>
      </c>
      <c r="H851" s="30">
        <v>26.260414529760357</v>
      </c>
      <c r="I851" s="21" t="e">
        <f t="shared" si="38"/>
        <v>#N/A</v>
      </c>
      <c r="J851" s="21" t="e">
        <f t="shared" si="37"/>
        <v>#N/A</v>
      </c>
      <c r="N851"/>
    </row>
    <row r="852" spans="1:14" x14ac:dyDescent="0.35">
      <c r="A852" t="s">
        <v>95</v>
      </c>
      <c r="B852" t="s">
        <v>96</v>
      </c>
      <c r="C852" t="s">
        <v>6</v>
      </c>
      <c r="D852" t="s">
        <v>153</v>
      </c>
      <c r="E852" t="s">
        <v>86</v>
      </c>
      <c r="F852" s="32">
        <v>6.6553167000000002</v>
      </c>
      <c r="G852" s="23" t="e">
        <v>#N/A</v>
      </c>
      <c r="H852" s="29">
        <v>0.74795860768769584</v>
      </c>
      <c r="I852" s="7" t="e">
        <f t="shared" si="38"/>
        <v>#N/A</v>
      </c>
      <c r="J852" s="7" t="e">
        <f>I852/0.4758</f>
        <v>#N/A</v>
      </c>
    </row>
    <row r="853" spans="1:14" x14ac:dyDescent="0.35">
      <c r="A853" t="s">
        <v>95</v>
      </c>
      <c r="B853" t="s">
        <v>96</v>
      </c>
      <c r="C853" t="s">
        <v>7</v>
      </c>
      <c r="D853" t="s">
        <v>153</v>
      </c>
      <c r="E853" t="s">
        <v>86</v>
      </c>
      <c r="F853" s="32">
        <v>0</v>
      </c>
      <c r="G853" s="23" t="e">
        <v>#N/A</v>
      </c>
      <c r="H853" s="29">
        <v>-0.10698004117218379</v>
      </c>
      <c r="I853" s="7" t="e">
        <f t="shared" si="38"/>
        <v>#N/A</v>
      </c>
      <c r="J853" s="7" t="e">
        <f t="shared" ref="J853:J885" si="39">I853/0.4758</f>
        <v>#N/A</v>
      </c>
    </row>
    <row r="854" spans="1:14" x14ac:dyDescent="0.35">
      <c r="A854" t="s">
        <v>95</v>
      </c>
      <c r="B854" t="s">
        <v>96</v>
      </c>
      <c r="C854" t="s">
        <v>8</v>
      </c>
      <c r="D854" t="s">
        <v>153</v>
      </c>
      <c r="E854" t="s">
        <v>86</v>
      </c>
      <c r="F854" s="32">
        <v>0</v>
      </c>
      <c r="G854" s="23" t="e">
        <v>#N/A</v>
      </c>
      <c r="H854" s="29">
        <v>-4.3510740043105164E-2</v>
      </c>
      <c r="I854" s="7" t="e">
        <f t="shared" si="38"/>
        <v>#N/A</v>
      </c>
      <c r="J854" s="7" t="e">
        <f t="shared" si="39"/>
        <v>#N/A</v>
      </c>
    </row>
    <row r="855" spans="1:14" x14ac:dyDescent="0.35">
      <c r="A855" t="s">
        <v>95</v>
      </c>
      <c r="B855" t="s">
        <v>96</v>
      </c>
      <c r="C855" t="s">
        <v>9</v>
      </c>
      <c r="D855" t="s">
        <v>153</v>
      </c>
      <c r="E855" t="s">
        <v>86</v>
      </c>
      <c r="F855" s="32">
        <v>0</v>
      </c>
      <c r="G855" s="23" t="e">
        <v>#N/A</v>
      </c>
      <c r="H855" s="29">
        <v>-0.39449579823012659</v>
      </c>
      <c r="I855" s="7" t="e">
        <f t="shared" si="38"/>
        <v>#N/A</v>
      </c>
      <c r="J855" s="7" t="e">
        <f t="shared" si="39"/>
        <v>#N/A</v>
      </c>
    </row>
    <row r="856" spans="1:14" x14ac:dyDescent="0.35">
      <c r="A856" t="s">
        <v>95</v>
      </c>
      <c r="B856" t="s">
        <v>96</v>
      </c>
      <c r="C856" t="s">
        <v>10</v>
      </c>
      <c r="D856" t="s">
        <v>153</v>
      </c>
      <c r="E856" t="s">
        <v>86</v>
      </c>
      <c r="F856" s="32">
        <v>0</v>
      </c>
      <c r="G856" s="23" t="e">
        <v>#N/A</v>
      </c>
      <c r="H856" s="29">
        <v>-9.3930556024452105E-2</v>
      </c>
      <c r="I856" s="7" t="e">
        <f t="shared" si="38"/>
        <v>#N/A</v>
      </c>
      <c r="J856" s="7" t="e">
        <f t="shared" si="39"/>
        <v>#N/A</v>
      </c>
    </row>
    <row r="857" spans="1:14" x14ac:dyDescent="0.35">
      <c r="A857" t="s">
        <v>95</v>
      </c>
      <c r="B857" t="s">
        <v>96</v>
      </c>
      <c r="C857" t="s">
        <v>11</v>
      </c>
      <c r="D857" t="s">
        <v>153</v>
      </c>
      <c r="E857" t="s">
        <v>86</v>
      </c>
      <c r="F857" s="32">
        <v>7.7466868</v>
      </c>
      <c r="G857" s="23" t="e">
        <v>#N/A</v>
      </c>
      <c r="H857" s="29">
        <v>3.4194491715503439</v>
      </c>
      <c r="I857" s="7" t="e">
        <f t="shared" si="38"/>
        <v>#N/A</v>
      </c>
      <c r="J857" s="7" t="e">
        <f t="shared" si="39"/>
        <v>#N/A</v>
      </c>
    </row>
    <row r="858" spans="1:14" x14ac:dyDescent="0.35">
      <c r="A858" t="s">
        <v>95</v>
      </c>
      <c r="B858" t="s">
        <v>96</v>
      </c>
      <c r="C858" t="s">
        <v>12</v>
      </c>
      <c r="D858" t="s">
        <v>154</v>
      </c>
      <c r="E858" t="s">
        <v>86</v>
      </c>
      <c r="F858" s="32">
        <v>0</v>
      </c>
      <c r="G858" s="23" t="e">
        <v>#N/A</v>
      </c>
      <c r="H858" s="29">
        <v>-7.7521006139552623E-2</v>
      </c>
      <c r="I858" s="7" t="e">
        <f t="shared" si="38"/>
        <v>#N/A</v>
      </c>
      <c r="J858" s="7" t="e">
        <f t="shared" si="39"/>
        <v>#N/A</v>
      </c>
    </row>
    <row r="859" spans="1:14" x14ac:dyDescent="0.35">
      <c r="A859" t="s">
        <v>95</v>
      </c>
      <c r="B859" t="s">
        <v>96</v>
      </c>
      <c r="C859" t="s">
        <v>13</v>
      </c>
      <c r="D859" t="s">
        <v>153</v>
      </c>
      <c r="E859" t="s">
        <v>86</v>
      </c>
      <c r="F859" s="32">
        <v>0</v>
      </c>
      <c r="G859" s="23">
        <v>0.3899865096295535</v>
      </c>
      <c r="H859" s="29">
        <v>-3.5134279706108315E-2</v>
      </c>
      <c r="I859" s="7">
        <f t="shared" si="38"/>
        <v>0.3899865096295535</v>
      </c>
      <c r="J859" s="7">
        <f t="shared" si="39"/>
        <v>0.8196437781201209</v>
      </c>
    </row>
    <row r="860" spans="1:14" x14ac:dyDescent="0.35">
      <c r="A860" t="s">
        <v>95</v>
      </c>
      <c r="B860" t="s">
        <v>96</v>
      </c>
      <c r="C860" t="s">
        <v>14</v>
      </c>
      <c r="D860" t="s">
        <v>154</v>
      </c>
      <c r="E860" t="s">
        <v>86</v>
      </c>
      <c r="F860" s="32">
        <v>0</v>
      </c>
      <c r="G860" s="23" t="e">
        <v>#N/A</v>
      </c>
      <c r="H860" s="29">
        <v>0.12266359383071426</v>
      </c>
      <c r="I860" s="7" t="e">
        <f t="shared" si="38"/>
        <v>#N/A</v>
      </c>
      <c r="J860" s="7" t="e">
        <f t="shared" si="39"/>
        <v>#N/A</v>
      </c>
    </row>
    <row r="861" spans="1:14" x14ac:dyDescent="0.35">
      <c r="A861" t="s">
        <v>95</v>
      </c>
      <c r="B861" t="s">
        <v>96</v>
      </c>
      <c r="C861" t="s">
        <v>15</v>
      </c>
      <c r="D861" t="s">
        <v>153</v>
      </c>
      <c r="E861" t="s">
        <v>86</v>
      </c>
      <c r="F861" s="32">
        <v>1966.6000755</v>
      </c>
      <c r="G861" s="23">
        <v>46.471718631673589</v>
      </c>
      <c r="H861" s="29">
        <v>143.29017622254059</v>
      </c>
      <c r="I861" s="7">
        <f t="shared" si="38"/>
        <v>46.471718631673589</v>
      </c>
      <c r="J861" s="7">
        <f t="shared" si="39"/>
        <v>97.670699099776357</v>
      </c>
    </row>
    <row r="862" spans="1:14" x14ac:dyDescent="0.35">
      <c r="A862" t="s">
        <v>95</v>
      </c>
      <c r="B862" t="s">
        <v>96</v>
      </c>
      <c r="C862" t="s">
        <v>16</v>
      </c>
      <c r="D862" t="s">
        <v>154</v>
      </c>
      <c r="E862" t="s">
        <v>86</v>
      </c>
      <c r="F862" s="32">
        <v>202.632994</v>
      </c>
      <c r="G862" s="23">
        <v>19.20950679524854</v>
      </c>
      <c r="H862" s="29">
        <v>51.156985955739593</v>
      </c>
      <c r="I862" s="7">
        <f t="shared" si="38"/>
        <v>19.20950679524854</v>
      </c>
      <c r="J862" s="7">
        <f t="shared" si="39"/>
        <v>40.373070187575749</v>
      </c>
    </row>
    <row r="863" spans="1:14" x14ac:dyDescent="0.35">
      <c r="A863" t="s">
        <v>95</v>
      </c>
      <c r="B863" t="s">
        <v>96</v>
      </c>
      <c r="C863" t="s">
        <v>18</v>
      </c>
      <c r="D863" t="s">
        <v>154</v>
      </c>
      <c r="E863" t="s">
        <v>86</v>
      </c>
      <c r="F863" s="32">
        <v>0</v>
      </c>
      <c r="G863" s="23">
        <v>0.80187464377912365</v>
      </c>
      <c r="H863" s="29">
        <v>-3.3790070220959749E-2</v>
      </c>
      <c r="I863" s="7">
        <f t="shared" si="38"/>
        <v>0.80187464377912365</v>
      </c>
      <c r="J863" s="7">
        <f t="shared" si="39"/>
        <v>1.6853187132810501</v>
      </c>
    </row>
    <row r="864" spans="1:14" x14ac:dyDescent="0.35">
      <c r="A864" t="s">
        <v>95</v>
      </c>
      <c r="B864" t="s">
        <v>96</v>
      </c>
      <c r="C864" t="s">
        <v>19</v>
      </c>
      <c r="D864" t="s">
        <v>153</v>
      </c>
      <c r="E864" t="s">
        <v>86</v>
      </c>
      <c r="F864" s="32">
        <v>431.28625879999998</v>
      </c>
      <c r="G864" s="23">
        <v>33.766574996344289</v>
      </c>
      <c r="H864" s="29">
        <v>42.78318283402561</v>
      </c>
      <c r="I864" s="7">
        <f t="shared" si="38"/>
        <v>33.766574996344289</v>
      </c>
      <c r="J864" s="7">
        <f t="shared" si="39"/>
        <v>70.968001253350749</v>
      </c>
    </row>
    <row r="865" spans="1:10" x14ac:dyDescent="0.35">
      <c r="A865" t="s">
        <v>95</v>
      </c>
      <c r="B865" t="s">
        <v>96</v>
      </c>
      <c r="C865" t="s">
        <v>20</v>
      </c>
      <c r="D865" t="s">
        <v>154</v>
      </c>
      <c r="E865" t="s">
        <v>86</v>
      </c>
      <c r="F865" s="32">
        <v>275.7941773</v>
      </c>
      <c r="G865" s="23">
        <v>25.158978709517868</v>
      </c>
      <c r="H865" s="29">
        <v>125.25671183249429</v>
      </c>
      <c r="I865" s="7">
        <f t="shared" si="38"/>
        <v>25.158978709517868</v>
      </c>
      <c r="J865" s="7">
        <f t="shared" si="39"/>
        <v>52.877214605964411</v>
      </c>
    </row>
    <row r="866" spans="1:10" x14ac:dyDescent="0.35">
      <c r="A866" t="s">
        <v>95</v>
      </c>
      <c r="B866" t="s">
        <v>96</v>
      </c>
      <c r="C866" t="s">
        <v>21</v>
      </c>
      <c r="D866" t="s">
        <v>155</v>
      </c>
      <c r="E866" t="s">
        <v>86</v>
      </c>
      <c r="F866" s="32" t="e">
        <v>#N/A</v>
      </c>
      <c r="G866" s="23" t="e">
        <v>#N/A</v>
      </c>
      <c r="H866" s="29">
        <v>8.9009766349363334E-2</v>
      </c>
      <c r="I866" s="7" t="e">
        <f t="shared" si="38"/>
        <v>#N/A</v>
      </c>
      <c r="J866" s="7" t="e">
        <f t="shared" si="39"/>
        <v>#N/A</v>
      </c>
    </row>
    <row r="867" spans="1:10" x14ac:dyDescent="0.35">
      <c r="A867" t="s">
        <v>95</v>
      </c>
      <c r="B867" t="s">
        <v>96</v>
      </c>
      <c r="C867" t="s">
        <v>22</v>
      </c>
      <c r="D867" t="s">
        <v>155</v>
      </c>
      <c r="E867" t="s">
        <v>86</v>
      </c>
      <c r="F867" s="32">
        <v>150.82626209999998</v>
      </c>
      <c r="G867" s="23">
        <v>11.491580376341187</v>
      </c>
      <c r="H867" s="29">
        <v>40.124599616505179</v>
      </c>
      <c r="I867" s="7">
        <f t="shared" si="38"/>
        <v>11.491580376341187</v>
      </c>
      <c r="J867" s="7">
        <f t="shared" si="39"/>
        <v>24.152123531612414</v>
      </c>
    </row>
    <row r="868" spans="1:10" x14ac:dyDescent="0.35">
      <c r="A868" t="s">
        <v>95</v>
      </c>
      <c r="B868" t="s">
        <v>96</v>
      </c>
      <c r="C868" t="s">
        <v>23</v>
      </c>
      <c r="D868" t="s">
        <v>155</v>
      </c>
      <c r="E868" t="s">
        <v>86</v>
      </c>
      <c r="F868" s="32">
        <v>0.43573210000000001</v>
      </c>
      <c r="G868" s="23">
        <v>0.33693570629255126</v>
      </c>
      <c r="H868" s="29">
        <v>1.594761891510714E-2</v>
      </c>
      <c r="I868" s="7">
        <f t="shared" si="38"/>
        <v>0.33693570629255126</v>
      </c>
      <c r="J868" s="7">
        <f t="shared" si="39"/>
        <v>0.70814566265773704</v>
      </c>
    </row>
    <row r="869" spans="1:10" x14ac:dyDescent="0.35">
      <c r="A869" t="s">
        <v>95</v>
      </c>
      <c r="B869" t="s">
        <v>96</v>
      </c>
      <c r="C869" t="s">
        <v>24</v>
      </c>
      <c r="D869" t="s">
        <v>155</v>
      </c>
      <c r="E869" t="s">
        <v>86</v>
      </c>
      <c r="F869" s="32">
        <v>103.8186582</v>
      </c>
      <c r="G869" s="23">
        <v>2.1339509965988981</v>
      </c>
      <c r="H869" s="29">
        <v>4.7419414352334526</v>
      </c>
      <c r="I869" s="7">
        <f t="shared" si="38"/>
        <v>2.1339509965988981</v>
      </c>
      <c r="J869" s="7">
        <f t="shared" si="39"/>
        <v>4.4849747721708662</v>
      </c>
    </row>
    <row r="870" spans="1:10" x14ac:dyDescent="0.35">
      <c r="A870" t="s">
        <v>95</v>
      </c>
      <c r="B870" t="s">
        <v>96</v>
      </c>
      <c r="C870" t="s">
        <v>25</v>
      </c>
      <c r="D870" t="s">
        <v>155</v>
      </c>
      <c r="E870" t="s">
        <v>86</v>
      </c>
      <c r="F870" s="32">
        <v>4.0625084000000005</v>
      </c>
      <c r="G870" s="23">
        <v>8.0497171509685064E-3</v>
      </c>
      <c r="H870" s="29">
        <v>1.1973471673972746</v>
      </c>
      <c r="I870" s="7">
        <f t="shared" si="38"/>
        <v>8.0497171509685064E-3</v>
      </c>
      <c r="J870" s="7">
        <f t="shared" si="39"/>
        <v>1.6918279005818635E-2</v>
      </c>
    </row>
    <row r="871" spans="1:10" x14ac:dyDescent="0.35">
      <c r="A871" t="s">
        <v>95</v>
      </c>
      <c r="B871" t="s">
        <v>96</v>
      </c>
      <c r="C871" t="s">
        <v>26</v>
      </c>
      <c r="D871" t="s">
        <v>153</v>
      </c>
      <c r="E871" t="s">
        <v>86</v>
      </c>
      <c r="F871" s="32">
        <v>1.5875648</v>
      </c>
      <c r="G871" s="23">
        <v>1.1552913778818543</v>
      </c>
      <c r="H871" s="29">
        <v>-3.9678849043869188E-2</v>
      </c>
      <c r="I871" s="7">
        <f t="shared" si="38"/>
        <v>1.1552913778818543</v>
      </c>
      <c r="J871" s="7">
        <f t="shared" si="39"/>
        <v>2.4281029379610222</v>
      </c>
    </row>
    <row r="872" spans="1:10" x14ac:dyDescent="0.35">
      <c r="A872" t="s">
        <v>95</v>
      </c>
      <c r="B872" t="s">
        <v>96</v>
      </c>
      <c r="C872" t="s">
        <v>27</v>
      </c>
      <c r="D872" t="s">
        <v>154</v>
      </c>
      <c r="E872" t="s">
        <v>86</v>
      </c>
      <c r="F872" s="32">
        <v>6.5103719</v>
      </c>
      <c r="G872" s="23">
        <v>1.8297118570022552</v>
      </c>
      <c r="H872" s="29">
        <v>3.4013669391430899</v>
      </c>
      <c r="I872" s="7">
        <f t="shared" si="38"/>
        <v>1.8297118570022552</v>
      </c>
      <c r="J872" s="7">
        <f t="shared" si="39"/>
        <v>3.8455482492691369</v>
      </c>
    </row>
    <row r="873" spans="1:10" x14ac:dyDescent="0.35">
      <c r="A873" t="s">
        <v>95</v>
      </c>
      <c r="B873" t="s">
        <v>96</v>
      </c>
      <c r="C873" t="s">
        <v>28</v>
      </c>
      <c r="D873" t="s">
        <v>155</v>
      </c>
      <c r="E873" t="s">
        <v>86</v>
      </c>
      <c r="F873" s="32">
        <v>19.6319044</v>
      </c>
      <c r="G873" s="23">
        <v>2.0438234527701673</v>
      </c>
      <c r="H873" s="29">
        <v>7.2700766609993099</v>
      </c>
      <c r="I873" s="7">
        <f t="shared" si="38"/>
        <v>2.0438234527701673</v>
      </c>
      <c r="J873" s="7">
        <f t="shared" si="39"/>
        <v>4.2955516031319192</v>
      </c>
    </row>
    <row r="874" spans="1:10" x14ac:dyDescent="0.35">
      <c r="A874" t="s">
        <v>95</v>
      </c>
      <c r="B874" t="s">
        <v>96</v>
      </c>
      <c r="C874" t="s">
        <v>29</v>
      </c>
      <c r="D874" t="s">
        <v>155</v>
      </c>
      <c r="E874" t="s">
        <v>86</v>
      </c>
      <c r="F874" s="32">
        <v>0.41513330000000004</v>
      </c>
      <c r="G874" s="23" t="e">
        <v>#N/A</v>
      </c>
      <c r="H874" s="29">
        <v>9.2759853772466039E-2</v>
      </c>
      <c r="I874" s="7" t="e">
        <f t="shared" si="38"/>
        <v>#N/A</v>
      </c>
      <c r="J874" s="7" t="e">
        <f t="shared" si="39"/>
        <v>#N/A</v>
      </c>
    </row>
    <row r="875" spans="1:10" x14ac:dyDescent="0.35">
      <c r="A875" t="s">
        <v>95</v>
      </c>
      <c r="B875" t="s">
        <v>96</v>
      </c>
      <c r="C875" t="s">
        <v>30</v>
      </c>
      <c r="D875" t="s">
        <v>155</v>
      </c>
      <c r="E875" t="s">
        <v>86</v>
      </c>
      <c r="F875" s="32">
        <v>188.25054219999998</v>
      </c>
      <c r="G875" s="23">
        <v>7.5390849824075037</v>
      </c>
      <c r="H875" s="29">
        <v>23.366461232628588</v>
      </c>
      <c r="I875" s="7">
        <f t="shared" si="38"/>
        <v>7.5390849824075037</v>
      </c>
      <c r="J875" s="7">
        <f t="shared" si="39"/>
        <v>15.845071421621487</v>
      </c>
    </row>
    <row r="876" spans="1:10" x14ac:dyDescent="0.35">
      <c r="A876" t="s">
        <v>95</v>
      </c>
      <c r="B876" t="s">
        <v>96</v>
      </c>
      <c r="C876" t="s">
        <v>31</v>
      </c>
      <c r="D876" t="s">
        <v>155</v>
      </c>
      <c r="E876" t="s">
        <v>86</v>
      </c>
      <c r="F876" s="32" t="e">
        <v>#N/A</v>
      </c>
      <c r="G876" s="23" t="e">
        <v>#N/A</v>
      </c>
      <c r="H876" s="29">
        <v>6.6133318002368227E-2</v>
      </c>
      <c r="I876" s="7" t="e">
        <f t="shared" si="38"/>
        <v>#N/A</v>
      </c>
      <c r="J876" s="7" t="e">
        <f t="shared" si="39"/>
        <v>#N/A</v>
      </c>
    </row>
    <row r="877" spans="1:10" x14ac:dyDescent="0.35">
      <c r="A877" t="s">
        <v>95</v>
      </c>
      <c r="B877" t="s">
        <v>96</v>
      </c>
      <c r="C877" t="s">
        <v>32</v>
      </c>
      <c r="D877" t="s">
        <v>153</v>
      </c>
      <c r="E877" t="s">
        <v>86</v>
      </c>
      <c r="F877" s="32">
        <v>0</v>
      </c>
      <c r="G877" s="23" t="e">
        <v>#N/A</v>
      </c>
      <c r="H877" s="29">
        <v>3.1233429594952858E-2</v>
      </c>
      <c r="I877" s="7" t="e">
        <f t="shared" si="38"/>
        <v>#N/A</v>
      </c>
      <c r="J877" s="7" t="e">
        <f t="shared" si="39"/>
        <v>#N/A</v>
      </c>
    </row>
    <row r="878" spans="1:10" x14ac:dyDescent="0.35">
      <c r="A878" t="s">
        <v>95</v>
      </c>
      <c r="B878" t="s">
        <v>96</v>
      </c>
      <c r="C878" t="s">
        <v>33</v>
      </c>
      <c r="D878" t="s">
        <v>155</v>
      </c>
      <c r="E878" t="s">
        <v>86</v>
      </c>
      <c r="F878" s="32">
        <v>156.42740090000001</v>
      </c>
      <c r="G878" s="23">
        <v>7.9040764838805959</v>
      </c>
      <c r="H878" s="29">
        <v>10.83645522728786</v>
      </c>
      <c r="I878" s="7">
        <f t="shared" si="38"/>
        <v>7.9040764838805959</v>
      </c>
      <c r="J878" s="7">
        <f t="shared" si="39"/>
        <v>16.61218260588608</v>
      </c>
    </row>
    <row r="879" spans="1:10" x14ac:dyDescent="0.35">
      <c r="A879" t="s">
        <v>95</v>
      </c>
      <c r="B879" t="s">
        <v>96</v>
      </c>
      <c r="C879" t="s">
        <v>34</v>
      </c>
      <c r="D879" t="s">
        <v>153</v>
      </c>
      <c r="E879" t="s">
        <v>86</v>
      </c>
      <c r="F879" s="32">
        <v>0</v>
      </c>
      <c r="G879" s="23" t="e">
        <v>#N/A</v>
      </c>
      <c r="H879" s="29">
        <v>-0.21046953062756682</v>
      </c>
      <c r="I879" s="7" t="e">
        <f t="shared" si="38"/>
        <v>#N/A</v>
      </c>
      <c r="J879" s="7" t="e">
        <f t="shared" si="39"/>
        <v>#N/A</v>
      </c>
    </row>
    <row r="880" spans="1:10" x14ac:dyDescent="0.35">
      <c r="A880" t="s">
        <v>95</v>
      </c>
      <c r="B880" t="s">
        <v>96</v>
      </c>
      <c r="C880" t="s">
        <v>35</v>
      </c>
      <c r="D880" t="s">
        <v>154</v>
      </c>
      <c r="E880" t="s">
        <v>86</v>
      </c>
      <c r="F880" s="32">
        <v>110.59683560000001</v>
      </c>
      <c r="G880" s="23">
        <v>10.720490219670229</v>
      </c>
      <c r="H880" s="29">
        <v>37.615687298434096</v>
      </c>
      <c r="I880" s="7">
        <f t="shared" si="38"/>
        <v>10.720490219670229</v>
      </c>
      <c r="J880" s="7">
        <f t="shared" si="39"/>
        <v>22.531505295649914</v>
      </c>
    </row>
    <row r="881" spans="1:10" x14ac:dyDescent="0.35">
      <c r="A881" t="s">
        <v>95</v>
      </c>
      <c r="B881" t="s">
        <v>96</v>
      </c>
      <c r="C881" t="s">
        <v>36</v>
      </c>
      <c r="D881" t="s">
        <v>155</v>
      </c>
      <c r="E881" t="s">
        <v>86</v>
      </c>
      <c r="F881" s="32">
        <v>1.9151974</v>
      </c>
      <c r="G881" s="23" t="e">
        <v>#N/A</v>
      </c>
      <c r="H881" s="29">
        <v>1.4258713849780045</v>
      </c>
      <c r="I881" s="7" t="e">
        <f t="shared" si="38"/>
        <v>#N/A</v>
      </c>
      <c r="J881" s="7" t="e">
        <f t="shared" si="39"/>
        <v>#N/A</v>
      </c>
    </row>
    <row r="882" spans="1:10" x14ac:dyDescent="0.35">
      <c r="A882" t="s">
        <v>95</v>
      </c>
      <c r="B882" t="s">
        <v>96</v>
      </c>
      <c r="C882" t="s">
        <v>37</v>
      </c>
      <c r="D882" t="s">
        <v>155</v>
      </c>
      <c r="E882" t="s">
        <v>86</v>
      </c>
      <c r="F882" s="32">
        <v>4.6583612999999993</v>
      </c>
      <c r="G882" s="23">
        <v>1.3108249722120957</v>
      </c>
      <c r="H882" s="29">
        <v>1.7853368687460212</v>
      </c>
      <c r="I882" s="7">
        <f t="shared" si="38"/>
        <v>1.3108249722120957</v>
      </c>
      <c r="J882" s="7">
        <f t="shared" si="39"/>
        <v>2.754991534703858</v>
      </c>
    </row>
    <row r="883" spans="1:10" x14ac:dyDescent="0.35">
      <c r="A883" t="s">
        <v>95</v>
      </c>
      <c r="B883" t="s">
        <v>96</v>
      </c>
      <c r="C883" t="s">
        <v>38</v>
      </c>
      <c r="D883" t="s">
        <v>155</v>
      </c>
      <c r="E883" t="s">
        <v>86</v>
      </c>
      <c r="F883" s="32">
        <v>3.1772076999999999</v>
      </c>
      <c r="G883" s="23">
        <v>0.40828077928700923</v>
      </c>
      <c r="H883" s="29">
        <v>0.3517922743871516</v>
      </c>
      <c r="I883" s="7">
        <f t="shared" si="38"/>
        <v>0.40828077928700923</v>
      </c>
      <c r="J883" s="7">
        <f t="shared" si="39"/>
        <v>0.85809327298656835</v>
      </c>
    </row>
    <row r="884" spans="1:10" x14ac:dyDescent="0.35">
      <c r="A884" t="s">
        <v>95</v>
      </c>
      <c r="B884" t="s">
        <v>96</v>
      </c>
      <c r="C884" t="s">
        <v>39</v>
      </c>
      <c r="D884" t="s">
        <v>153</v>
      </c>
      <c r="E884" t="s">
        <v>86</v>
      </c>
      <c r="F884" s="32">
        <v>0</v>
      </c>
      <c r="G884" s="23" t="e">
        <v>#N/A</v>
      </c>
      <c r="H884" s="29">
        <v>-4.8787974686140552E-2</v>
      </c>
      <c r="I884" s="7" t="e">
        <f t="shared" si="38"/>
        <v>#N/A</v>
      </c>
      <c r="J884" s="7" t="e">
        <f t="shared" si="39"/>
        <v>#N/A</v>
      </c>
    </row>
    <row r="885" spans="1:10" s="19" customFormat="1" x14ac:dyDescent="0.35">
      <c r="A885" s="19" t="s">
        <v>95</v>
      </c>
      <c r="B885" s="19" t="s">
        <v>96</v>
      </c>
      <c r="C885" s="19" t="s">
        <v>40</v>
      </c>
      <c r="D885" s="19" t="s">
        <v>154</v>
      </c>
      <c r="E885" s="19" t="s">
        <v>86</v>
      </c>
      <c r="F885" s="33">
        <v>0</v>
      </c>
      <c r="G885" s="24" t="e">
        <v>#N/A</v>
      </c>
      <c r="H885" s="30">
        <v>9.8060968939801384E-3</v>
      </c>
      <c r="I885" s="21" t="e">
        <f t="shared" si="38"/>
        <v>#N/A</v>
      </c>
      <c r="J885" s="21" t="e">
        <f t="shared" si="39"/>
        <v>#N/A</v>
      </c>
    </row>
    <row r="886" spans="1:10" x14ac:dyDescent="0.35">
      <c r="A886" t="s">
        <v>98</v>
      </c>
      <c r="B886" t="s">
        <v>97</v>
      </c>
      <c r="C886" t="s">
        <v>6</v>
      </c>
      <c r="D886" t="s">
        <v>153</v>
      </c>
      <c r="E886" t="s">
        <v>86</v>
      </c>
      <c r="F886" s="32">
        <v>6.7828013</v>
      </c>
      <c r="G886" s="23" t="e">
        <v>#N/A</v>
      </c>
      <c r="H886" s="29">
        <v>0.75332523924159223</v>
      </c>
      <c r="I886" s="7" t="e">
        <f t="shared" si="38"/>
        <v>#N/A</v>
      </c>
      <c r="J886" s="7" t="e">
        <f>I886/0.3611</f>
        <v>#N/A</v>
      </c>
    </row>
    <row r="887" spans="1:10" x14ac:dyDescent="0.35">
      <c r="A887" t="s">
        <v>98</v>
      </c>
      <c r="B887" t="s">
        <v>97</v>
      </c>
      <c r="C887" t="s">
        <v>7</v>
      </c>
      <c r="D887" t="s">
        <v>153</v>
      </c>
      <c r="E887" t="s">
        <v>86</v>
      </c>
      <c r="F887" s="32" t="e">
        <v>#N/A</v>
      </c>
      <c r="G887" s="23" t="e">
        <v>#N/A</v>
      </c>
      <c r="H887" s="29">
        <v>-0.11015911872705017</v>
      </c>
      <c r="I887" s="7" t="e">
        <f t="shared" si="38"/>
        <v>#N/A</v>
      </c>
      <c r="J887" s="7" t="e">
        <f t="shared" ref="J887:J919" si="40">I887/0.3611</f>
        <v>#N/A</v>
      </c>
    </row>
    <row r="888" spans="1:10" x14ac:dyDescent="0.35">
      <c r="A888" t="s">
        <v>98</v>
      </c>
      <c r="B888" t="s">
        <v>97</v>
      </c>
      <c r="C888" t="s">
        <v>8</v>
      </c>
      <c r="D888" t="s">
        <v>153</v>
      </c>
      <c r="E888" t="s">
        <v>86</v>
      </c>
      <c r="F888" s="32">
        <v>0</v>
      </c>
      <c r="G888" s="23" t="e">
        <v>#N/A</v>
      </c>
      <c r="H888" s="29">
        <v>-4.2354543076370203E-2</v>
      </c>
      <c r="I888" s="7" t="e">
        <f t="shared" si="38"/>
        <v>#N/A</v>
      </c>
      <c r="J888" s="7" t="e">
        <f t="shared" si="40"/>
        <v>#N/A</v>
      </c>
    </row>
    <row r="889" spans="1:10" x14ac:dyDescent="0.35">
      <c r="A889" t="s">
        <v>98</v>
      </c>
      <c r="B889" t="s">
        <v>97</v>
      </c>
      <c r="C889" t="s">
        <v>9</v>
      </c>
      <c r="D889" t="s">
        <v>153</v>
      </c>
      <c r="E889" t="s">
        <v>86</v>
      </c>
      <c r="F889" s="32">
        <v>0</v>
      </c>
      <c r="G889" s="23" t="e">
        <v>#N/A</v>
      </c>
      <c r="H889" s="29">
        <v>-0.39425331200184993</v>
      </c>
      <c r="I889" s="7" t="e">
        <f t="shared" si="38"/>
        <v>#N/A</v>
      </c>
      <c r="J889" s="7" t="e">
        <f t="shared" si="40"/>
        <v>#N/A</v>
      </c>
    </row>
    <row r="890" spans="1:10" x14ac:dyDescent="0.35">
      <c r="A890" t="s">
        <v>98</v>
      </c>
      <c r="B890" t="s">
        <v>97</v>
      </c>
      <c r="C890" t="s">
        <v>10</v>
      </c>
      <c r="D890" t="s">
        <v>153</v>
      </c>
      <c r="E890" t="s">
        <v>86</v>
      </c>
      <c r="F890" s="32">
        <v>0</v>
      </c>
      <c r="G890" s="23" t="e">
        <v>#N/A</v>
      </c>
      <c r="H890" s="29">
        <v>-9.4854275301111943E-2</v>
      </c>
      <c r="I890" s="7" t="e">
        <f t="shared" si="38"/>
        <v>#N/A</v>
      </c>
      <c r="J890" s="7" t="e">
        <f t="shared" si="40"/>
        <v>#N/A</v>
      </c>
    </row>
    <row r="891" spans="1:10" x14ac:dyDescent="0.35">
      <c r="A891" t="s">
        <v>98</v>
      </c>
      <c r="B891" t="s">
        <v>97</v>
      </c>
      <c r="C891" t="s">
        <v>11</v>
      </c>
      <c r="D891" t="s">
        <v>153</v>
      </c>
      <c r="E891" t="s">
        <v>86</v>
      </c>
      <c r="F891" s="32">
        <v>0</v>
      </c>
      <c r="G891" s="23" t="e">
        <v>#N/A</v>
      </c>
      <c r="H891" s="29">
        <v>0.88502699594516054</v>
      </c>
      <c r="I891" s="7" t="e">
        <f t="shared" si="38"/>
        <v>#N/A</v>
      </c>
      <c r="J891" s="7" t="e">
        <f t="shared" si="40"/>
        <v>#N/A</v>
      </c>
    </row>
    <row r="892" spans="1:10" x14ac:dyDescent="0.35">
      <c r="A892" t="s">
        <v>98</v>
      </c>
      <c r="B892" t="s">
        <v>97</v>
      </c>
      <c r="C892" t="s">
        <v>12</v>
      </c>
      <c r="D892" t="s">
        <v>154</v>
      </c>
      <c r="E892" t="s">
        <v>86</v>
      </c>
      <c r="F892" s="32">
        <v>0</v>
      </c>
      <c r="G892" s="23" t="e">
        <v>#N/A</v>
      </c>
      <c r="H892" s="29">
        <v>-0.12467092584338968</v>
      </c>
      <c r="I892" s="7" t="e">
        <f t="shared" si="38"/>
        <v>#N/A</v>
      </c>
      <c r="J892" s="7" t="e">
        <f t="shared" si="40"/>
        <v>#N/A</v>
      </c>
    </row>
    <row r="893" spans="1:10" x14ac:dyDescent="0.35">
      <c r="A893" t="s">
        <v>98</v>
      </c>
      <c r="B893" t="s">
        <v>97</v>
      </c>
      <c r="C893" t="s">
        <v>13</v>
      </c>
      <c r="D893" t="s">
        <v>153</v>
      </c>
      <c r="E893" t="s">
        <v>86</v>
      </c>
      <c r="F893" s="32">
        <v>1.8716778999999999</v>
      </c>
      <c r="G893" s="23">
        <v>0.25113065458239525</v>
      </c>
      <c r="H893" s="29">
        <v>9.8680208297841285E-2</v>
      </c>
      <c r="I893" s="7">
        <f t="shared" si="38"/>
        <v>0.25113065458239525</v>
      </c>
      <c r="J893" s="7">
        <f t="shared" si="40"/>
        <v>0.69546013454000355</v>
      </c>
    </row>
    <row r="894" spans="1:10" x14ac:dyDescent="0.35">
      <c r="A894" t="s">
        <v>98</v>
      </c>
      <c r="B894" t="s">
        <v>97</v>
      </c>
      <c r="C894" t="s">
        <v>14</v>
      </c>
      <c r="D894" t="s">
        <v>154</v>
      </c>
      <c r="E894" t="s">
        <v>86</v>
      </c>
      <c r="F894" s="32">
        <v>0</v>
      </c>
      <c r="G894" s="23" t="e">
        <v>#N/A</v>
      </c>
      <c r="H894" s="29">
        <v>-4.8703912625106503E-2</v>
      </c>
      <c r="I894" s="7" t="e">
        <f t="shared" si="38"/>
        <v>#N/A</v>
      </c>
      <c r="J894" s="7" t="e">
        <f t="shared" si="40"/>
        <v>#N/A</v>
      </c>
    </row>
    <row r="895" spans="1:10" x14ac:dyDescent="0.35">
      <c r="A895" t="s">
        <v>98</v>
      </c>
      <c r="B895" t="s">
        <v>97</v>
      </c>
      <c r="C895" t="s">
        <v>15</v>
      </c>
      <c r="D895" t="s">
        <v>153</v>
      </c>
      <c r="E895" t="s">
        <v>86</v>
      </c>
      <c r="F895" s="32">
        <v>1447.1704543999999</v>
      </c>
      <c r="G895" s="23">
        <v>34.227087311228615</v>
      </c>
      <c r="H895" s="29">
        <v>105.40682028622298</v>
      </c>
      <c r="I895" s="7">
        <f t="shared" si="38"/>
        <v>34.227087311228615</v>
      </c>
      <c r="J895" s="7">
        <f t="shared" si="40"/>
        <v>94.785619804011674</v>
      </c>
    </row>
    <row r="896" spans="1:10" x14ac:dyDescent="0.35">
      <c r="A896" t="s">
        <v>98</v>
      </c>
      <c r="B896" t="s">
        <v>97</v>
      </c>
      <c r="C896" t="s">
        <v>16</v>
      </c>
      <c r="D896" t="s">
        <v>154</v>
      </c>
      <c r="E896" t="s">
        <v>86</v>
      </c>
      <c r="F896" s="32">
        <v>8.2693724</v>
      </c>
      <c r="G896" s="23">
        <v>1.0504855439316385</v>
      </c>
      <c r="H896" s="29">
        <v>2.5241753630409742</v>
      </c>
      <c r="I896" s="7">
        <f t="shared" si="38"/>
        <v>1.0504855439316385</v>
      </c>
      <c r="J896" s="7">
        <f t="shared" si="40"/>
        <v>2.9091264024692292</v>
      </c>
    </row>
    <row r="897" spans="1:10" x14ac:dyDescent="0.35">
      <c r="A897" t="s">
        <v>98</v>
      </c>
      <c r="B897" t="s">
        <v>97</v>
      </c>
      <c r="C897" t="s">
        <v>18</v>
      </c>
      <c r="D897" t="s">
        <v>154</v>
      </c>
      <c r="E897" t="s">
        <v>86</v>
      </c>
      <c r="F897" s="32">
        <v>0</v>
      </c>
      <c r="G897" s="23" t="e">
        <v>#N/A</v>
      </c>
      <c r="H897" s="29">
        <v>-1.9992833662899039E-2</v>
      </c>
      <c r="I897" s="7" t="e">
        <f t="shared" si="38"/>
        <v>#N/A</v>
      </c>
      <c r="J897" s="7" t="e">
        <f t="shared" si="40"/>
        <v>#N/A</v>
      </c>
    </row>
    <row r="898" spans="1:10" x14ac:dyDescent="0.35">
      <c r="A898" t="s">
        <v>98</v>
      </c>
      <c r="B898" t="s">
        <v>97</v>
      </c>
      <c r="C898" t="s">
        <v>19</v>
      </c>
      <c r="D898" t="s">
        <v>153</v>
      </c>
      <c r="E898" t="s">
        <v>86</v>
      </c>
      <c r="F898" s="32">
        <v>403.83618079999997</v>
      </c>
      <c r="G898" s="23">
        <v>31.66721418941167</v>
      </c>
      <c r="H898" s="29">
        <v>35.387970984402877</v>
      </c>
      <c r="I898" s="7">
        <f t="shared" ref="I898:I961" si="41">IF(G898&lt;0,0,G898)</f>
        <v>31.66721418941167</v>
      </c>
      <c r="J898" s="7">
        <f t="shared" si="40"/>
        <v>87.696522263671199</v>
      </c>
    </row>
    <row r="899" spans="1:10" x14ac:dyDescent="0.35">
      <c r="A899" t="s">
        <v>98</v>
      </c>
      <c r="B899" t="s">
        <v>97</v>
      </c>
      <c r="C899" t="s">
        <v>20</v>
      </c>
      <c r="D899" t="s">
        <v>154</v>
      </c>
      <c r="E899" t="s">
        <v>86</v>
      </c>
      <c r="F899" s="32">
        <v>101.05599310000001</v>
      </c>
      <c r="G899" s="23">
        <v>8.7183754491863201</v>
      </c>
      <c r="H899" s="29">
        <v>67.935899116865798</v>
      </c>
      <c r="I899" s="7">
        <f t="shared" si="41"/>
        <v>8.7183754491863201</v>
      </c>
      <c r="J899" s="7">
        <f t="shared" si="40"/>
        <v>24.143936441944948</v>
      </c>
    </row>
    <row r="900" spans="1:10" x14ac:dyDescent="0.35">
      <c r="A900" t="s">
        <v>98</v>
      </c>
      <c r="B900" t="s">
        <v>97</v>
      </c>
      <c r="C900" t="s">
        <v>21</v>
      </c>
      <c r="D900" t="s">
        <v>155</v>
      </c>
      <c r="E900" t="s">
        <v>86</v>
      </c>
      <c r="F900" s="32">
        <v>0.32462269999999999</v>
      </c>
      <c r="G900" s="23" t="e">
        <v>#N/A</v>
      </c>
      <c r="H900" s="29">
        <v>8.9009766349363334E-2</v>
      </c>
      <c r="I900" s="7" t="e">
        <f t="shared" si="41"/>
        <v>#N/A</v>
      </c>
      <c r="J900" s="7" t="e">
        <f t="shared" si="40"/>
        <v>#N/A</v>
      </c>
    </row>
    <row r="901" spans="1:10" x14ac:dyDescent="0.35">
      <c r="A901" t="s">
        <v>98</v>
      </c>
      <c r="B901" t="s">
        <v>97</v>
      </c>
      <c r="C901" t="s">
        <v>22</v>
      </c>
      <c r="D901" t="s">
        <v>155</v>
      </c>
      <c r="E901" t="s">
        <v>86</v>
      </c>
      <c r="F901" s="32">
        <v>82.469823000000005</v>
      </c>
      <c r="G901" s="23">
        <v>0.58282685571225812</v>
      </c>
      <c r="H901" s="29">
        <v>25.956260855399815</v>
      </c>
      <c r="I901" s="7">
        <f t="shared" si="41"/>
        <v>0.58282685571225812</v>
      </c>
      <c r="J901" s="7">
        <f t="shared" si="40"/>
        <v>1.6140317244870068</v>
      </c>
    </row>
    <row r="902" spans="1:10" x14ac:dyDescent="0.35">
      <c r="A902" t="s">
        <v>98</v>
      </c>
      <c r="B902" t="s">
        <v>97</v>
      </c>
      <c r="C902" t="s">
        <v>23</v>
      </c>
      <c r="D902" t="s">
        <v>155</v>
      </c>
      <c r="E902" t="s">
        <v>86</v>
      </c>
      <c r="F902" s="32">
        <v>0</v>
      </c>
      <c r="G902" s="23" t="e">
        <v>#N/A</v>
      </c>
      <c r="H902" s="29">
        <v>9.9140116853139559E-2</v>
      </c>
      <c r="I902" s="7" t="e">
        <f t="shared" si="41"/>
        <v>#N/A</v>
      </c>
      <c r="J902" s="7" t="e">
        <f t="shared" si="40"/>
        <v>#N/A</v>
      </c>
    </row>
    <row r="903" spans="1:10" x14ac:dyDescent="0.35">
      <c r="A903" t="s">
        <v>98</v>
      </c>
      <c r="B903" t="s">
        <v>97</v>
      </c>
      <c r="C903" t="s">
        <v>24</v>
      </c>
      <c r="D903" t="s">
        <v>155</v>
      </c>
      <c r="E903" t="s">
        <v>86</v>
      </c>
      <c r="F903" s="32">
        <v>56.633760199999998</v>
      </c>
      <c r="G903" s="23">
        <v>1.1528732415739311</v>
      </c>
      <c r="H903" s="29">
        <v>2.9536432230074841</v>
      </c>
      <c r="I903" s="7">
        <f t="shared" si="41"/>
        <v>1.1528732415739311</v>
      </c>
      <c r="J903" s="7">
        <f t="shared" si="40"/>
        <v>3.1926702895982588</v>
      </c>
    </row>
    <row r="904" spans="1:10" x14ac:dyDescent="0.35">
      <c r="A904" t="s">
        <v>98</v>
      </c>
      <c r="B904" t="s">
        <v>97</v>
      </c>
      <c r="C904" t="s">
        <v>25</v>
      </c>
      <c r="D904" t="s">
        <v>155</v>
      </c>
      <c r="E904" t="s">
        <v>86</v>
      </c>
      <c r="F904" s="32">
        <v>0.30890089999999998</v>
      </c>
      <c r="G904" s="23" t="e">
        <v>#N/A</v>
      </c>
      <c r="H904" s="29">
        <v>0.49187627224451924</v>
      </c>
      <c r="I904" s="7" t="e">
        <f t="shared" si="41"/>
        <v>#N/A</v>
      </c>
      <c r="J904" s="7" t="e">
        <f t="shared" si="40"/>
        <v>#N/A</v>
      </c>
    </row>
    <row r="905" spans="1:10" x14ac:dyDescent="0.35">
      <c r="A905" t="s">
        <v>98</v>
      </c>
      <c r="B905" t="s">
        <v>97</v>
      </c>
      <c r="C905" t="s">
        <v>26</v>
      </c>
      <c r="D905" t="s">
        <v>153</v>
      </c>
      <c r="E905" t="s">
        <v>86</v>
      </c>
      <c r="F905" s="32">
        <v>1.5585676000000002</v>
      </c>
      <c r="G905" s="23">
        <v>0.68697448543747386</v>
      </c>
      <c r="H905" s="29">
        <v>-4.0710644520877415E-2</v>
      </c>
      <c r="I905" s="7">
        <f t="shared" si="41"/>
        <v>0.68697448543747386</v>
      </c>
      <c r="J905" s="7">
        <f t="shared" si="40"/>
        <v>1.9024494196551478</v>
      </c>
    </row>
    <row r="906" spans="1:10" x14ac:dyDescent="0.35">
      <c r="A906" t="s">
        <v>98</v>
      </c>
      <c r="B906" t="s">
        <v>97</v>
      </c>
      <c r="C906" t="s">
        <v>27</v>
      </c>
      <c r="D906" t="s">
        <v>154</v>
      </c>
      <c r="E906" t="s">
        <v>86</v>
      </c>
      <c r="F906" s="32">
        <v>5.4941116000000001</v>
      </c>
      <c r="G906" s="23">
        <v>0.52148079539084669</v>
      </c>
      <c r="H906" s="29">
        <v>1.8111184414309898</v>
      </c>
      <c r="I906" s="7">
        <f t="shared" si="41"/>
        <v>0.52148079539084669</v>
      </c>
      <c r="J906" s="7">
        <f t="shared" si="40"/>
        <v>1.4441450993930953</v>
      </c>
    </row>
    <row r="907" spans="1:10" x14ac:dyDescent="0.35">
      <c r="A907" t="s">
        <v>98</v>
      </c>
      <c r="B907" t="s">
        <v>97</v>
      </c>
      <c r="C907" t="s">
        <v>28</v>
      </c>
      <c r="D907" t="s">
        <v>155</v>
      </c>
      <c r="E907" t="s">
        <v>86</v>
      </c>
      <c r="F907" s="32">
        <v>13.2849298</v>
      </c>
      <c r="G907" s="23">
        <v>1.4086752930705329</v>
      </c>
      <c r="H907" s="29">
        <v>5.7676044524780279</v>
      </c>
      <c r="I907" s="7">
        <f t="shared" si="41"/>
        <v>1.4086752930705329</v>
      </c>
      <c r="J907" s="7">
        <f t="shared" si="40"/>
        <v>3.9010669982568067</v>
      </c>
    </row>
    <row r="908" spans="1:10" x14ac:dyDescent="0.35">
      <c r="A908" t="s">
        <v>98</v>
      </c>
      <c r="B908" t="s">
        <v>97</v>
      </c>
      <c r="C908" t="s">
        <v>29</v>
      </c>
      <c r="D908" t="s">
        <v>155</v>
      </c>
      <c r="E908" t="s">
        <v>86</v>
      </c>
      <c r="F908" s="32">
        <v>0.41844490000000001</v>
      </c>
      <c r="G908" s="23" t="e">
        <v>#N/A</v>
      </c>
      <c r="H908" s="29">
        <v>9.1666086163398899E-2</v>
      </c>
      <c r="I908" s="7" t="e">
        <f t="shared" si="41"/>
        <v>#N/A</v>
      </c>
      <c r="J908" s="7" t="e">
        <f t="shared" si="40"/>
        <v>#N/A</v>
      </c>
    </row>
    <row r="909" spans="1:10" x14ac:dyDescent="0.35">
      <c r="A909" t="s">
        <v>98</v>
      </c>
      <c r="B909" t="s">
        <v>97</v>
      </c>
      <c r="C909" t="s">
        <v>30</v>
      </c>
      <c r="D909" t="s">
        <v>155</v>
      </c>
      <c r="E909" t="s">
        <v>86</v>
      </c>
      <c r="F909" s="32">
        <v>169.4418848</v>
      </c>
      <c r="G909" s="23">
        <v>6.7912208258528484</v>
      </c>
      <c r="H909" s="29">
        <v>23.307130048541751</v>
      </c>
      <c r="I909" s="7">
        <f t="shared" si="41"/>
        <v>6.7912208258528484</v>
      </c>
      <c r="J909" s="7">
        <f t="shared" si="40"/>
        <v>18.807036349634032</v>
      </c>
    </row>
    <row r="910" spans="1:10" x14ac:dyDescent="0.35">
      <c r="A910" t="s">
        <v>98</v>
      </c>
      <c r="B910" t="s">
        <v>97</v>
      </c>
      <c r="C910" t="s">
        <v>31</v>
      </c>
      <c r="D910" t="s">
        <v>155</v>
      </c>
      <c r="E910" t="s">
        <v>86</v>
      </c>
      <c r="F910" s="32" t="e">
        <v>#N/A</v>
      </c>
      <c r="G910" s="23" t="e">
        <v>#N/A</v>
      </c>
      <c r="H910" s="29">
        <v>6.4932640414948076E-2</v>
      </c>
      <c r="I910" s="7" t="e">
        <f t="shared" si="41"/>
        <v>#N/A</v>
      </c>
      <c r="J910" s="7" t="e">
        <f t="shared" si="40"/>
        <v>#N/A</v>
      </c>
    </row>
    <row r="911" spans="1:10" x14ac:dyDescent="0.35">
      <c r="A911" t="s">
        <v>98</v>
      </c>
      <c r="B911" t="s">
        <v>97</v>
      </c>
      <c r="C911" t="s">
        <v>32</v>
      </c>
      <c r="D911" t="s">
        <v>153</v>
      </c>
      <c r="E911" t="s">
        <v>86</v>
      </c>
      <c r="F911" s="32">
        <v>0</v>
      </c>
      <c r="G911" s="23" t="e">
        <v>#N/A</v>
      </c>
      <c r="H911" s="29">
        <v>2.0818425687976799E-2</v>
      </c>
      <c r="I911" s="7" t="e">
        <f t="shared" si="41"/>
        <v>#N/A</v>
      </c>
      <c r="J911" s="7" t="e">
        <f t="shared" si="40"/>
        <v>#N/A</v>
      </c>
    </row>
    <row r="912" spans="1:10" x14ac:dyDescent="0.35">
      <c r="A912" t="s">
        <v>98</v>
      </c>
      <c r="B912" t="s">
        <v>97</v>
      </c>
      <c r="C912" t="s">
        <v>33</v>
      </c>
      <c r="D912" t="s">
        <v>155</v>
      </c>
      <c r="E912" t="s">
        <v>86</v>
      </c>
      <c r="F912" s="32">
        <v>119.4126153</v>
      </c>
      <c r="G912" s="23">
        <v>5.3710225494793571</v>
      </c>
      <c r="H912" s="29">
        <v>9.9303499813220881</v>
      </c>
      <c r="I912" s="7">
        <f t="shared" si="41"/>
        <v>5.3710225494793571</v>
      </c>
      <c r="J912" s="7">
        <f t="shared" si="40"/>
        <v>14.874058569591131</v>
      </c>
    </row>
    <row r="913" spans="1:10" x14ac:dyDescent="0.35">
      <c r="A913" t="s">
        <v>98</v>
      </c>
      <c r="B913" t="s">
        <v>97</v>
      </c>
      <c r="C913" t="s">
        <v>34</v>
      </c>
      <c r="D913" t="s">
        <v>153</v>
      </c>
      <c r="E913" t="s">
        <v>86</v>
      </c>
      <c r="F913" s="32">
        <v>0</v>
      </c>
      <c r="G913" s="23" t="e">
        <v>#N/A</v>
      </c>
      <c r="H913" s="29">
        <v>-0.15489642109307766</v>
      </c>
      <c r="I913" s="7" t="e">
        <f t="shared" si="41"/>
        <v>#N/A</v>
      </c>
      <c r="J913" s="7" t="e">
        <f t="shared" si="40"/>
        <v>#N/A</v>
      </c>
    </row>
    <row r="914" spans="1:10" x14ac:dyDescent="0.35">
      <c r="A914" t="s">
        <v>98</v>
      </c>
      <c r="B914" t="s">
        <v>97</v>
      </c>
      <c r="C914" t="s">
        <v>35</v>
      </c>
      <c r="D914" t="s">
        <v>154</v>
      </c>
      <c r="E914" t="s">
        <v>86</v>
      </c>
      <c r="F914" s="32">
        <v>114.6493183</v>
      </c>
      <c r="G914" s="23">
        <v>5.2030957888149407</v>
      </c>
      <c r="H914" s="29">
        <v>34.4252903288426</v>
      </c>
      <c r="I914" s="7">
        <f t="shared" si="41"/>
        <v>5.2030957888149407</v>
      </c>
      <c r="J914" s="7">
        <f t="shared" si="40"/>
        <v>14.409016307989313</v>
      </c>
    </row>
    <row r="915" spans="1:10" x14ac:dyDescent="0.35">
      <c r="A915" t="s">
        <v>98</v>
      </c>
      <c r="B915" t="s">
        <v>97</v>
      </c>
      <c r="C915" t="s">
        <v>36</v>
      </c>
      <c r="D915" t="s">
        <v>155</v>
      </c>
      <c r="E915" t="s">
        <v>86</v>
      </c>
      <c r="F915" s="32">
        <v>1.9652801</v>
      </c>
      <c r="G915" s="23" t="e">
        <v>#N/A</v>
      </c>
      <c r="H915" s="29">
        <v>0.16885687097252997</v>
      </c>
      <c r="I915" s="7" t="e">
        <f t="shared" si="41"/>
        <v>#N/A</v>
      </c>
      <c r="J915" s="7" t="e">
        <f t="shared" si="40"/>
        <v>#N/A</v>
      </c>
    </row>
    <row r="916" spans="1:10" x14ac:dyDescent="0.35">
      <c r="A916" t="s">
        <v>98</v>
      </c>
      <c r="B916" t="s">
        <v>97</v>
      </c>
      <c r="C916" t="s">
        <v>37</v>
      </c>
      <c r="D916" t="s">
        <v>155</v>
      </c>
      <c r="E916" t="s">
        <v>86</v>
      </c>
      <c r="F916" s="32">
        <v>3.9022449000000003</v>
      </c>
      <c r="G916" s="23">
        <v>1.2594245163487132</v>
      </c>
      <c r="H916" s="29">
        <v>1.7212420389380456</v>
      </c>
      <c r="I916" s="7">
        <f t="shared" si="41"/>
        <v>1.2594245163487132</v>
      </c>
      <c r="J916" s="7">
        <f t="shared" si="40"/>
        <v>3.4877444374098956</v>
      </c>
    </row>
    <row r="917" spans="1:10" x14ac:dyDescent="0.35">
      <c r="A917" t="s">
        <v>98</v>
      </c>
      <c r="B917" t="s">
        <v>97</v>
      </c>
      <c r="C917" t="s">
        <v>38</v>
      </c>
      <c r="D917" t="s">
        <v>155</v>
      </c>
      <c r="E917" t="s">
        <v>86</v>
      </c>
      <c r="F917" s="32">
        <v>4.3442910000000001</v>
      </c>
      <c r="G917" s="23">
        <v>0.50325672897757945</v>
      </c>
      <c r="H917" s="29">
        <v>0.45311546540448522</v>
      </c>
      <c r="I917" s="7">
        <f t="shared" si="41"/>
        <v>0.50325672897757945</v>
      </c>
      <c r="J917" s="7">
        <f t="shared" si="40"/>
        <v>1.3936769010733301</v>
      </c>
    </row>
    <row r="918" spans="1:10" x14ac:dyDescent="0.35">
      <c r="A918" t="s">
        <v>98</v>
      </c>
      <c r="B918" t="s">
        <v>97</v>
      </c>
      <c r="C918" t="s">
        <v>39</v>
      </c>
      <c r="D918" t="s">
        <v>153</v>
      </c>
      <c r="E918" t="s">
        <v>86</v>
      </c>
      <c r="F918" s="32">
        <v>0</v>
      </c>
      <c r="G918" s="23" t="e">
        <v>#N/A</v>
      </c>
      <c r="H918" s="29">
        <v>-0.42815730813220143</v>
      </c>
      <c r="I918" s="7" t="e">
        <f t="shared" si="41"/>
        <v>#N/A</v>
      </c>
      <c r="J918" s="7" t="e">
        <f t="shared" si="40"/>
        <v>#N/A</v>
      </c>
    </row>
    <row r="919" spans="1:10" s="19" customFormat="1" x14ac:dyDescent="0.35">
      <c r="A919" s="19" t="s">
        <v>98</v>
      </c>
      <c r="B919" s="19" t="s">
        <v>97</v>
      </c>
      <c r="C919" s="19" t="s">
        <v>40</v>
      </c>
      <c r="D919" s="19" t="s">
        <v>154</v>
      </c>
      <c r="E919" s="19" t="s">
        <v>86</v>
      </c>
      <c r="F919" s="33">
        <v>0</v>
      </c>
      <c r="G919" s="24" t="e">
        <v>#N/A</v>
      </c>
      <c r="H919" s="30">
        <v>-0.15652739783826075</v>
      </c>
      <c r="I919" s="21" t="e">
        <f t="shared" si="41"/>
        <v>#N/A</v>
      </c>
      <c r="J919" s="21" t="e">
        <f t="shared" si="40"/>
        <v>#N/A</v>
      </c>
    </row>
    <row r="920" spans="1:10" x14ac:dyDescent="0.35">
      <c r="A920" t="s">
        <v>99</v>
      </c>
      <c r="B920" t="s">
        <v>100</v>
      </c>
      <c r="C920" t="s">
        <v>6</v>
      </c>
      <c r="D920" t="s">
        <v>153</v>
      </c>
      <c r="E920" t="s">
        <v>86</v>
      </c>
      <c r="F920" s="32">
        <v>6.6959565000000003</v>
      </c>
      <c r="G920" s="23" t="e">
        <v>#N/A</v>
      </c>
      <c r="H920" s="29">
        <v>0.74966949014824658</v>
      </c>
      <c r="I920" s="7" t="e">
        <f t="shared" si="41"/>
        <v>#N/A</v>
      </c>
      <c r="J920" s="7" t="e">
        <f>I920/0.5481</f>
        <v>#N/A</v>
      </c>
    </row>
    <row r="921" spans="1:10" x14ac:dyDescent="0.35">
      <c r="A921" t="s">
        <v>99</v>
      </c>
      <c r="B921" t="s">
        <v>100</v>
      </c>
      <c r="C921" t="s">
        <v>7</v>
      </c>
      <c r="D921" t="s">
        <v>153</v>
      </c>
      <c r="E921" t="s">
        <v>86</v>
      </c>
      <c r="F921" s="32">
        <v>0</v>
      </c>
      <c r="G921" s="23" t="e">
        <v>#N/A</v>
      </c>
      <c r="H921" s="29">
        <v>-0.10154466366739318</v>
      </c>
      <c r="I921" s="7" t="e">
        <f t="shared" si="41"/>
        <v>#N/A</v>
      </c>
      <c r="J921" s="7" t="e">
        <f t="shared" ref="J921:J953" si="42">I921/0.5481</f>
        <v>#N/A</v>
      </c>
    </row>
    <row r="922" spans="1:10" x14ac:dyDescent="0.35">
      <c r="A922" t="s">
        <v>99</v>
      </c>
      <c r="B922" t="s">
        <v>100</v>
      </c>
      <c r="C922" t="s">
        <v>8</v>
      </c>
      <c r="D922" t="s">
        <v>153</v>
      </c>
      <c r="E922" t="s">
        <v>86</v>
      </c>
      <c r="F922" s="32">
        <v>0</v>
      </c>
      <c r="G922" s="23" t="e">
        <v>#N/A</v>
      </c>
      <c r="H922" s="29">
        <v>-4.2204925712200581E-2</v>
      </c>
      <c r="I922" s="7" t="e">
        <f t="shared" si="41"/>
        <v>#N/A</v>
      </c>
      <c r="J922" s="7" t="e">
        <f t="shared" si="42"/>
        <v>#N/A</v>
      </c>
    </row>
    <row r="923" spans="1:10" x14ac:dyDescent="0.35">
      <c r="A923" t="s">
        <v>99</v>
      </c>
      <c r="B923" t="s">
        <v>100</v>
      </c>
      <c r="C923" t="s">
        <v>9</v>
      </c>
      <c r="D923" t="s">
        <v>153</v>
      </c>
      <c r="E923" t="s">
        <v>86</v>
      </c>
      <c r="F923" s="32">
        <v>0</v>
      </c>
      <c r="G923" s="23" t="e">
        <v>#N/A</v>
      </c>
      <c r="H923" s="29">
        <v>-0.39409331917294615</v>
      </c>
      <c r="I923" s="7" t="e">
        <f t="shared" si="41"/>
        <v>#N/A</v>
      </c>
      <c r="J923" s="7" t="e">
        <f t="shared" si="42"/>
        <v>#N/A</v>
      </c>
    </row>
    <row r="924" spans="1:10" x14ac:dyDescent="0.35">
      <c r="A924" t="s">
        <v>99</v>
      </c>
      <c r="B924" t="s">
        <v>100</v>
      </c>
      <c r="C924" t="s">
        <v>10</v>
      </c>
      <c r="D924" t="s">
        <v>153</v>
      </c>
      <c r="E924" t="s">
        <v>86</v>
      </c>
      <c r="F924" s="32">
        <v>0</v>
      </c>
      <c r="G924" s="23" t="e">
        <v>#N/A</v>
      </c>
      <c r="H924" s="29">
        <v>-9.2176335619751665E-2</v>
      </c>
      <c r="I924" s="7" t="e">
        <f t="shared" si="41"/>
        <v>#N/A</v>
      </c>
      <c r="J924" s="7" t="e">
        <f t="shared" si="42"/>
        <v>#N/A</v>
      </c>
    </row>
    <row r="925" spans="1:10" x14ac:dyDescent="0.35">
      <c r="A925" t="s">
        <v>99</v>
      </c>
      <c r="B925" t="s">
        <v>100</v>
      </c>
      <c r="C925" t="s">
        <v>11</v>
      </c>
      <c r="D925" t="s">
        <v>153</v>
      </c>
      <c r="E925" t="s">
        <v>86</v>
      </c>
      <c r="F925" s="32">
        <v>4.5338956000000001</v>
      </c>
      <c r="G925" s="23" t="e">
        <v>#N/A</v>
      </c>
      <c r="H925" s="29">
        <v>2.5943745529345459</v>
      </c>
      <c r="I925" s="7" t="e">
        <f t="shared" si="41"/>
        <v>#N/A</v>
      </c>
      <c r="J925" s="7" t="e">
        <f t="shared" si="42"/>
        <v>#N/A</v>
      </c>
    </row>
    <row r="926" spans="1:10" x14ac:dyDescent="0.35">
      <c r="A926" t="s">
        <v>99</v>
      </c>
      <c r="B926" t="s">
        <v>100</v>
      </c>
      <c r="C926" t="s">
        <v>12</v>
      </c>
      <c r="D926" t="s">
        <v>154</v>
      </c>
      <c r="E926" t="s">
        <v>86</v>
      </c>
      <c r="F926" s="32">
        <v>0</v>
      </c>
      <c r="G926" s="23" t="e">
        <v>#N/A</v>
      </c>
      <c r="H926" s="29">
        <v>-4.4646006314097902E-2</v>
      </c>
      <c r="I926" s="7" t="e">
        <f t="shared" si="41"/>
        <v>#N/A</v>
      </c>
      <c r="J926" s="7" t="e">
        <f t="shared" si="42"/>
        <v>#N/A</v>
      </c>
    </row>
    <row r="927" spans="1:10" x14ac:dyDescent="0.35">
      <c r="A927" t="s">
        <v>99</v>
      </c>
      <c r="B927" t="s">
        <v>100</v>
      </c>
      <c r="C927" t="s">
        <v>13</v>
      </c>
      <c r="D927" t="s">
        <v>153</v>
      </c>
      <c r="E927" t="s">
        <v>86</v>
      </c>
      <c r="F927" s="32">
        <v>2.8975211000000001</v>
      </c>
      <c r="G927" s="23">
        <v>0.35821309942914137</v>
      </c>
      <c r="H927" s="29">
        <v>0.1478131383077563</v>
      </c>
      <c r="I927" s="7">
        <f t="shared" si="41"/>
        <v>0.35821309942914137</v>
      </c>
      <c r="J927" s="7">
        <f t="shared" si="42"/>
        <v>0.65355427737482452</v>
      </c>
    </row>
    <row r="928" spans="1:10" x14ac:dyDescent="0.35">
      <c r="A928" t="s">
        <v>99</v>
      </c>
      <c r="B928" t="s">
        <v>100</v>
      </c>
      <c r="C928" t="s">
        <v>14</v>
      </c>
      <c r="D928" t="s">
        <v>154</v>
      </c>
      <c r="E928" t="s">
        <v>86</v>
      </c>
      <c r="F928" s="32">
        <v>0</v>
      </c>
      <c r="G928" s="23" t="e">
        <v>#N/A</v>
      </c>
      <c r="H928" s="29">
        <v>-4.1833133968368921E-2</v>
      </c>
      <c r="I928" s="7" t="e">
        <f t="shared" si="41"/>
        <v>#N/A</v>
      </c>
      <c r="J928" s="7" t="e">
        <f t="shared" si="42"/>
        <v>#N/A</v>
      </c>
    </row>
    <row r="929" spans="1:10" x14ac:dyDescent="0.35">
      <c r="A929" t="s">
        <v>99</v>
      </c>
      <c r="B929" t="s">
        <v>100</v>
      </c>
      <c r="C929" t="s">
        <v>15</v>
      </c>
      <c r="D929" t="s">
        <v>153</v>
      </c>
      <c r="E929" t="s">
        <v>86</v>
      </c>
      <c r="F929" s="32">
        <v>1663.9998998000001</v>
      </c>
      <c r="G929" s="23">
        <v>39.737242590523735</v>
      </c>
      <c r="H929" s="29">
        <v>121.22075943493846</v>
      </c>
      <c r="I929" s="7">
        <f t="shared" si="41"/>
        <v>39.737242590523735</v>
      </c>
      <c r="J929" s="7">
        <f t="shared" si="42"/>
        <v>72.499986481524786</v>
      </c>
    </row>
    <row r="930" spans="1:10" x14ac:dyDescent="0.35">
      <c r="A930" t="s">
        <v>99</v>
      </c>
      <c r="B930" t="s">
        <v>100</v>
      </c>
      <c r="C930" t="s">
        <v>16</v>
      </c>
      <c r="D930" t="s">
        <v>154</v>
      </c>
      <c r="E930" t="s">
        <v>86</v>
      </c>
      <c r="F930" s="32">
        <v>179.97510140000003</v>
      </c>
      <c r="G930" s="23">
        <v>17.103589909743039</v>
      </c>
      <c r="H930" s="29">
        <v>45.487628829034875</v>
      </c>
      <c r="I930" s="7">
        <f t="shared" si="41"/>
        <v>17.103589909743039</v>
      </c>
      <c r="J930" s="7">
        <f t="shared" si="42"/>
        <v>31.205236106081077</v>
      </c>
    </row>
    <row r="931" spans="1:10" x14ac:dyDescent="0.35">
      <c r="A931" t="s">
        <v>99</v>
      </c>
      <c r="B931" t="s">
        <v>100</v>
      </c>
      <c r="C931" t="s">
        <v>18</v>
      </c>
      <c r="D931" t="s">
        <v>154</v>
      </c>
      <c r="E931" t="s">
        <v>86</v>
      </c>
      <c r="F931" s="32">
        <v>0</v>
      </c>
      <c r="G931" s="23">
        <v>0.73005414375694311</v>
      </c>
      <c r="H931" s="29">
        <v>0.14392702123465706</v>
      </c>
      <c r="I931" s="7">
        <f t="shared" si="41"/>
        <v>0.73005414375694311</v>
      </c>
      <c r="J931" s="7">
        <f t="shared" si="42"/>
        <v>1.3319725301166632</v>
      </c>
    </row>
    <row r="932" spans="1:10" x14ac:dyDescent="0.35">
      <c r="A932" t="s">
        <v>99</v>
      </c>
      <c r="B932" t="s">
        <v>100</v>
      </c>
      <c r="C932" t="s">
        <v>19</v>
      </c>
      <c r="D932" t="s">
        <v>153</v>
      </c>
      <c r="E932" t="s">
        <v>86</v>
      </c>
      <c r="F932" s="32">
        <v>406.70976839999997</v>
      </c>
      <c r="G932" s="23">
        <v>31.787869524397756</v>
      </c>
      <c r="H932" s="29">
        <v>33.156999643733606</v>
      </c>
      <c r="I932" s="7">
        <f t="shared" si="41"/>
        <v>31.787869524397756</v>
      </c>
      <c r="J932" s="7">
        <f t="shared" si="42"/>
        <v>57.99647787702564</v>
      </c>
    </row>
    <row r="933" spans="1:10" x14ac:dyDescent="0.35">
      <c r="A933" t="s">
        <v>99</v>
      </c>
      <c r="B933" t="s">
        <v>100</v>
      </c>
      <c r="C933" t="s">
        <v>20</v>
      </c>
      <c r="D933" t="s">
        <v>154</v>
      </c>
      <c r="E933" t="s">
        <v>86</v>
      </c>
      <c r="F933" s="32">
        <v>223.88900529999998</v>
      </c>
      <c r="G933" s="23">
        <v>20.696100271235657</v>
      </c>
      <c r="H933" s="29">
        <v>25.315053117081931</v>
      </c>
      <c r="I933" s="7">
        <f t="shared" si="41"/>
        <v>20.696100271235657</v>
      </c>
      <c r="J933" s="7">
        <f t="shared" si="42"/>
        <v>37.759715875270309</v>
      </c>
    </row>
    <row r="934" spans="1:10" x14ac:dyDescent="0.35">
      <c r="A934" t="s">
        <v>99</v>
      </c>
      <c r="B934" t="s">
        <v>100</v>
      </c>
      <c r="C934" t="s">
        <v>21</v>
      </c>
      <c r="D934" t="s">
        <v>155</v>
      </c>
      <c r="E934" t="s">
        <v>86</v>
      </c>
      <c r="F934" s="32">
        <v>0.76800519999999994</v>
      </c>
      <c r="G934" s="23" t="e">
        <v>#N/A</v>
      </c>
      <c r="H934" s="29">
        <v>8.3900806948824444E-2</v>
      </c>
      <c r="I934" s="7" t="e">
        <f t="shared" si="41"/>
        <v>#N/A</v>
      </c>
      <c r="J934" s="7" t="e">
        <f t="shared" si="42"/>
        <v>#N/A</v>
      </c>
    </row>
    <row r="935" spans="1:10" x14ac:dyDescent="0.35">
      <c r="A935" t="s">
        <v>99</v>
      </c>
      <c r="B935" t="s">
        <v>100</v>
      </c>
      <c r="C935" t="s">
        <v>22</v>
      </c>
      <c r="D935" t="s">
        <v>155</v>
      </c>
      <c r="E935" t="s">
        <v>86</v>
      </c>
      <c r="F935" s="32">
        <v>122.99563019999999</v>
      </c>
      <c r="G935" s="23">
        <v>9.3901280915279468</v>
      </c>
      <c r="H935" s="29">
        <v>14.194612417846546</v>
      </c>
      <c r="I935" s="7">
        <f t="shared" si="41"/>
        <v>9.3901280915279468</v>
      </c>
      <c r="J935" s="7">
        <f t="shared" si="42"/>
        <v>17.132143936376476</v>
      </c>
    </row>
    <row r="936" spans="1:10" x14ac:dyDescent="0.35">
      <c r="A936" t="s">
        <v>99</v>
      </c>
      <c r="B936" t="s">
        <v>100</v>
      </c>
      <c r="C936" t="s">
        <v>23</v>
      </c>
      <c r="D936" t="s">
        <v>155</v>
      </c>
      <c r="E936" t="s">
        <v>86</v>
      </c>
      <c r="F936" s="32">
        <v>0</v>
      </c>
      <c r="G936" s="23" t="e">
        <v>#N/A</v>
      </c>
      <c r="H936" s="29">
        <v>-2.4842838876156521E-2</v>
      </c>
      <c r="I936" s="7" t="e">
        <f t="shared" si="41"/>
        <v>#N/A</v>
      </c>
      <c r="J936" s="7" t="e">
        <f t="shared" si="42"/>
        <v>#N/A</v>
      </c>
    </row>
    <row r="937" spans="1:10" x14ac:dyDescent="0.35">
      <c r="A937" t="s">
        <v>99</v>
      </c>
      <c r="B937" t="s">
        <v>100</v>
      </c>
      <c r="C937" t="s">
        <v>24</v>
      </c>
      <c r="D937" t="s">
        <v>155</v>
      </c>
      <c r="E937" t="s">
        <v>86</v>
      </c>
      <c r="F937" s="32">
        <v>80.478993500000001</v>
      </c>
      <c r="G937" s="23">
        <v>1.6770366431397952</v>
      </c>
      <c r="H937" s="29">
        <v>1.6026575114722279</v>
      </c>
      <c r="I937" s="7">
        <f t="shared" si="41"/>
        <v>1.6770366431397952</v>
      </c>
      <c r="J937" s="7">
        <f t="shared" si="42"/>
        <v>3.0597275007111753</v>
      </c>
    </row>
    <row r="938" spans="1:10" x14ac:dyDescent="0.35">
      <c r="A938" t="s">
        <v>99</v>
      </c>
      <c r="B938" t="s">
        <v>100</v>
      </c>
      <c r="C938" t="s">
        <v>25</v>
      </c>
      <c r="D938" t="s">
        <v>155</v>
      </c>
      <c r="E938" t="s">
        <v>86</v>
      </c>
      <c r="F938" s="32">
        <v>5.0642185</v>
      </c>
      <c r="G938" s="23" t="e">
        <v>#N/A</v>
      </c>
      <c r="H938" s="29">
        <v>0.15599309386842214</v>
      </c>
      <c r="I938" s="7" t="e">
        <f t="shared" si="41"/>
        <v>#N/A</v>
      </c>
      <c r="J938" s="7" t="e">
        <f t="shared" si="42"/>
        <v>#N/A</v>
      </c>
    </row>
    <row r="939" spans="1:10" x14ac:dyDescent="0.35">
      <c r="A939" t="s">
        <v>99</v>
      </c>
      <c r="B939" t="s">
        <v>100</v>
      </c>
      <c r="C939" t="s">
        <v>26</v>
      </c>
      <c r="D939" t="s">
        <v>153</v>
      </c>
      <c r="E939" t="s">
        <v>86</v>
      </c>
      <c r="F939" s="32">
        <v>1.6242264</v>
      </c>
      <c r="G939" s="23" t="e">
        <v>#N/A</v>
      </c>
      <c r="H939" s="29">
        <v>-4.1582615116951452E-2</v>
      </c>
      <c r="I939" s="7" t="e">
        <f t="shared" si="41"/>
        <v>#N/A</v>
      </c>
      <c r="J939" s="7" t="e">
        <f t="shared" si="42"/>
        <v>#N/A</v>
      </c>
    </row>
    <row r="940" spans="1:10" x14ac:dyDescent="0.35">
      <c r="A940" t="s">
        <v>99</v>
      </c>
      <c r="B940" t="s">
        <v>100</v>
      </c>
      <c r="C940" t="s">
        <v>27</v>
      </c>
      <c r="D940" t="s">
        <v>154</v>
      </c>
      <c r="E940" t="s">
        <v>86</v>
      </c>
      <c r="F940" s="32">
        <v>0</v>
      </c>
      <c r="G940" s="23">
        <v>0.87572747125962247</v>
      </c>
      <c r="H940" s="29">
        <v>1.5287241792211783</v>
      </c>
      <c r="I940" s="7">
        <f t="shared" si="41"/>
        <v>0.87572747125962247</v>
      </c>
      <c r="J940" s="7">
        <f t="shared" si="42"/>
        <v>1.597751270314947</v>
      </c>
    </row>
    <row r="941" spans="1:10" x14ac:dyDescent="0.35">
      <c r="A941" t="s">
        <v>99</v>
      </c>
      <c r="B941" t="s">
        <v>100</v>
      </c>
      <c r="C941" t="s">
        <v>28</v>
      </c>
      <c r="D941" t="s">
        <v>155</v>
      </c>
      <c r="E941" t="s">
        <v>86</v>
      </c>
      <c r="F941" s="32">
        <v>12.952518400000001</v>
      </c>
      <c r="G941" s="23">
        <v>1.7743611599410993</v>
      </c>
      <c r="H941" s="29">
        <v>3.90653531539159</v>
      </c>
      <c r="I941" s="7">
        <f t="shared" si="41"/>
        <v>1.7743611599410993</v>
      </c>
      <c r="J941" s="7">
        <f t="shared" si="42"/>
        <v>3.2372945811733245</v>
      </c>
    </row>
    <row r="942" spans="1:10" x14ac:dyDescent="0.35">
      <c r="A942" t="s">
        <v>99</v>
      </c>
      <c r="B942" t="s">
        <v>100</v>
      </c>
      <c r="C942" t="s">
        <v>29</v>
      </c>
      <c r="D942" t="s">
        <v>155</v>
      </c>
      <c r="E942" t="s">
        <v>86</v>
      </c>
      <c r="F942" s="32" t="e">
        <v>#N/A</v>
      </c>
      <c r="G942" s="23" t="e">
        <v>#N/A</v>
      </c>
      <c r="H942" s="29">
        <v>9.2663098441634784E-2</v>
      </c>
      <c r="I942" s="7" t="e">
        <f t="shared" si="41"/>
        <v>#N/A</v>
      </c>
      <c r="J942" s="7" t="e">
        <f t="shared" si="42"/>
        <v>#N/A</v>
      </c>
    </row>
    <row r="943" spans="1:10" x14ac:dyDescent="0.35">
      <c r="A943" t="s">
        <v>99</v>
      </c>
      <c r="B943" t="s">
        <v>100</v>
      </c>
      <c r="C943" t="s">
        <v>30</v>
      </c>
      <c r="D943" t="s">
        <v>155</v>
      </c>
      <c r="E943" t="s">
        <v>86</v>
      </c>
      <c r="F943" s="32">
        <v>171.93706080000001</v>
      </c>
      <c r="G943" s="23">
        <v>6.9433043775428427</v>
      </c>
      <c r="H943" s="29">
        <v>20.977751282763645</v>
      </c>
      <c r="I943" s="7">
        <f t="shared" si="41"/>
        <v>6.9433043775428427</v>
      </c>
      <c r="J943" s="7">
        <f t="shared" si="42"/>
        <v>12.667951792634268</v>
      </c>
    </row>
    <row r="944" spans="1:10" x14ac:dyDescent="0.35">
      <c r="A944" t="s">
        <v>99</v>
      </c>
      <c r="B944" t="s">
        <v>100</v>
      </c>
      <c r="C944" t="s">
        <v>31</v>
      </c>
      <c r="D944" t="s">
        <v>155</v>
      </c>
      <c r="E944" t="s">
        <v>86</v>
      </c>
      <c r="F944" s="32" t="e">
        <v>#N/A</v>
      </c>
      <c r="G944" s="23" t="e">
        <v>#N/A</v>
      </c>
      <c r="H944" s="29">
        <v>6.9659108523911037E-2</v>
      </c>
      <c r="I944" s="7" t="e">
        <f t="shared" si="41"/>
        <v>#N/A</v>
      </c>
      <c r="J944" s="7" t="e">
        <f t="shared" si="42"/>
        <v>#N/A</v>
      </c>
    </row>
    <row r="945" spans="1:10" x14ac:dyDescent="0.35">
      <c r="A945" t="s">
        <v>99</v>
      </c>
      <c r="B945" t="s">
        <v>100</v>
      </c>
      <c r="C945" t="s">
        <v>32</v>
      </c>
      <c r="D945" t="s">
        <v>153</v>
      </c>
      <c r="E945" t="s">
        <v>86</v>
      </c>
      <c r="F945" s="32">
        <v>0</v>
      </c>
      <c r="G945" s="23" t="e">
        <v>#N/A</v>
      </c>
      <c r="H945" s="29">
        <v>1.9931168196453089E-2</v>
      </c>
      <c r="I945" s="7" t="e">
        <f t="shared" si="41"/>
        <v>#N/A</v>
      </c>
      <c r="J945" s="7" t="e">
        <f t="shared" si="42"/>
        <v>#N/A</v>
      </c>
    </row>
    <row r="946" spans="1:10" x14ac:dyDescent="0.35">
      <c r="A946" t="s">
        <v>99</v>
      </c>
      <c r="B946" t="s">
        <v>100</v>
      </c>
      <c r="C946" t="s">
        <v>33</v>
      </c>
      <c r="D946" t="s">
        <v>155</v>
      </c>
      <c r="E946" t="s">
        <v>86</v>
      </c>
      <c r="F946" s="32">
        <v>135.04036210000001</v>
      </c>
      <c r="G946" s="23">
        <v>6.4234510623860128</v>
      </c>
      <c r="H946" s="29">
        <v>6.5490019890014057</v>
      </c>
      <c r="I946" s="7">
        <f t="shared" si="41"/>
        <v>6.4234510623860128</v>
      </c>
      <c r="J946" s="7">
        <f t="shared" si="42"/>
        <v>11.719487433654466</v>
      </c>
    </row>
    <row r="947" spans="1:10" x14ac:dyDescent="0.35">
      <c r="A947" t="s">
        <v>99</v>
      </c>
      <c r="B947" t="s">
        <v>100</v>
      </c>
      <c r="C947" t="s">
        <v>34</v>
      </c>
      <c r="D947" t="s">
        <v>153</v>
      </c>
      <c r="E947" t="s">
        <v>86</v>
      </c>
      <c r="F947" s="32">
        <v>0</v>
      </c>
      <c r="G947" s="23" t="e">
        <v>#N/A</v>
      </c>
      <c r="H947" s="29">
        <v>-0.15814320108872928</v>
      </c>
      <c r="I947" s="7" t="e">
        <f t="shared" si="41"/>
        <v>#N/A</v>
      </c>
      <c r="J947" s="7" t="e">
        <f t="shared" si="42"/>
        <v>#N/A</v>
      </c>
    </row>
    <row r="948" spans="1:10" x14ac:dyDescent="0.35">
      <c r="A948" t="s">
        <v>99</v>
      </c>
      <c r="B948" t="s">
        <v>100</v>
      </c>
      <c r="C948" t="s">
        <v>35</v>
      </c>
      <c r="D948" t="s">
        <v>154</v>
      </c>
      <c r="E948" t="s">
        <v>86</v>
      </c>
      <c r="F948" s="32">
        <v>116.5519615</v>
      </c>
      <c r="G948" s="23">
        <v>11.760707353185333</v>
      </c>
      <c r="H948" s="29">
        <v>35.708667402915097</v>
      </c>
      <c r="I948" s="7">
        <f t="shared" si="41"/>
        <v>11.760707353185333</v>
      </c>
      <c r="J948" s="7">
        <f t="shared" si="42"/>
        <v>21.457229252299459</v>
      </c>
    </row>
    <row r="949" spans="1:10" x14ac:dyDescent="0.35">
      <c r="A949" t="s">
        <v>99</v>
      </c>
      <c r="B949" t="s">
        <v>100</v>
      </c>
      <c r="C949" t="s">
        <v>36</v>
      </c>
      <c r="D949" t="s">
        <v>155</v>
      </c>
      <c r="E949" t="s">
        <v>86</v>
      </c>
      <c r="F949" s="32">
        <v>1.9230726999999999</v>
      </c>
      <c r="G949" s="23" t="e">
        <v>#N/A</v>
      </c>
      <c r="H949" s="29">
        <v>0.18157706113094535</v>
      </c>
      <c r="I949" s="7" t="e">
        <f t="shared" si="41"/>
        <v>#N/A</v>
      </c>
      <c r="J949" s="7" t="e">
        <f t="shared" si="42"/>
        <v>#N/A</v>
      </c>
    </row>
    <row r="950" spans="1:10" x14ac:dyDescent="0.35">
      <c r="A950" t="s">
        <v>99</v>
      </c>
      <c r="B950" t="s">
        <v>100</v>
      </c>
      <c r="C950" t="s">
        <v>37</v>
      </c>
      <c r="D950" t="s">
        <v>155</v>
      </c>
      <c r="E950" t="s">
        <v>86</v>
      </c>
      <c r="F950" s="32">
        <v>3.9004509999999999</v>
      </c>
      <c r="G950" s="23">
        <v>1.1311484205787055</v>
      </c>
      <c r="H950" s="29">
        <v>1.4778381973027228</v>
      </c>
      <c r="I950" s="7">
        <f t="shared" si="41"/>
        <v>1.1311484205787055</v>
      </c>
      <c r="J950" s="7">
        <f t="shared" si="42"/>
        <v>2.0637628545497271</v>
      </c>
    </row>
    <row r="951" spans="1:10" x14ac:dyDescent="0.35">
      <c r="A951" t="s">
        <v>99</v>
      </c>
      <c r="B951" t="s">
        <v>100</v>
      </c>
      <c r="C951" t="s">
        <v>38</v>
      </c>
      <c r="D951" t="s">
        <v>155</v>
      </c>
      <c r="E951" t="s">
        <v>86</v>
      </c>
      <c r="F951" s="32">
        <v>1.7202709</v>
      </c>
      <c r="G951" s="23">
        <v>0.26421459977165018</v>
      </c>
      <c r="H951" s="29">
        <v>0.59187408105887118</v>
      </c>
      <c r="I951" s="7">
        <f t="shared" si="41"/>
        <v>0.26421459977165018</v>
      </c>
      <c r="J951" s="7">
        <f t="shared" si="42"/>
        <v>0.48205546391470566</v>
      </c>
    </row>
    <row r="952" spans="1:10" x14ac:dyDescent="0.35">
      <c r="A952" t="s">
        <v>99</v>
      </c>
      <c r="B952" t="s">
        <v>100</v>
      </c>
      <c r="C952" t="s">
        <v>39</v>
      </c>
      <c r="D952" t="s">
        <v>153</v>
      </c>
      <c r="E952" t="s">
        <v>86</v>
      </c>
      <c r="F952" s="32">
        <v>3.4735104000000003</v>
      </c>
      <c r="G952" s="23" t="e">
        <v>#N/A</v>
      </c>
      <c r="H952" s="29">
        <v>-0.42372967238253784</v>
      </c>
      <c r="I952" s="7" t="e">
        <f t="shared" si="41"/>
        <v>#N/A</v>
      </c>
      <c r="J952" s="7" t="e">
        <f t="shared" si="42"/>
        <v>#N/A</v>
      </c>
    </row>
    <row r="953" spans="1:10" s="19" customFormat="1" x14ac:dyDescent="0.35">
      <c r="A953" s="19" t="s">
        <v>99</v>
      </c>
      <c r="B953" s="19" t="s">
        <v>100</v>
      </c>
      <c r="C953" s="19" t="s">
        <v>40</v>
      </c>
      <c r="D953" s="19" t="s">
        <v>154</v>
      </c>
      <c r="E953" s="19" t="s">
        <v>86</v>
      </c>
      <c r="F953" s="33">
        <v>0</v>
      </c>
      <c r="G953" s="24" t="e">
        <v>#N/A</v>
      </c>
      <c r="H953" s="30">
        <v>0.1674057883648406</v>
      </c>
      <c r="I953" s="21" t="e">
        <f t="shared" si="41"/>
        <v>#N/A</v>
      </c>
      <c r="J953" s="21" t="e">
        <f t="shared" si="42"/>
        <v>#N/A</v>
      </c>
    </row>
    <row r="954" spans="1:10" x14ac:dyDescent="0.35">
      <c r="A954" t="s">
        <v>101</v>
      </c>
      <c r="B954" t="s">
        <v>102</v>
      </c>
      <c r="C954" t="s">
        <v>6</v>
      </c>
      <c r="D954" t="s">
        <v>153</v>
      </c>
      <c r="E954" t="s">
        <v>86</v>
      </c>
      <c r="F954" s="32">
        <v>142.32426519999999</v>
      </c>
      <c r="G954" s="23" t="e">
        <v>#N/A</v>
      </c>
      <c r="H954" s="29">
        <v>6.4596850274337498</v>
      </c>
      <c r="I954" s="7" t="e">
        <f t="shared" si="41"/>
        <v>#N/A</v>
      </c>
      <c r="J954" s="7" t="e">
        <f>I954/0.3699</f>
        <v>#N/A</v>
      </c>
    </row>
    <row r="955" spans="1:10" x14ac:dyDescent="0.35">
      <c r="A955" t="s">
        <v>101</v>
      </c>
      <c r="B955" t="s">
        <v>102</v>
      </c>
      <c r="C955" t="s">
        <v>7</v>
      </c>
      <c r="D955" t="s">
        <v>153</v>
      </c>
      <c r="E955" t="s">
        <v>86</v>
      </c>
      <c r="F955" s="32">
        <v>104.4161103</v>
      </c>
      <c r="G955" s="23" t="e">
        <v>#N/A</v>
      </c>
      <c r="H955" s="29">
        <v>3.6789648001986524</v>
      </c>
      <c r="I955" s="7" t="e">
        <f t="shared" si="41"/>
        <v>#N/A</v>
      </c>
      <c r="J955" s="7" t="e">
        <f t="shared" ref="J955:J987" si="43">I955/0.3699</f>
        <v>#N/A</v>
      </c>
    </row>
    <row r="956" spans="1:10" x14ac:dyDescent="0.35">
      <c r="A956" t="s">
        <v>101</v>
      </c>
      <c r="B956" t="s">
        <v>102</v>
      </c>
      <c r="C956" t="s">
        <v>8</v>
      </c>
      <c r="D956" t="s">
        <v>153</v>
      </c>
      <c r="E956" t="s">
        <v>86</v>
      </c>
      <c r="F956" s="32">
        <v>11.4445298</v>
      </c>
      <c r="G956" s="23" t="e">
        <v>#N/A</v>
      </c>
      <c r="H956" s="29">
        <v>0.590842445375513</v>
      </c>
      <c r="I956" s="7" t="e">
        <f t="shared" si="41"/>
        <v>#N/A</v>
      </c>
      <c r="J956" s="7" t="e">
        <f t="shared" si="43"/>
        <v>#N/A</v>
      </c>
    </row>
    <row r="957" spans="1:10" x14ac:dyDescent="0.35">
      <c r="A957" t="s">
        <v>101</v>
      </c>
      <c r="B957" t="s">
        <v>102</v>
      </c>
      <c r="C957" t="s">
        <v>9</v>
      </c>
      <c r="D957" t="s">
        <v>153</v>
      </c>
      <c r="E957" t="s">
        <v>86</v>
      </c>
      <c r="F957" s="32">
        <v>0</v>
      </c>
      <c r="G957" s="23" t="e">
        <v>#N/A</v>
      </c>
      <c r="H957" s="29">
        <v>0.43912855268603063</v>
      </c>
      <c r="I957" s="7" t="e">
        <f t="shared" si="41"/>
        <v>#N/A</v>
      </c>
      <c r="J957" s="7" t="e">
        <f t="shared" si="43"/>
        <v>#N/A</v>
      </c>
    </row>
    <row r="958" spans="1:10" x14ac:dyDescent="0.35">
      <c r="A958" t="s">
        <v>101</v>
      </c>
      <c r="B958" t="s">
        <v>102</v>
      </c>
      <c r="C958" t="s">
        <v>10</v>
      </c>
      <c r="D958" t="s">
        <v>153</v>
      </c>
      <c r="E958" t="s">
        <v>86</v>
      </c>
      <c r="F958" s="32">
        <v>6.1502742000000001</v>
      </c>
      <c r="G958" s="23" t="e">
        <v>#N/A</v>
      </c>
      <c r="H958" s="29">
        <v>0.49746763352902401</v>
      </c>
      <c r="I958" s="7" t="e">
        <f t="shared" si="41"/>
        <v>#N/A</v>
      </c>
      <c r="J958" s="7" t="e">
        <f t="shared" si="43"/>
        <v>#N/A</v>
      </c>
    </row>
    <row r="959" spans="1:10" x14ac:dyDescent="0.35">
      <c r="A959" t="s">
        <v>101</v>
      </c>
      <c r="B959" t="s">
        <v>102</v>
      </c>
      <c r="C959" t="s">
        <v>11</v>
      </c>
      <c r="D959" t="s">
        <v>153</v>
      </c>
      <c r="E959" t="s">
        <v>86</v>
      </c>
      <c r="F959" s="32">
        <v>0</v>
      </c>
      <c r="G959" s="23" t="e">
        <v>#N/A</v>
      </c>
      <c r="H959" s="29">
        <v>0.37263207167981099</v>
      </c>
      <c r="I959" s="7" t="e">
        <f t="shared" si="41"/>
        <v>#N/A</v>
      </c>
      <c r="J959" s="7" t="e">
        <f t="shared" si="43"/>
        <v>#N/A</v>
      </c>
    </row>
    <row r="960" spans="1:10" x14ac:dyDescent="0.35">
      <c r="A960" t="s">
        <v>101</v>
      </c>
      <c r="B960" t="s">
        <v>102</v>
      </c>
      <c r="C960" t="s">
        <v>12</v>
      </c>
      <c r="D960" t="s">
        <v>154</v>
      </c>
      <c r="E960" t="s">
        <v>86</v>
      </c>
      <c r="F960" s="32">
        <v>0</v>
      </c>
      <c r="G960" s="23" t="e">
        <v>#N/A</v>
      </c>
      <c r="H960" s="29">
        <v>-0.25334945114858604</v>
      </c>
      <c r="I960" s="7" t="e">
        <f t="shared" si="41"/>
        <v>#N/A</v>
      </c>
      <c r="J960" s="7" t="e">
        <f t="shared" si="43"/>
        <v>#N/A</v>
      </c>
    </row>
    <row r="961" spans="1:10" x14ac:dyDescent="0.35">
      <c r="A961" t="s">
        <v>101</v>
      </c>
      <c r="B961" t="s">
        <v>102</v>
      </c>
      <c r="C961" t="s">
        <v>13</v>
      </c>
      <c r="D961" t="s">
        <v>153</v>
      </c>
      <c r="E961" t="s">
        <v>86</v>
      </c>
      <c r="F961" s="32" t="e">
        <v>#N/A</v>
      </c>
      <c r="G961" s="23" t="e">
        <v>#N/A</v>
      </c>
      <c r="H961" s="29">
        <v>-5.9668096214805136E-2</v>
      </c>
      <c r="I961" s="7" t="e">
        <f t="shared" si="41"/>
        <v>#N/A</v>
      </c>
      <c r="J961" s="7" t="e">
        <f t="shared" si="43"/>
        <v>#N/A</v>
      </c>
    </row>
    <row r="962" spans="1:10" x14ac:dyDescent="0.35">
      <c r="A962" t="s">
        <v>101</v>
      </c>
      <c r="B962" t="s">
        <v>102</v>
      </c>
      <c r="C962" t="s">
        <v>14</v>
      </c>
      <c r="D962" t="s">
        <v>154</v>
      </c>
      <c r="E962" t="s">
        <v>86</v>
      </c>
      <c r="F962" s="32">
        <v>2.1977894999999998</v>
      </c>
      <c r="G962" s="23" t="e">
        <v>#N/A</v>
      </c>
      <c r="H962" s="29">
        <v>0.55361715780506948</v>
      </c>
      <c r="I962" s="7" t="e">
        <f t="shared" ref="I962:I1021" si="44">IF(G962&lt;0,0,G962)</f>
        <v>#N/A</v>
      </c>
      <c r="J962" s="7" t="e">
        <f t="shared" si="43"/>
        <v>#N/A</v>
      </c>
    </row>
    <row r="963" spans="1:10" x14ac:dyDescent="0.35">
      <c r="A963" t="s">
        <v>101</v>
      </c>
      <c r="B963" t="s">
        <v>102</v>
      </c>
      <c r="C963" t="s">
        <v>15</v>
      </c>
      <c r="D963" t="s">
        <v>153</v>
      </c>
      <c r="E963" t="s">
        <v>86</v>
      </c>
      <c r="F963" s="32">
        <v>2664.7939548999998</v>
      </c>
      <c r="G963" s="23" t="e">
        <v>#N/A</v>
      </c>
      <c r="H963" s="29">
        <v>194.21257266250035</v>
      </c>
      <c r="I963" s="7" t="e">
        <f t="shared" si="44"/>
        <v>#N/A</v>
      </c>
      <c r="J963" s="7" t="e">
        <f t="shared" si="43"/>
        <v>#N/A</v>
      </c>
    </row>
    <row r="964" spans="1:10" x14ac:dyDescent="0.35">
      <c r="A964" t="s">
        <v>101</v>
      </c>
      <c r="B964" t="s">
        <v>102</v>
      </c>
      <c r="C964" t="s">
        <v>16</v>
      </c>
      <c r="D964" t="s">
        <v>154</v>
      </c>
      <c r="E964" t="s">
        <v>86</v>
      </c>
      <c r="F964" s="32">
        <v>13.907140399999999</v>
      </c>
      <c r="G964" s="23" t="e">
        <v>#N/A</v>
      </c>
      <c r="H964" s="29">
        <v>3.9343909496648655</v>
      </c>
      <c r="I964" s="7" t="e">
        <f t="shared" si="44"/>
        <v>#N/A</v>
      </c>
      <c r="J964" s="7" t="e">
        <f t="shared" si="43"/>
        <v>#N/A</v>
      </c>
    </row>
    <row r="965" spans="1:10" x14ac:dyDescent="0.35">
      <c r="A965" t="s">
        <v>101</v>
      </c>
      <c r="B965" t="s">
        <v>102</v>
      </c>
      <c r="C965" t="s">
        <v>18</v>
      </c>
      <c r="D965" t="s">
        <v>154</v>
      </c>
      <c r="E965" t="s">
        <v>86</v>
      </c>
      <c r="F965" s="32">
        <v>16.056930900000001</v>
      </c>
      <c r="G965" s="23" t="e">
        <v>#N/A</v>
      </c>
      <c r="H965" s="29">
        <v>1.9469204190768915E-2</v>
      </c>
      <c r="I965" s="7" t="e">
        <f t="shared" si="44"/>
        <v>#N/A</v>
      </c>
      <c r="J965" s="7" t="e">
        <f t="shared" si="43"/>
        <v>#N/A</v>
      </c>
    </row>
    <row r="966" spans="1:10" x14ac:dyDescent="0.35">
      <c r="A966" t="s">
        <v>101</v>
      </c>
      <c r="B966" t="s">
        <v>102</v>
      </c>
      <c r="C966" t="s">
        <v>19</v>
      </c>
      <c r="D966" t="s">
        <v>153</v>
      </c>
      <c r="E966" t="s">
        <v>86</v>
      </c>
      <c r="F966" s="32">
        <v>1291.4441416</v>
      </c>
      <c r="G966" s="23" t="e">
        <v>#N/A</v>
      </c>
      <c r="H966" s="29">
        <v>33.390547979315983</v>
      </c>
      <c r="I966" s="7" t="e">
        <f t="shared" si="44"/>
        <v>#N/A</v>
      </c>
      <c r="J966" s="7" t="e">
        <f t="shared" si="43"/>
        <v>#N/A</v>
      </c>
    </row>
    <row r="967" spans="1:10" x14ac:dyDescent="0.35">
      <c r="A967" t="s">
        <v>101</v>
      </c>
      <c r="B967" t="s">
        <v>102</v>
      </c>
      <c r="C967" t="s">
        <v>20</v>
      </c>
      <c r="D967" t="s">
        <v>154</v>
      </c>
      <c r="E967" t="s">
        <v>86</v>
      </c>
      <c r="F967" s="32">
        <v>1.8196416</v>
      </c>
      <c r="G967" s="23" t="e">
        <v>#N/A</v>
      </c>
      <c r="H967" s="29">
        <v>55.27557609499727</v>
      </c>
      <c r="I967" s="7" t="e">
        <f t="shared" si="44"/>
        <v>#N/A</v>
      </c>
      <c r="J967" s="7" t="e">
        <f t="shared" si="43"/>
        <v>#N/A</v>
      </c>
    </row>
    <row r="968" spans="1:10" x14ac:dyDescent="0.35">
      <c r="A968" t="s">
        <v>101</v>
      </c>
      <c r="B968" t="s">
        <v>102</v>
      </c>
      <c r="C968" t="s">
        <v>21</v>
      </c>
      <c r="D968" t="s">
        <v>155</v>
      </c>
      <c r="E968" t="s">
        <v>86</v>
      </c>
      <c r="F968" s="32">
        <v>16.064408499999999</v>
      </c>
      <c r="G968" s="23" t="e">
        <v>#N/A</v>
      </c>
      <c r="H968" s="29">
        <v>0.18707020497873533</v>
      </c>
      <c r="I968" s="7" t="e">
        <f t="shared" si="44"/>
        <v>#N/A</v>
      </c>
      <c r="J968" s="7" t="e">
        <f t="shared" si="43"/>
        <v>#N/A</v>
      </c>
    </row>
    <row r="969" spans="1:10" x14ac:dyDescent="0.35">
      <c r="A969" t="s">
        <v>101</v>
      </c>
      <c r="B969" t="s">
        <v>102</v>
      </c>
      <c r="C969" t="s">
        <v>22</v>
      </c>
      <c r="D969" t="s">
        <v>155</v>
      </c>
      <c r="E969" t="s">
        <v>86</v>
      </c>
      <c r="F969" s="32">
        <v>10.6900475</v>
      </c>
      <c r="G969" s="23" t="e">
        <v>#N/A</v>
      </c>
      <c r="H969" s="29">
        <v>21.167624699101996</v>
      </c>
      <c r="I969" s="7" t="e">
        <f t="shared" si="44"/>
        <v>#N/A</v>
      </c>
      <c r="J969" s="7" t="e">
        <f t="shared" si="43"/>
        <v>#N/A</v>
      </c>
    </row>
    <row r="970" spans="1:10" x14ac:dyDescent="0.35">
      <c r="A970" t="s">
        <v>101</v>
      </c>
      <c r="B970" t="s">
        <v>102</v>
      </c>
      <c r="C970" t="s">
        <v>23</v>
      </c>
      <c r="D970" t="s">
        <v>155</v>
      </c>
      <c r="E970" t="s">
        <v>86</v>
      </c>
      <c r="F970" s="32">
        <v>12.2328235</v>
      </c>
      <c r="G970" s="23" t="e">
        <v>#N/A</v>
      </c>
      <c r="H970" s="29">
        <v>2.1651049209643058E-2</v>
      </c>
      <c r="I970" s="7" t="e">
        <f t="shared" si="44"/>
        <v>#N/A</v>
      </c>
      <c r="J970" s="7" t="e">
        <f t="shared" si="43"/>
        <v>#N/A</v>
      </c>
    </row>
    <row r="971" spans="1:10" x14ac:dyDescent="0.35">
      <c r="A971" t="s">
        <v>101</v>
      </c>
      <c r="B971" t="s">
        <v>102</v>
      </c>
      <c r="C971" t="s">
        <v>24</v>
      </c>
      <c r="D971" t="s">
        <v>155</v>
      </c>
      <c r="E971" t="s">
        <v>86</v>
      </c>
      <c r="F971" s="32">
        <v>24.473493600000001</v>
      </c>
      <c r="G971" s="23" t="e">
        <v>#N/A</v>
      </c>
      <c r="H971" s="29">
        <v>2.2853883103398229</v>
      </c>
      <c r="I971" s="7" t="e">
        <f t="shared" si="44"/>
        <v>#N/A</v>
      </c>
      <c r="J971" s="7" t="e">
        <f t="shared" si="43"/>
        <v>#N/A</v>
      </c>
    </row>
    <row r="972" spans="1:10" x14ac:dyDescent="0.35">
      <c r="A972" t="s">
        <v>101</v>
      </c>
      <c r="B972" t="s">
        <v>102</v>
      </c>
      <c r="C972" t="s">
        <v>25</v>
      </c>
      <c r="D972" t="s">
        <v>155</v>
      </c>
      <c r="E972" t="s">
        <v>86</v>
      </c>
      <c r="F972" s="32">
        <v>10.5253602</v>
      </c>
      <c r="G972" s="23" t="e">
        <v>#N/A</v>
      </c>
      <c r="H972" s="29">
        <v>0.58151220017380467</v>
      </c>
      <c r="I972" s="7" t="e">
        <f t="shared" si="44"/>
        <v>#N/A</v>
      </c>
      <c r="J972" s="7" t="e">
        <f t="shared" si="43"/>
        <v>#N/A</v>
      </c>
    </row>
    <row r="973" spans="1:10" x14ac:dyDescent="0.35">
      <c r="A973" t="s">
        <v>101</v>
      </c>
      <c r="B973" t="s">
        <v>102</v>
      </c>
      <c r="C973" t="s">
        <v>26</v>
      </c>
      <c r="D973" t="s">
        <v>153</v>
      </c>
      <c r="E973" t="s">
        <v>86</v>
      </c>
      <c r="F973" s="32">
        <v>6.0878202000000003</v>
      </c>
      <c r="G973" s="23" t="e">
        <v>#N/A</v>
      </c>
      <c r="H973" s="29">
        <v>-3.9607425901047641E-2</v>
      </c>
      <c r="I973" s="7" t="e">
        <f t="shared" si="44"/>
        <v>#N/A</v>
      </c>
      <c r="J973" s="7" t="e">
        <f t="shared" si="43"/>
        <v>#N/A</v>
      </c>
    </row>
    <row r="974" spans="1:10" x14ac:dyDescent="0.35">
      <c r="A974" t="s">
        <v>101</v>
      </c>
      <c r="B974" t="s">
        <v>102</v>
      </c>
      <c r="C974" t="s">
        <v>27</v>
      </c>
      <c r="D974" t="s">
        <v>154</v>
      </c>
      <c r="E974" t="s">
        <v>86</v>
      </c>
      <c r="F974" s="32">
        <v>2.6687357999999999</v>
      </c>
      <c r="G974" s="23" t="e">
        <v>#N/A</v>
      </c>
      <c r="H974" s="29">
        <v>-1.9462230469617363E-2</v>
      </c>
      <c r="I974" s="7" t="e">
        <f t="shared" si="44"/>
        <v>#N/A</v>
      </c>
      <c r="J974" s="7" t="e">
        <f t="shared" si="43"/>
        <v>#N/A</v>
      </c>
    </row>
    <row r="975" spans="1:10" x14ac:dyDescent="0.35">
      <c r="A975" t="s">
        <v>101</v>
      </c>
      <c r="B975" t="s">
        <v>102</v>
      </c>
      <c r="C975" t="s">
        <v>28</v>
      </c>
      <c r="D975" t="s">
        <v>155</v>
      </c>
      <c r="E975" t="s">
        <v>86</v>
      </c>
      <c r="F975" s="32">
        <v>2.4671316000000001</v>
      </c>
      <c r="G975" s="23" t="e">
        <v>#N/A</v>
      </c>
      <c r="H975" s="29">
        <v>3.8090655639951243</v>
      </c>
      <c r="I975" s="7" t="e">
        <f t="shared" si="44"/>
        <v>#N/A</v>
      </c>
      <c r="J975" s="7" t="e">
        <f t="shared" si="43"/>
        <v>#N/A</v>
      </c>
    </row>
    <row r="976" spans="1:10" x14ac:dyDescent="0.35">
      <c r="A976" t="s">
        <v>101</v>
      </c>
      <c r="B976" t="s">
        <v>102</v>
      </c>
      <c r="C976" t="s">
        <v>29</v>
      </c>
      <c r="D976" t="s">
        <v>155</v>
      </c>
      <c r="E976" t="s">
        <v>86</v>
      </c>
      <c r="F976" s="32">
        <v>18.020624000000002</v>
      </c>
      <c r="G976" s="23" t="e">
        <v>#N/A</v>
      </c>
      <c r="H976" s="29">
        <v>9.2746730083234238E-2</v>
      </c>
      <c r="I976" s="7" t="e">
        <f t="shared" si="44"/>
        <v>#N/A</v>
      </c>
      <c r="J976" s="7" t="e">
        <f t="shared" si="43"/>
        <v>#N/A</v>
      </c>
    </row>
    <row r="977" spans="1:10" x14ac:dyDescent="0.35">
      <c r="A977" t="s">
        <v>101</v>
      </c>
      <c r="B977" t="s">
        <v>102</v>
      </c>
      <c r="C977" t="s">
        <v>30</v>
      </c>
      <c r="D977" t="s">
        <v>155</v>
      </c>
      <c r="E977" t="s">
        <v>86</v>
      </c>
      <c r="F977" s="32">
        <v>28.285708400000001</v>
      </c>
      <c r="G977" s="23" t="e">
        <v>#N/A</v>
      </c>
      <c r="H977" s="29">
        <v>21.286769953313957</v>
      </c>
      <c r="I977" s="7" t="e">
        <f t="shared" si="44"/>
        <v>#N/A</v>
      </c>
      <c r="J977" s="7" t="e">
        <f t="shared" si="43"/>
        <v>#N/A</v>
      </c>
    </row>
    <row r="978" spans="1:10" x14ac:dyDescent="0.35">
      <c r="A978" t="s">
        <v>101</v>
      </c>
      <c r="B978" t="s">
        <v>102</v>
      </c>
      <c r="C978" t="s">
        <v>31</v>
      </c>
      <c r="D978" t="s">
        <v>155</v>
      </c>
      <c r="E978" t="s">
        <v>86</v>
      </c>
      <c r="F978" s="32">
        <v>14.258039699999999</v>
      </c>
      <c r="G978" s="23" t="e">
        <v>#N/A</v>
      </c>
      <c r="H978" s="29">
        <v>7.0944810268078348E-2</v>
      </c>
      <c r="I978" s="7" t="e">
        <f t="shared" si="44"/>
        <v>#N/A</v>
      </c>
      <c r="J978" s="7" t="e">
        <f t="shared" si="43"/>
        <v>#N/A</v>
      </c>
    </row>
    <row r="979" spans="1:10" x14ac:dyDescent="0.35">
      <c r="A979" t="s">
        <v>101</v>
      </c>
      <c r="B979" t="s">
        <v>102</v>
      </c>
      <c r="C979" t="s">
        <v>32</v>
      </c>
      <c r="D979" t="s">
        <v>153</v>
      </c>
      <c r="E979" t="s">
        <v>86</v>
      </c>
      <c r="F979" s="32">
        <v>2.7250662000000001</v>
      </c>
      <c r="G979" s="23" t="e">
        <v>#N/A</v>
      </c>
      <c r="H979" s="29">
        <v>1.9820178998233507E-2</v>
      </c>
      <c r="I979" s="7" t="e">
        <f t="shared" si="44"/>
        <v>#N/A</v>
      </c>
      <c r="J979" s="7" t="e">
        <f t="shared" si="43"/>
        <v>#N/A</v>
      </c>
    </row>
    <row r="980" spans="1:10" x14ac:dyDescent="0.35">
      <c r="A980" t="s">
        <v>101</v>
      </c>
      <c r="B980" t="s">
        <v>102</v>
      </c>
      <c r="C980" t="s">
        <v>33</v>
      </c>
      <c r="D980" t="s">
        <v>155</v>
      </c>
      <c r="E980" t="s">
        <v>86</v>
      </c>
      <c r="F980" s="32">
        <v>25.6459805</v>
      </c>
      <c r="G980" s="23" t="e">
        <v>#N/A</v>
      </c>
      <c r="H980" s="29">
        <v>7.8978341973788311</v>
      </c>
      <c r="I980" s="7" t="e">
        <f t="shared" si="44"/>
        <v>#N/A</v>
      </c>
      <c r="J980" s="7" t="e">
        <f t="shared" si="43"/>
        <v>#N/A</v>
      </c>
    </row>
    <row r="981" spans="1:10" x14ac:dyDescent="0.35">
      <c r="A981" t="s">
        <v>101</v>
      </c>
      <c r="B981" t="s">
        <v>102</v>
      </c>
      <c r="C981" t="s">
        <v>34</v>
      </c>
      <c r="D981" t="s">
        <v>153</v>
      </c>
      <c r="E981" t="s">
        <v>86</v>
      </c>
      <c r="F981" s="32" t="e">
        <v>#N/A</v>
      </c>
      <c r="G981" s="23" t="e">
        <v>#N/A</v>
      </c>
      <c r="H981" s="29">
        <v>-0.13989409922629489</v>
      </c>
      <c r="I981" s="7" t="e">
        <f t="shared" si="44"/>
        <v>#N/A</v>
      </c>
      <c r="J981" s="7" t="e">
        <f t="shared" si="43"/>
        <v>#N/A</v>
      </c>
    </row>
    <row r="982" spans="1:10" x14ac:dyDescent="0.35">
      <c r="A982" t="s">
        <v>101</v>
      </c>
      <c r="B982" t="s">
        <v>102</v>
      </c>
      <c r="C982" t="s">
        <v>35</v>
      </c>
      <c r="D982" t="s">
        <v>154</v>
      </c>
      <c r="E982" t="s">
        <v>86</v>
      </c>
      <c r="F982" s="32">
        <v>12.779463700000001</v>
      </c>
      <c r="G982" s="23" t="e">
        <v>#N/A</v>
      </c>
      <c r="H982" s="29">
        <v>36.311217529154554</v>
      </c>
      <c r="I982" s="7" t="e">
        <f t="shared" si="44"/>
        <v>#N/A</v>
      </c>
      <c r="J982" s="7" t="e">
        <f t="shared" si="43"/>
        <v>#N/A</v>
      </c>
    </row>
    <row r="983" spans="1:10" x14ac:dyDescent="0.35">
      <c r="A983" t="s">
        <v>101</v>
      </c>
      <c r="B983" t="s">
        <v>102</v>
      </c>
      <c r="C983" t="s">
        <v>36</v>
      </c>
      <c r="D983" t="s">
        <v>155</v>
      </c>
      <c r="E983" t="s">
        <v>86</v>
      </c>
      <c r="F983" s="32">
        <v>6.9494314999999993</v>
      </c>
      <c r="G983" s="23" t="e">
        <v>#N/A</v>
      </c>
      <c r="H983" s="29">
        <v>0.17085679907307411</v>
      </c>
      <c r="I983" s="7" t="e">
        <f t="shared" si="44"/>
        <v>#N/A</v>
      </c>
      <c r="J983" s="7" t="e">
        <f t="shared" si="43"/>
        <v>#N/A</v>
      </c>
    </row>
    <row r="984" spans="1:10" x14ac:dyDescent="0.35">
      <c r="A984" t="s">
        <v>101</v>
      </c>
      <c r="B984" t="s">
        <v>102</v>
      </c>
      <c r="C984" t="s">
        <v>37</v>
      </c>
      <c r="D984" t="s">
        <v>155</v>
      </c>
      <c r="E984" t="s">
        <v>86</v>
      </c>
      <c r="F984" s="32">
        <v>23.205541499999999</v>
      </c>
      <c r="G984" s="23" t="e">
        <v>#N/A</v>
      </c>
      <c r="H984" s="29">
        <v>1.4772608690652618</v>
      </c>
      <c r="I984" s="7" t="e">
        <f t="shared" si="44"/>
        <v>#N/A</v>
      </c>
      <c r="J984" s="7" t="e">
        <f t="shared" si="43"/>
        <v>#N/A</v>
      </c>
    </row>
    <row r="985" spans="1:10" x14ac:dyDescent="0.35">
      <c r="A985" t="s">
        <v>101</v>
      </c>
      <c r="B985" t="s">
        <v>102</v>
      </c>
      <c r="C985" t="s">
        <v>38</v>
      </c>
      <c r="D985" t="s">
        <v>155</v>
      </c>
      <c r="E985" t="s">
        <v>86</v>
      </c>
      <c r="F985" s="32">
        <v>13.9207585</v>
      </c>
      <c r="G985" s="23" t="e">
        <v>#N/A</v>
      </c>
      <c r="H985" s="29">
        <v>0.27989341754499047</v>
      </c>
      <c r="I985" s="7" t="e">
        <f t="shared" si="44"/>
        <v>#N/A</v>
      </c>
      <c r="J985" s="7" t="e">
        <f t="shared" si="43"/>
        <v>#N/A</v>
      </c>
    </row>
    <row r="986" spans="1:10" x14ac:dyDescent="0.35">
      <c r="A986" t="s">
        <v>101</v>
      </c>
      <c r="B986" t="s">
        <v>102</v>
      </c>
      <c r="C986" t="s">
        <v>39</v>
      </c>
      <c r="D986" t="s">
        <v>153</v>
      </c>
      <c r="E986" t="s">
        <v>86</v>
      </c>
      <c r="F986" s="32">
        <v>44.318252299999997</v>
      </c>
      <c r="G986" s="23" t="e">
        <v>#N/A</v>
      </c>
      <c r="H986" s="29">
        <v>-0.17653994219308372</v>
      </c>
      <c r="I986" s="7" t="e">
        <f t="shared" si="44"/>
        <v>#N/A</v>
      </c>
      <c r="J986" s="7" t="e">
        <f t="shared" si="43"/>
        <v>#N/A</v>
      </c>
    </row>
    <row r="987" spans="1:10" s="19" customFormat="1" x14ac:dyDescent="0.35">
      <c r="A987" s="19" t="s">
        <v>101</v>
      </c>
      <c r="B987" s="19" t="s">
        <v>102</v>
      </c>
      <c r="C987" s="19" t="s">
        <v>40</v>
      </c>
      <c r="D987" s="19" t="s">
        <v>154</v>
      </c>
      <c r="E987" s="19" t="s">
        <v>86</v>
      </c>
      <c r="F987" s="33">
        <v>210.8609683</v>
      </c>
      <c r="G987" s="24" t="e">
        <v>#N/A</v>
      </c>
      <c r="H987" s="30">
        <v>-0.12859245581424231</v>
      </c>
      <c r="I987" s="21" t="e">
        <f t="shared" si="44"/>
        <v>#N/A</v>
      </c>
      <c r="J987" s="21" t="e">
        <f t="shared" si="43"/>
        <v>#N/A</v>
      </c>
    </row>
    <row r="988" spans="1:10" x14ac:dyDescent="0.35">
      <c r="A988" t="s">
        <v>103</v>
      </c>
      <c r="B988" t="s">
        <v>104</v>
      </c>
      <c r="C988" t="s">
        <v>6</v>
      </c>
      <c r="D988" t="s">
        <v>153</v>
      </c>
      <c r="E988" t="s">
        <v>86</v>
      </c>
      <c r="F988" s="32">
        <v>6.9368229000000001</v>
      </c>
      <c r="G988" s="23" t="e">
        <v>#N/A</v>
      </c>
      <c r="H988" s="29">
        <v>0.75980950210901843</v>
      </c>
      <c r="I988" s="7" t="e">
        <f t="shared" si="44"/>
        <v>#N/A</v>
      </c>
      <c r="J988" s="7" t="e">
        <f>I988/0.5119</f>
        <v>#N/A</v>
      </c>
    </row>
    <row r="989" spans="1:10" x14ac:dyDescent="0.35">
      <c r="A989" t="s">
        <v>103</v>
      </c>
      <c r="B989" t="s">
        <v>104</v>
      </c>
      <c r="C989" t="s">
        <v>7</v>
      </c>
      <c r="D989" t="s">
        <v>153</v>
      </c>
      <c r="E989" t="s">
        <v>86</v>
      </c>
      <c r="F989" s="32">
        <v>0</v>
      </c>
      <c r="G989" s="23" t="e">
        <v>#N/A</v>
      </c>
      <c r="H989" s="29">
        <v>-0.10869894040175888</v>
      </c>
      <c r="I989" s="7" t="e">
        <f t="shared" si="44"/>
        <v>#N/A</v>
      </c>
      <c r="J989" s="7" t="e">
        <f t="shared" ref="J989:J1021" si="45">I989/0.5119</f>
        <v>#N/A</v>
      </c>
    </row>
    <row r="990" spans="1:10" x14ac:dyDescent="0.35">
      <c r="A990" t="s">
        <v>103</v>
      </c>
      <c r="B990" t="s">
        <v>104</v>
      </c>
      <c r="C990" t="s">
        <v>8</v>
      </c>
      <c r="D990" t="s">
        <v>153</v>
      </c>
      <c r="E990" t="s">
        <v>86</v>
      </c>
      <c r="F990" s="32">
        <v>0</v>
      </c>
      <c r="G990" s="23" t="e">
        <v>#N/A</v>
      </c>
      <c r="H990" s="29">
        <v>-4.1758330744494893E-2</v>
      </c>
      <c r="I990" s="7" t="e">
        <f t="shared" si="44"/>
        <v>#N/A</v>
      </c>
      <c r="J990" s="7" t="e">
        <f t="shared" si="45"/>
        <v>#N/A</v>
      </c>
    </row>
    <row r="991" spans="1:10" x14ac:dyDescent="0.35">
      <c r="A991" t="s">
        <v>103</v>
      </c>
      <c r="B991" t="s">
        <v>104</v>
      </c>
      <c r="C991" t="s">
        <v>9</v>
      </c>
      <c r="D991" t="s">
        <v>153</v>
      </c>
      <c r="E991" t="s">
        <v>86</v>
      </c>
      <c r="F991" s="32">
        <v>0</v>
      </c>
      <c r="G991" s="23" t="e">
        <v>#N/A</v>
      </c>
      <c r="H991" s="29">
        <v>-0.3928886427357775</v>
      </c>
      <c r="I991" s="7" t="e">
        <f t="shared" si="44"/>
        <v>#N/A</v>
      </c>
      <c r="J991" s="7" t="e">
        <f t="shared" si="45"/>
        <v>#N/A</v>
      </c>
    </row>
    <row r="992" spans="1:10" x14ac:dyDescent="0.35">
      <c r="A992" t="s">
        <v>103</v>
      </c>
      <c r="B992" t="s">
        <v>104</v>
      </c>
      <c r="C992" t="s">
        <v>10</v>
      </c>
      <c r="D992" t="s">
        <v>153</v>
      </c>
      <c r="E992" t="s">
        <v>86</v>
      </c>
      <c r="F992" s="32">
        <v>0</v>
      </c>
      <c r="G992" s="23" t="e">
        <v>#N/A</v>
      </c>
      <c r="H992" s="29">
        <v>-9.4803366431831307E-2</v>
      </c>
      <c r="I992" s="7" t="e">
        <f t="shared" si="44"/>
        <v>#N/A</v>
      </c>
      <c r="J992" s="7" t="e">
        <f t="shared" si="45"/>
        <v>#N/A</v>
      </c>
    </row>
    <row r="993" spans="1:10" x14ac:dyDescent="0.35">
      <c r="A993" t="s">
        <v>103</v>
      </c>
      <c r="B993" t="s">
        <v>104</v>
      </c>
      <c r="C993" t="s">
        <v>11</v>
      </c>
      <c r="D993" t="s">
        <v>153</v>
      </c>
      <c r="E993" t="s">
        <v>86</v>
      </c>
      <c r="F993" s="32">
        <v>0</v>
      </c>
      <c r="G993" s="23" t="e">
        <v>#N/A</v>
      </c>
      <c r="H993" s="29">
        <v>0.82087564829133686</v>
      </c>
      <c r="I993" s="7" t="e">
        <f t="shared" si="44"/>
        <v>#N/A</v>
      </c>
      <c r="J993" s="7" t="e">
        <f t="shared" si="45"/>
        <v>#N/A</v>
      </c>
    </row>
    <row r="994" spans="1:10" x14ac:dyDescent="0.35">
      <c r="A994" t="s">
        <v>103</v>
      </c>
      <c r="B994" t="s">
        <v>104</v>
      </c>
      <c r="C994" t="s">
        <v>12</v>
      </c>
      <c r="D994" t="s">
        <v>154</v>
      </c>
      <c r="E994" t="s">
        <v>86</v>
      </c>
      <c r="F994" s="32">
        <v>0</v>
      </c>
      <c r="G994" s="23" t="e">
        <v>#N/A</v>
      </c>
      <c r="H994" s="29">
        <v>-4.872756588720447E-2</v>
      </c>
      <c r="I994" s="7" t="e">
        <f t="shared" si="44"/>
        <v>#N/A</v>
      </c>
      <c r="J994" s="7" t="e">
        <f t="shared" si="45"/>
        <v>#N/A</v>
      </c>
    </row>
    <row r="995" spans="1:10" x14ac:dyDescent="0.35">
      <c r="A995" t="s">
        <v>103</v>
      </c>
      <c r="B995" t="s">
        <v>104</v>
      </c>
      <c r="C995" t="s">
        <v>13</v>
      </c>
      <c r="D995" t="s">
        <v>153</v>
      </c>
      <c r="E995" t="s">
        <v>86</v>
      </c>
      <c r="F995" s="32">
        <v>2.2204625</v>
      </c>
      <c r="G995" s="23">
        <v>0.2923369788619099</v>
      </c>
      <c r="H995" s="29">
        <v>0.11538544309974394</v>
      </c>
      <c r="I995" s="7">
        <f t="shared" si="44"/>
        <v>0.2923369788619099</v>
      </c>
      <c r="J995" s="7">
        <f t="shared" si="45"/>
        <v>0.5710822013321154</v>
      </c>
    </row>
    <row r="996" spans="1:10" x14ac:dyDescent="0.35">
      <c r="A996" t="s">
        <v>103</v>
      </c>
      <c r="B996" t="s">
        <v>104</v>
      </c>
      <c r="C996" t="s">
        <v>14</v>
      </c>
      <c r="D996" t="s">
        <v>154</v>
      </c>
      <c r="E996" t="s">
        <v>86</v>
      </c>
      <c r="F996" s="32">
        <v>0</v>
      </c>
      <c r="G996" s="23" t="e">
        <v>#N/A</v>
      </c>
      <c r="H996" s="29">
        <v>-4.0086147533144954E-2</v>
      </c>
      <c r="I996" s="7" t="e">
        <f t="shared" si="44"/>
        <v>#N/A</v>
      </c>
      <c r="J996" s="7" t="e">
        <f t="shared" si="45"/>
        <v>#N/A</v>
      </c>
    </row>
    <row r="997" spans="1:10" x14ac:dyDescent="0.35">
      <c r="A997" t="s">
        <v>103</v>
      </c>
      <c r="B997" t="s">
        <v>104</v>
      </c>
      <c r="C997" t="s">
        <v>15</v>
      </c>
      <c r="D997" t="s">
        <v>153</v>
      </c>
      <c r="E997" t="s">
        <v>86</v>
      </c>
      <c r="F997" s="32">
        <v>1564.2785941000002</v>
      </c>
      <c r="G997" s="23">
        <v>37.030003251214218</v>
      </c>
      <c r="H997" s="29">
        <v>113.94782609771384</v>
      </c>
      <c r="I997" s="7">
        <f t="shared" si="44"/>
        <v>37.030003251214218</v>
      </c>
      <c r="J997" s="7">
        <f t="shared" si="45"/>
        <v>72.338353684731814</v>
      </c>
    </row>
    <row r="998" spans="1:10" x14ac:dyDescent="0.35">
      <c r="A998" t="s">
        <v>103</v>
      </c>
      <c r="B998" t="s">
        <v>104</v>
      </c>
      <c r="C998" t="s">
        <v>16</v>
      </c>
      <c r="D998" t="s">
        <v>154</v>
      </c>
      <c r="E998" t="s">
        <v>86</v>
      </c>
      <c r="F998" s="32">
        <v>37.579472699999997</v>
      </c>
      <c r="G998" s="23">
        <v>3.841412581615943</v>
      </c>
      <c r="H998" s="29">
        <v>9.8580203873514076</v>
      </c>
      <c r="I998" s="7">
        <f t="shared" si="44"/>
        <v>3.841412581615943</v>
      </c>
      <c r="J998" s="7">
        <f t="shared" si="45"/>
        <v>7.5042246173392124</v>
      </c>
    </row>
    <row r="999" spans="1:10" x14ac:dyDescent="0.35">
      <c r="A999" t="s">
        <v>103</v>
      </c>
      <c r="B999" t="s">
        <v>104</v>
      </c>
      <c r="C999" t="s">
        <v>18</v>
      </c>
      <c r="D999" t="s">
        <v>154</v>
      </c>
      <c r="E999" t="s">
        <v>86</v>
      </c>
      <c r="F999" s="32">
        <v>0</v>
      </c>
      <c r="G999" s="23" t="e">
        <v>#N/A</v>
      </c>
      <c r="H999" s="29">
        <v>3.3775149127763973</v>
      </c>
      <c r="I999" s="7" t="e">
        <f t="shared" si="44"/>
        <v>#N/A</v>
      </c>
      <c r="J999" s="7" t="e">
        <f t="shared" si="45"/>
        <v>#N/A</v>
      </c>
    </row>
    <row r="1000" spans="1:10" x14ac:dyDescent="0.35">
      <c r="A1000" t="s">
        <v>103</v>
      </c>
      <c r="B1000" t="s">
        <v>104</v>
      </c>
      <c r="C1000" t="s">
        <v>19</v>
      </c>
      <c r="D1000" t="s">
        <v>153</v>
      </c>
      <c r="E1000" t="s">
        <v>86</v>
      </c>
      <c r="F1000" s="32">
        <v>416.6183608</v>
      </c>
      <c r="G1000" s="23">
        <v>32.294260479600091</v>
      </c>
      <c r="H1000" s="29">
        <v>105.2971087156083</v>
      </c>
      <c r="I1000" s="7">
        <f t="shared" si="44"/>
        <v>32.294260479600091</v>
      </c>
      <c r="J1000" s="7">
        <f t="shared" si="45"/>
        <v>63.087049188513554</v>
      </c>
    </row>
    <row r="1001" spans="1:10" x14ac:dyDescent="0.35">
      <c r="A1001" t="s">
        <v>103</v>
      </c>
      <c r="B1001" t="s">
        <v>104</v>
      </c>
      <c r="C1001" t="s">
        <v>20</v>
      </c>
      <c r="D1001" t="s">
        <v>154</v>
      </c>
      <c r="E1001" t="s">
        <v>86</v>
      </c>
      <c r="F1001" s="32">
        <v>131.0956663</v>
      </c>
      <c r="G1001" s="23">
        <v>11.728526811200535</v>
      </c>
      <c r="H1001" s="29">
        <v>1.1096411613286978</v>
      </c>
      <c r="I1001" s="7">
        <f t="shared" si="44"/>
        <v>11.728526811200535</v>
      </c>
      <c r="J1001" s="7">
        <f t="shared" si="45"/>
        <v>22.911753880055741</v>
      </c>
    </row>
    <row r="1002" spans="1:10" x14ac:dyDescent="0.35">
      <c r="A1002" t="s">
        <v>103</v>
      </c>
      <c r="B1002" t="s">
        <v>104</v>
      </c>
      <c r="C1002" t="s">
        <v>21</v>
      </c>
      <c r="D1002" t="s">
        <v>155</v>
      </c>
      <c r="E1002" t="s">
        <v>86</v>
      </c>
      <c r="F1002" s="32">
        <v>0.2755456</v>
      </c>
      <c r="G1002" s="23" t="e">
        <v>#N/A</v>
      </c>
      <c r="H1002" s="29">
        <v>3.7464410172060267</v>
      </c>
      <c r="I1002" s="7" t="e">
        <f t="shared" si="44"/>
        <v>#N/A</v>
      </c>
      <c r="J1002" s="7" t="e">
        <f t="shared" si="45"/>
        <v>#N/A</v>
      </c>
    </row>
    <row r="1003" spans="1:10" x14ac:dyDescent="0.35">
      <c r="A1003" t="s">
        <v>103</v>
      </c>
      <c r="B1003" t="s">
        <v>104</v>
      </c>
      <c r="C1003" t="s">
        <v>22</v>
      </c>
      <c r="D1003" t="s">
        <v>155</v>
      </c>
      <c r="E1003" t="s">
        <v>86</v>
      </c>
      <c r="F1003" s="32">
        <v>103.48561380000001</v>
      </c>
      <c r="G1003" s="23">
        <v>3.3648321700129138</v>
      </c>
      <c r="H1003" s="29">
        <v>1.843818146390217</v>
      </c>
      <c r="I1003" s="7">
        <f t="shared" si="44"/>
        <v>3.3648321700129138</v>
      </c>
      <c r="J1003" s="7">
        <f t="shared" si="45"/>
        <v>6.5732216644128023</v>
      </c>
    </row>
    <row r="1004" spans="1:10" x14ac:dyDescent="0.35">
      <c r="A1004" t="s">
        <v>103</v>
      </c>
      <c r="B1004" t="s">
        <v>104</v>
      </c>
      <c r="C1004" t="s">
        <v>23</v>
      </c>
      <c r="D1004" t="s">
        <v>155</v>
      </c>
      <c r="E1004" t="s">
        <v>86</v>
      </c>
      <c r="F1004" s="32">
        <v>0.95297419999999999</v>
      </c>
      <c r="G1004" s="23" t="e">
        <v>#N/A</v>
      </c>
      <c r="H1004" s="29">
        <v>1.8591583851953162</v>
      </c>
      <c r="I1004" s="7" t="e">
        <f t="shared" si="44"/>
        <v>#N/A</v>
      </c>
      <c r="J1004" s="7" t="e">
        <f t="shared" si="45"/>
        <v>#N/A</v>
      </c>
    </row>
    <row r="1005" spans="1:10" x14ac:dyDescent="0.35">
      <c r="A1005" t="s">
        <v>103</v>
      </c>
      <c r="B1005" t="s">
        <v>104</v>
      </c>
      <c r="C1005" t="s">
        <v>24</v>
      </c>
      <c r="D1005" t="s">
        <v>155</v>
      </c>
      <c r="E1005" t="s">
        <v>86</v>
      </c>
      <c r="F1005" s="32">
        <v>83.126519500000001</v>
      </c>
      <c r="G1005" s="23">
        <v>1.8122056914303808</v>
      </c>
      <c r="H1005" s="29">
        <v>0.68210177013671391</v>
      </c>
      <c r="I1005" s="7">
        <f t="shared" si="44"/>
        <v>1.8122056914303808</v>
      </c>
      <c r="J1005" s="7">
        <f t="shared" si="45"/>
        <v>3.5401556777307692</v>
      </c>
    </row>
    <row r="1006" spans="1:10" x14ac:dyDescent="0.35">
      <c r="A1006" t="s">
        <v>103</v>
      </c>
      <c r="B1006" t="s">
        <v>104</v>
      </c>
      <c r="C1006" t="s">
        <v>25</v>
      </c>
      <c r="D1006" t="s">
        <v>155</v>
      </c>
      <c r="E1006" t="s">
        <v>86</v>
      </c>
      <c r="F1006" s="32">
        <v>0.33619830000000001</v>
      </c>
      <c r="G1006" s="23" t="e">
        <v>#N/A</v>
      </c>
      <c r="H1006" s="29">
        <v>1.070273897125394</v>
      </c>
      <c r="I1006" s="7" t="e">
        <f t="shared" si="44"/>
        <v>#N/A</v>
      </c>
      <c r="J1006" s="7" t="e">
        <f t="shared" si="45"/>
        <v>#N/A</v>
      </c>
    </row>
    <row r="1007" spans="1:10" x14ac:dyDescent="0.35">
      <c r="A1007" t="s">
        <v>103</v>
      </c>
      <c r="B1007" t="s">
        <v>104</v>
      </c>
      <c r="C1007" t="s">
        <v>26</v>
      </c>
      <c r="D1007" t="s">
        <v>153</v>
      </c>
      <c r="E1007" t="s">
        <v>86</v>
      </c>
      <c r="F1007" s="32">
        <v>1.8024229000000001</v>
      </c>
      <c r="G1007" s="23">
        <v>0.9921388290166866</v>
      </c>
      <c r="H1007" s="29">
        <v>9.4683157608346849E-2</v>
      </c>
      <c r="I1007" s="7">
        <f t="shared" si="44"/>
        <v>0.9921388290166866</v>
      </c>
      <c r="J1007" s="7">
        <f t="shared" si="45"/>
        <v>1.9381496952855763</v>
      </c>
    </row>
    <row r="1008" spans="1:10" x14ac:dyDescent="0.35">
      <c r="A1008" t="s">
        <v>103</v>
      </c>
      <c r="B1008" t="s">
        <v>104</v>
      </c>
      <c r="C1008" t="s">
        <v>27</v>
      </c>
      <c r="D1008" t="s">
        <v>154</v>
      </c>
      <c r="E1008" t="s">
        <v>86</v>
      </c>
      <c r="F1008" s="32">
        <v>1.4514768999999998</v>
      </c>
      <c r="G1008" s="23">
        <v>1.0902174563348745</v>
      </c>
      <c r="H1008" s="29">
        <v>0.74432723121562105</v>
      </c>
      <c r="I1008" s="7">
        <f t="shared" si="44"/>
        <v>1.0902174563348745</v>
      </c>
      <c r="J1008" s="7">
        <f t="shared" si="45"/>
        <v>2.1297469356024115</v>
      </c>
    </row>
    <row r="1009" spans="1:14" x14ac:dyDescent="0.35">
      <c r="A1009" t="s">
        <v>103</v>
      </c>
      <c r="B1009" t="s">
        <v>104</v>
      </c>
      <c r="C1009" t="s">
        <v>28</v>
      </c>
      <c r="D1009" t="s">
        <v>155</v>
      </c>
      <c r="E1009" t="s">
        <v>86</v>
      </c>
      <c r="F1009" s="32">
        <v>14.544751399999999</v>
      </c>
      <c r="G1009" s="23">
        <v>0.69068654911121574</v>
      </c>
      <c r="H1009" s="29">
        <v>0.73430754613090654</v>
      </c>
      <c r="I1009" s="7">
        <f t="shared" si="44"/>
        <v>0.69068654911121574</v>
      </c>
      <c r="J1009" s="7">
        <f t="shared" si="45"/>
        <v>1.3492606937120839</v>
      </c>
    </row>
    <row r="1010" spans="1:14" x14ac:dyDescent="0.35">
      <c r="A1010" t="s">
        <v>103</v>
      </c>
      <c r="B1010" t="s">
        <v>104</v>
      </c>
      <c r="C1010" t="s">
        <v>29</v>
      </c>
      <c r="D1010" t="s">
        <v>155</v>
      </c>
      <c r="E1010" t="s">
        <v>86</v>
      </c>
      <c r="F1010" s="32">
        <v>0.42122160000000003</v>
      </c>
      <c r="G1010" s="23" t="e">
        <v>#N/A</v>
      </c>
      <c r="H1010" s="29">
        <v>5.387053597869663</v>
      </c>
      <c r="I1010" s="7" t="e">
        <f t="shared" si="44"/>
        <v>#N/A</v>
      </c>
      <c r="J1010" s="7" t="e">
        <f t="shared" si="45"/>
        <v>#N/A</v>
      </c>
    </row>
    <row r="1011" spans="1:14" x14ac:dyDescent="0.35">
      <c r="A1011" t="s">
        <v>103</v>
      </c>
      <c r="B1011" t="s">
        <v>104</v>
      </c>
      <c r="C1011" t="s">
        <v>30</v>
      </c>
      <c r="D1011" t="s">
        <v>155</v>
      </c>
      <c r="E1011" t="s">
        <v>86</v>
      </c>
      <c r="F1011" s="32">
        <v>242.34260279999998</v>
      </c>
      <c r="G1011" s="23">
        <v>9.78286202333007</v>
      </c>
      <c r="H1011" s="29">
        <v>3.4960077401995231</v>
      </c>
      <c r="I1011" s="7">
        <f t="shared" si="44"/>
        <v>9.78286202333007</v>
      </c>
      <c r="J1011" s="7">
        <f t="shared" si="45"/>
        <v>19.110884984039988</v>
      </c>
    </row>
    <row r="1012" spans="1:14" x14ac:dyDescent="0.35">
      <c r="A1012" t="s">
        <v>103</v>
      </c>
      <c r="B1012" t="s">
        <v>104</v>
      </c>
      <c r="C1012" t="s">
        <v>31</v>
      </c>
      <c r="D1012" t="s">
        <v>155</v>
      </c>
      <c r="E1012" t="s">
        <v>86</v>
      </c>
      <c r="F1012" s="32" t="e">
        <v>#N/A</v>
      </c>
      <c r="G1012" s="23" t="e">
        <v>#N/A</v>
      </c>
      <c r="H1012" s="29">
        <v>0.73546514398760354</v>
      </c>
      <c r="I1012" s="7" t="e">
        <f t="shared" si="44"/>
        <v>#N/A</v>
      </c>
      <c r="J1012" s="7" t="e">
        <f t="shared" si="45"/>
        <v>#N/A</v>
      </c>
    </row>
    <row r="1013" spans="1:14" x14ac:dyDescent="0.35">
      <c r="A1013" t="s">
        <v>103</v>
      </c>
      <c r="B1013" t="s">
        <v>104</v>
      </c>
      <c r="C1013" t="s">
        <v>32</v>
      </c>
      <c r="D1013" t="s">
        <v>153</v>
      </c>
      <c r="E1013" t="s">
        <v>86</v>
      </c>
      <c r="F1013" s="32">
        <v>0</v>
      </c>
      <c r="G1013" s="23" t="e">
        <v>#N/A</v>
      </c>
      <c r="H1013" s="29">
        <v>0.95701291144364187</v>
      </c>
      <c r="I1013" s="7" t="e">
        <f t="shared" si="44"/>
        <v>#N/A</v>
      </c>
      <c r="J1013" s="7" t="e">
        <f t="shared" si="45"/>
        <v>#N/A</v>
      </c>
    </row>
    <row r="1014" spans="1:14" x14ac:dyDescent="0.35">
      <c r="A1014" t="s">
        <v>103</v>
      </c>
      <c r="B1014" t="s">
        <v>104</v>
      </c>
      <c r="C1014" t="s">
        <v>33</v>
      </c>
      <c r="D1014" t="s">
        <v>155</v>
      </c>
      <c r="E1014" t="s">
        <v>86</v>
      </c>
      <c r="F1014" s="32">
        <v>154.2877483</v>
      </c>
      <c r="G1014" s="23">
        <v>7.8862709246140117</v>
      </c>
      <c r="H1014" s="29">
        <v>0.87396183415573969</v>
      </c>
      <c r="I1014" s="7">
        <f t="shared" si="44"/>
        <v>7.8862709246140117</v>
      </c>
      <c r="J1014" s="7">
        <f t="shared" si="45"/>
        <v>15.405881860937706</v>
      </c>
    </row>
    <row r="1015" spans="1:14" x14ac:dyDescent="0.35">
      <c r="A1015" t="s">
        <v>103</v>
      </c>
      <c r="B1015" t="s">
        <v>104</v>
      </c>
      <c r="C1015" t="s">
        <v>34</v>
      </c>
      <c r="D1015" t="s">
        <v>153</v>
      </c>
      <c r="E1015" t="s">
        <v>86</v>
      </c>
      <c r="F1015" s="32">
        <v>0</v>
      </c>
      <c r="G1015" s="23" t="e">
        <v>#N/A</v>
      </c>
      <c r="H1015" s="29">
        <v>-0.15706328189206464</v>
      </c>
      <c r="I1015" s="7" t="e">
        <f t="shared" si="44"/>
        <v>#N/A</v>
      </c>
      <c r="J1015" s="7" t="e">
        <f t="shared" si="45"/>
        <v>#N/A</v>
      </c>
    </row>
    <row r="1016" spans="1:14" x14ac:dyDescent="0.35">
      <c r="A1016" t="s">
        <v>103</v>
      </c>
      <c r="B1016" t="s">
        <v>104</v>
      </c>
      <c r="C1016" t="s">
        <v>35</v>
      </c>
      <c r="D1016" t="s">
        <v>154</v>
      </c>
      <c r="E1016" t="s">
        <v>86</v>
      </c>
      <c r="F1016" s="32">
        <v>106.9276192</v>
      </c>
      <c r="G1016" s="23">
        <v>10.500807969332655</v>
      </c>
      <c r="H1016" s="29">
        <v>3.4480704396727875</v>
      </c>
      <c r="I1016" s="7">
        <f t="shared" si="44"/>
        <v>10.500807969332655</v>
      </c>
      <c r="J1016" s="7">
        <f t="shared" si="45"/>
        <v>20.513397087971587</v>
      </c>
    </row>
    <row r="1017" spans="1:14" x14ac:dyDescent="0.35">
      <c r="A1017" t="s">
        <v>103</v>
      </c>
      <c r="B1017" t="s">
        <v>104</v>
      </c>
      <c r="C1017" t="s">
        <v>36</v>
      </c>
      <c r="D1017" t="s">
        <v>155</v>
      </c>
      <c r="E1017" t="s">
        <v>86</v>
      </c>
      <c r="F1017" s="32">
        <v>1.9392897</v>
      </c>
      <c r="G1017" s="23" t="e">
        <v>#N/A</v>
      </c>
      <c r="H1017" s="29">
        <v>1.4471908639700715</v>
      </c>
      <c r="I1017" s="7" t="e">
        <f t="shared" si="44"/>
        <v>#N/A</v>
      </c>
      <c r="J1017" s="7" t="e">
        <f t="shared" si="45"/>
        <v>#N/A</v>
      </c>
    </row>
    <row r="1018" spans="1:14" x14ac:dyDescent="0.35">
      <c r="A1018" t="s">
        <v>103</v>
      </c>
      <c r="B1018" t="s">
        <v>104</v>
      </c>
      <c r="C1018" t="s">
        <v>37</v>
      </c>
      <c r="D1018" t="s">
        <v>155</v>
      </c>
      <c r="E1018" t="s">
        <v>86</v>
      </c>
      <c r="F1018" s="32">
        <v>5.1562498999999997</v>
      </c>
      <c r="G1018" s="23">
        <v>1.7168812072924768</v>
      </c>
      <c r="H1018" s="29">
        <v>7.6915954187438142</v>
      </c>
      <c r="I1018" s="7">
        <f t="shared" si="44"/>
        <v>1.7168812072924768</v>
      </c>
      <c r="J1018" s="7">
        <f t="shared" si="45"/>
        <v>3.3539386741404118</v>
      </c>
    </row>
    <row r="1019" spans="1:14" x14ac:dyDescent="0.35">
      <c r="A1019" t="s">
        <v>103</v>
      </c>
      <c r="B1019" t="s">
        <v>104</v>
      </c>
      <c r="C1019" t="s">
        <v>38</v>
      </c>
      <c r="D1019" t="s">
        <v>155</v>
      </c>
      <c r="E1019" t="s">
        <v>86</v>
      </c>
      <c r="F1019" s="32">
        <v>4.7450928999999995</v>
      </c>
      <c r="G1019" s="23">
        <v>0.67076214119887789</v>
      </c>
      <c r="H1019" s="29">
        <v>1.7308080923076323</v>
      </c>
      <c r="I1019" s="7">
        <f t="shared" si="44"/>
        <v>0.67076214119887789</v>
      </c>
      <c r="J1019" s="7">
        <f t="shared" si="45"/>
        <v>1.3103382324650867</v>
      </c>
    </row>
    <row r="1020" spans="1:14" x14ac:dyDescent="0.35">
      <c r="A1020" t="s">
        <v>103</v>
      </c>
      <c r="B1020" t="s">
        <v>104</v>
      </c>
      <c r="C1020" t="s">
        <v>39</v>
      </c>
      <c r="D1020" t="s">
        <v>153</v>
      </c>
      <c r="E1020" t="s">
        <v>86</v>
      </c>
      <c r="F1020" s="32">
        <v>0</v>
      </c>
      <c r="G1020" s="23" t="e">
        <v>#N/A</v>
      </c>
      <c r="H1020" s="29">
        <v>1.5816321868320129</v>
      </c>
      <c r="I1020" s="7" t="e">
        <f t="shared" si="44"/>
        <v>#N/A</v>
      </c>
      <c r="J1020" s="7" t="e">
        <f t="shared" si="45"/>
        <v>#N/A</v>
      </c>
    </row>
    <row r="1021" spans="1:14" s="19" customFormat="1" x14ac:dyDescent="0.35">
      <c r="A1021" s="19" t="s">
        <v>103</v>
      </c>
      <c r="B1021" s="19" t="s">
        <v>104</v>
      </c>
      <c r="C1021" s="19" t="s">
        <v>40</v>
      </c>
      <c r="D1021" s="19" t="s">
        <v>154</v>
      </c>
      <c r="E1021" s="19" t="s">
        <v>86</v>
      </c>
      <c r="F1021" s="33">
        <v>0</v>
      </c>
      <c r="G1021" s="24" t="e">
        <v>#N/A</v>
      </c>
      <c r="H1021" s="30">
        <v>384.45300693340039</v>
      </c>
      <c r="I1021" s="21" t="e">
        <f t="shared" si="44"/>
        <v>#N/A</v>
      </c>
      <c r="J1021" s="21" t="e">
        <f t="shared" si="45"/>
        <v>#N/A</v>
      </c>
      <c r="N1021"/>
    </row>
    <row r="1022" spans="1:14" x14ac:dyDescent="0.35">
      <c r="A1022" t="s">
        <v>124</v>
      </c>
      <c r="B1022" t="s">
        <v>114</v>
      </c>
      <c r="C1022" t="s">
        <v>6</v>
      </c>
      <c r="D1022" t="s">
        <v>153</v>
      </c>
      <c r="E1022" t="s">
        <v>126</v>
      </c>
      <c r="F1022" s="32">
        <v>6.6740167000000001</v>
      </c>
      <c r="G1022" s="23" t="e">
        <v>#N/A</v>
      </c>
      <c r="H1022" s="29">
        <v>0.74874604408602707</v>
      </c>
      <c r="I1022" s="7" t="e">
        <f t="shared" ref="I1022:I1081" si="46">IF(G1022&lt;0,0,G1022)</f>
        <v>#N/A</v>
      </c>
      <c r="J1022" s="7" t="e">
        <f>I1022/0.6156</f>
        <v>#N/A</v>
      </c>
    </row>
    <row r="1023" spans="1:14" x14ac:dyDescent="0.35">
      <c r="A1023" t="s">
        <v>124</v>
      </c>
      <c r="B1023" t="s">
        <v>114</v>
      </c>
      <c r="C1023" t="s">
        <v>7</v>
      </c>
      <c r="D1023" t="s">
        <v>153</v>
      </c>
      <c r="E1023" t="s">
        <v>126</v>
      </c>
      <c r="F1023" s="32">
        <v>0</v>
      </c>
      <c r="G1023" s="23" t="e">
        <v>#N/A</v>
      </c>
      <c r="H1023" s="29">
        <v>-9.5535972397682647E-2</v>
      </c>
      <c r="I1023" s="7" t="e">
        <f t="shared" si="46"/>
        <v>#N/A</v>
      </c>
      <c r="J1023" s="7" t="e">
        <f t="shared" ref="J1023:J1055" si="47">I1023/0.6156</f>
        <v>#N/A</v>
      </c>
    </row>
    <row r="1024" spans="1:14" x14ac:dyDescent="0.35">
      <c r="A1024" t="s">
        <v>124</v>
      </c>
      <c r="B1024" t="s">
        <v>114</v>
      </c>
      <c r="C1024" t="s">
        <v>8</v>
      </c>
      <c r="D1024" t="s">
        <v>153</v>
      </c>
      <c r="E1024" t="s">
        <v>126</v>
      </c>
      <c r="F1024" s="32" t="e">
        <v>#N/A</v>
      </c>
      <c r="G1024" s="23" t="e">
        <v>#N/A</v>
      </c>
      <c r="H1024" s="29">
        <v>-3.6245711700667239E-2</v>
      </c>
      <c r="I1024" s="7" t="e">
        <f t="shared" si="46"/>
        <v>#N/A</v>
      </c>
      <c r="J1024" s="7" t="e">
        <f t="shared" si="47"/>
        <v>#N/A</v>
      </c>
    </row>
    <row r="1025" spans="1:10" x14ac:dyDescent="0.35">
      <c r="A1025" t="s">
        <v>124</v>
      </c>
      <c r="B1025" t="s">
        <v>114</v>
      </c>
      <c r="C1025" t="s">
        <v>9</v>
      </c>
      <c r="D1025" t="s">
        <v>153</v>
      </c>
      <c r="E1025" t="s">
        <v>126</v>
      </c>
      <c r="F1025" s="32">
        <v>3.9211511999999997</v>
      </c>
      <c r="G1025" s="23">
        <v>0.87180008643482954</v>
      </c>
      <c r="H1025" s="29">
        <v>3.3703216966881033</v>
      </c>
      <c r="I1025" s="7">
        <f t="shared" si="46"/>
        <v>0.87180008643482954</v>
      </c>
      <c r="J1025" s="7">
        <f t="shared" si="47"/>
        <v>1.4161794776394241</v>
      </c>
    </row>
    <row r="1026" spans="1:10" x14ac:dyDescent="0.35">
      <c r="A1026" t="s">
        <v>124</v>
      </c>
      <c r="B1026" t="s">
        <v>114</v>
      </c>
      <c r="C1026" t="s">
        <v>10</v>
      </c>
      <c r="D1026" t="s">
        <v>153</v>
      </c>
      <c r="E1026" t="s">
        <v>126</v>
      </c>
      <c r="F1026" s="32">
        <v>76.050122700000003</v>
      </c>
      <c r="G1026" s="23">
        <v>7.933888938732224</v>
      </c>
      <c r="H1026" s="29">
        <v>6.1203760151108551</v>
      </c>
      <c r="I1026" s="7">
        <f t="shared" si="46"/>
        <v>7.933888938732224</v>
      </c>
      <c r="J1026" s="7">
        <f t="shared" si="47"/>
        <v>12.888058704893151</v>
      </c>
    </row>
    <row r="1027" spans="1:10" x14ac:dyDescent="0.35">
      <c r="A1027" t="s">
        <v>124</v>
      </c>
      <c r="B1027" t="s">
        <v>114</v>
      </c>
      <c r="C1027" t="s">
        <v>11</v>
      </c>
      <c r="D1027" t="s">
        <v>153</v>
      </c>
      <c r="E1027" t="s">
        <v>126</v>
      </c>
      <c r="F1027" s="32">
        <v>79.314416100000003</v>
      </c>
      <c r="G1027" s="23">
        <v>9.0806258489505129</v>
      </c>
      <c r="H1027" s="29">
        <v>21.798718456143334</v>
      </c>
      <c r="I1027" s="7">
        <f t="shared" si="46"/>
        <v>9.0806258489505129</v>
      </c>
      <c r="J1027" s="7">
        <f t="shared" si="47"/>
        <v>14.750854205572633</v>
      </c>
    </row>
    <row r="1028" spans="1:10" x14ac:dyDescent="0.35">
      <c r="A1028" t="s">
        <v>124</v>
      </c>
      <c r="B1028" t="s">
        <v>114</v>
      </c>
      <c r="C1028" t="s">
        <v>12</v>
      </c>
      <c r="D1028" t="s">
        <v>154</v>
      </c>
      <c r="E1028" t="s">
        <v>126</v>
      </c>
      <c r="F1028" s="32">
        <v>0</v>
      </c>
      <c r="G1028" s="23" t="e">
        <v>#N/A</v>
      </c>
      <c r="H1028" s="29">
        <v>-6.9050351451162548E-2</v>
      </c>
      <c r="I1028" s="7" t="e">
        <f t="shared" si="46"/>
        <v>#N/A</v>
      </c>
      <c r="J1028" s="7" t="e">
        <f t="shared" si="47"/>
        <v>#N/A</v>
      </c>
    </row>
    <row r="1029" spans="1:10" x14ac:dyDescent="0.35">
      <c r="A1029" t="s">
        <v>124</v>
      </c>
      <c r="B1029" t="s">
        <v>114</v>
      </c>
      <c r="C1029" t="s">
        <v>13</v>
      </c>
      <c r="D1029" t="s">
        <v>153</v>
      </c>
      <c r="E1029" t="s">
        <v>126</v>
      </c>
      <c r="F1029" s="32">
        <v>14.3998428</v>
      </c>
      <c r="G1029" s="23">
        <v>1.9516595232776819</v>
      </c>
      <c r="H1029" s="29">
        <v>0.69871946597172874</v>
      </c>
      <c r="I1029" s="7">
        <f t="shared" si="46"/>
        <v>1.9516595232776819</v>
      </c>
      <c r="J1029" s="7">
        <f t="shared" si="47"/>
        <v>3.1703371073386641</v>
      </c>
    </row>
    <row r="1030" spans="1:10" x14ac:dyDescent="0.35">
      <c r="A1030" t="s">
        <v>124</v>
      </c>
      <c r="B1030" t="s">
        <v>114</v>
      </c>
      <c r="C1030" t="s">
        <v>14</v>
      </c>
      <c r="D1030" t="s">
        <v>154</v>
      </c>
      <c r="E1030" t="s">
        <v>126</v>
      </c>
      <c r="F1030" s="32">
        <v>0</v>
      </c>
      <c r="G1030" s="23" t="e">
        <v>#N/A</v>
      </c>
      <c r="H1030" s="29">
        <v>-3.3574874481986532E-2</v>
      </c>
      <c r="I1030" s="7" t="e">
        <f t="shared" si="46"/>
        <v>#N/A</v>
      </c>
      <c r="J1030" s="7" t="e">
        <f t="shared" si="47"/>
        <v>#N/A</v>
      </c>
    </row>
    <row r="1031" spans="1:10" x14ac:dyDescent="0.35">
      <c r="A1031" t="s">
        <v>124</v>
      </c>
      <c r="B1031" t="s">
        <v>114</v>
      </c>
      <c r="C1031" t="s">
        <v>15</v>
      </c>
      <c r="D1031" t="s">
        <v>153</v>
      </c>
      <c r="E1031" t="s">
        <v>126</v>
      </c>
      <c r="F1031" s="32">
        <v>2314.9183994</v>
      </c>
      <c r="G1031" s="23">
        <v>56.159886748861879</v>
      </c>
      <c r="H1031" s="29">
        <v>168.69393606141506</v>
      </c>
      <c r="I1031" s="7">
        <f t="shared" si="46"/>
        <v>56.159886748861879</v>
      </c>
      <c r="J1031" s="7">
        <f t="shared" si="47"/>
        <v>91.227886206728201</v>
      </c>
    </row>
    <row r="1032" spans="1:10" x14ac:dyDescent="0.35">
      <c r="A1032" t="s">
        <v>124</v>
      </c>
      <c r="B1032" t="s">
        <v>114</v>
      </c>
      <c r="C1032" t="s">
        <v>16</v>
      </c>
      <c r="D1032" t="s">
        <v>154</v>
      </c>
      <c r="E1032" t="s">
        <v>126</v>
      </c>
      <c r="F1032" s="32">
        <v>267.76593310000004</v>
      </c>
      <c r="G1032" s="23">
        <v>24.747475642369086</v>
      </c>
      <c r="H1032" s="29">
        <v>67.454261281845248</v>
      </c>
      <c r="I1032" s="7">
        <f t="shared" si="46"/>
        <v>24.747475642369086</v>
      </c>
      <c r="J1032" s="7">
        <f t="shared" si="47"/>
        <v>40.200577716648937</v>
      </c>
    </row>
    <row r="1033" spans="1:10" x14ac:dyDescent="0.35">
      <c r="A1033" t="s">
        <v>124</v>
      </c>
      <c r="B1033" t="s">
        <v>114</v>
      </c>
      <c r="C1033" t="s">
        <v>18</v>
      </c>
      <c r="D1033" t="s">
        <v>154</v>
      </c>
      <c r="E1033" t="s">
        <v>126</v>
      </c>
      <c r="F1033" s="32">
        <v>0</v>
      </c>
      <c r="G1033" s="23" t="e">
        <v>#N/A</v>
      </c>
      <c r="H1033" s="29">
        <v>-3.7383847931638875E-2</v>
      </c>
      <c r="I1033" s="7" t="e">
        <f t="shared" si="46"/>
        <v>#N/A</v>
      </c>
      <c r="J1033" s="7" t="e">
        <f t="shared" si="47"/>
        <v>#N/A</v>
      </c>
    </row>
    <row r="1034" spans="1:10" x14ac:dyDescent="0.35">
      <c r="A1034" t="s">
        <v>124</v>
      </c>
      <c r="B1034" t="s">
        <v>114</v>
      </c>
      <c r="C1034" t="s">
        <v>19</v>
      </c>
      <c r="D1034" t="s">
        <v>153</v>
      </c>
      <c r="E1034" t="s">
        <v>126</v>
      </c>
      <c r="F1034" s="32">
        <v>479.38030459999999</v>
      </c>
      <c r="G1034" s="23">
        <v>36.913446040976481</v>
      </c>
      <c r="H1034" s="29">
        <v>39.296754225697256</v>
      </c>
      <c r="I1034" s="7">
        <f t="shared" si="46"/>
        <v>36.913446040976481</v>
      </c>
      <c r="J1034" s="7">
        <f t="shared" si="47"/>
        <v>59.963362639662897</v>
      </c>
    </row>
    <row r="1035" spans="1:10" x14ac:dyDescent="0.35">
      <c r="A1035" t="s">
        <v>124</v>
      </c>
      <c r="B1035" t="s">
        <v>114</v>
      </c>
      <c r="C1035" t="s">
        <v>20</v>
      </c>
      <c r="D1035" t="s">
        <v>154</v>
      </c>
      <c r="E1035" t="s">
        <v>126</v>
      </c>
      <c r="F1035" s="32">
        <v>410.53133990000003</v>
      </c>
      <c r="G1035" s="23">
        <v>40.960163497259252</v>
      </c>
      <c r="H1035" s="29">
        <v>100.79999223690251</v>
      </c>
      <c r="I1035" s="7">
        <f t="shared" si="46"/>
        <v>40.960163497259252</v>
      </c>
      <c r="J1035" s="7">
        <f t="shared" si="47"/>
        <v>66.536977740836988</v>
      </c>
    </row>
    <row r="1036" spans="1:10" x14ac:dyDescent="0.35">
      <c r="A1036" t="s">
        <v>124</v>
      </c>
      <c r="B1036" t="s">
        <v>114</v>
      </c>
      <c r="C1036" t="s">
        <v>21</v>
      </c>
      <c r="D1036" t="s">
        <v>155</v>
      </c>
      <c r="E1036" t="s">
        <v>126</v>
      </c>
      <c r="F1036" s="32">
        <v>1.4892816</v>
      </c>
      <c r="G1036" s="23" t="e">
        <v>#N/A</v>
      </c>
      <c r="H1036" s="29">
        <v>0.35490324354430808</v>
      </c>
      <c r="I1036" s="7" t="e">
        <f t="shared" si="46"/>
        <v>#N/A</v>
      </c>
      <c r="J1036" s="7" t="e">
        <f t="shared" si="47"/>
        <v>#N/A</v>
      </c>
    </row>
    <row r="1037" spans="1:10" x14ac:dyDescent="0.35">
      <c r="A1037" t="s">
        <v>124</v>
      </c>
      <c r="B1037" t="s">
        <v>114</v>
      </c>
      <c r="C1037" t="s">
        <v>22</v>
      </c>
      <c r="D1037" t="s">
        <v>155</v>
      </c>
      <c r="E1037" t="s">
        <v>126</v>
      </c>
      <c r="F1037" s="32">
        <v>196.64121510000001</v>
      </c>
      <c r="G1037" s="23">
        <v>15.121213176296461</v>
      </c>
      <c r="H1037" s="29">
        <v>33.839342039668679</v>
      </c>
      <c r="I1037" s="7">
        <f t="shared" si="46"/>
        <v>15.121213176296461</v>
      </c>
      <c r="J1037" s="7">
        <f t="shared" si="47"/>
        <v>24.563374230501072</v>
      </c>
    </row>
    <row r="1038" spans="1:10" x14ac:dyDescent="0.35">
      <c r="A1038" t="s">
        <v>124</v>
      </c>
      <c r="B1038" t="s">
        <v>114</v>
      </c>
      <c r="C1038" t="s">
        <v>23</v>
      </c>
      <c r="D1038" t="s">
        <v>155</v>
      </c>
      <c r="E1038" t="s">
        <v>126</v>
      </c>
      <c r="F1038" s="32">
        <v>0.48720429999999998</v>
      </c>
      <c r="G1038" s="23">
        <v>0.4806031431887286</v>
      </c>
      <c r="H1038" s="29">
        <v>0.10682015582623965</v>
      </c>
      <c r="I1038" s="7">
        <f t="shared" si="46"/>
        <v>0.4806031431887286</v>
      </c>
      <c r="J1038" s="7">
        <f t="shared" si="47"/>
        <v>0.78070686028058567</v>
      </c>
    </row>
    <row r="1039" spans="1:10" x14ac:dyDescent="0.35">
      <c r="A1039" t="s">
        <v>124</v>
      </c>
      <c r="B1039" t="s">
        <v>114</v>
      </c>
      <c r="C1039" t="s">
        <v>24</v>
      </c>
      <c r="D1039" t="s">
        <v>155</v>
      </c>
      <c r="E1039" t="s">
        <v>126</v>
      </c>
      <c r="F1039" s="32">
        <v>171.92456200000001</v>
      </c>
      <c r="G1039" s="23">
        <v>3.8311379806780455</v>
      </c>
      <c r="H1039" s="29">
        <v>4.9036342458050992</v>
      </c>
      <c r="I1039" s="7">
        <f t="shared" si="46"/>
        <v>3.8311379806780455</v>
      </c>
      <c r="J1039" s="7">
        <f t="shared" si="47"/>
        <v>6.2234210212443877</v>
      </c>
    </row>
    <row r="1040" spans="1:10" x14ac:dyDescent="0.35">
      <c r="A1040" t="s">
        <v>124</v>
      </c>
      <c r="B1040" t="s">
        <v>114</v>
      </c>
      <c r="C1040" t="s">
        <v>25</v>
      </c>
      <c r="D1040" t="s">
        <v>155</v>
      </c>
      <c r="E1040" t="s">
        <v>126</v>
      </c>
      <c r="F1040" s="32">
        <v>7.9447387000000003</v>
      </c>
      <c r="G1040" s="23">
        <v>0.68934037584326024</v>
      </c>
      <c r="H1040" s="29">
        <v>0.83926943553303657</v>
      </c>
      <c r="I1040" s="7">
        <f t="shared" si="46"/>
        <v>0.68934037584326024</v>
      </c>
      <c r="J1040" s="7">
        <f t="shared" si="47"/>
        <v>1.1197861855803448</v>
      </c>
    </row>
    <row r="1041" spans="1:10" x14ac:dyDescent="0.35">
      <c r="A1041" t="s">
        <v>124</v>
      </c>
      <c r="B1041" t="s">
        <v>114</v>
      </c>
      <c r="C1041" t="s">
        <v>26</v>
      </c>
      <c r="D1041" t="s">
        <v>153</v>
      </c>
      <c r="E1041" t="s">
        <v>126</v>
      </c>
      <c r="F1041" s="32">
        <v>1.3960406000000001</v>
      </c>
      <c r="G1041" s="23">
        <v>0.6607937098975365</v>
      </c>
      <c r="H1041" s="29">
        <v>-4.6472720360996686E-2</v>
      </c>
      <c r="I1041" s="7">
        <f t="shared" si="46"/>
        <v>0.6607937098975365</v>
      </c>
      <c r="J1041" s="7">
        <f t="shared" si="47"/>
        <v>1.0734140836542179</v>
      </c>
    </row>
    <row r="1042" spans="1:10" x14ac:dyDescent="0.35">
      <c r="A1042" t="s">
        <v>124</v>
      </c>
      <c r="B1042" t="s">
        <v>114</v>
      </c>
      <c r="C1042" t="s">
        <v>27</v>
      </c>
      <c r="D1042" t="s">
        <v>154</v>
      </c>
      <c r="E1042" t="s">
        <v>126</v>
      </c>
      <c r="F1042" s="32">
        <v>10.1013825</v>
      </c>
      <c r="G1042" s="23">
        <v>4.2627328744047679</v>
      </c>
      <c r="H1042" s="29">
        <v>2.8089676713954943</v>
      </c>
      <c r="I1042" s="7">
        <f t="shared" si="46"/>
        <v>4.2627328744047679</v>
      </c>
      <c r="J1042" s="7">
        <f t="shared" si="47"/>
        <v>6.924517339838804</v>
      </c>
    </row>
    <row r="1043" spans="1:10" x14ac:dyDescent="0.35">
      <c r="A1043" t="s">
        <v>124</v>
      </c>
      <c r="B1043" t="s">
        <v>114</v>
      </c>
      <c r="C1043" t="s">
        <v>28</v>
      </c>
      <c r="D1043" t="s">
        <v>155</v>
      </c>
      <c r="E1043" t="s">
        <v>126</v>
      </c>
      <c r="F1043" s="32">
        <v>29.1996331</v>
      </c>
      <c r="G1043" s="23">
        <v>3.4797485163356296</v>
      </c>
      <c r="H1043" s="29">
        <v>8.5730688347775654</v>
      </c>
      <c r="I1043" s="7">
        <f t="shared" si="46"/>
        <v>3.4797485163356296</v>
      </c>
      <c r="J1043" s="7">
        <f t="shared" si="47"/>
        <v>5.6526129245218151</v>
      </c>
    </row>
    <row r="1044" spans="1:10" x14ac:dyDescent="0.35">
      <c r="A1044" t="s">
        <v>124</v>
      </c>
      <c r="B1044" t="s">
        <v>114</v>
      </c>
      <c r="C1044" t="s">
        <v>29</v>
      </c>
      <c r="D1044" t="s">
        <v>155</v>
      </c>
      <c r="E1044" t="s">
        <v>126</v>
      </c>
      <c r="F1044" s="32">
        <v>0.65354269999999992</v>
      </c>
      <c r="G1044" s="23" t="e">
        <v>#N/A</v>
      </c>
      <c r="H1044" s="29">
        <v>0.16337464683172789</v>
      </c>
      <c r="I1044" s="7" t="e">
        <f t="shared" si="46"/>
        <v>#N/A</v>
      </c>
      <c r="J1044" s="7" t="e">
        <f t="shared" si="47"/>
        <v>#N/A</v>
      </c>
    </row>
    <row r="1045" spans="1:10" x14ac:dyDescent="0.35">
      <c r="A1045" t="s">
        <v>124</v>
      </c>
      <c r="B1045" t="s">
        <v>114</v>
      </c>
      <c r="C1045" t="s">
        <v>30</v>
      </c>
      <c r="D1045" t="s">
        <v>155</v>
      </c>
      <c r="E1045" t="s">
        <v>126</v>
      </c>
      <c r="F1045" s="32">
        <v>205.3323513</v>
      </c>
      <c r="G1045" s="23">
        <v>0.2525953137201043</v>
      </c>
      <c r="H1045" s="29">
        <v>25.422643392849821</v>
      </c>
      <c r="I1045" s="7">
        <f t="shared" si="46"/>
        <v>0.2525953137201043</v>
      </c>
      <c r="J1045" s="7">
        <f t="shared" si="47"/>
        <v>0.41032377147515314</v>
      </c>
    </row>
    <row r="1046" spans="1:10" x14ac:dyDescent="0.35">
      <c r="A1046" t="s">
        <v>124</v>
      </c>
      <c r="B1046" t="s">
        <v>114</v>
      </c>
      <c r="C1046" t="s">
        <v>31</v>
      </c>
      <c r="D1046" t="s">
        <v>155</v>
      </c>
      <c r="E1046" t="s">
        <v>126</v>
      </c>
      <c r="F1046" s="32" t="e">
        <v>#N/A</v>
      </c>
      <c r="G1046" s="23" t="e">
        <v>#N/A</v>
      </c>
      <c r="H1046" s="29">
        <v>7.2799273891993407E-2</v>
      </c>
      <c r="I1046" s="7" t="e">
        <f t="shared" si="46"/>
        <v>#N/A</v>
      </c>
      <c r="J1046" s="7" t="e">
        <f t="shared" si="47"/>
        <v>#N/A</v>
      </c>
    </row>
    <row r="1047" spans="1:10" x14ac:dyDescent="0.35">
      <c r="A1047" t="s">
        <v>124</v>
      </c>
      <c r="B1047" t="s">
        <v>114</v>
      </c>
      <c r="C1047" t="s">
        <v>32</v>
      </c>
      <c r="D1047" t="s">
        <v>153</v>
      </c>
      <c r="E1047" t="s">
        <v>126</v>
      </c>
      <c r="F1047" s="32">
        <v>0</v>
      </c>
      <c r="G1047" s="23" t="e">
        <v>#N/A</v>
      </c>
      <c r="H1047" s="29">
        <v>6.8459378396437329E-2</v>
      </c>
      <c r="I1047" s="7" t="e">
        <f t="shared" si="46"/>
        <v>#N/A</v>
      </c>
      <c r="J1047" s="7" t="e">
        <f t="shared" si="47"/>
        <v>#N/A</v>
      </c>
    </row>
    <row r="1048" spans="1:10" x14ac:dyDescent="0.35">
      <c r="A1048" t="s">
        <v>124</v>
      </c>
      <c r="B1048" t="s">
        <v>114</v>
      </c>
      <c r="C1048" t="s">
        <v>33</v>
      </c>
      <c r="D1048" t="s">
        <v>155</v>
      </c>
      <c r="E1048" t="s">
        <v>126</v>
      </c>
      <c r="F1048" s="32">
        <v>176.332233</v>
      </c>
      <c r="G1048" s="23">
        <v>10.077690788332001</v>
      </c>
      <c r="H1048" s="29">
        <v>12.015738983144146</v>
      </c>
      <c r="I1048" s="7">
        <f t="shared" si="46"/>
        <v>10.077690788332001</v>
      </c>
      <c r="J1048" s="7">
        <f t="shared" si="47"/>
        <v>16.370517849792073</v>
      </c>
    </row>
    <row r="1049" spans="1:10" x14ac:dyDescent="0.35">
      <c r="A1049" t="s">
        <v>124</v>
      </c>
      <c r="B1049" t="s">
        <v>114</v>
      </c>
      <c r="C1049" t="s">
        <v>34</v>
      </c>
      <c r="D1049" t="s">
        <v>153</v>
      </c>
      <c r="E1049" t="s">
        <v>126</v>
      </c>
      <c r="F1049" s="32">
        <v>0</v>
      </c>
      <c r="G1049" s="23" t="e">
        <v>#N/A</v>
      </c>
      <c r="H1049" s="29">
        <v>-0.11162506109048258</v>
      </c>
      <c r="I1049" s="7" t="e">
        <f t="shared" si="46"/>
        <v>#N/A</v>
      </c>
      <c r="J1049" s="7" t="e">
        <f t="shared" si="47"/>
        <v>#N/A</v>
      </c>
    </row>
    <row r="1050" spans="1:10" x14ac:dyDescent="0.35">
      <c r="A1050" t="s">
        <v>124</v>
      </c>
      <c r="B1050" t="s">
        <v>114</v>
      </c>
      <c r="C1050" t="s">
        <v>35</v>
      </c>
      <c r="D1050" t="s">
        <v>154</v>
      </c>
      <c r="E1050" t="s">
        <v>126</v>
      </c>
      <c r="F1050" s="32">
        <v>121.65280560000001</v>
      </c>
      <c r="G1050" s="23">
        <v>12.40598370734148</v>
      </c>
      <c r="H1050" s="29">
        <v>37.926601622475722</v>
      </c>
      <c r="I1050" s="7">
        <f t="shared" si="46"/>
        <v>12.40598370734148</v>
      </c>
      <c r="J1050" s="7">
        <f t="shared" si="47"/>
        <v>20.152670089898439</v>
      </c>
    </row>
    <row r="1051" spans="1:10" x14ac:dyDescent="0.35">
      <c r="A1051" t="s">
        <v>124</v>
      </c>
      <c r="B1051" t="s">
        <v>114</v>
      </c>
      <c r="C1051" t="s">
        <v>36</v>
      </c>
      <c r="D1051" t="s">
        <v>155</v>
      </c>
      <c r="E1051" t="s">
        <v>126</v>
      </c>
      <c r="F1051" s="32">
        <v>1.9353707</v>
      </c>
      <c r="G1051" s="23" t="e">
        <v>#N/A</v>
      </c>
      <c r="H1051" s="29">
        <v>0.17398071565884865</v>
      </c>
      <c r="I1051" s="7" t="e">
        <f t="shared" si="46"/>
        <v>#N/A</v>
      </c>
      <c r="J1051" s="7" t="e">
        <f t="shared" si="47"/>
        <v>#N/A</v>
      </c>
    </row>
    <row r="1052" spans="1:10" x14ac:dyDescent="0.35">
      <c r="A1052" t="s">
        <v>124</v>
      </c>
      <c r="B1052" t="s">
        <v>114</v>
      </c>
      <c r="C1052" t="s">
        <v>37</v>
      </c>
      <c r="D1052" t="s">
        <v>155</v>
      </c>
      <c r="E1052" t="s">
        <v>126</v>
      </c>
      <c r="F1052" s="32">
        <v>6.9613172999999993</v>
      </c>
      <c r="G1052" s="23">
        <v>2.2224417698167391</v>
      </c>
      <c r="H1052" s="29">
        <v>2.4625962400462589</v>
      </c>
      <c r="I1052" s="7">
        <f t="shared" si="46"/>
        <v>2.2224417698167391</v>
      </c>
      <c r="J1052" s="7">
        <f t="shared" si="47"/>
        <v>3.6102043044456451</v>
      </c>
    </row>
    <row r="1053" spans="1:10" x14ac:dyDescent="0.35">
      <c r="A1053" t="s">
        <v>124</v>
      </c>
      <c r="B1053" t="s">
        <v>114</v>
      </c>
      <c r="C1053" t="s">
        <v>38</v>
      </c>
      <c r="D1053" t="s">
        <v>155</v>
      </c>
      <c r="E1053" t="s">
        <v>126</v>
      </c>
      <c r="F1053" s="32">
        <v>6.4502670999999996</v>
      </c>
      <c r="G1053" s="23">
        <v>0.83269344897867459</v>
      </c>
      <c r="H1053" s="29">
        <v>0.84226244134085571</v>
      </c>
      <c r="I1053" s="7">
        <f t="shared" si="46"/>
        <v>0.83269344897867459</v>
      </c>
      <c r="J1053" s="7">
        <f t="shared" si="47"/>
        <v>1.3526534258912841</v>
      </c>
    </row>
    <row r="1054" spans="1:10" x14ac:dyDescent="0.35">
      <c r="A1054" t="s">
        <v>124</v>
      </c>
      <c r="B1054" t="s">
        <v>114</v>
      </c>
      <c r="C1054" t="s">
        <v>39</v>
      </c>
      <c r="D1054" t="s">
        <v>153</v>
      </c>
      <c r="E1054" t="s">
        <v>126</v>
      </c>
      <c r="F1054" s="32">
        <v>12.6469337</v>
      </c>
      <c r="G1054" s="23" t="e">
        <v>#N/A</v>
      </c>
      <c r="H1054" s="29">
        <v>0.2182755894300295</v>
      </c>
      <c r="I1054" s="7" t="e">
        <f t="shared" si="46"/>
        <v>#N/A</v>
      </c>
      <c r="J1054" s="7" t="e">
        <f t="shared" si="47"/>
        <v>#N/A</v>
      </c>
    </row>
    <row r="1055" spans="1:10" s="19" customFormat="1" x14ac:dyDescent="0.35">
      <c r="A1055" s="19" t="s">
        <v>124</v>
      </c>
      <c r="B1055" s="19" t="s">
        <v>114</v>
      </c>
      <c r="C1055" s="19" t="s">
        <v>40</v>
      </c>
      <c r="D1055" s="19" t="s">
        <v>154</v>
      </c>
      <c r="E1055" s="19" t="s">
        <v>126</v>
      </c>
      <c r="F1055" s="33">
        <v>0</v>
      </c>
      <c r="G1055" s="24" t="e">
        <v>#N/A</v>
      </c>
      <c r="H1055" s="30">
        <v>0.37779772215792268</v>
      </c>
      <c r="I1055" s="21" t="e">
        <f t="shared" si="46"/>
        <v>#N/A</v>
      </c>
      <c r="J1055" s="21" t="e">
        <f t="shared" si="47"/>
        <v>#N/A</v>
      </c>
    </row>
    <row r="1056" spans="1:10" x14ac:dyDescent="0.35">
      <c r="A1056" t="s">
        <v>127</v>
      </c>
      <c r="B1056" t="s">
        <v>117</v>
      </c>
      <c r="C1056" t="s">
        <v>6</v>
      </c>
      <c r="D1056" t="s">
        <v>153</v>
      </c>
      <c r="E1056" t="s">
        <v>126</v>
      </c>
      <c r="F1056" s="32">
        <v>6.7009607999999998</v>
      </c>
      <c r="G1056" s="23" t="e">
        <v>#N/A</v>
      </c>
      <c r="H1056" s="29">
        <v>0.74988008941271844</v>
      </c>
      <c r="I1056" s="7" t="e">
        <f t="shared" si="46"/>
        <v>#N/A</v>
      </c>
      <c r="J1056" s="7" t="e">
        <f>I1056/0.4067</f>
        <v>#N/A</v>
      </c>
    </row>
    <row r="1057" spans="1:10" x14ac:dyDescent="0.35">
      <c r="A1057" t="s">
        <v>127</v>
      </c>
      <c r="B1057" t="s">
        <v>117</v>
      </c>
      <c r="C1057" t="s">
        <v>7</v>
      </c>
      <c r="D1057" t="s">
        <v>153</v>
      </c>
      <c r="E1057" t="s">
        <v>126</v>
      </c>
      <c r="F1057" s="32">
        <v>0</v>
      </c>
      <c r="G1057" s="23" t="e">
        <v>#N/A</v>
      </c>
      <c r="H1057" s="29">
        <v>-0.10673027386204667</v>
      </c>
      <c r="I1057" s="7" t="e">
        <f t="shared" si="46"/>
        <v>#N/A</v>
      </c>
      <c r="J1057" s="7" t="e">
        <f t="shared" ref="J1057:J1089" si="48">I1057/0.4067</f>
        <v>#N/A</v>
      </c>
    </row>
    <row r="1058" spans="1:10" x14ac:dyDescent="0.35">
      <c r="A1058" t="s">
        <v>127</v>
      </c>
      <c r="B1058" t="s">
        <v>117</v>
      </c>
      <c r="C1058" t="s">
        <v>8</v>
      </c>
      <c r="D1058" t="s">
        <v>153</v>
      </c>
      <c r="E1058" t="s">
        <v>126</v>
      </c>
      <c r="F1058" s="32" t="e">
        <v>#N/A</v>
      </c>
      <c r="G1058" s="23" t="e">
        <v>#N/A</v>
      </c>
      <c r="H1058" s="29">
        <v>-4.31894910440234E-2</v>
      </c>
      <c r="I1058" s="7" t="e">
        <f t="shared" si="46"/>
        <v>#N/A</v>
      </c>
      <c r="J1058" s="7" t="e">
        <f t="shared" si="48"/>
        <v>#N/A</v>
      </c>
    </row>
    <row r="1059" spans="1:10" x14ac:dyDescent="0.35">
      <c r="A1059" t="s">
        <v>127</v>
      </c>
      <c r="B1059" t="s">
        <v>117</v>
      </c>
      <c r="C1059" t="s">
        <v>9</v>
      </c>
      <c r="D1059" t="s">
        <v>153</v>
      </c>
      <c r="E1059" t="s">
        <v>126</v>
      </c>
      <c r="F1059" s="32">
        <v>1.8041423000000001</v>
      </c>
      <c r="G1059" s="23">
        <v>0.6338127261531995</v>
      </c>
      <c r="H1059" s="29">
        <v>2.7087041935606724</v>
      </c>
      <c r="I1059" s="7">
        <f t="shared" si="46"/>
        <v>0.6338127261531995</v>
      </c>
      <c r="J1059" s="7">
        <f t="shared" si="48"/>
        <v>1.5584281439714764</v>
      </c>
    </row>
    <row r="1060" spans="1:10" x14ac:dyDescent="0.35">
      <c r="A1060" t="s">
        <v>127</v>
      </c>
      <c r="B1060" t="s">
        <v>117</v>
      </c>
      <c r="C1060" t="s">
        <v>10</v>
      </c>
      <c r="D1060" t="s">
        <v>153</v>
      </c>
      <c r="E1060" t="s">
        <v>126</v>
      </c>
      <c r="F1060" s="32">
        <v>71.632268400000001</v>
      </c>
      <c r="G1060" s="23">
        <v>7.5784092849543967</v>
      </c>
      <c r="H1060" s="29">
        <v>5.7650032106526661</v>
      </c>
      <c r="I1060" s="7">
        <f t="shared" si="46"/>
        <v>7.5784092849543967</v>
      </c>
      <c r="J1060" s="7">
        <f t="shared" si="48"/>
        <v>18.633905298633874</v>
      </c>
    </row>
    <row r="1061" spans="1:10" x14ac:dyDescent="0.35">
      <c r="A1061" t="s">
        <v>127</v>
      </c>
      <c r="B1061" t="s">
        <v>117</v>
      </c>
      <c r="C1061" t="s">
        <v>11</v>
      </c>
      <c r="D1061" t="s">
        <v>153</v>
      </c>
      <c r="E1061" t="s">
        <v>126</v>
      </c>
      <c r="F1061" s="32">
        <v>44.227004299999997</v>
      </c>
      <c r="G1061" s="23">
        <v>5.6933716281153703</v>
      </c>
      <c r="H1061" s="29">
        <v>12.78793952568067</v>
      </c>
      <c r="I1061" s="7">
        <f t="shared" si="46"/>
        <v>5.6933716281153703</v>
      </c>
      <c r="J1061" s="7">
        <f t="shared" si="48"/>
        <v>13.998946712848218</v>
      </c>
    </row>
    <row r="1062" spans="1:10" x14ac:dyDescent="0.35">
      <c r="A1062" t="s">
        <v>127</v>
      </c>
      <c r="B1062" t="s">
        <v>117</v>
      </c>
      <c r="C1062" t="s">
        <v>12</v>
      </c>
      <c r="D1062" t="s">
        <v>154</v>
      </c>
      <c r="E1062" t="s">
        <v>126</v>
      </c>
      <c r="F1062" s="32">
        <v>0</v>
      </c>
      <c r="G1062" s="23" t="e">
        <v>#N/A</v>
      </c>
      <c r="H1062" s="29">
        <v>-8.2980193054368906E-2</v>
      </c>
      <c r="I1062" s="7" t="e">
        <f t="shared" si="46"/>
        <v>#N/A</v>
      </c>
      <c r="J1062" s="7" t="e">
        <f t="shared" si="48"/>
        <v>#N/A</v>
      </c>
    </row>
    <row r="1063" spans="1:10" x14ac:dyDescent="0.35">
      <c r="A1063" t="s">
        <v>127</v>
      </c>
      <c r="B1063" t="s">
        <v>117</v>
      </c>
      <c r="C1063" t="s">
        <v>13</v>
      </c>
      <c r="D1063" t="s">
        <v>153</v>
      </c>
      <c r="E1063" t="s">
        <v>126</v>
      </c>
      <c r="F1063" s="32">
        <v>11.7503709</v>
      </c>
      <c r="G1063" s="23">
        <v>1.7194276632796279</v>
      </c>
      <c r="H1063" s="29">
        <v>0.57182263546717693</v>
      </c>
      <c r="I1063" s="7">
        <f t="shared" si="46"/>
        <v>1.7194276632796279</v>
      </c>
      <c r="J1063" s="7">
        <f t="shared" si="48"/>
        <v>4.2277542741077649</v>
      </c>
    </row>
    <row r="1064" spans="1:10" x14ac:dyDescent="0.35">
      <c r="A1064" t="s">
        <v>127</v>
      </c>
      <c r="B1064" t="s">
        <v>117</v>
      </c>
      <c r="C1064" t="s">
        <v>14</v>
      </c>
      <c r="D1064" t="s">
        <v>154</v>
      </c>
      <c r="E1064" t="s">
        <v>126</v>
      </c>
      <c r="F1064" s="32">
        <v>0</v>
      </c>
      <c r="G1064" s="23" t="e">
        <v>#N/A</v>
      </c>
      <c r="H1064" s="29">
        <v>-4.3469879058564219E-2</v>
      </c>
      <c r="I1064" s="7" t="e">
        <f t="shared" si="46"/>
        <v>#N/A</v>
      </c>
      <c r="J1064" s="7" t="e">
        <f t="shared" si="48"/>
        <v>#N/A</v>
      </c>
    </row>
    <row r="1065" spans="1:10" x14ac:dyDescent="0.35">
      <c r="A1065" t="s">
        <v>127</v>
      </c>
      <c r="B1065" t="s">
        <v>117</v>
      </c>
      <c r="C1065" t="s">
        <v>15</v>
      </c>
      <c r="D1065" t="s">
        <v>153</v>
      </c>
      <c r="E1065" t="s">
        <v>126</v>
      </c>
      <c r="F1065" s="32">
        <v>1889.5194114000001</v>
      </c>
      <c r="G1065" s="23">
        <v>45.462375132835163</v>
      </c>
      <c r="H1065" s="29">
        <v>137.66848097562385</v>
      </c>
      <c r="I1065" s="7">
        <f t="shared" si="46"/>
        <v>45.462375132835163</v>
      </c>
      <c r="J1065" s="7">
        <f t="shared" si="48"/>
        <v>111.78356314933652</v>
      </c>
    </row>
    <row r="1066" spans="1:10" x14ac:dyDescent="0.35">
      <c r="A1066" t="s">
        <v>127</v>
      </c>
      <c r="B1066" t="s">
        <v>117</v>
      </c>
      <c r="C1066" t="s">
        <v>16</v>
      </c>
      <c r="D1066" t="s">
        <v>154</v>
      </c>
      <c r="E1066" t="s">
        <v>126</v>
      </c>
      <c r="F1066" s="32">
        <v>76.218546000000003</v>
      </c>
      <c r="G1066" s="23">
        <v>7.6229520638149806</v>
      </c>
      <c r="H1066" s="29">
        <v>19.526118852019248</v>
      </c>
      <c r="I1066" s="7">
        <f t="shared" si="46"/>
        <v>7.6229520638149806</v>
      </c>
      <c r="J1066" s="7">
        <f t="shared" si="48"/>
        <v>18.743427744811854</v>
      </c>
    </row>
    <row r="1067" spans="1:10" x14ac:dyDescent="0.35">
      <c r="A1067" t="s">
        <v>127</v>
      </c>
      <c r="B1067" t="s">
        <v>117</v>
      </c>
      <c r="C1067" t="s">
        <v>18</v>
      </c>
      <c r="D1067" t="s">
        <v>154</v>
      </c>
      <c r="E1067" t="s">
        <v>126</v>
      </c>
      <c r="F1067" s="32">
        <v>0</v>
      </c>
      <c r="G1067" s="23" t="e">
        <v>#N/A</v>
      </c>
      <c r="H1067" s="29">
        <v>2.277011401353702E-2</v>
      </c>
      <c r="I1067" s="7" t="e">
        <f t="shared" si="46"/>
        <v>#N/A</v>
      </c>
      <c r="J1067" s="7" t="e">
        <f t="shared" si="48"/>
        <v>#N/A</v>
      </c>
    </row>
    <row r="1068" spans="1:10" x14ac:dyDescent="0.35">
      <c r="A1068" t="s">
        <v>127</v>
      </c>
      <c r="B1068" t="s">
        <v>117</v>
      </c>
      <c r="C1068" t="s">
        <v>19</v>
      </c>
      <c r="D1068" t="s">
        <v>153</v>
      </c>
      <c r="E1068" t="s">
        <v>126</v>
      </c>
      <c r="F1068" s="32">
        <v>426.28469280000002</v>
      </c>
      <c r="G1068" s="23">
        <v>32.973914925065102</v>
      </c>
      <c r="H1068" s="29">
        <v>34.981474369221523</v>
      </c>
      <c r="I1068" s="7">
        <f t="shared" si="46"/>
        <v>32.973914925065102</v>
      </c>
      <c r="J1068" s="7">
        <f t="shared" si="48"/>
        <v>81.076751721330467</v>
      </c>
    </row>
    <row r="1069" spans="1:10" x14ac:dyDescent="0.35">
      <c r="A1069" t="s">
        <v>127</v>
      </c>
      <c r="B1069" t="s">
        <v>117</v>
      </c>
      <c r="C1069" t="s">
        <v>20</v>
      </c>
      <c r="D1069" t="s">
        <v>154</v>
      </c>
      <c r="E1069" t="s">
        <v>126</v>
      </c>
      <c r="F1069" s="32">
        <v>285.97256809999999</v>
      </c>
      <c r="G1069" s="23">
        <v>27.683007863733479</v>
      </c>
      <c r="H1069" s="29">
        <v>70.418536764350407</v>
      </c>
      <c r="I1069" s="7">
        <f t="shared" si="46"/>
        <v>27.683007863733479</v>
      </c>
      <c r="J1069" s="7">
        <f t="shared" si="48"/>
        <v>68.067390862388692</v>
      </c>
    </row>
    <row r="1070" spans="1:10" x14ac:dyDescent="0.35">
      <c r="A1070" t="s">
        <v>127</v>
      </c>
      <c r="B1070" t="s">
        <v>117</v>
      </c>
      <c r="C1070" t="s">
        <v>21</v>
      </c>
      <c r="D1070" t="s">
        <v>155</v>
      </c>
      <c r="E1070" t="s">
        <v>126</v>
      </c>
      <c r="F1070" s="32">
        <v>0.34854680000000005</v>
      </c>
      <c r="G1070" s="23" t="e">
        <v>#N/A</v>
      </c>
      <c r="H1070" s="29">
        <v>8.9467195003954142E-2</v>
      </c>
      <c r="I1070" s="7" t="e">
        <f t="shared" si="46"/>
        <v>#N/A</v>
      </c>
      <c r="J1070" s="7" t="e">
        <f t="shared" si="48"/>
        <v>#N/A</v>
      </c>
    </row>
    <row r="1071" spans="1:10" x14ac:dyDescent="0.35">
      <c r="A1071" t="s">
        <v>127</v>
      </c>
      <c r="B1071" t="s">
        <v>117</v>
      </c>
      <c r="C1071" t="s">
        <v>22</v>
      </c>
      <c r="D1071" t="s">
        <v>155</v>
      </c>
      <c r="E1071" t="s">
        <v>126</v>
      </c>
      <c r="F1071" s="32">
        <v>112.635541</v>
      </c>
      <c r="G1071" s="23">
        <v>8.6601606781876743</v>
      </c>
      <c r="H1071" s="29">
        <v>19.38503180035465</v>
      </c>
      <c r="I1071" s="7">
        <f t="shared" si="46"/>
        <v>8.6601606781876743</v>
      </c>
      <c r="J1071" s="7">
        <f t="shared" si="48"/>
        <v>21.293731689667258</v>
      </c>
    </row>
    <row r="1072" spans="1:10" x14ac:dyDescent="0.35">
      <c r="A1072" t="s">
        <v>127</v>
      </c>
      <c r="B1072" t="s">
        <v>117</v>
      </c>
      <c r="C1072" t="s">
        <v>23</v>
      </c>
      <c r="D1072" t="s">
        <v>155</v>
      </c>
      <c r="E1072" t="s">
        <v>126</v>
      </c>
      <c r="F1072" s="32">
        <v>0.24932679999999999</v>
      </c>
      <c r="G1072" s="23">
        <v>8.3675705601347711E-2</v>
      </c>
      <c r="H1072" s="29">
        <v>7.1326768174562113E-2</v>
      </c>
      <c r="I1072" s="7">
        <f t="shared" si="46"/>
        <v>8.3675705601347711E-2</v>
      </c>
      <c r="J1072" s="7">
        <f t="shared" si="48"/>
        <v>0.20574306762072217</v>
      </c>
    </row>
    <row r="1073" spans="1:10" x14ac:dyDescent="0.35">
      <c r="A1073" t="s">
        <v>127</v>
      </c>
      <c r="B1073" t="s">
        <v>117</v>
      </c>
      <c r="C1073" t="s">
        <v>24</v>
      </c>
      <c r="D1073" t="s">
        <v>155</v>
      </c>
      <c r="E1073" t="s">
        <v>126</v>
      </c>
      <c r="F1073" s="32">
        <v>81.385994499999995</v>
      </c>
      <c r="G1073" s="23">
        <v>1.7776158509369733</v>
      </c>
      <c r="H1073" s="29">
        <v>2.3113571032689624</v>
      </c>
      <c r="I1073" s="7">
        <f t="shared" si="46"/>
        <v>1.7776158509369733</v>
      </c>
      <c r="J1073" s="7">
        <f t="shared" si="48"/>
        <v>4.3708282540864847</v>
      </c>
    </row>
    <row r="1074" spans="1:10" x14ac:dyDescent="0.35">
      <c r="A1074" t="s">
        <v>127</v>
      </c>
      <c r="B1074" t="s">
        <v>117</v>
      </c>
      <c r="C1074" t="s">
        <v>25</v>
      </c>
      <c r="D1074" t="s">
        <v>155</v>
      </c>
      <c r="E1074" t="s">
        <v>126</v>
      </c>
      <c r="F1074" s="32">
        <v>0.47865540000000001</v>
      </c>
      <c r="G1074" s="23">
        <v>0.11762175082206544</v>
      </c>
      <c r="H1074" s="29">
        <v>0.17118249418806053</v>
      </c>
      <c r="I1074" s="7">
        <f t="shared" si="46"/>
        <v>0.11762175082206544</v>
      </c>
      <c r="J1074" s="7">
        <f t="shared" si="48"/>
        <v>0.28921010775034534</v>
      </c>
    </row>
    <row r="1075" spans="1:10" x14ac:dyDescent="0.35">
      <c r="A1075" t="s">
        <v>127</v>
      </c>
      <c r="B1075" t="s">
        <v>117</v>
      </c>
      <c r="C1075" t="s">
        <v>26</v>
      </c>
      <c r="D1075" t="s">
        <v>153</v>
      </c>
      <c r="E1075" t="s">
        <v>126</v>
      </c>
      <c r="F1075" s="32">
        <v>1.8113054</v>
      </c>
      <c r="G1075" s="23">
        <v>0.52549234462520011</v>
      </c>
      <c r="H1075" s="29">
        <v>-3.3979134997602745E-2</v>
      </c>
      <c r="I1075" s="7">
        <f t="shared" si="46"/>
        <v>0.52549234462520011</v>
      </c>
      <c r="J1075" s="7">
        <f t="shared" si="48"/>
        <v>1.2920883811782644</v>
      </c>
    </row>
    <row r="1076" spans="1:10" x14ac:dyDescent="0.35">
      <c r="A1076" t="s">
        <v>127</v>
      </c>
      <c r="B1076" t="s">
        <v>117</v>
      </c>
      <c r="C1076" t="s">
        <v>27</v>
      </c>
      <c r="D1076" t="s">
        <v>154</v>
      </c>
      <c r="E1076" t="s">
        <v>126</v>
      </c>
      <c r="F1076" s="32">
        <v>7.4938226999999999</v>
      </c>
      <c r="G1076" s="23">
        <v>2.0357712270095991</v>
      </c>
      <c r="H1076" s="29">
        <v>2.0843939848596578</v>
      </c>
      <c r="I1076" s="7">
        <f t="shared" si="46"/>
        <v>2.0357712270095991</v>
      </c>
      <c r="J1076" s="7">
        <f t="shared" si="48"/>
        <v>5.0055845267017434</v>
      </c>
    </row>
    <row r="1077" spans="1:10" x14ac:dyDescent="0.35">
      <c r="A1077" t="s">
        <v>127</v>
      </c>
      <c r="B1077" t="s">
        <v>117</v>
      </c>
      <c r="C1077" t="s">
        <v>28</v>
      </c>
      <c r="D1077" t="s">
        <v>155</v>
      </c>
      <c r="E1077" t="s">
        <v>126</v>
      </c>
      <c r="F1077" s="32">
        <v>14.9099658</v>
      </c>
      <c r="G1077" s="23">
        <v>1.6426050849982765</v>
      </c>
      <c r="H1077" s="29">
        <v>4.3830311278136023</v>
      </c>
      <c r="I1077" s="7">
        <f t="shared" si="46"/>
        <v>1.6426050849982765</v>
      </c>
      <c r="J1077" s="7">
        <f t="shared" si="48"/>
        <v>4.0388617777188998</v>
      </c>
    </row>
    <row r="1078" spans="1:10" x14ac:dyDescent="0.35">
      <c r="A1078" t="s">
        <v>127</v>
      </c>
      <c r="B1078" t="s">
        <v>117</v>
      </c>
      <c r="C1078" t="s">
        <v>29</v>
      </c>
      <c r="D1078" t="s">
        <v>155</v>
      </c>
      <c r="E1078" t="s">
        <v>126</v>
      </c>
      <c r="F1078" s="32">
        <v>0.43153140000000001</v>
      </c>
      <c r="G1078" s="23" t="e">
        <v>#N/A</v>
      </c>
      <c r="H1078" s="29">
        <v>9.6599091368889139E-2</v>
      </c>
      <c r="I1078" s="7" t="e">
        <f t="shared" si="46"/>
        <v>#N/A</v>
      </c>
      <c r="J1078" s="7" t="e">
        <f t="shared" si="48"/>
        <v>#N/A</v>
      </c>
    </row>
    <row r="1079" spans="1:10" x14ac:dyDescent="0.35">
      <c r="A1079" t="s">
        <v>127</v>
      </c>
      <c r="B1079" t="s">
        <v>117</v>
      </c>
      <c r="C1079" t="s">
        <v>30</v>
      </c>
      <c r="D1079" t="s">
        <v>155</v>
      </c>
      <c r="E1079" t="s">
        <v>126</v>
      </c>
      <c r="F1079" s="32">
        <v>114.3989926</v>
      </c>
      <c r="G1079" s="23">
        <v>4.6234421090708322</v>
      </c>
      <c r="H1079" s="29">
        <v>14.160908860235889</v>
      </c>
      <c r="I1079" s="7">
        <f t="shared" si="46"/>
        <v>4.6234421090708322</v>
      </c>
      <c r="J1079" s="7">
        <f t="shared" si="48"/>
        <v>11.368188121639617</v>
      </c>
    </row>
    <row r="1080" spans="1:10" x14ac:dyDescent="0.35">
      <c r="A1080" t="s">
        <v>127</v>
      </c>
      <c r="B1080" t="s">
        <v>117</v>
      </c>
      <c r="C1080" t="s">
        <v>31</v>
      </c>
      <c r="D1080" t="s">
        <v>155</v>
      </c>
      <c r="E1080" t="s">
        <v>126</v>
      </c>
      <c r="F1080" s="32" t="e">
        <v>#N/A</v>
      </c>
      <c r="G1080" s="23" t="e">
        <v>#N/A</v>
      </c>
      <c r="H1080" s="29">
        <v>7.3590092389525463E-2</v>
      </c>
      <c r="I1080" s="7" t="e">
        <f t="shared" si="46"/>
        <v>#N/A</v>
      </c>
      <c r="J1080" s="7" t="e">
        <f t="shared" si="48"/>
        <v>#N/A</v>
      </c>
    </row>
    <row r="1081" spans="1:10" x14ac:dyDescent="0.35">
      <c r="A1081" t="s">
        <v>127</v>
      </c>
      <c r="B1081" t="s">
        <v>117</v>
      </c>
      <c r="C1081" t="s">
        <v>32</v>
      </c>
      <c r="D1081" t="s">
        <v>153</v>
      </c>
      <c r="E1081" t="s">
        <v>126</v>
      </c>
      <c r="F1081" s="32">
        <v>0</v>
      </c>
      <c r="G1081" s="23" t="e">
        <v>#N/A</v>
      </c>
      <c r="H1081" s="29">
        <v>4.3739011019188513E-2</v>
      </c>
      <c r="I1081" s="7" t="e">
        <f t="shared" si="46"/>
        <v>#N/A</v>
      </c>
      <c r="J1081" s="7" t="e">
        <f t="shared" si="48"/>
        <v>#N/A</v>
      </c>
    </row>
    <row r="1082" spans="1:10" x14ac:dyDescent="0.35">
      <c r="A1082" t="s">
        <v>127</v>
      </c>
      <c r="B1082" t="s">
        <v>117</v>
      </c>
      <c r="C1082" t="s">
        <v>33</v>
      </c>
      <c r="D1082" t="s">
        <v>155</v>
      </c>
      <c r="E1082" t="s">
        <v>126</v>
      </c>
      <c r="F1082" s="32">
        <v>102.3994093</v>
      </c>
      <c r="G1082" s="23">
        <v>4.2632777828765054</v>
      </c>
      <c r="H1082" s="29">
        <v>5.2114885024709547</v>
      </c>
      <c r="I1082" s="7">
        <f t="shared" ref="I1082:I1145" si="49">IF(G1082&lt;0,0,G1082)</f>
        <v>4.2632777828765054</v>
      </c>
      <c r="J1082" s="7">
        <f t="shared" si="48"/>
        <v>10.482610727505545</v>
      </c>
    </row>
    <row r="1083" spans="1:10" x14ac:dyDescent="0.35">
      <c r="A1083" t="s">
        <v>127</v>
      </c>
      <c r="B1083" t="s">
        <v>117</v>
      </c>
      <c r="C1083" t="s">
        <v>34</v>
      </c>
      <c r="D1083" t="s">
        <v>153</v>
      </c>
      <c r="E1083" t="s">
        <v>126</v>
      </c>
      <c r="F1083" s="32">
        <v>0</v>
      </c>
      <c r="G1083" s="23" t="e">
        <v>#N/A</v>
      </c>
      <c r="H1083" s="29">
        <v>-0.13853207092757194</v>
      </c>
      <c r="I1083" s="7" t="e">
        <f t="shared" si="49"/>
        <v>#N/A</v>
      </c>
      <c r="J1083" s="7" t="e">
        <f t="shared" si="48"/>
        <v>#N/A</v>
      </c>
    </row>
    <row r="1084" spans="1:10" x14ac:dyDescent="0.35">
      <c r="A1084" t="s">
        <v>127</v>
      </c>
      <c r="B1084" t="s">
        <v>117</v>
      </c>
      <c r="C1084" t="s">
        <v>35</v>
      </c>
      <c r="D1084" t="s">
        <v>154</v>
      </c>
      <c r="E1084" t="s">
        <v>126</v>
      </c>
      <c r="F1084" s="32">
        <v>109.0391614</v>
      </c>
      <c r="G1084" s="23">
        <v>11.17565171304166</v>
      </c>
      <c r="H1084" s="29">
        <v>33.931989502600047</v>
      </c>
      <c r="I1084" s="7">
        <f t="shared" si="49"/>
        <v>11.17565171304166</v>
      </c>
      <c r="J1084" s="7">
        <f t="shared" si="48"/>
        <v>27.478858404331596</v>
      </c>
    </row>
    <row r="1085" spans="1:10" x14ac:dyDescent="0.35">
      <c r="A1085" t="s">
        <v>127</v>
      </c>
      <c r="B1085" t="s">
        <v>117</v>
      </c>
      <c r="C1085" t="s">
        <v>36</v>
      </c>
      <c r="D1085" t="s">
        <v>155</v>
      </c>
      <c r="E1085" t="s">
        <v>126</v>
      </c>
      <c r="F1085" s="32">
        <v>1.9337981</v>
      </c>
      <c r="G1085" s="23" t="e">
        <v>#N/A</v>
      </c>
      <c r="H1085" s="29">
        <v>0.17358076008336495</v>
      </c>
      <c r="I1085" s="7" t="e">
        <f t="shared" si="49"/>
        <v>#N/A</v>
      </c>
      <c r="J1085" s="7" t="e">
        <f t="shared" si="48"/>
        <v>#N/A</v>
      </c>
    </row>
    <row r="1086" spans="1:10" x14ac:dyDescent="0.35">
      <c r="A1086" t="s">
        <v>127</v>
      </c>
      <c r="B1086" t="s">
        <v>117</v>
      </c>
      <c r="C1086" t="s">
        <v>37</v>
      </c>
      <c r="D1086" t="s">
        <v>155</v>
      </c>
      <c r="E1086" t="s">
        <v>126</v>
      </c>
      <c r="F1086" s="32">
        <v>2.3408259999999999</v>
      </c>
      <c r="G1086" s="23">
        <v>0.83149828799393988</v>
      </c>
      <c r="H1086" s="29">
        <v>0.97519544047911644</v>
      </c>
      <c r="I1086" s="7">
        <f t="shared" si="49"/>
        <v>0.83149828799393988</v>
      </c>
      <c r="J1086" s="7">
        <f t="shared" si="48"/>
        <v>2.0445003393015488</v>
      </c>
    </row>
    <row r="1087" spans="1:10" x14ac:dyDescent="0.35">
      <c r="A1087" t="s">
        <v>127</v>
      </c>
      <c r="B1087" t="s">
        <v>117</v>
      </c>
      <c r="C1087" t="s">
        <v>38</v>
      </c>
      <c r="D1087" t="s">
        <v>155</v>
      </c>
      <c r="E1087" t="s">
        <v>126</v>
      </c>
      <c r="F1087" s="32">
        <v>1.0731941999999999</v>
      </c>
      <c r="G1087" s="23">
        <v>0.22354507381115526</v>
      </c>
      <c r="H1087" s="29">
        <v>0.20296004140476218</v>
      </c>
      <c r="I1087" s="7">
        <f t="shared" si="49"/>
        <v>0.22354507381115526</v>
      </c>
      <c r="J1087" s="7">
        <f t="shared" si="48"/>
        <v>0.54965594740879087</v>
      </c>
    </row>
    <row r="1088" spans="1:10" x14ac:dyDescent="0.35">
      <c r="A1088" t="s">
        <v>127</v>
      </c>
      <c r="B1088" t="s">
        <v>117</v>
      </c>
      <c r="C1088" t="s">
        <v>39</v>
      </c>
      <c r="D1088" t="s">
        <v>153</v>
      </c>
      <c r="E1088" t="s">
        <v>126</v>
      </c>
      <c r="F1088" s="32">
        <v>9.0722939</v>
      </c>
      <c r="G1088" s="23" t="e">
        <v>#N/A</v>
      </c>
      <c r="H1088" s="29">
        <v>6.4426492804895819E-2</v>
      </c>
      <c r="I1088" s="7" t="e">
        <f t="shared" si="49"/>
        <v>#N/A</v>
      </c>
      <c r="J1088" s="7" t="e">
        <f t="shared" si="48"/>
        <v>#N/A</v>
      </c>
    </row>
    <row r="1089" spans="1:13" s="19" customFormat="1" x14ac:dyDescent="0.35">
      <c r="A1089" s="19" t="s">
        <v>127</v>
      </c>
      <c r="B1089" s="19" t="s">
        <v>117</v>
      </c>
      <c r="C1089" s="19" t="s">
        <v>40</v>
      </c>
      <c r="D1089" s="19" t="s">
        <v>154</v>
      </c>
      <c r="E1089" s="19" t="s">
        <v>126</v>
      </c>
      <c r="F1089" s="33">
        <v>0</v>
      </c>
      <c r="G1089" s="24" t="e">
        <v>#N/A</v>
      </c>
      <c r="H1089" s="30">
        <v>-0.14562898728202836</v>
      </c>
      <c r="I1089" s="21" t="e">
        <f t="shared" si="49"/>
        <v>#N/A</v>
      </c>
      <c r="J1089" s="21" t="e">
        <f t="shared" si="48"/>
        <v>#N/A</v>
      </c>
      <c r="M1089"/>
    </row>
    <row r="1090" spans="1:13" x14ac:dyDescent="0.35">
      <c r="A1090" t="s">
        <v>129</v>
      </c>
      <c r="B1090" t="s">
        <v>120</v>
      </c>
      <c r="C1090" t="s">
        <v>6</v>
      </c>
      <c r="D1090" t="s">
        <v>153</v>
      </c>
      <c r="E1090" t="s">
        <v>126</v>
      </c>
      <c r="F1090" s="32">
        <v>6.9302637000000002</v>
      </c>
      <c r="G1090" s="23" t="e">
        <v>#N/A</v>
      </c>
      <c r="H1090" s="29">
        <v>0.7595337398328289</v>
      </c>
      <c r="I1090" s="7" t="e">
        <f t="shared" si="49"/>
        <v>#N/A</v>
      </c>
      <c r="J1090" s="7" t="e">
        <f>I1090/0.6182</f>
        <v>#N/A</v>
      </c>
    </row>
    <row r="1091" spans="1:13" x14ac:dyDescent="0.35">
      <c r="A1091" t="s">
        <v>129</v>
      </c>
      <c r="B1091" t="s">
        <v>120</v>
      </c>
      <c r="C1091" t="s">
        <v>7</v>
      </c>
      <c r="D1091" t="s">
        <v>153</v>
      </c>
      <c r="E1091" t="s">
        <v>126</v>
      </c>
      <c r="F1091" s="32">
        <v>0</v>
      </c>
      <c r="G1091" s="23" t="e">
        <v>#N/A</v>
      </c>
      <c r="H1091" s="29">
        <v>-0.10559728829320063</v>
      </c>
      <c r="I1091" s="7" t="e">
        <f t="shared" si="49"/>
        <v>#N/A</v>
      </c>
      <c r="J1091" s="7" t="e">
        <f t="shared" ref="J1091:J1123" si="50">I1091/0.6182</f>
        <v>#N/A</v>
      </c>
    </row>
    <row r="1092" spans="1:13" x14ac:dyDescent="0.35">
      <c r="A1092" t="s">
        <v>129</v>
      </c>
      <c r="B1092" t="s">
        <v>120</v>
      </c>
      <c r="C1092" t="s">
        <v>8</v>
      </c>
      <c r="D1092" t="s">
        <v>153</v>
      </c>
      <c r="E1092" t="s">
        <v>126</v>
      </c>
      <c r="F1092" s="32" t="e">
        <v>#N/A</v>
      </c>
      <c r="G1092" s="23" t="e">
        <v>#N/A</v>
      </c>
      <c r="H1092" s="29">
        <v>-4.2166708671151895E-2</v>
      </c>
      <c r="I1092" s="7" t="e">
        <f t="shared" si="49"/>
        <v>#N/A</v>
      </c>
      <c r="J1092" s="7" t="e">
        <f t="shared" si="50"/>
        <v>#N/A</v>
      </c>
    </row>
    <row r="1093" spans="1:13" x14ac:dyDescent="0.35">
      <c r="A1093" t="s">
        <v>129</v>
      </c>
      <c r="B1093" t="s">
        <v>120</v>
      </c>
      <c r="C1093" t="s">
        <v>9</v>
      </c>
      <c r="D1093" t="s">
        <v>153</v>
      </c>
      <c r="E1093" t="s">
        <v>126</v>
      </c>
      <c r="F1093" s="32">
        <v>0</v>
      </c>
      <c r="G1093" s="23">
        <v>0</v>
      </c>
      <c r="H1093" s="29">
        <v>1.4827384067976312</v>
      </c>
      <c r="I1093" s="7">
        <f t="shared" si="49"/>
        <v>0</v>
      </c>
      <c r="J1093" s="7">
        <f t="shared" si="50"/>
        <v>0</v>
      </c>
    </row>
    <row r="1094" spans="1:13" x14ac:dyDescent="0.35">
      <c r="A1094" t="s">
        <v>129</v>
      </c>
      <c r="B1094" t="s">
        <v>120</v>
      </c>
      <c r="C1094" t="s">
        <v>10</v>
      </c>
      <c r="D1094" t="s">
        <v>153</v>
      </c>
      <c r="E1094" t="s">
        <v>126</v>
      </c>
      <c r="F1094" s="32">
        <v>58.130237000000001</v>
      </c>
      <c r="G1094" s="23">
        <v>6.1021838876526147</v>
      </c>
      <c r="H1094" s="29">
        <v>4.6788984371985549</v>
      </c>
      <c r="I1094" s="7">
        <f t="shared" si="49"/>
        <v>6.1021838876526147</v>
      </c>
      <c r="J1094" s="7">
        <f t="shared" si="50"/>
        <v>9.8708894979822297</v>
      </c>
    </row>
    <row r="1095" spans="1:13" x14ac:dyDescent="0.35">
      <c r="A1095" t="s">
        <v>129</v>
      </c>
      <c r="B1095" t="s">
        <v>120</v>
      </c>
      <c r="C1095" t="s">
        <v>11</v>
      </c>
      <c r="D1095" t="s">
        <v>153</v>
      </c>
      <c r="E1095" t="s">
        <v>126</v>
      </c>
      <c r="F1095" s="32">
        <v>66.694819499999994</v>
      </c>
      <c r="G1095" s="23">
        <v>7.7858179637853659</v>
      </c>
      <c r="H1095" s="29">
        <v>18.55788696897196</v>
      </c>
      <c r="I1095" s="7">
        <f t="shared" si="49"/>
        <v>7.7858179637853659</v>
      </c>
      <c r="J1095" s="7">
        <f t="shared" si="50"/>
        <v>12.594335108031974</v>
      </c>
    </row>
    <row r="1096" spans="1:13" x14ac:dyDescent="0.35">
      <c r="A1096" t="s">
        <v>129</v>
      </c>
      <c r="B1096" t="s">
        <v>120</v>
      </c>
      <c r="C1096" t="s">
        <v>12</v>
      </c>
      <c r="D1096" t="s">
        <v>154</v>
      </c>
      <c r="E1096" t="s">
        <v>126</v>
      </c>
      <c r="F1096" s="32">
        <v>0</v>
      </c>
      <c r="G1096" s="23" t="e">
        <v>#N/A</v>
      </c>
      <c r="H1096" s="29">
        <v>-2.6022346219907573E-2</v>
      </c>
      <c r="I1096" s="7" t="e">
        <f t="shared" si="49"/>
        <v>#N/A</v>
      </c>
      <c r="J1096" s="7" t="e">
        <f t="shared" si="50"/>
        <v>#N/A</v>
      </c>
    </row>
    <row r="1097" spans="1:13" x14ac:dyDescent="0.35">
      <c r="A1097" t="s">
        <v>129</v>
      </c>
      <c r="B1097" t="s">
        <v>120</v>
      </c>
      <c r="C1097" t="s">
        <v>13</v>
      </c>
      <c r="D1097" t="s">
        <v>153</v>
      </c>
      <c r="E1097" t="s">
        <v>126</v>
      </c>
      <c r="F1097" s="32">
        <v>12.7353331</v>
      </c>
      <c r="G1097" s="23">
        <v>1.875647742747935</v>
      </c>
      <c r="H1097" s="29">
        <v>0.61899738217362432</v>
      </c>
      <c r="I1097" s="7">
        <f t="shared" si="49"/>
        <v>1.875647742747935</v>
      </c>
      <c r="J1097" s="7">
        <f t="shared" si="50"/>
        <v>3.0340468177740783</v>
      </c>
    </row>
    <row r="1098" spans="1:13" x14ac:dyDescent="0.35">
      <c r="A1098" t="s">
        <v>129</v>
      </c>
      <c r="B1098" t="s">
        <v>120</v>
      </c>
      <c r="C1098" t="s">
        <v>14</v>
      </c>
      <c r="D1098" t="s">
        <v>154</v>
      </c>
      <c r="E1098" t="s">
        <v>126</v>
      </c>
      <c r="F1098" s="32">
        <v>0</v>
      </c>
      <c r="G1098" s="23" t="e">
        <v>#N/A</v>
      </c>
      <c r="H1098" s="29">
        <v>-5.6155015461878177E-2</v>
      </c>
      <c r="I1098" s="7" t="e">
        <f t="shared" si="49"/>
        <v>#N/A</v>
      </c>
      <c r="J1098" s="7" t="e">
        <f t="shared" si="50"/>
        <v>#N/A</v>
      </c>
    </row>
    <row r="1099" spans="1:13" x14ac:dyDescent="0.35">
      <c r="A1099" t="s">
        <v>129</v>
      </c>
      <c r="B1099" t="s">
        <v>120</v>
      </c>
      <c r="C1099" t="s">
        <v>15</v>
      </c>
      <c r="D1099" t="s">
        <v>153</v>
      </c>
      <c r="E1099" t="s">
        <v>126</v>
      </c>
      <c r="F1099" s="32">
        <v>2400.2797278999997</v>
      </c>
      <c r="G1099" s="23">
        <v>57.478800656212037</v>
      </c>
      <c r="H1099" s="29">
        <v>174.91956269310734</v>
      </c>
      <c r="I1099" s="7">
        <f t="shared" si="49"/>
        <v>57.478800656212037</v>
      </c>
      <c r="J1099" s="7">
        <f t="shared" si="50"/>
        <v>92.977678188631572</v>
      </c>
    </row>
    <row r="1100" spans="1:13" x14ac:dyDescent="0.35">
      <c r="A1100" t="s">
        <v>129</v>
      </c>
      <c r="B1100" t="s">
        <v>120</v>
      </c>
      <c r="C1100" t="s">
        <v>16</v>
      </c>
      <c r="D1100" t="s">
        <v>154</v>
      </c>
      <c r="E1100" t="s">
        <v>126</v>
      </c>
      <c r="F1100" s="32">
        <v>235.98604349999999</v>
      </c>
      <c r="G1100" s="23">
        <v>21.900203484368767</v>
      </c>
      <c r="H1100" s="29">
        <v>59.502439184438487</v>
      </c>
      <c r="I1100" s="7">
        <f t="shared" si="49"/>
        <v>21.900203484368767</v>
      </c>
      <c r="J1100" s="7">
        <f t="shared" si="50"/>
        <v>35.42575782007242</v>
      </c>
    </row>
    <row r="1101" spans="1:13" x14ac:dyDescent="0.35">
      <c r="A1101" t="s">
        <v>129</v>
      </c>
      <c r="B1101" t="s">
        <v>120</v>
      </c>
      <c r="C1101" t="s">
        <v>18</v>
      </c>
      <c r="D1101" t="s">
        <v>154</v>
      </c>
      <c r="E1101" t="s">
        <v>126</v>
      </c>
      <c r="F1101" s="32">
        <v>0</v>
      </c>
      <c r="G1101" s="23" t="e">
        <v>#N/A</v>
      </c>
      <c r="H1101" s="29">
        <v>-4.1994895034313348E-2</v>
      </c>
      <c r="I1101" s="7" t="e">
        <f t="shared" si="49"/>
        <v>#N/A</v>
      </c>
      <c r="J1101" s="7" t="e">
        <f t="shared" si="50"/>
        <v>#N/A</v>
      </c>
    </row>
    <row r="1102" spans="1:13" x14ac:dyDescent="0.35">
      <c r="A1102" t="s">
        <v>129</v>
      </c>
      <c r="B1102" t="s">
        <v>120</v>
      </c>
      <c r="C1102" t="s">
        <v>19</v>
      </c>
      <c r="D1102" t="s">
        <v>153</v>
      </c>
      <c r="E1102" t="s">
        <v>126</v>
      </c>
      <c r="F1102" s="32">
        <v>508.78927429999999</v>
      </c>
      <c r="G1102" s="23">
        <v>38.696503051718267</v>
      </c>
      <c r="H1102" s="29">
        <v>41.686931969887752</v>
      </c>
      <c r="I1102" s="7">
        <f t="shared" si="49"/>
        <v>38.696503051718267</v>
      </c>
      <c r="J1102" s="7">
        <f t="shared" si="50"/>
        <v>62.595443305917613</v>
      </c>
    </row>
    <row r="1103" spans="1:13" x14ac:dyDescent="0.35">
      <c r="A1103" t="s">
        <v>129</v>
      </c>
      <c r="B1103" t="s">
        <v>120</v>
      </c>
      <c r="C1103" t="s">
        <v>20</v>
      </c>
      <c r="D1103" t="s">
        <v>154</v>
      </c>
      <c r="E1103" t="s">
        <v>126</v>
      </c>
      <c r="F1103" s="32">
        <v>398.91752480000002</v>
      </c>
      <c r="G1103" s="23">
        <v>37.638856105460526</v>
      </c>
      <c r="H1103" s="29">
        <v>97.967238379708618</v>
      </c>
      <c r="I1103" s="7">
        <f t="shared" si="49"/>
        <v>37.638856105460526</v>
      </c>
      <c r="J1103" s="7">
        <f t="shared" si="50"/>
        <v>60.884594153122819</v>
      </c>
    </row>
    <row r="1104" spans="1:13" x14ac:dyDescent="0.35">
      <c r="A1104" t="s">
        <v>129</v>
      </c>
      <c r="B1104" t="s">
        <v>120</v>
      </c>
      <c r="C1104" t="s">
        <v>21</v>
      </c>
      <c r="D1104" t="s">
        <v>155</v>
      </c>
      <c r="E1104" t="s">
        <v>126</v>
      </c>
      <c r="F1104" s="32">
        <v>0.34857530000000003</v>
      </c>
      <c r="G1104" s="23" t="e">
        <v>#N/A</v>
      </c>
      <c r="H1104" s="29">
        <v>8.9473766942237715E-2</v>
      </c>
      <c r="I1104" s="7" t="e">
        <f t="shared" si="49"/>
        <v>#N/A</v>
      </c>
      <c r="J1104" s="7" t="e">
        <f t="shared" si="50"/>
        <v>#N/A</v>
      </c>
    </row>
    <row r="1105" spans="1:10" x14ac:dyDescent="0.35">
      <c r="A1105" t="s">
        <v>129</v>
      </c>
      <c r="B1105" t="s">
        <v>120</v>
      </c>
      <c r="C1105" t="s">
        <v>22</v>
      </c>
      <c r="D1105" t="s">
        <v>155</v>
      </c>
      <c r="E1105" t="s">
        <v>126</v>
      </c>
      <c r="F1105" s="32">
        <v>201.41716920000002</v>
      </c>
      <c r="G1105" s="23">
        <v>15.3298495465003</v>
      </c>
      <c r="H1105" s="29">
        <v>34.661110292965958</v>
      </c>
      <c r="I1105" s="7">
        <f t="shared" si="49"/>
        <v>15.3298495465003</v>
      </c>
      <c r="J1105" s="7">
        <f t="shared" si="50"/>
        <v>24.797556691200747</v>
      </c>
    </row>
    <row r="1106" spans="1:10" x14ac:dyDescent="0.35">
      <c r="A1106" t="s">
        <v>129</v>
      </c>
      <c r="B1106" t="s">
        <v>120</v>
      </c>
      <c r="C1106" t="s">
        <v>23</v>
      </c>
      <c r="D1106" t="s">
        <v>155</v>
      </c>
      <c r="E1106" t="s">
        <v>126</v>
      </c>
      <c r="F1106" s="32" t="e">
        <v>#N/A</v>
      </c>
      <c r="G1106" s="23" t="e">
        <v>#N/A</v>
      </c>
      <c r="H1106" s="29">
        <v>2.1587910769968816E-2</v>
      </c>
      <c r="I1106" s="7" t="e">
        <f t="shared" si="49"/>
        <v>#N/A</v>
      </c>
      <c r="J1106" s="7" t="e">
        <f t="shared" si="50"/>
        <v>#N/A</v>
      </c>
    </row>
    <row r="1107" spans="1:10" x14ac:dyDescent="0.35">
      <c r="A1107" t="s">
        <v>129</v>
      </c>
      <c r="B1107" t="s">
        <v>120</v>
      </c>
      <c r="C1107" t="s">
        <v>24</v>
      </c>
      <c r="D1107" t="s">
        <v>155</v>
      </c>
      <c r="E1107" t="s">
        <v>126</v>
      </c>
      <c r="F1107" s="32">
        <v>177.0767367</v>
      </c>
      <c r="G1107" s="23">
        <v>3.8353618643394953</v>
      </c>
      <c r="H1107" s="29">
        <v>5.0511504660955007</v>
      </c>
      <c r="I1107" s="7">
        <f t="shared" si="49"/>
        <v>3.8353618643394953</v>
      </c>
      <c r="J1107" s="7">
        <f t="shared" si="50"/>
        <v>6.2040793664501708</v>
      </c>
    </row>
    <row r="1108" spans="1:10" x14ac:dyDescent="0.35">
      <c r="A1108" t="s">
        <v>129</v>
      </c>
      <c r="B1108" t="s">
        <v>120</v>
      </c>
      <c r="C1108" t="s">
        <v>25</v>
      </c>
      <c r="D1108" t="s">
        <v>155</v>
      </c>
      <c r="E1108" t="s">
        <v>126</v>
      </c>
      <c r="F1108" s="32">
        <v>9.7597837999999992</v>
      </c>
      <c r="G1108" s="23">
        <v>0.77085911192762413</v>
      </c>
      <c r="H1108" s="29">
        <v>1.0016849768146143</v>
      </c>
      <c r="I1108" s="7">
        <f t="shared" si="49"/>
        <v>0.77085911192762413</v>
      </c>
      <c r="J1108" s="7">
        <f t="shared" si="50"/>
        <v>1.2469413004329086</v>
      </c>
    </row>
    <row r="1109" spans="1:10" x14ac:dyDescent="0.35">
      <c r="A1109" t="s">
        <v>129</v>
      </c>
      <c r="B1109" t="s">
        <v>120</v>
      </c>
      <c r="C1109" t="s">
        <v>26</v>
      </c>
      <c r="D1109" t="s">
        <v>153</v>
      </c>
      <c r="E1109" t="s">
        <v>126</v>
      </c>
      <c r="F1109" s="32">
        <v>6.3919606999999994</v>
      </c>
      <c r="G1109" s="23">
        <v>1.100798017941327</v>
      </c>
      <c r="H1109" s="29">
        <v>0.10383393809957031</v>
      </c>
      <c r="I1109" s="7">
        <f t="shared" si="49"/>
        <v>1.100798017941327</v>
      </c>
      <c r="J1109" s="7">
        <f t="shared" si="50"/>
        <v>1.7806503040137933</v>
      </c>
    </row>
    <row r="1110" spans="1:10" x14ac:dyDescent="0.35">
      <c r="A1110" t="s">
        <v>129</v>
      </c>
      <c r="B1110" t="s">
        <v>120</v>
      </c>
      <c r="C1110" t="s">
        <v>27</v>
      </c>
      <c r="D1110" t="s">
        <v>154</v>
      </c>
      <c r="E1110" t="s">
        <v>126</v>
      </c>
      <c r="F1110" s="32">
        <v>8.7549446</v>
      </c>
      <c r="G1110" s="23">
        <v>2.959025275501292</v>
      </c>
      <c r="H1110" s="29">
        <v>2.4348265119735926</v>
      </c>
      <c r="I1110" s="7">
        <f t="shared" si="49"/>
        <v>2.959025275501292</v>
      </c>
      <c r="J1110" s="7">
        <f t="shared" si="50"/>
        <v>4.7865177539652093</v>
      </c>
    </row>
    <row r="1111" spans="1:10" x14ac:dyDescent="0.35">
      <c r="A1111" t="s">
        <v>129</v>
      </c>
      <c r="B1111" t="s">
        <v>120</v>
      </c>
      <c r="C1111" t="s">
        <v>28</v>
      </c>
      <c r="D1111" t="s">
        <v>155</v>
      </c>
      <c r="E1111" t="s">
        <v>126</v>
      </c>
      <c r="F1111" s="32">
        <v>26.735094799999999</v>
      </c>
      <c r="G1111" s="23">
        <v>2.5507041330666187</v>
      </c>
      <c r="H1111" s="29">
        <v>7.8504130960990013</v>
      </c>
      <c r="I1111" s="7">
        <f t="shared" si="49"/>
        <v>2.5507041330666187</v>
      </c>
      <c r="J1111" s="7">
        <f t="shared" si="50"/>
        <v>4.1260176853229034</v>
      </c>
    </row>
    <row r="1112" spans="1:10" x14ac:dyDescent="0.35">
      <c r="A1112" t="s">
        <v>129</v>
      </c>
      <c r="B1112" t="s">
        <v>120</v>
      </c>
      <c r="C1112" t="s">
        <v>29</v>
      </c>
      <c r="D1112" t="s">
        <v>155</v>
      </c>
      <c r="E1112" t="s">
        <v>126</v>
      </c>
      <c r="F1112" s="32" t="e">
        <v>#N/A</v>
      </c>
      <c r="G1112" s="23" t="e">
        <v>#N/A</v>
      </c>
      <c r="H1112" s="29">
        <v>9.2746730083234238E-2</v>
      </c>
      <c r="I1112" s="7" t="e">
        <f t="shared" si="49"/>
        <v>#N/A</v>
      </c>
      <c r="J1112" s="7" t="e">
        <f t="shared" si="50"/>
        <v>#N/A</v>
      </c>
    </row>
    <row r="1113" spans="1:10" x14ac:dyDescent="0.35">
      <c r="A1113" t="s">
        <v>129</v>
      </c>
      <c r="B1113" t="s">
        <v>120</v>
      </c>
      <c r="C1113" t="s">
        <v>30</v>
      </c>
      <c r="D1113" t="s">
        <v>155</v>
      </c>
      <c r="E1113" t="s">
        <v>126</v>
      </c>
      <c r="F1113" s="32">
        <v>201.34779139999998</v>
      </c>
      <c r="G1113" s="23">
        <v>8.1429610361124176</v>
      </c>
      <c r="H1113" s="29">
        <v>24.929172083838004</v>
      </c>
      <c r="I1113" s="7">
        <f t="shared" si="49"/>
        <v>8.1429610361124176</v>
      </c>
      <c r="J1113" s="7">
        <f t="shared" si="50"/>
        <v>13.172049556959589</v>
      </c>
    </row>
    <row r="1114" spans="1:10" x14ac:dyDescent="0.35">
      <c r="A1114" t="s">
        <v>129</v>
      </c>
      <c r="B1114" t="s">
        <v>120</v>
      </c>
      <c r="C1114" t="s">
        <v>31</v>
      </c>
      <c r="D1114" t="s">
        <v>155</v>
      </c>
      <c r="E1114" t="s">
        <v>126</v>
      </c>
      <c r="F1114" s="32" t="e">
        <v>#N/A</v>
      </c>
      <c r="G1114" s="23" t="e">
        <v>#N/A</v>
      </c>
      <c r="H1114" s="29">
        <v>6.9794493989918563E-2</v>
      </c>
      <c r="I1114" s="7" t="e">
        <f t="shared" si="49"/>
        <v>#N/A</v>
      </c>
      <c r="J1114" s="7" t="e">
        <f t="shared" si="50"/>
        <v>#N/A</v>
      </c>
    </row>
    <row r="1115" spans="1:10" x14ac:dyDescent="0.35">
      <c r="A1115" t="s">
        <v>129</v>
      </c>
      <c r="B1115" t="s">
        <v>120</v>
      </c>
      <c r="C1115" t="s">
        <v>32</v>
      </c>
      <c r="D1115" t="s">
        <v>153</v>
      </c>
      <c r="E1115" t="s">
        <v>126</v>
      </c>
      <c r="F1115" s="32">
        <v>0</v>
      </c>
      <c r="G1115" s="23" t="e">
        <v>#N/A</v>
      </c>
      <c r="H1115" s="29">
        <v>2.518569711238634E-2</v>
      </c>
      <c r="I1115" s="7" t="e">
        <f t="shared" si="49"/>
        <v>#N/A</v>
      </c>
      <c r="J1115" s="7" t="e">
        <f t="shared" si="50"/>
        <v>#N/A</v>
      </c>
    </row>
    <row r="1116" spans="1:10" x14ac:dyDescent="0.35">
      <c r="A1116" t="s">
        <v>129</v>
      </c>
      <c r="B1116" t="s">
        <v>120</v>
      </c>
      <c r="C1116" t="s">
        <v>33</v>
      </c>
      <c r="D1116" t="s">
        <v>155</v>
      </c>
      <c r="E1116" t="s">
        <v>126</v>
      </c>
      <c r="F1116" s="32">
        <v>178.7790397</v>
      </c>
      <c r="G1116" s="23">
        <v>10.110119406629867</v>
      </c>
      <c r="H1116" s="29">
        <v>12.284977136073829</v>
      </c>
      <c r="I1116" s="7">
        <f t="shared" si="49"/>
        <v>10.110119406629867</v>
      </c>
      <c r="J1116" s="7">
        <f t="shared" si="50"/>
        <v>16.35412391884482</v>
      </c>
    </row>
    <row r="1117" spans="1:10" x14ac:dyDescent="0.35">
      <c r="A1117" t="s">
        <v>129</v>
      </c>
      <c r="B1117" t="s">
        <v>120</v>
      </c>
      <c r="C1117" t="s">
        <v>34</v>
      </c>
      <c r="D1117" t="s">
        <v>153</v>
      </c>
      <c r="E1117" t="s">
        <v>126</v>
      </c>
      <c r="F1117" s="32">
        <v>0</v>
      </c>
      <c r="G1117" s="23" t="e">
        <v>#N/A</v>
      </c>
      <c r="H1117" s="29">
        <v>-0.16615303975603651</v>
      </c>
      <c r="I1117" s="7" t="e">
        <f t="shared" si="49"/>
        <v>#N/A</v>
      </c>
      <c r="J1117" s="7" t="e">
        <f t="shared" si="50"/>
        <v>#N/A</v>
      </c>
    </row>
    <row r="1118" spans="1:10" x14ac:dyDescent="0.35">
      <c r="A1118" t="s">
        <v>129</v>
      </c>
      <c r="B1118" t="s">
        <v>120</v>
      </c>
      <c r="C1118" t="s">
        <v>35</v>
      </c>
      <c r="D1118" t="s">
        <v>154</v>
      </c>
      <c r="E1118" t="s">
        <v>126</v>
      </c>
      <c r="F1118" s="32">
        <v>122.6897874</v>
      </c>
      <c r="G1118" s="23">
        <v>12.179499078005955</v>
      </c>
      <c r="H1118" s="29">
        <v>38.255004177382887</v>
      </c>
      <c r="I1118" s="7">
        <f t="shared" si="49"/>
        <v>12.179499078005955</v>
      </c>
      <c r="J1118" s="7">
        <f t="shared" si="50"/>
        <v>19.701551404085986</v>
      </c>
    </row>
    <row r="1119" spans="1:10" x14ac:dyDescent="0.35">
      <c r="A1119" t="s">
        <v>129</v>
      </c>
      <c r="B1119" t="s">
        <v>120</v>
      </c>
      <c r="C1119" t="s">
        <v>36</v>
      </c>
      <c r="D1119" t="s">
        <v>155</v>
      </c>
      <c r="E1119" t="s">
        <v>126</v>
      </c>
      <c r="F1119" s="32">
        <v>1.9588975</v>
      </c>
      <c r="G1119" s="23" t="e">
        <v>#N/A</v>
      </c>
      <c r="H1119" s="29">
        <v>0.17995638452186644</v>
      </c>
      <c r="I1119" s="7" t="e">
        <f t="shared" si="49"/>
        <v>#N/A</v>
      </c>
      <c r="J1119" s="7" t="e">
        <f t="shared" si="50"/>
        <v>#N/A</v>
      </c>
    </row>
    <row r="1120" spans="1:10" x14ac:dyDescent="0.35">
      <c r="A1120" t="s">
        <v>129</v>
      </c>
      <c r="B1120" t="s">
        <v>120</v>
      </c>
      <c r="C1120" t="s">
        <v>37</v>
      </c>
      <c r="D1120" t="s">
        <v>155</v>
      </c>
      <c r="E1120" t="s">
        <v>126</v>
      </c>
      <c r="F1120" s="32">
        <v>5.0671295000000001</v>
      </c>
      <c r="G1120" s="23" t="e">
        <v>#N/A</v>
      </c>
      <c r="H1120" s="29">
        <v>1.852830530170906</v>
      </c>
      <c r="I1120" s="7" t="e">
        <f t="shared" si="49"/>
        <v>#N/A</v>
      </c>
      <c r="J1120" s="7" t="e">
        <f t="shared" si="50"/>
        <v>#N/A</v>
      </c>
    </row>
    <row r="1121" spans="1:10" x14ac:dyDescent="0.35">
      <c r="A1121" t="s">
        <v>129</v>
      </c>
      <c r="B1121" t="s">
        <v>120</v>
      </c>
      <c r="C1121" t="s">
        <v>38</v>
      </c>
      <c r="D1121" t="s">
        <v>155</v>
      </c>
      <c r="E1121" t="s">
        <v>126</v>
      </c>
      <c r="F1121" s="32">
        <v>4.9528833000000008</v>
      </c>
      <c r="G1121" s="23" t="e">
        <v>#N/A</v>
      </c>
      <c r="H1121" s="29">
        <v>0.66423253349849509</v>
      </c>
      <c r="I1121" s="7" t="e">
        <f t="shared" si="49"/>
        <v>#N/A</v>
      </c>
      <c r="J1121" s="7" t="e">
        <f t="shared" si="50"/>
        <v>#N/A</v>
      </c>
    </row>
    <row r="1122" spans="1:10" x14ac:dyDescent="0.35">
      <c r="A1122" t="s">
        <v>129</v>
      </c>
      <c r="B1122" t="s">
        <v>120</v>
      </c>
      <c r="C1122" t="s">
        <v>39</v>
      </c>
      <c r="D1122" t="s">
        <v>153</v>
      </c>
      <c r="E1122" t="s">
        <v>126</v>
      </c>
      <c r="F1122" s="32">
        <v>13.239547</v>
      </c>
      <c r="G1122" s="23" t="e">
        <v>#N/A</v>
      </c>
      <c r="H1122" s="29">
        <v>0.24378164560612928</v>
      </c>
      <c r="I1122" s="7" t="e">
        <f t="shared" si="49"/>
        <v>#N/A</v>
      </c>
      <c r="J1122" s="7" t="e">
        <f t="shared" si="50"/>
        <v>#N/A</v>
      </c>
    </row>
    <row r="1123" spans="1:10" s="19" customFormat="1" x14ac:dyDescent="0.35">
      <c r="A1123" s="19" t="s">
        <v>129</v>
      </c>
      <c r="B1123" s="19" t="s">
        <v>120</v>
      </c>
      <c r="C1123" s="19" t="s">
        <v>40</v>
      </c>
      <c r="D1123" s="19" t="s">
        <v>154</v>
      </c>
      <c r="E1123" s="19" t="s">
        <v>126</v>
      </c>
      <c r="F1123" s="33">
        <v>0</v>
      </c>
      <c r="G1123" s="24" t="e">
        <v>#N/A</v>
      </c>
      <c r="H1123" s="30">
        <v>4.0746620842335005E-2</v>
      </c>
      <c r="I1123" s="21" t="e">
        <f t="shared" si="49"/>
        <v>#N/A</v>
      </c>
      <c r="J1123" s="21" t="e">
        <f t="shared" si="50"/>
        <v>#N/A</v>
      </c>
    </row>
    <row r="1124" spans="1:10" x14ac:dyDescent="0.35">
      <c r="A1124" t="s">
        <v>131</v>
      </c>
      <c r="B1124" t="s">
        <v>123</v>
      </c>
      <c r="C1124" t="s">
        <v>6</v>
      </c>
      <c r="D1124" t="s">
        <v>153</v>
      </c>
      <c r="E1124" t="s">
        <v>126</v>
      </c>
      <c r="F1124" s="32">
        <v>7.0599457000000001</v>
      </c>
      <c r="G1124" s="23" t="e">
        <v>#N/A</v>
      </c>
      <c r="H1124" s="29">
        <v>0.76499313015683856</v>
      </c>
      <c r="I1124" s="7" t="e">
        <f t="shared" si="49"/>
        <v>#N/A</v>
      </c>
      <c r="J1124" s="7" t="e">
        <f>I1124/0.5169</f>
        <v>#N/A</v>
      </c>
    </row>
    <row r="1125" spans="1:10" x14ac:dyDescent="0.35">
      <c r="A1125" t="s">
        <v>131</v>
      </c>
      <c r="B1125" t="s">
        <v>123</v>
      </c>
      <c r="C1125" t="s">
        <v>7</v>
      </c>
      <c r="D1125" t="s">
        <v>153</v>
      </c>
      <c r="E1125" t="s">
        <v>126</v>
      </c>
      <c r="F1125" s="32">
        <v>0</v>
      </c>
      <c r="G1125" s="23" t="e">
        <v>#N/A</v>
      </c>
      <c r="H1125" s="29">
        <v>-9.0331058991260441E-2</v>
      </c>
      <c r="I1125" s="7" t="e">
        <f t="shared" si="49"/>
        <v>#N/A</v>
      </c>
      <c r="J1125" s="7" t="e">
        <f t="shared" ref="J1125:J1157" si="51">I1125/0.5169</f>
        <v>#N/A</v>
      </c>
    </row>
    <row r="1126" spans="1:10" x14ac:dyDescent="0.35">
      <c r="A1126" t="s">
        <v>131</v>
      </c>
      <c r="B1126" t="s">
        <v>123</v>
      </c>
      <c r="C1126" t="s">
        <v>8</v>
      </c>
      <c r="D1126" t="s">
        <v>153</v>
      </c>
      <c r="E1126" t="s">
        <v>126</v>
      </c>
      <c r="F1126" s="32" t="e">
        <v>#N/A</v>
      </c>
      <c r="G1126" s="23" t="e">
        <v>#N/A</v>
      </c>
      <c r="H1126" s="29">
        <v>-8.6054193488415889E-3</v>
      </c>
      <c r="I1126" s="7" t="e">
        <f t="shared" si="49"/>
        <v>#N/A</v>
      </c>
      <c r="J1126" s="7" t="e">
        <f t="shared" si="51"/>
        <v>#N/A</v>
      </c>
    </row>
    <row r="1127" spans="1:10" x14ac:dyDescent="0.35">
      <c r="A1127" t="s">
        <v>131</v>
      </c>
      <c r="B1127" t="s">
        <v>123</v>
      </c>
      <c r="C1127" t="s">
        <v>9</v>
      </c>
      <c r="D1127" t="s">
        <v>153</v>
      </c>
      <c r="E1127" t="s">
        <v>126</v>
      </c>
      <c r="F1127" s="32">
        <v>2.4583841000000004</v>
      </c>
      <c r="G1127" s="23">
        <v>0.68508644401857066</v>
      </c>
      <c r="H1127" s="29">
        <v>2.9131707911054594</v>
      </c>
      <c r="I1127" s="7">
        <f t="shared" si="49"/>
        <v>0.68508644401857066</v>
      </c>
      <c r="J1127" s="7">
        <f t="shared" si="51"/>
        <v>1.3253752060719106</v>
      </c>
    </row>
    <row r="1128" spans="1:10" x14ac:dyDescent="0.35">
      <c r="A1128" t="s">
        <v>131</v>
      </c>
      <c r="B1128" t="s">
        <v>123</v>
      </c>
      <c r="C1128" t="s">
        <v>10</v>
      </c>
      <c r="D1128" t="s">
        <v>153</v>
      </c>
      <c r="E1128" t="s">
        <v>126</v>
      </c>
      <c r="F1128" s="32">
        <v>74.712324900000013</v>
      </c>
      <c r="G1128" s="23">
        <v>7.6471577044701551</v>
      </c>
      <c r="H1128" s="29">
        <v>6.0127636767524102</v>
      </c>
      <c r="I1128" s="7">
        <f t="shared" si="49"/>
        <v>7.6471577044701551</v>
      </c>
      <c r="J1128" s="7">
        <f t="shared" si="51"/>
        <v>14.794269112923494</v>
      </c>
    </row>
    <row r="1129" spans="1:10" x14ac:dyDescent="0.35">
      <c r="A1129" t="s">
        <v>131</v>
      </c>
      <c r="B1129" t="s">
        <v>123</v>
      </c>
      <c r="C1129" t="s">
        <v>11</v>
      </c>
      <c r="D1129" t="s">
        <v>153</v>
      </c>
      <c r="E1129" t="s">
        <v>126</v>
      </c>
      <c r="F1129" s="32">
        <v>54.893558499999997</v>
      </c>
      <c r="G1129" s="23">
        <v>6.3592827376073497</v>
      </c>
      <c r="H1129" s="29">
        <v>15.527211695494355</v>
      </c>
      <c r="I1129" s="7">
        <f t="shared" si="49"/>
        <v>6.3592827376073497</v>
      </c>
      <c r="J1129" s="7">
        <f t="shared" si="51"/>
        <v>12.302733096551266</v>
      </c>
    </row>
    <row r="1130" spans="1:10" x14ac:dyDescent="0.35">
      <c r="A1130" t="s">
        <v>131</v>
      </c>
      <c r="B1130" t="s">
        <v>123</v>
      </c>
      <c r="C1130" t="s">
        <v>12</v>
      </c>
      <c r="D1130" t="s">
        <v>154</v>
      </c>
      <c r="E1130" t="s">
        <v>126</v>
      </c>
      <c r="F1130" s="32">
        <v>0</v>
      </c>
      <c r="G1130" s="23" t="e">
        <v>#N/A</v>
      </c>
      <c r="H1130" s="29">
        <v>0.59341854919999015</v>
      </c>
      <c r="I1130" s="7" t="e">
        <f t="shared" si="49"/>
        <v>#N/A</v>
      </c>
      <c r="J1130" s="7" t="e">
        <f t="shared" si="51"/>
        <v>#N/A</v>
      </c>
    </row>
    <row r="1131" spans="1:10" x14ac:dyDescent="0.35">
      <c r="A1131" t="s">
        <v>131</v>
      </c>
      <c r="B1131" t="s">
        <v>123</v>
      </c>
      <c r="C1131" t="s">
        <v>13</v>
      </c>
      <c r="D1131" t="s">
        <v>153</v>
      </c>
      <c r="E1131" t="s">
        <v>126</v>
      </c>
      <c r="F1131" s="32">
        <v>6.449668</v>
      </c>
      <c r="G1131" s="23">
        <v>1.0240981381167884</v>
      </c>
      <c r="H1131" s="29">
        <v>0.31794433419164525</v>
      </c>
      <c r="I1131" s="7">
        <f t="shared" si="49"/>
        <v>1.0240981381167884</v>
      </c>
      <c r="J1131" s="7">
        <f t="shared" si="51"/>
        <v>1.9812306792741117</v>
      </c>
    </row>
    <row r="1132" spans="1:10" x14ac:dyDescent="0.35">
      <c r="A1132" t="s">
        <v>131</v>
      </c>
      <c r="B1132" t="s">
        <v>123</v>
      </c>
      <c r="C1132" t="s">
        <v>14</v>
      </c>
      <c r="D1132" t="s">
        <v>154</v>
      </c>
      <c r="E1132" t="s">
        <v>126</v>
      </c>
      <c r="F1132" s="32">
        <v>0</v>
      </c>
      <c r="G1132" s="23" t="e">
        <v>#N/A</v>
      </c>
      <c r="H1132" s="29">
        <v>-2.421024153902173E-2</v>
      </c>
      <c r="I1132" s="7" t="e">
        <f t="shared" si="49"/>
        <v>#N/A</v>
      </c>
      <c r="J1132" s="7" t="e">
        <f t="shared" si="51"/>
        <v>#N/A</v>
      </c>
    </row>
    <row r="1133" spans="1:10" x14ac:dyDescent="0.35">
      <c r="A1133" t="s">
        <v>131</v>
      </c>
      <c r="B1133" t="s">
        <v>123</v>
      </c>
      <c r="C1133" t="s">
        <v>15</v>
      </c>
      <c r="D1133" t="s">
        <v>153</v>
      </c>
      <c r="E1133" t="s">
        <v>126</v>
      </c>
      <c r="F1133" s="32">
        <v>2264.3087267000001</v>
      </c>
      <c r="G1133" s="23">
        <v>53.745238315421858</v>
      </c>
      <c r="H1133" s="29">
        <v>165.0028437550279</v>
      </c>
      <c r="I1133" s="7">
        <f t="shared" si="49"/>
        <v>53.745238315421858</v>
      </c>
      <c r="J1133" s="7">
        <f t="shared" si="51"/>
        <v>103.97608495922201</v>
      </c>
    </row>
    <row r="1134" spans="1:10" x14ac:dyDescent="0.35">
      <c r="A1134" t="s">
        <v>131</v>
      </c>
      <c r="B1134" t="s">
        <v>123</v>
      </c>
      <c r="C1134" t="s">
        <v>16</v>
      </c>
      <c r="D1134" t="s">
        <v>154</v>
      </c>
      <c r="E1134" t="s">
        <v>126</v>
      </c>
      <c r="F1134" s="32">
        <v>264.58078869999997</v>
      </c>
      <c r="G1134" s="23">
        <v>24.137250821175563</v>
      </c>
      <c r="H1134" s="29">
        <v>66.657289840750153</v>
      </c>
      <c r="I1134" s="7">
        <f t="shared" si="49"/>
        <v>24.137250821175563</v>
      </c>
      <c r="J1134" s="7">
        <f t="shared" si="51"/>
        <v>46.696171060506018</v>
      </c>
    </row>
    <row r="1135" spans="1:10" x14ac:dyDescent="0.35">
      <c r="A1135" t="s">
        <v>131</v>
      </c>
      <c r="B1135" t="s">
        <v>123</v>
      </c>
      <c r="C1135" t="s">
        <v>18</v>
      </c>
      <c r="D1135" t="s">
        <v>154</v>
      </c>
      <c r="E1135" t="s">
        <v>126</v>
      </c>
      <c r="F1135" s="32">
        <v>0</v>
      </c>
      <c r="G1135" s="23" t="e">
        <v>#N/A</v>
      </c>
      <c r="H1135" s="29">
        <v>7.392968464389868E-2</v>
      </c>
      <c r="I1135" s="7" t="e">
        <f t="shared" si="49"/>
        <v>#N/A</v>
      </c>
      <c r="J1135" s="7" t="e">
        <f t="shared" si="51"/>
        <v>#N/A</v>
      </c>
    </row>
    <row r="1136" spans="1:10" x14ac:dyDescent="0.35">
      <c r="A1136" t="s">
        <v>131</v>
      </c>
      <c r="B1136" t="s">
        <v>123</v>
      </c>
      <c r="C1136" t="s">
        <v>19</v>
      </c>
      <c r="D1136" t="s">
        <v>153</v>
      </c>
      <c r="E1136" t="s">
        <v>126</v>
      </c>
      <c r="F1136" s="32">
        <v>466.23439809999996</v>
      </c>
      <c r="G1136" s="23">
        <v>35.533516971921799</v>
      </c>
      <c r="H1136" s="29">
        <v>38.228337758831891</v>
      </c>
      <c r="I1136" s="7">
        <f t="shared" si="49"/>
        <v>35.533516971921799</v>
      </c>
      <c r="J1136" s="7">
        <f t="shared" si="51"/>
        <v>68.743503524708444</v>
      </c>
    </row>
    <row r="1137" spans="1:10" x14ac:dyDescent="0.35">
      <c r="A1137" t="s">
        <v>131</v>
      </c>
      <c r="B1137" t="s">
        <v>123</v>
      </c>
      <c r="C1137" t="s">
        <v>20</v>
      </c>
      <c r="D1137" t="s">
        <v>154</v>
      </c>
      <c r="E1137" t="s">
        <v>126</v>
      </c>
      <c r="F1137" s="32">
        <v>323.44556969999996</v>
      </c>
      <c r="G1137" s="23">
        <v>29.950420790890139</v>
      </c>
      <c r="H1137" s="29">
        <v>79.558675419126757</v>
      </c>
      <c r="I1137" s="7">
        <f t="shared" si="49"/>
        <v>29.950420790890139</v>
      </c>
      <c r="J1137" s="7">
        <f t="shared" si="51"/>
        <v>57.942388839021355</v>
      </c>
    </row>
    <row r="1138" spans="1:10" x14ac:dyDescent="0.35">
      <c r="A1138" t="s">
        <v>131</v>
      </c>
      <c r="B1138" t="s">
        <v>123</v>
      </c>
      <c r="C1138" t="s">
        <v>21</v>
      </c>
      <c r="D1138" t="s">
        <v>155</v>
      </c>
      <c r="E1138" t="s">
        <v>126</v>
      </c>
      <c r="F1138" s="32">
        <v>0.24411289999999999</v>
      </c>
      <c r="G1138" s="23" t="e">
        <v>#N/A</v>
      </c>
      <c r="H1138" s="29">
        <v>6.5166479485305726E-2</v>
      </c>
      <c r="I1138" s="7" t="e">
        <f t="shared" si="49"/>
        <v>#N/A</v>
      </c>
      <c r="J1138" s="7" t="e">
        <f t="shared" si="51"/>
        <v>#N/A</v>
      </c>
    </row>
    <row r="1139" spans="1:10" x14ac:dyDescent="0.35">
      <c r="A1139" t="s">
        <v>131</v>
      </c>
      <c r="B1139" t="s">
        <v>123</v>
      </c>
      <c r="C1139" t="s">
        <v>22</v>
      </c>
      <c r="D1139" t="s">
        <v>155</v>
      </c>
      <c r="E1139" t="s">
        <v>126</v>
      </c>
      <c r="F1139" s="32">
        <v>174.77678969999999</v>
      </c>
      <c r="G1139" s="23">
        <v>13.185474314641247</v>
      </c>
      <c r="H1139" s="29">
        <v>30.077273326527575</v>
      </c>
      <c r="I1139" s="7">
        <f t="shared" si="49"/>
        <v>13.185474314641247</v>
      </c>
      <c r="J1139" s="7">
        <f t="shared" si="51"/>
        <v>25.508752785144605</v>
      </c>
    </row>
    <row r="1140" spans="1:10" x14ac:dyDescent="0.35">
      <c r="A1140" t="s">
        <v>131</v>
      </c>
      <c r="B1140" t="s">
        <v>123</v>
      </c>
      <c r="C1140" t="s">
        <v>23</v>
      </c>
      <c r="D1140" t="s">
        <v>155</v>
      </c>
      <c r="E1140" t="s">
        <v>126</v>
      </c>
      <c r="F1140" s="32">
        <v>0.23757639999999999</v>
      </c>
      <c r="G1140" s="23" t="e">
        <v>#N/A</v>
      </c>
      <c r="H1140" s="29">
        <v>6.9573151498759866E-2</v>
      </c>
      <c r="I1140" s="7" t="e">
        <f t="shared" si="49"/>
        <v>#N/A</v>
      </c>
      <c r="J1140" s="7" t="e">
        <f t="shared" si="51"/>
        <v>#N/A</v>
      </c>
    </row>
    <row r="1141" spans="1:10" x14ac:dyDescent="0.35">
      <c r="A1141" t="s">
        <v>131</v>
      </c>
      <c r="B1141" t="s">
        <v>123</v>
      </c>
      <c r="C1141" t="s">
        <v>24</v>
      </c>
      <c r="D1141" t="s">
        <v>155</v>
      </c>
      <c r="E1141" t="s">
        <v>126</v>
      </c>
      <c r="F1141" s="32">
        <v>108.2591523</v>
      </c>
      <c r="G1141" s="23">
        <v>2.2707180682994221</v>
      </c>
      <c r="H1141" s="29">
        <v>3.0807828331688092</v>
      </c>
      <c r="I1141" s="7">
        <f t="shared" si="49"/>
        <v>2.2707180682994221</v>
      </c>
      <c r="J1141" s="7">
        <f t="shared" si="51"/>
        <v>4.3929542818715843</v>
      </c>
    </row>
    <row r="1142" spans="1:10" x14ac:dyDescent="0.35">
      <c r="A1142" t="s">
        <v>131</v>
      </c>
      <c r="B1142" t="s">
        <v>123</v>
      </c>
      <c r="C1142" t="s">
        <v>25</v>
      </c>
      <c r="D1142" t="s">
        <v>155</v>
      </c>
      <c r="E1142" t="s">
        <v>126</v>
      </c>
      <c r="F1142" s="32">
        <v>0.29718720000000004</v>
      </c>
      <c r="G1142" s="23" t="e">
        <v>#N/A</v>
      </c>
      <c r="H1142" s="29">
        <v>0.15494391020066911</v>
      </c>
      <c r="I1142" s="7" t="e">
        <f t="shared" si="49"/>
        <v>#N/A</v>
      </c>
      <c r="J1142" s="7" t="e">
        <f t="shared" si="51"/>
        <v>#N/A</v>
      </c>
    </row>
    <row r="1143" spans="1:10" x14ac:dyDescent="0.35">
      <c r="A1143" t="s">
        <v>131</v>
      </c>
      <c r="B1143" t="s">
        <v>123</v>
      </c>
      <c r="C1143" t="s">
        <v>26</v>
      </c>
      <c r="D1143" t="s">
        <v>153</v>
      </c>
      <c r="E1143" t="s">
        <v>126</v>
      </c>
      <c r="F1143" s="32">
        <v>1.6299003000000001</v>
      </c>
      <c r="G1143" s="23">
        <v>0.47395416407055346</v>
      </c>
      <c r="H1143" s="29">
        <v>-3.9436740982731609E-2</v>
      </c>
      <c r="I1143" s="7">
        <f t="shared" si="49"/>
        <v>0.47395416407055346</v>
      </c>
      <c r="J1143" s="7">
        <f t="shared" si="51"/>
        <v>0.91691654879193929</v>
      </c>
    </row>
    <row r="1144" spans="1:10" x14ac:dyDescent="0.35">
      <c r="A1144" t="s">
        <v>131</v>
      </c>
      <c r="B1144" t="s">
        <v>123</v>
      </c>
      <c r="C1144" t="s">
        <v>27</v>
      </c>
      <c r="D1144" t="s">
        <v>154</v>
      </c>
      <c r="E1144" t="s">
        <v>126</v>
      </c>
      <c r="F1144" s="32">
        <v>9.4087100000000007E-2</v>
      </c>
      <c r="G1144" s="23">
        <v>4.3026757653074856</v>
      </c>
      <c r="H1144" s="29">
        <v>2.8196582872044639E-2</v>
      </c>
      <c r="I1144" s="7">
        <f t="shared" si="49"/>
        <v>4.3026757653074856</v>
      </c>
      <c r="J1144" s="7">
        <f t="shared" si="51"/>
        <v>8.3240003198055437</v>
      </c>
    </row>
    <row r="1145" spans="1:10" x14ac:dyDescent="0.35">
      <c r="A1145" t="s">
        <v>131</v>
      </c>
      <c r="B1145" t="s">
        <v>123</v>
      </c>
      <c r="C1145" t="s">
        <v>28</v>
      </c>
      <c r="D1145" t="s">
        <v>155</v>
      </c>
      <c r="E1145" t="s">
        <v>126</v>
      </c>
      <c r="F1145" s="32">
        <v>33.724539499999999</v>
      </c>
      <c r="G1145" s="23">
        <v>2.5209277789421418</v>
      </c>
      <c r="H1145" s="29">
        <v>9.8998683419540239</v>
      </c>
      <c r="I1145" s="7">
        <f t="shared" si="49"/>
        <v>2.5209277789421418</v>
      </c>
      <c r="J1145" s="7">
        <f t="shared" si="51"/>
        <v>4.8770125342273971</v>
      </c>
    </row>
    <row r="1146" spans="1:10" x14ac:dyDescent="0.35">
      <c r="A1146" t="s">
        <v>131</v>
      </c>
      <c r="B1146" t="s">
        <v>123</v>
      </c>
      <c r="C1146" t="s">
        <v>29</v>
      </c>
      <c r="D1146" t="s">
        <v>155</v>
      </c>
      <c r="E1146" t="s">
        <v>126</v>
      </c>
      <c r="F1146" s="32">
        <v>0.41930090000000003</v>
      </c>
      <c r="G1146" s="23" t="e">
        <v>#N/A</v>
      </c>
      <c r="H1146" s="29">
        <v>9.2919912884637107E-2</v>
      </c>
      <c r="I1146" s="7" t="e">
        <f t="shared" ref="I1146:I1209" si="52">IF(G1146&lt;0,0,G1146)</f>
        <v>#N/A</v>
      </c>
      <c r="J1146" s="7" t="e">
        <f t="shared" si="51"/>
        <v>#N/A</v>
      </c>
    </row>
    <row r="1147" spans="1:10" x14ac:dyDescent="0.35">
      <c r="A1147" t="s">
        <v>131</v>
      </c>
      <c r="B1147" t="s">
        <v>123</v>
      </c>
      <c r="C1147" t="s">
        <v>30</v>
      </c>
      <c r="D1147" t="s">
        <v>155</v>
      </c>
      <c r="E1147" t="s">
        <v>126</v>
      </c>
      <c r="F1147" s="32">
        <v>210.168442</v>
      </c>
      <c r="G1147" s="23">
        <v>8.4290943687931978</v>
      </c>
      <c r="H1147" s="29">
        <v>26.021574057919864</v>
      </c>
      <c r="I1147" s="7">
        <f t="shared" si="52"/>
        <v>8.4290943687931978</v>
      </c>
      <c r="J1147" s="7">
        <f t="shared" si="51"/>
        <v>16.307011740749076</v>
      </c>
    </row>
    <row r="1148" spans="1:10" x14ac:dyDescent="0.35">
      <c r="A1148" t="s">
        <v>131</v>
      </c>
      <c r="B1148" t="s">
        <v>123</v>
      </c>
      <c r="C1148" t="s">
        <v>31</v>
      </c>
      <c r="D1148" t="s">
        <v>155</v>
      </c>
      <c r="E1148" t="s">
        <v>126</v>
      </c>
      <c r="F1148" s="32" t="e">
        <v>#N/A</v>
      </c>
      <c r="G1148" s="23" t="e">
        <v>#N/A</v>
      </c>
      <c r="H1148" s="29">
        <v>6.9427282731285164E-2</v>
      </c>
      <c r="I1148" s="7" t="e">
        <f t="shared" si="52"/>
        <v>#N/A</v>
      </c>
      <c r="J1148" s="7" t="e">
        <f t="shared" si="51"/>
        <v>#N/A</v>
      </c>
    </row>
    <row r="1149" spans="1:10" x14ac:dyDescent="0.35">
      <c r="A1149" t="s">
        <v>131</v>
      </c>
      <c r="B1149" t="s">
        <v>123</v>
      </c>
      <c r="C1149" t="s">
        <v>32</v>
      </c>
      <c r="D1149" t="s">
        <v>153</v>
      </c>
      <c r="E1149" t="s">
        <v>126</v>
      </c>
      <c r="F1149" s="32">
        <v>0</v>
      </c>
      <c r="G1149" s="23" t="e">
        <v>#N/A</v>
      </c>
      <c r="H1149" s="29">
        <v>1.7179076576404009E-2</v>
      </c>
      <c r="I1149" s="7" t="e">
        <f t="shared" si="52"/>
        <v>#N/A</v>
      </c>
      <c r="J1149" s="7" t="e">
        <f t="shared" si="51"/>
        <v>#N/A</v>
      </c>
    </row>
    <row r="1150" spans="1:10" x14ac:dyDescent="0.35">
      <c r="A1150" t="s">
        <v>131</v>
      </c>
      <c r="B1150" t="s">
        <v>123</v>
      </c>
      <c r="C1150" t="s">
        <v>33</v>
      </c>
      <c r="D1150" t="s">
        <v>155</v>
      </c>
      <c r="E1150" t="s">
        <v>126</v>
      </c>
      <c r="F1150" s="32">
        <v>175.02227770000002</v>
      </c>
      <c r="G1150" s="23">
        <v>9.6753498391512665</v>
      </c>
      <c r="H1150" s="29">
        <v>11.872755727191882</v>
      </c>
      <c r="I1150" s="7">
        <f t="shared" si="52"/>
        <v>9.6753498391512665</v>
      </c>
      <c r="J1150" s="7">
        <f t="shared" si="51"/>
        <v>18.718030255661184</v>
      </c>
    </row>
    <row r="1151" spans="1:10" x14ac:dyDescent="0.35">
      <c r="A1151" t="s">
        <v>131</v>
      </c>
      <c r="B1151" t="s">
        <v>123</v>
      </c>
      <c r="C1151" t="s">
        <v>34</v>
      </c>
      <c r="D1151" t="s">
        <v>153</v>
      </c>
      <c r="E1151" t="s">
        <v>126</v>
      </c>
      <c r="F1151" s="32">
        <v>0</v>
      </c>
      <c r="G1151" s="23" t="e">
        <v>#N/A</v>
      </c>
      <c r="H1151" s="29">
        <v>-0.12550052449688012</v>
      </c>
      <c r="I1151" s="7" t="e">
        <f t="shared" si="52"/>
        <v>#N/A</v>
      </c>
      <c r="J1151" s="7" t="e">
        <f t="shared" si="51"/>
        <v>#N/A</v>
      </c>
    </row>
    <row r="1152" spans="1:10" x14ac:dyDescent="0.35">
      <c r="A1152" t="s">
        <v>131</v>
      </c>
      <c r="B1152" t="s">
        <v>123</v>
      </c>
      <c r="C1152" t="s">
        <v>35</v>
      </c>
      <c r="D1152" t="s">
        <v>154</v>
      </c>
      <c r="E1152" t="s">
        <v>126</v>
      </c>
      <c r="F1152" s="32">
        <v>99.914845900000003</v>
      </c>
      <c r="G1152" s="23">
        <v>9.6308843502556041</v>
      </c>
      <c r="H1152" s="29">
        <v>31.04241199412348</v>
      </c>
      <c r="I1152" s="7">
        <f t="shared" si="52"/>
        <v>9.6308843502556041</v>
      </c>
      <c r="J1152" s="7">
        <f t="shared" si="51"/>
        <v>18.632006868360619</v>
      </c>
    </row>
    <row r="1153" spans="1:10" x14ac:dyDescent="0.35">
      <c r="A1153" t="s">
        <v>131</v>
      </c>
      <c r="B1153" t="s">
        <v>123</v>
      </c>
      <c r="C1153" t="s">
        <v>36</v>
      </c>
      <c r="D1153" t="s">
        <v>155</v>
      </c>
      <c r="E1153" t="s">
        <v>126</v>
      </c>
      <c r="F1153" s="32">
        <v>1.9156862000000001</v>
      </c>
      <c r="G1153" s="23" t="e">
        <v>#N/A</v>
      </c>
      <c r="H1153" s="29">
        <v>0.16898119420473981</v>
      </c>
      <c r="I1153" s="7" t="e">
        <f t="shared" si="52"/>
        <v>#N/A</v>
      </c>
      <c r="J1153" s="7" t="e">
        <f t="shared" si="51"/>
        <v>#N/A</v>
      </c>
    </row>
    <row r="1154" spans="1:10" x14ac:dyDescent="0.35">
      <c r="A1154" t="s">
        <v>131</v>
      </c>
      <c r="B1154" t="s">
        <v>123</v>
      </c>
      <c r="C1154" t="s">
        <v>37</v>
      </c>
      <c r="D1154" t="s">
        <v>155</v>
      </c>
      <c r="E1154" t="s">
        <v>126</v>
      </c>
      <c r="F1154" s="32">
        <v>5.3807232999999997</v>
      </c>
      <c r="G1154" s="23">
        <v>1.6703575371941948</v>
      </c>
      <c r="H1154" s="29">
        <v>1.9537811084507262</v>
      </c>
      <c r="I1154" s="7">
        <f t="shared" si="52"/>
        <v>1.6703575371941948</v>
      </c>
      <c r="J1154" s="7">
        <f t="shared" si="51"/>
        <v>3.2314906890969137</v>
      </c>
    </row>
    <row r="1155" spans="1:10" x14ac:dyDescent="0.35">
      <c r="A1155" t="s">
        <v>131</v>
      </c>
      <c r="B1155" t="s">
        <v>123</v>
      </c>
      <c r="C1155" t="s">
        <v>38</v>
      </c>
      <c r="D1155" t="s">
        <v>155</v>
      </c>
      <c r="E1155" t="s">
        <v>126</v>
      </c>
      <c r="F1155" s="32">
        <v>5.8417789000000004</v>
      </c>
      <c r="G1155" s="23">
        <v>0.61888092474114165</v>
      </c>
      <c r="H1155" s="29">
        <v>0.76991715599979627</v>
      </c>
      <c r="I1155" s="7">
        <f t="shared" si="52"/>
        <v>0.61888092474114165</v>
      </c>
      <c r="J1155" s="7">
        <f t="shared" si="51"/>
        <v>1.1972933347671535</v>
      </c>
    </row>
    <row r="1156" spans="1:10" x14ac:dyDescent="0.35">
      <c r="A1156" t="s">
        <v>131</v>
      </c>
      <c r="B1156" t="s">
        <v>123</v>
      </c>
      <c r="C1156" t="s">
        <v>39</v>
      </c>
      <c r="D1156" t="s">
        <v>153</v>
      </c>
      <c r="E1156" t="s">
        <v>126</v>
      </c>
      <c r="F1156" s="32">
        <v>0</v>
      </c>
      <c r="G1156" s="23" t="e">
        <v>#N/A</v>
      </c>
      <c r="H1156" s="29">
        <v>-0.41573099719449813</v>
      </c>
      <c r="I1156" s="7" t="e">
        <f t="shared" si="52"/>
        <v>#N/A</v>
      </c>
      <c r="J1156" s="7" t="e">
        <f t="shared" si="51"/>
        <v>#N/A</v>
      </c>
    </row>
    <row r="1157" spans="1:10" s="19" customFormat="1" x14ac:dyDescent="0.35">
      <c r="A1157" s="19" t="s">
        <v>131</v>
      </c>
      <c r="B1157" s="19" t="s">
        <v>123</v>
      </c>
      <c r="C1157" s="19" t="s">
        <v>40</v>
      </c>
      <c r="D1157" s="19" t="s">
        <v>154</v>
      </c>
      <c r="E1157" s="19" t="s">
        <v>126</v>
      </c>
      <c r="F1157" s="33">
        <v>0</v>
      </c>
      <c r="G1157" s="24" t="e">
        <v>#N/A</v>
      </c>
      <c r="H1157" s="30">
        <v>0.18851760517831109</v>
      </c>
      <c r="I1157" s="21" t="e">
        <f t="shared" si="52"/>
        <v>#N/A</v>
      </c>
      <c r="J1157" s="21" t="e">
        <f t="shared" si="51"/>
        <v>#N/A</v>
      </c>
    </row>
    <row r="1158" spans="1:10" x14ac:dyDescent="0.35">
      <c r="A1158" t="s">
        <v>133</v>
      </c>
      <c r="B1158" t="s">
        <v>125</v>
      </c>
      <c r="C1158" t="s">
        <v>6</v>
      </c>
      <c r="D1158" t="s">
        <v>153</v>
      </c>
      <c r="E1158" t="s">
        <v>126</v>
      </c>
      <c r="F1158" s="32">
        <v>6.7010839999999998</v>
      </c>
      <c r="G1158" s="23" t="e">
        <v>#N/A</v>
      </c>
      <c r="H1158" s="29">
        <v>0.74988564413575609</v>
      </c>
      <c r="I1158" s="7" t="e">
        <f t="shared" si="52"/>
        <v>#N/A</v>
      </c>
      <c r="J1158" s="7" t="e">
        <f>I1158/0.5367</f>
        <v>#N/A</v>
      </c>
    </row>
    <row r="1159" spans="1:10" x14ac:dyDescent="0.35">
      <c r="A1159" t="s">
        <v>133</v>
      </c>
      <c r="B1159" t="s">
        <v>125</v>
      </c>
      <c r="C1159" t="s">
        <v>7</v>
      </c>
      <c r="D1159" t="s">
        <v>153</v>
      </c>
      <c r="E1159" t="s">
        <v>126</v>
      </c>
      <c r="F1159" s="32">
        <v>0</v>
      </c>
      <c r="G1159" s="23" t="e">
        <v>#N/A</v>
      </c>
      <c r="H1159" s="29">
        <v>-0.10502301018384189</v>
      </c>
      <c r="I1159" s="7" t="e">
        <f t="shared" si="52"/>
        <v>#N/A</v>
      </c>
      <c r="J1159" s="7" t="e">
        <f t="shared" ref="J1159:J1191" si="53">I1159/0.5367</f>
        <v>#N/A</v>
      </c>
    </row>
    <row r="1160" spans="1:10" x14ac:dyDescent="0.35">
      <c r="A1160" t="s">
        <v>133</v>
      </c>
      <c r="B1160" t="s">
        <v>125</v>
      </c>
      <c r="C1160" t="s">
        <v>8</v>
      </c>
      <c r="D1160" t="s">
        <v>153</v>
      </c>
      <c r="E1160" t="s">
        <v>126</v>
      </c>
      <c r="F1160" s="32" t="e">
        <v>#N/A</v>
      </c>
      <c r="G1160" s="23" t="e">
        <v>#N/A</v>
      </c>
      <c r="H1160" s="29">
        <v>-4.122852648109749E-2</v>
      </c>
      <c r="I1160" s="7" t="e">
        <f t="shared" si="52"/>
        <v>#N/A</v>
      </c>
      <c r="J1160" s="7" t="e">
        <f t="shared" si="53"/>
        <v>#N/A</v>
      </c>
    </row>
    <row r="1161" spans="1:10" x14ac:dyDescent="0.35">
      <c r="A1161" t="s">
        <v>133</v>
      </c>
      <c r="B1161" t="s">
        <v>125</v>
      </c>
      <c r="C1161" t="s">
        <v>9</v>
      </c>
      <c r="D1161" t="s">
        <v>153</v>
      </c>
      <c r="E1161" t="s">
        <v>126</v>
      </c>
      <c r="F1161" s="32">
        <v>1.1361460999999999</v>
      </c>
      <c r="G1161" s="23">
        <v>0.57540920157932907</v>
      </c>
      <c r="H1161" s="29">
        <v>2.4999392395178512</v>
      </c>
      <c r="I1161" s="7">
        <f t="shared" si="52"/>
        <v>0.57540920157932907</v>
      </c>
      <c r="J1161" s="7">
        <f t="shared" si="53"/>
        <v>1.072124467261653</v>
      </c>
    </row>
    <row r="1162" spans="1:10" x14ac:dyDescent="0.35">
      <c r="A1162" t="s">
        <v>133</v>
      </c>
      <c r="B1162" t="s">
        <v>125</v>
      </c>
      <c r="C1162" t="s">
        <v>10</v>
      </c>
      <c r="D1162" t="s">
        <v>153</v>
      </c>
      <c r="E1162" t="s">
        <v>126</v>
      </c>
      <c r="F1162" s="32">
        <v>71.046942200000004</v>
      </c>
      <c r="G1162" s="23">
        <v>7.4677036881145913</v>
      </c>
      <c r="H1162" s="29">
        <v>5.7179197803655724</v>
      </c>
      <c r="I1162" s="7">
        <f t="shared" si="52"/>
        <v>7.4677036881145913</v>
      </c>
      <c r="J1162" s="7">
        <f t="shared" si="53"/>
        <v>13.914111585829312</v>
      </c>
    </row>
    <row r="1163" spans="1:10" x14ac:dyDescent="0.35">
      <c r="A1163" t="s">
        <v>133</v>
      </c>
      <c r="B1163" t="s">
        <v>125</v>
      </c>
      <c r="C1163" t="s">
        <v>11</v>
      </c>
      <c r="D1163" t="s">
        <v>153</v>
      </c>
      <c r="E1163" t="s">
        <v>126</v>
      </c>
      <c r="F1163" s="32">
        <v>66.590006799999998</v>
      </c>
      <c r="G1163" s="23">
        <v>7.6237784018268968</v>
      </c>
      <c r="H1163" s="29">
        <v>18.530969933308047</v>
      </c>
      <c r="I1163" s="7">
        <f t="shared" si="52"/>
        <v>7.6237784018268968</v>
      </c>
      <c r="J1163" s="7">
        <f t="shared" si="53"/>
        <v>14.204915971356247</v>
      </c>
    </row>
    <row r="1164" spans="1:10" x14ac:dyDescent="0.35">
      <c r="A1164" t="s">
        <v>133</v>
      </c>
      <c r="B1164" t="s">
        <v>125</v>
      </c>
      <c r="C1164" t="s">
        <v>12</v>
      </c>
      <c r="D1164" t="s">
        <v>154</v>
      </c>
      <c r="E1164" t="s">
        <v>126</v>
      </c>
      <c r="F1164" s="32">
        <v>1.2378943</v>
      </c>
      <c r="G1164" s="23" t="e">
        <v>#N/A</v>
      </c>
      <c r="H1164" s="29">
        <v>-0.22523210540295047</v>
      </c>
      <c r="I1164" s="7" t="e">
        <f t="shared" si="52"/>
        <v>#N/A</v>
      </c>
      <c r="J1164" s="7" t="e">
        <f t="shared" si="53"/>
        <v>#N/A</v>
      </c>
    </row>
    <row r="1165" spans="1:10" x14ac:dyDescent="0.35">
      <c r="A1165" t="s">
        <v>133</v>
      </c>
      <c r="B1165" t="s">
        <v>125</v>
      </c>
      <c r="C1165" t="s">
        <v>13</v>
      </c>
      <c r="D1165" t="s">
        <v>153</v>
      </c>
      <c r="E1165" t="s">
        <v>126</v>
      </c>
      <c r="F1165" s="32">
        <v>10.521297500000001</v>
      </c>
      <c r="G1165" s="23">
        <v>1.5409142529951791</v>
      </c>
      <c r="H1165" s="29">
        <v>0.51295560833880915</v>
      </c>
      <c r="I1165" s="7">
        <f t="shared" si="52"/>
        <v>1.5409142529951791</v>
      </c>
      <c r="J1165" s="7">
        <f t="shared" si="53"/>
        <v>2.8710904658005947</v>
      </c>
    </row>
    <row r="1166" spans="1:10" x14ac:dyDescent="0.35">
      <c r="A1166" t="s">
        <v>133</v>
      </c>
      <c r="B1166" t="s">
        <v>125</v>
      </c>
      <c r="C1166" t="s">
        <v>14</v>
      </c>
      <c r="D1166" t="s">
        <v>154</v>
      </c>
      <c r="E1166" t="s">
        <v>126</v>
      </c>
      <c r="F1166" s="32">
        <v>0</v>
      </c>
      <c r="G1166" s="23" t="e">
        <v>#N/A</v>
      </c>
      <c r="H1166" s="29">
        <v>-4.9239570482397826E-2</v>
      </c>
      <c r="I1166" s="7" t="e">
        <f t="shared" si="52"/>
        <v>#N/A</v>
      </c>
      <c r="J1166" s="7" t="e">
        <f t="shared" si="53"/>
        <v>#N/A</v>
      </c>
    </row>
    <row r="1167" spans="1:10" x14ac:dyDescent="0.35">
      <c r="A1167" t="s">
        <v>133</v>
      </c>
      <c r="B1167" t="s">
        <v>125</v>
      </c>
      <c r="C1167" t="s">
        <v>15</v>
      </c>
      <c r="D1167" t="s">
        <v>153</v>
      </c>
      <c r="E1167" t="s">
        <v>126</v>
      </c>
      <c r="F1167" s="32">
        <v>2176.9346734999999</v>
      </c>
      <c r="G1167" s="23">
        <v>52.787862845148922</v>
      </c>
      <c r="H1167" s="29">
        <v>158.63042398751796</v>
      </c>
      <c r="I1167" s="7">
        <f t="shared" si="52"/>
        <v>52.787862845148922</v>
      </c>
      <c r="J1167" s="7">
        <f t="shared" si="53"/>
        <v>98.3563682600129</v>
      </c>
    </row>
    <row r="1168" spans="1:10" x14ac:dyDescent="0.35">
      <c r="A1168" t="s">
        <v>133</v>
      </c>
      <c r="B1168" t="s">
        <v>125</v>
      </c>
      <c r="C1168" t="s">
        <v>16</v>
      </c>
      <c r="D1168" t="s">
        <v>154</v>
      </c>
      <c r="E1168" t="s">
        <v>126</v>
      </c>
      <c r="F1168" s="32">
        <v>206.1811222</v>
      </c>
      <c r="G1168" s="23">
        <v>19.505962763243478</v>
      </c>
      <c r="H1168" s="29">
        <v>52.044781336474955</v>
      </c>
      <c r="I1168" s="7">
        <f t="shared" si="52"/>
        <v>19.505962763243478</v>
      </c>
      <c r="J1168" s="7">
        <f t="shared" si="53"/>
        <v>36.344257058400373</v>
      </c>
    </row>
    <row r="1169" spans="1:10" x14ac:dyDescent="0.35">
      <c r="A1169" t="s">
        <v>133</v>
      </c>
      <c r="B1169" t="s">
        <v>125</v>
      </c>
      <c r="C1169" t="s">
        <v>18</v>
      </c>
      <c r="D1169" t="s">
        <v>154</v>
      </c>
      <c r="E1169" t="s">
        <v>126</v>
      </c>
      <c r="F1169" s="32" t="e">
        <v>#N/A</v>
      </c>
      <c r="G1169" s="23" t="e">
        <v>#N/A</v>
      </c>
      <c r="H1169" s="29">
        <v>-3.8350910834132314E-2</v>
      </c>
      <c r="I1169" s="7" t="e">
        <f t="shared" si="52"/>
        <v>#N/A</v>
      </c>
      <c r="J1169" s="7" t="e">
        <f t="shared" si="53"/>
        <v>#N/A</v>
      </c>
    </row>
    <row r="1170" spans="1:10" x14ac:dyDescent="0.35">
      <c r="A1170" t="s">
        <v>133</v>
      </c>
      <c r="B1170" t="s">
        <v>125</v>
      </c>
      <c r="C1170" t="s">
        <v>19</v>
      </c>
      <c r="D1170" t="s">
        <v>153</v>
      </c>
      <c r="E1170" t="s">
        <v>126</v>
      </c>
      <c r="F1170" s="32">
        <v>464.6292072</v>
      </c>
      <c r="G1170" s="23">
        <v>36.094080926738663</v>
      </c>
      <c r="H1170" s="29">
        <v>38.097876952709989</v>
      </c>
      <c r="I1170" s="7">
        <f t="shared" si="52"/>
        <v>36.094080926738663</v>
      </c>
      <c r="J1170" s="7">
        <f t="shared" si="53"/>
        <v>67.251874281234706</v>
      </c>
    </row>
    <row r="1171" spans="1:10" x14ac:dyDescent="0.35">
      <c r="A1171" t="s">
        <v>133</v>
      </c>
      <c r="B1171" t="s">
        <v>125</v>
      </c>
      <c r="C1171" t="s">
        <v>20</v>
      </c>
      <c r="D1171" t="s">
        <v>154</v>
      </c>
      <c r="E1171" t="s">
        <v>126</v>
      </c>
      <c r="F1171" s="32">
        <v>393.180453</v>
      </c>
      <c r="G1171" s="23">
        <v>37.969558336011744</v>
      </c>
      <c r="H1171" s="29">
        <v>96.567891498823357</v>
      </c>
      <c r="I1171" s="7">
        <f t="shared" si="52"/>
        <v>37.969558336011744</v>
      </c>
      <c r="J1171" s="7">
        <f t="shared" si="53"/>
        <v>70.746335636317767</v>
      </c>
    </row>
    <row r="1172" spans="1:10" x14ac:dyDescent="0.35">
      <c r="A1172" t="s">
        <v>133</v>
      </c>
      <c r="B1172" t="s">
        <v>125</v>
      </c>
      <c r="C1172" t="s">
        <v>21</v>
      </c>
      <c r="D1172" t="s">
        <v>155</v>
      </c>
      <c r="E1172" t="s">
        <v>126</v>
      </c>
      <c r="F1172" s="32">
        <v>0.55528319999999998</v>
      </c>
      <c r="G1172" s="23" t="e">
        <v>#N/A</v>
      </c>
      <c r="H1172" s="29">
        <v>0.13757222812808628</v>
      </c>
      <c r="I1172" s="7" t="e">
        <f t="shared" si="52"/>
        <v>#N/A</v>
      </c>
      <c r="J1172" s="7" t="e">
        <f t="shared" si="53"/>
        <v>#N/A</v>
      </c>
    </row>
    <row r="1173" spans="1:10" x14ac:dyDescent="0.35">
      <c r="A1173" t="s">
        <v>133</v>
      </c>
      <c r="B1173" t="s">
        <v>125</v>
      </c>
      <c r="C1173" t="s">
        <v>22</v>
      </c>
      <c r="D1173" t="s">
        <v>155</v>
      </c>
      <c r="E1173" t="s">
        <v>126</v>
      </c>
      <c r="F1173" s="32">
        <v>147.4145571</v>
      </c>
      <c r="G1173" s="23">
        <v>11.369293206196055</v>
      </c>
      <c r="H1173" s="29">
        <v>25.369230678730904</v>
      </c>
      <c r="I1173" s="7">
        <f t="shared" si="52"/>
        <v>11.369293206196055</v>
      </c>
      <c r="J1173" s="7">
        <f t="shared" si="53"/>
        <v>21.183702638710741</v>
      </c>
    </row>
    <row r="1174" spans="1:10" x14ac:dyDescent="0.35">
      <c r="A1174" t="s">
        <v>133</v>
      </c>
      <c r="B1174" t="s">
        <v>125</v>
      </c>
      <c r="C1174" t="s">
        <v>23</v>
      </c>
      <c r="D1174" t="s">
        <v>155</v>
      </c>
      <c r="E1174" t="s">
        <v>126</v>
      </c>
      <c r="F1174" s="32">
        <v>0.10090449999999999</v>
      </c>
      <c r="G1174" s="23" t="e">
        <v>#N/A</v>
      </c>
      <c r="H1174" s="29">
        <v>4.918061464880763E-2</v>
      </c>
      <c r="I1174" s="7" t="e">
        <f t="shared" si="52"/>
        <v>#N/A</v>
      </c>
      <c r="J1174" s="7" t="e">
        <f t="shared" si="53"/>
        <v>#N/A</v>
      </c>
    </row>
    <row r="1175" spans="1:10" x14ac:dyDescent="0.35">
      <c r="A1175" t="s">
        <v>133</v>
      </c>
      <c r="B1175" t="s">
        <v>125</v>
      </c>
      <c r="C1175" t="s">
        <v>24</v>
      </c>
      <c r="D1175" t="s">
        <v>155</v>
      </c>
      <c r="E1175" t="s">
        <v>126</v>
      </c>
      <c r="F1175" s="32">
        <v>108.1641024</v>
      </c>
      <c r="G1175" s="23">
        <v>2.3967618189327573</v>
      </c>
      <c r="H1175" s="29">
        <v>3.0780609902095195</v>
      </c>
      <c r="I1175" s="7">
        <f t="shared" si="52"/>
        <v>2.3967618189327573</v>
      </c>
      <c r="J1175" s="7">
        <f t="shared" si="53"/>
        <v>4.4657384366177704</v>
      </c>
    </row>
    <row r="1176" spans="1:10" x14ac:dyDescent="0.35">
      <c r="A1176" t="s">
        <v>133</v>
      </c>
      <c r="B1176" t="s">
        <v>125</v>
      </c>
      <c r="C1176" t="s">
        <v>25</v>
      </c>
      <c r="D1176" t="s">
        <v>155</v>
      </c>
      <c r="E1176" t="s">
        <v>126</v>
      </c>
      <c r="F1176" s="32">
        <v>0.66443730000000001</v>
      </c>
      <c r="G1176" s="23" t="e">
        <v>#N/A</v>
      </c>
      <c r="H1176" s="29">
        <v>0.18780714418499864</v>
      </c>
      <c r="I1176" s="7" t="e">
        <f t="shared" si="52"/>
        <v>#N/A</v>
      </c>
      <c r="J1176" s="7" t="e">
        <f t="shared" si="53"/>
        <v>#N/A</v>
      </c>
    </row>
    <row r="1177" spans="1:10" x14ac:dyDescent="0.35">
      <c r="A1177" t="s">
        <v>133</v>
      </c>
      <c r="B1177" t="s">
        <v>125</v>
      </c>
      <c r="C1177" t="s">
        <v>26</v>
      </c>
      <c r="D1177" t="s">
        <v>153</v>
      </c>
      <c r="E1177" t="s">
        <v>126</v>
      </c>
      <c r="F1177" s="32">
        <v>1.6217752000000001</v>
      </c>
      <c r="G1177" s="23">
        <v>0.8721145624753126</v>
      </c>
      <c r="H1177" s="29">
        <v>-3.9681253173818279E-2</v>
      </c>
      <c r="I1177" s="7">
        <f t="shared" si="52"/>
        <v>0.8721145624753126</v>
      </c>
      <c r="J1177" s="7">
        <f t="shared" si="53"/>
        <v>1.6249572619253079</v>
      </c>
    </row>
    <row r="1178" spans="1:10" x14ac:dyDescent="0.35">
      <c r="A1178" t="s">
        <v>133</v>
      </c>
      <c r="B1178" t="s">
        <v>125</v>
      </c>
      <c r="C1178" t="s">
        <v>27</v>
      </c>
      <c r="D1178" t="s">
        <v>154</v>
      </c>
      <c r="E1178" t="s">
        <v>126</v>
      </c>
      <c r="F1178" s="32">
        <v>10.371822</v>
      </c>
      <c r="G1178" s="23">
        <v>2.4591818379180816</v>
      </c>
      <c r="H1178" s="29">
        <v>2.8841159904088403</v>
      </c>
      <c r="I1178" s="7">
        <f t="shared" si="52"/>
        <v>2.4591818379180816</v>
      </c>
      <c r="J1178" s="7">
        <f t="shared" si="53"/>
        <v>4.5820418071885261</v>
      </c>
    </row>
    <row r="1179" spans="1:10" x14ac:dyDescent="0.35">
      <c r="A1179" t="s">
        <v>133</v>
      </c>
      <c r="B1179" t="s">
        <v>125</v>
      </c>
      <c r="C1179" t="s">
        <v>28</v>
      </c>
      <c r="D1179" t="s">
        <v>155</v>
      </c>
      <c r="E1179" t="s">
        <v>126</v>
      </c>
      <c r="F1179" s="32">
        <v>13.381612199999999</v>
      </c>
      <c r="G1179" s="23">
        <v>1.663508329980665</v>
      </c>
      <c r="H1179" s="29">
        <v>3.9348847519463073</v>
      </c>
      <c r="I1179" s="7">
        <f t="shared" si="52"/>
        <v>1.663508329980665</v>
      </c>
      <c r="J1179" s="7">
        <f t="shared" si="53"/>
        <v>3.099512446395873</v>
      </c>
    </row>
    <row r="1180" spans="1:10" x14ac:dyDescent="0.35">
      <c r="A1180" t="s">
        <v>133</v>
      </c>
      <c r="B1180" t="s">
        <v>125</v>
      </c>
      <c r="C1180" t="s">
        <v>29</v>
      </c>
      <c r="D1180" t="s">
        <v>155</v>
      </c>
      <c r="E1180" t="s">
        <v>126</v>
      </c>
      <c r="F1180" s="32">
        <v>0.41200680000000001</v>
      </c>
      <c r="G1180" s="23" t="e">
        <v>#N/A</v>
      </c>
      <c r="H1180" s="29">
        <v>9.0726431069165975E-2</v>
      </c>
      <c r="I1180" s="7" t="e">
        <f t="shared" si="52"/>
        <v>#N/A</v>
      </c>
      <c r="J1180" s="7" t="e">
        <f t="shared" si="53"/>
        <v>#N/A</v>
      </c>
    </row>
    <row r="1181" spans="1:10" x14ac:dyDescent="0.35">
      <c r="A1181" t="s">
        <v>133</v>
      </c>
      <c r="B1181" t="s">
        <v>125</v>
      </c>
      <c r="C1181" t="s">
        <v>30</v>
      </c>
      <c r="D1181" t="s">
        <v>155</v>
      </c>
      <c r="E1181" t="s">
        <v>126</v>
      </c>
      <c r="F1181" s="32">
        <v>101.86172789999999</v>
      </c>
      <c r="G1181" s="23">
        <v>4.1290135641051924</v>
      </c>
      <c r="H1181" s="29">
        <v>12.608218475136827</v>
      </c>
      <c r="I1181" s="7">
        <f t="shared" si="52"/>
        <v>4.1290135641051924</v>
      </c>
      <c r="J1181" s="7">
        <f t="shared" si="53"/>
        <v>7.6933362476340461</v>
      </c>
    </row>
    <row r="1182" spans="1:10" x14ac:dyDescent="0.35">
      <c r="A1182" t="s">
        <v>133</v>
      </c>
      <c r="B1182" t="s">
        <v>125</v>
      </c>
      <c r="C1182" t="s">
        <v>31</v>
      </c>
      <c r="D1182" t="s">
        <v>155</v>
      </c>
      <c r="E1182" t="s">
        <v>126</v>
      </c>
      <c r="F1182" s="32" t="e">
        <v>#N/A</v>
      </c>
      <c r="G1182" s="23" t="e">
        <v>#N/A</v>
      </c>
      <c r="H1182" s="29">
        <v>9.6258818414433359E-2</v>
      </c>
      <c r="I1182" s="7" t="e">
        <f t="shared" si="52"/>
        <v>#N/A</v>
      </c>
      <c r="J1182" s="7" t="e">
        <f t="shared" si="53"/>
        <v>#N/A</v>
      </c>
    </row>
    <row r="1183" spans="1:10" x14ac:dyDescent="0.35">
      <c r="A1183" t="s">
        <v>133</v>
      </c>
      <c r="B1183" t="s">
        <v>125</v>
      </c>
      <c r="C1183" t="s">
        <v>32</v>
      </c>
      <c r="D1183" t="s">
        <v>153</v>
      </c>
      <c r="E1183" t="s">
        <v>126</v>
      </c>
      <c r="F1183" s="32">
        <v>0</v>
      </c>
      <c r="G1183" s="23" t="e">
        <v>#N/A</v>
      </c>
      <c r="H1183" s="29">
        <v>1.5530901483570109E-2</v>
      </c>
      <c r="I1183" s="7" t="e">
        <f t="shared" si="52"/>
        <v>#N/A</v>
      </c>
      <c r="J1183" s="7" t="e">
        <f t="shared" si="53"/>
        <v>#N/A</v>
      </c>
    </row>
    <row r="1184" spans="1:10" x14ac:dyDescent="0.35">
      <c r="A1184" t="s">
        <v>133</v>
      </c>
      <c r="B1184" t="s">
        <v>125</v>
      </c>
      <c r="C1184" t="s">
        <v>33</v>
      </c>
      <c r="D1184" t="s">
        <v>155</v>
      </c>
      <c r="E1184" t="s">
        <v>126</v>
      </c>
      <c r="F1184" s="32">
        <v>109.0812284</v>
      </c>
      <c r="G1184" s="23">
        <v>4.7464804704632151</v>
      </c>
      <c r="H1184" s="29">
        <v>5.7205159057774448</v>
      </c>
      <c r="I1184" s="7">
        <f t="shared" si="52"/>
        <v>4.7464804704632151</v>
      </c>
      <c r="J1184" s="7">
        <f t="shared" si="53"/>
        <v>8.8438242415934702</v>
      </c>
    </row>
    <row r="1185" spans="1:10" x14ac:dyDescent="0.35">
      <c r="A1185" t="s">
        <v>133</v>
      </c>
      <c r="B1185" t="s">
        <v>125</v>
      </c>
      <c r="C1185" t="s">
        <v>34</v>
      </c>
      <c r="D1185" t="s">
        <v>153</v>
      </c>
      <c r="E1185" t="s">
        <v>126</v>
      </c>
      <c r="F1185" s="32">
        <v>0</v>
      </c>
      <c r="G1185" s="23" t="e">
        <v>#N/A</v>
      </c>
      <c r="H1185" s="29">
        <v>-0.15569979044678853</v>
      </c>
      <c r="I1185" s="7" t="e">
        <f t="shared" si="52"/>
        <v>#N/A</v>
      </c>
      <c r="J1185" s="7" t="e">
        <f t="shared" si="53"/>
        <v>#N/A</v>
      </c>
    </row>
    <row r="1186" spans="1:10" x14ac:dyDescent="0.35">
      <c r="A1186" t="s">
        <v>133</v>
      </c>
      <c r="B1186" t="s">
        <v>125</v>
      </c>
      <c r="C1186" t="s">
        <v>35</v>
      </c>
      <c r="D1186" t="s">
        <v>154</v>
      </c>
      <c r="E1186" t="s">
        <v>126</v>
      </c>
      <c r="F1186" s="32">
        <v>117.46670810000001</v>
      </c>
      <c r="G1186" s="23">
        <v>11.657418171033232</v>
      </c>
      <c r="H1186" s="29">
        <v>36.60090732695442</v>
      </c>
      <c r="I1186" s="7">
        <f t="shared" si="52"/>
        <v>11.657418171033232</v>
      </c>
      <c r="J1186" s="7">
        <f t="shared" si="53"/>
        <v>21.720548110738275</v>
      </c>
    </row>
    <row r="1187" spans="1:10" x14ac:dyDescent="0.35">
      <c r="A1187" t="s">
        <v>133</v>
      </c>
      <c r="B1187" t="s">
        <v>125</v>
      </c>
      <c r="C1187" t="s">
        <v>36</v>
      </c>
      <c r="D1187" t="s">
        <v>155</v>
      </c>
      <c r="E1187" t="s">
        <v>126</v>
      </c>
      <c r="F1187" s="32">
        <v>1.8754280000000001</v>
      </c>
      <c r="G1187" s="23" t="e">
        <v>#N/A</v>
      </c>
      <c r="H1187" s="29">
        <v>0.15875583283598493</v>
      </c>
      <c r="I1187" s="7" t="e">
        <f t="shared" si="52"/>
        <v>#N/A</v>
      </c>
      <c r="J1187" s="7" t="e">
        <f t="shared" si="53"/>
        <v>#N/A</v>
      </c>
    </row>
    <row r="1188" spans="1:10" x14ac:dyDescent="0.35">
      <c r="A1188" t="s">
        <v>133</v>
      </c>
      <c r="B1188" t="s">
        <v>125</v>
      </c>
      <c r="C1188" t="s">
        <v>37</v>
      </c>
      <c r="D1188" t="s">
        <v>155</v>
      </c>
      <c r="E1188" t="s">
        <v>126</v>
      </c>
      <c r="F1188" s="32">
        <v>2.6542840000000001</v>
      </c>
      <c r="G1188" s="23">
        <v>0.47192167668497792</v>
      </c>
      <c r="H1188" s="29">
        <v>1.0761014802704383</v>
      </c>
      <c r="I1188" s="7">
        <f t="shared" si="52"/>
        <v>0.47192167668497792</v>
      </c>
      <c r="J1188" s="7">
        <f t="shared" si="53"/>
        <v>0.8793025464598061</v>
      </c>
    </row>
    <row r="1189" spans="1:10" x14ac:dyDescent="0.35">
      <c r="A1189" t="s">
        <v>133</v>
      </c>
      <c r="B1189" t="s">
        <v>125</v>
      </c>
      <c r="C1189" t="s">
        <v>38</v>
      </c>
      <c r="D1189" t="s">
        <v>155</v>
      </c>
      <c r="E1189" t="s">
        <v>126</v>
      </c>
      <c r="F1189" s="32">
        <v>1.7200401999999999</v>
      </c>
      <c r="G1189" s="23">
        <v>0.21898624978150008</v>
      </c>
      <c r="H1189" s="29">
        <v>0.27986677138126725</v>
      </c>
      <c r="I1189" s="7">
        <f t="shared" si="52"/>
        <v>0.21898624978150008</v>
      </c>
      <c r="J1189" s="7">
        <f t="shared" si="53"/>
        <v>0.40802356955748109</v>
      </c>
    </row>
    <row r="1190" spans="1:10" x14ac:dyDescent="0.35">
      <c r="A1190" t="s">
        <v>133</v>
      </c>
      <c r="B1190" t="s">
        <v>125</v>
      </c>
      <c r="C1190" t="s">
        <v>39</v>
      </c>
      <c r="D1190" t="s">
        <v>153</v>
      </c>
      <c r="E1190" t="s">
        <v>126</v>
      </c>
      <c r="F1190" s="32">
        <v>0</v>
      </c>
      <c r="G1190" s="23" t="e">
        <v>#N/A</v>
      </c>
      <c r="H1190" s="29">
        <v>-0.433329435069566</v>
      </c>
      <c r="I1190" s="7" t="e">
        <f t="shared" si="52"/>
        <v>#N/A</v>
      </c>
      <c r="J1190" s="7" t="e">
        <f t="shared" si="53"/>
        <v>#N/A</v>
      </c>
    </row>
    <row r="1191" spans="1:10" s="19" customFormat="1" x14ac:dyDescent="0.35">
      <c r="A1191" s="19" t="s">
        <v>133</v>
      </c>
      <c r="B1191" s="19" t="s">
        <v>125</v>
      </c>
      <c r="C1191" s="19" t="s">
        <v>40</v>
      </c>
      <c r="D1191" s="19" t="s">
        <v>154</v>
      </c>
      <c r="E1191" s="19" t="s">
        <v>126</v>
      </c>
      <c r="F1191" s="33">
        <v>0</v>
      </c>
      <c r="G1191" s="24" t="e">
        <v>#N/A</v>
      </c>
      <c r="H1191" s="30">
        <v>-0.14116094010325789</v>
      </c>
      <c r="I1191" s="21" t="e">
        <f t="shared" si="52"/>
        <v>#N/A</v>
      </c>
      <c r="J1191" s="21" t="e">
        <f t="shared" si="53"/>
        <v>#N/A</v>
      </c>
    </row>
    <row r="1192" spans="1:10" x14ac:dyDescent="0.35">
      <c r="A1192" t="s">
        <v>135</v>
      </c>
      <c r="B1192" t="s">
        <v>128</v>
      </c>
      <c r="C1192" t="s">
        <v>6</v>
      </c>
      <c r="D1192" t="s">
        <v>153</v>
      </c>
      <c r="E1192" t="s">
        <v>126</v>
      </c>
      <c r="F1192" s="32">
        <v>6.7255191000000005</v>
      </c>
      <c r="G1192" s="23" t="e">
        <v>#N/A</v>
      </c>
      <c r="H1192" s="29">
        <v>0.75091433370952476</v>
      </c>
      <c r="I1192" s="7" t="e">
        <f t="shared" si="52"/>
        <v>#N/A</v>
      </c>
      <c r="J1192" s="7" t="e">
        <f>I1192/0.7141</f>
        <v>#N/A</v>
      </c>
    </row>
    <row r="1193" spans="1:10" x14ac:dyDescent="0.35">
      <c r="A1193" t="s">
        <v>135</v>
      </c>
      <c r="B1193" t="s">
        <v>128</v>
      </c>
      <c r="C1193" t="s">
        <v>7</v>
      </c>
      <c r="D1193" t="s">
        <v>153</v>
      </c>
      <c r="E1193" t="s">
        <v>126</v>
      </c>
      <c r="F1193" s="32">
        <v>0</v>
      </c>
      <c r="G1193" s="23" t="e">
        <v>#N/A</v>
      </c>
      <c r="H1193" s="29">
        <v>-9.500191143698658E-2</v>
      </c>
      <c r="I1193" s="7" t="e">
        <f t="shared" si="52"/>
        <v>#N/A</v>
      </c>
      <c r="J1193" s="7" t="e">
        <f t="shared" ref="J1193:J1225" si="54">I1193/0.7141</f>
        <v>#N/A</v>
      </c>
    </row>
    <row r="1194" spans="1:10" x14ac:dyDescent="0.35">
      <c r="A1194" t="s">
        <v>135</v>
      </c>
      <c r="B1194" t="s">
        <v>128</v>
      </c>
      <c r="C1194" t="s">
        <v>8</v>
      </c>
      <c r="D1194" t="s">
        <v>153</v>
      </c>
      <c r="E1194" t="s">
        <v>126</v>
      </c>
      <c r="F1194" s="32" t="e">
        <v>#N/A</v>
      </c>
      <c r="G1194" s="23" t="e">
        <v>#N/A</v>
      </c>
      <c r="H1194" s="29">
        <v>-4.15442146750786E-2</v>
      </c>
      <c r="I1194" s="7" t="e">
        <f t="shared" si="52"/>
        <v>#N/A</v>
      </c>
      <c r="J1194" s="7" t="e">
        <f t="shared" si="54"/>
        <v>#N/A</v>
      </c>
    </row>
    <row r="1195" spans="1:10" x14ac:dyDescent="0.35">
      <c r="A1195" t="s">
        <v>135</v>
      </c>
      <c r="B1195" t="s">
        <v>128</v>
      </c>
      <c r="C1195" t="s">
        <v>9</v>
      </c>
      <c r="D1195" t="s">
        <v>153</v>
      </c>
      <c r="E1195" t="s">
        <v>126</v>
      </c>
      <c r="F1195" s="32">
        <v>16.954508499999999</v>
      </c>
      <c r="G1195" s="23">
        <v>2.1886763454911118</v>
      </c>
      <c r="H1195" s="29">
        <v>7.4435672982380297</v>
      </c>
      <c r="I1195" s="7">
        <f t="shared" si="52"/>
        <v>2.1886763454911118</v>
      </c>
      <c r="J1195" s="7">
        <f t="shared" si="54"/>
        <v>3.0649437690675141</v>
      </c>
    </row>
    <row r="1196" spans="1:10" x14ac:dyDescent="0.35">
      <c r="A1196" t="s">
        <v>135</v>
      </c>
      <c r="B1196" t="s">
        <v>128</v>
      </c>
      <c r="C1196" t="s">
        <v>10</v>
      </c>
      <c r="D1196" t="s">
        <v>153</v>
      </c>
      <c r="E1196" t="s">
        <v>126</v>
      </c>
      <c r="F1196" s="32">
        <v>98.337982699999998</v>
      </c>
      <c r="G1196" s="23">
        <v>9.916431231391087</v>
      </c>
      <c r="H1196" s="29">
        <v>7.9132140503229955</v>
      </c>
      <c r="I1196" s="7">
        <f t="shared" si="52"/>
        <v>9.916431231391087</v>
      </c>
      <c r="J1196" s="7">
        <f t="shared" si="54"/>
        <v>13.886614243650872</v>
      </c>
    </row>
    <row r="1197" spans="1:10" x14ac:dyDescent="0.35">
      <c r="A1197" t="s">
        <v>135</v>
      </c>
      <c r="B1197" t="s">
        <v>128</v>
      </c>
      <c r="C1197" t="s">
        <v>11</v>
      </c>
      <c r="D1197" t="s">
        <v>153</v>
      </c>
      <c r="E1197" t="s">
        <v>126</v>
      </c>
      <c r="F1197" s="32">
        <v>111.37034600000001</v>
      </c>
      <c r="G1197" s="23">
        <v>12.258844541690671</v>
      </c>
      <c r="H1197" s="29">
        <v>30.030984649234185</v>
      </c>
      <c r="I1197" s="7">
        <f t="shared" si="52"/>
        <v>12.258844541690671</v>
      </c>
      <c r="J1197" s="7">
        <f t="shared" si="54"/>
        <v>17.166845738258889</v>
      </c>
    </row>
    <row r="1198" spans="1:10" x14ac:dyDescent="0.35">
      <c r="A1198" t="s">
        <v>135</v>
      </c>
      <c r="B1198" t="s">
        <v>128</v>
      </c>
      <c r="C1198" t="s">
        <v>12</v>
      </c>
      <c r="D1198" t="s">
        <v>154</v>
      </c>
      <c r="E1198" t="s">
        <v>126</v>
      </c>
      <c r="F1198" s="32">
        <v>0</v>
      </c>
      <c r="G1198" s="23" t="e">
        <v>#N/A</v>
      </c>
      <c r="H1198" s="29">
        <v>0.18761966897120069</v>
      </c>
      <c r="I1198" s="7" t="e">
        <f t="shared" si="52"/>
        <v>#N/A</v>
      </c>
      <c r="J1198" s="7" t="e">
        <f t="shared" si="54"/>
        <v>#N/A</v>
      </c>
    </row>
    <row r="1199" spans="1:10" x14ac:dyDescent="0.35">
      <c r="A1199" t="s">
        <v>135</v>
      </c>
      <c r="B1199" t="s">
        <v>128</v>
      </c>
      <c r="C1199" t="s">
        <v>13</v>
      </c>
      <c r="D1199" t="s">
        <v>153</v>
      </c>
      <c r="E1199" t="s">
        <v>126</v>
      </c>
      <c r="F1199" s="32">
        <v>19.481494600000001</v>
      </c>
      <c r="G1199" s="23">
        <v>2.647533470079364</v>
      </c>
      <c r="H1199" s="29">
        <v>0.94210636629269451</v>
      </c>
      <c r="I1199" s="7">
        <f t="shared" si="52"/>
        <v>2.647533470079364</v>
      </c>
      <c r="J1199" s="7">
        <f t="shared" si="54"/>
        <v>3.7075108109219497</v>
      </c>
    </row>
    <row r="1200" spans="1:10" x14ac:dyDescent="0.35">
      <c r="A1200" t="s">
        <v>135</v>
      </c>
      <c r="B1200" t="s">
        <v>128</v>
      </c>
      <c r="C1200" t="s">
        <v>14</v>
      </c>
      <c r="D1200" t="s">
        <v>154</v>
      </c>
      <c r="E1200" t="s">
        <v>126</v>
      </c>
      <c r="F1200" s="32">
        <v>0</v>
      </c>
      <c r="G1200" s="23" t="e">
        <v>#N/A</v>
      </c>
      <c r="H1200" s="29">
        <v>-5.7224518684851886E-2</v>
      </c>
      <c r="I1200" s="7" t="e">
        <f t="shared" si="52"/>
        <v>#N/A</v>
      </c>
      <c r="J1200" s="7" t="e">
        <f t="shared" si="54"/>
        <v>#N/A</v>
      </c>
    </row>
    <row r="1201" spans="1:10" x14ac:dyDescent="0.35">
      <c r="A1201" t="s">
        <v>135</v>
      </c>
      <c r="B1201" t="s">
        <v>128</v>
      </c>
      <c r="C1201" t="s">
        <v>15</v>
      </c>
      <c r="D1201" t="s">
        <v>153</v>
      </c>
      <c r="E1201" t="s">
        <v>126</v>
      </c>
      <c r="F1201" s="32">
        <v>2738.5680073000003</v>
      </c>
      <c r="G1201" s="23">
        <v>65.440015393841307</v>
      </c>
      <c r="H1201" s="29">
        <v>199.59180655246445</v>
      </c>
      <c r="I1201" s="7">
        <f t="shared" si="52"/>
        <v>65.440015393841307</v>
      </c>
      <c r="J1201" s="7">
        <f t="shared" si="54"/>
        <v>91.639847911834906</v>
      </c>
    </row>
    <row r="1202" spans="1:10" x14ac:dyDescent="0.35">
      <c r="A1202" t="s">
        <v>135</v>
      </c>
      <c r="B1202" t="s">
        <v>128</v>
      </c>
      <c r="C1202" t="s">
        <v>16</v>
      </c>
      <c r="D1202" t="s">
        <v>154</v>
      </c>
      <c r="E1202" t="s">
        <v>126</v>
      </c>
      <c r="F1202" s="32">
        <v>347.50973759999999</v>
      </c>
      <c r="G1202" s="23">
        <v>30.813798416240985</v>
      </c>
      <c r="H1202" s="29">
        <v>87.407405015866274</v>
      </c>
      <c r="I1202" s="7">
        <f t="shared" si="52"/>
        <v>30.813798416240985</v>
      </c>
      <c r="J1202" s="7">
        <f t="shared" si="54"/>
        <v>43.150536922337189</v>
      </c>
    </row>
    <row r="1203" spans="1:10" x14ac:dyDescent="0.35">
      <c r="A1203" t="s">
        <v>135</v>
      </c>
      <c r="B1203" t="s">
        <v>128</v>
      </c>
      <c r="C1203" t="s">
        <v>18</v>
      </c>
      <c r="D1203" t="s">
        <v>154</v>
      </c>
      <c r="E1203" t="s">
        <v>126</v>
      </c>
      <c r="F1203" s="32">
        <v>0</v>
      </c>
      <c r="G1203" s="23" t="e">
        <v>#N/A</v>
      </c>
      <c r="H1203" s="29">
        <v>-3.8863340242301481E-2</v>
      </c>
      <c r="I1203" s="7" t="e">
        <f t="shared" si="52"/>
        <v>#N/A</v>
      </c>
      <c r="J1203" s="7" t="e">
        <f t="shared" si="54"/>
        <v>#N/A</v>
      </c>
    </row>
    <row r="1204" spans="1:10" x14ac:dyDescent="0.35">
      <c r="A1204" t="s">
        <v>135</v>
      </c>
      <c r="B1204" t="s">
        <v>128</v>
      </c>
      <c r="C1204" t="s">
        <v>19</v>
      </c>
      <c r="D1204" t="s">
        <v>153</v>
      </c>
      <c r="E1204" t="s">
        <v>126</v>
      </c>
      <c r="F1204" s="32">
        <v>549.42976870000007</v>
      </c>
      <c r="G1204" s="23">
        <v>41.689370293406029</v>
      </c>
      <c r="H1204" s="29">
        <v>44.989937253011199</v>
      </c>
      <c r="I1204" s="7">
        <f t="shared" si="52"/>
        <v>41.689370293406029</v>
      </c>
      <c r="J1204" s="7">
        <f t="shared" si="54"/>
        <v>58.380297288063339</v>
      </c>
    </row>
    <row r="1205" spans="1:10" x14ac:dyDescent="0.35">
      <c r="A1205" t="s">
        <v>135</v>
      </c>
      <c r="B1205" t="s">
        <v>128</v>
      </c>
      <c r="C1205" t="s">
        <v>20</v>
      </c>
      <c r="D1205" t="s">
        <v>154</v>
      </c>
      <c r="E1205" t="s">
        <v>126</v>
      </c>
      <c r="F1205" s="32">
        <v>477.99272210000004</v>
      </c>
      <c r="G1205" s="23">
        <v>45.872182483097802</v>
      </c>
      <c r="H1205" s="29">
        <v>117.25467431527889</v>
      </c>
      <c r="I1205" s="7">
        <f t="shared" si="52"/>
        <v>45.872182483097802</v>
      </c>
      <c r="J1205" s="7">
        <f t="shared" si="54"/>
        <v>64.237757293233173</v>
      </c>
    </row>
    <row r="1206" spans="1:10" x14ac:dyDescent="0.35">
      <c r="A1206" t="s">
        <v>135</v>
      </c>
      <c r="B1206" t="s">
        <v>128</v>
      </c>
      <c r="C1206" t="s">
        <v>21</v>
      </c>
      <c r="D1206" t="s">
        <v>155</v>
      </c>
      <c r="E1206" t="s">
        <v>126</v>
      </c>
      <c r="F1206" s="32">
        <v>1.9112914000000001</v>
      </c>
      <c r="G1206" s="23" t="e">
        <v>#N/A</v>
      </c>
      <c r="H1206" s="29">
        <v>0.45310036266059589</v>
      </c>
      <c r="I1206" s="7" t="e">
        <f t="shared" si="52"/>
        <v>#N/A</v>
      </c>
      <c r="J1206" s="7" t="e">
        <f t="shared" si="54"/>
        <v>#N/A</v>
      </c>
    </row>
    <row r="1207" spans="1:10" x14ac:dyDescent="0.35">
      <c r="A1207" t="s">
        <v>135</v>
      </c>
      <c r="B1207" t="s">
        <v>128</v>
      </c>
      <c r="C1207" t="s">
        <v>22</v>
      </c>
      <c r="D1207" t="s">
        <v>155</v>
      </c>
      <c r="E1207" t="s">
        <v>126</v>
      </c>
      <c r="F1207" s="32">
        <v>286.14591769999998</v>
      </c>
      <c r="G1207" s="23">
        <v>21.586472101752904</v>
      </c>
      <c r="H1207" s="29">
        <v>49.239835453317909</v>
      </c>
      <c r="I1207" s="7">
        <f t="shared" si="52"/>
        <v>21.586472101752904</v>
      </c>
      <c r="J1207" s="7">
        <f t="shared" si="54"/>
        <v>30.228920461774127</v>
      </c>
    </row>
    <row r="1208" spans="1:10" x14ac:dyDescent="0.35">
      <c r="A1208" t="s">
        <v>135</v>
      </c>
      <c r="B1208" t="s">
        <v>128</v>
      </c>
      <c r="C1208" t="s">
        <v>23</v>
      </c>
      <c r="D1208" t="s">
        <v>155</v>
      </c>
      <c r="E1208" t="s">
        <v>126</v>
      </c>
      <c r="F1208" s="32">
        <v>0</v>
      </c>
      <c r="G1208" s="23" t="e">
        <v>#N/A</v>
      </c>
      <c r="H1208" s="29">
        <v>1.9406370033264311E-2</v>
      </c>
      <c r="I1208" s="7" t="e">
        <f t="shared" si="52"/>
        <v>#N/A</v>
      </c>
      <c r="J1208" s="7" t="e">
        <f t="shared" si="54"/>
        <v>#N/A</v>
      </c>
    </row>
    <row r="1209" spans="1:10" x14ac:dyDescent="0.35">
      <c r="A1209" t="s">
        <v>135</v>
      </c>
      <c r="B1209" t="s">
        <v>128</v>
      </c>
      <c r="C1209" t="s">
        <v>24</v>
      </c>
      <c r="D1209" t="s">
        <v>155</v>
      </c>
      <c r="E1209" t="s">
        <v>126</v>
      </c>
      <c r="F1209" s="32">
        <v>274.66328340000001</v>
      </c>
      <c r="G1209" s="23">
        <v>5.9785976387853523</v>
      </c>
      <c r="H1209" s="29">
        <v>7.8452234627365769</v>
      </c>
      <c r="I1209" s="7">
        <f t="shared" si="52"/>
        <v>5.9785976387853523</v>
      </c>
      <c r="J1209" s="7">
        <f t="shared" si="54"/>
        <v>8.3722134698016415</v>
      </c>
    </row>
    <row r="1210" spans="1:10" x14ac:dyDescent="0.35">
      <c r="A1210" t="s">
        <v>135</v>
      </c>
      <c r="B1210" t="s">
        <v>128</v>
      </c>
      <c r="C1210" t="s">
        <v>25</v>
      </c>
      <c r="D1210" t="s">
        <v>155</v>
      </c>
      <c r="E1210" t="s">
        <v>126</v>
      </c>
      <c r="F1210" s="32">
        <v>16.514241900000002</v>
      </c>
      <c r="G1210" s="23">
        <v>0.81064298901141174</v>
      </c>
      <c r="H1210" s="29">
        <v>1.6060940273765822</v>
      </c>
      <c r="I1210" s="7">
        <f t="shared" ref="I1210:I1273" si="55">IF(G1210&lt;0,0,G1210)</f>
        <v>0.81064298901141174</v>
      </c>
      <c r="J1210" s="7">
        <f t="shared" si="54"/>
        <v>1.1351953354031814</v>
      </c>
    </row>
    <row r="1211" spans="1:10" x14ac:dyDescent="0.35">
      <c r="A1211" t="s">
        <v>135</v>
      </c>
      <c r="B1211" t="s">
        <v>128</v>
      </c>
      <c r="C1211" t="s">
        <v>26</v>
      </c>
      <c r="D1211" t="s">
        <v>153</v>
      </c>
      <c r="E1211" t="s">
        <v>126</v>
      </c>
      <c r="F1211" s="32">
        <v>1.69143</v>
      </c>
      <c r="G1211" s="23">
        <v>1.4214908262355257</v>
      </c>
      <c r="H1211" s="29">
        <v>-3.7585412248149333E-2</v>
      </c>
      <c r="I1211" s="7">
        <f t="shared" si="55"/>
        <v>1.4214908262355257</v>
      </c>
      <c r="J1211" s="7">
        <f t="shared" si="54"/>
        <v>1.9906047139553644</v>
      </c>
    </row>
    <row r="1212" spans="1:10" x14ac:dyDescent="0.35">
      <c r="A1212" t="s">
        <v>135</v>
      </c>
      <c r="B1212" t="s">
        <v>128</v>
      </c>
      <c r="C1212" t="s">
        <v>27</v>
      </c>
      <c r="D1212" t="s">
        <v>154</v>
      </c>
      <c r="E1212" t="s">
        <v>126</v>
      </c>
      <c r="F1212" s="32">
        <v>16.010990799999998</v>
      </c>
      <c r="G1212" s="23">
        <v>5.1470769178430906</v>
      </c>
      <c r="H1212" s="29">
        <v>4.4510965570354974</v>
      </c>
      <c r="I1212" s="7">
        <f t="shared" si="55"/>
        <v>5.1470769178430906</v>
      </c>
      <c r="J1212" s="7">
        <f t="shared" si="54"/>
        <v>7.2077817082244655</v>
      </c>
    </row>
    <row r="1213" spans="1:10" x14ac:dyDescent="0.35">
      <c r="A1213" t="s">
        <v>135</v>
      </c>
      <c r="B1213" t="s">
        <v>128</v>
      </c>
      <c r="C1213" t="s">
        <v>28</v>
      </c>
      <c r="D1213" t="s">
        <v>155</v>
      </c>
      <c r="E1213" t="s">
        <v>126</v>
      </c>
      <c r="F1213" s="32">
        <v>38.918843699999996</v>
      </c>
      <c r="G1213" s="23">
        <v>4.2679747400985066</v>
      </c>
      <c r="H1213" s="29">
        <v>11.422950406915042</v>
      </c>
      <c r="I1213" s="7">
        <f t="shared" si="55"/>
        <v>4.2679747400985066</v>
      </c>
      <c r="J1213" s="7">
        <f t="shared" si="54"/>
        <v>5.9767185829694816</v>
      </c>
    </row>
    <row r="1214" spans="1:10" x14ac:dyDescent="0.35">
      <c r="A1214" t="s">
        <v>135</v>
      </c>
      <c r="B1214" t="s">
        <v>128</v>
      </c>
      <c r="C1214" t="s">
        <v>29</v>
      </c>
      <c r="D1214" t="s">
        <v>155</v>
      </c>
      <c r="E1214" t="s">
        <v>126</v>
      </c>
      <c r="F1214" s="32">
        <v>0.91557699999999997</v>
      </c>
      <c r="G1214" s="23" t="e">
        <v>#N/A</v>
      </c>
      <c r="H1214" s="29">
        <v>0.24218813877681855</v>
      </c>
      <c r="I1214" s="7" t="e">
        <f t="shared" si="55"/>
        <v>#N/A</v>
      </c>
      <c r="J1214" s="7" t="e">
        <f t="shared" si="54"/>
        <v>#N/A</v>
      </c>
    </row>
    <row r="1215" spans="1:10" x14ac:dyDescent="0.35">
      <c r="A1215" t="s">
        <v>135</v>
      </c>
      <c r="B1215" t="s">
        <v>128</v>
      </c>
      <c r="C1215" t="s">
        <v>30</v>
      </c>
      <c r="D1215" t="s">
        <v>155</v>
      </c>
      <c r="E1215" t="s">
        <v>126</v>
      </c>
      <c r="F1215" s="32">
        <v>263.19871120000005</v>
      </c>
      <c r="G1215" s="23">
        <v>10.67804440856732</v>
      </c>
      <c r="H1215" s="29">
        <v>32.589162053978924</v>
      </c>
      <c r="I1215" s="7">
        <f t="shared" si="55"/>
        <v>10.67804440856732</v>
      </c>
      <c r="J1215" s="7">
        <f t="shared" si="54"/>
        <v>14.953149990991907</v>
      </c>
    </row>
    <row r="1216" spans="1:10" x14ac:dyDescent="0.35">
      <c r="A1216" t="s">
        <v>135</v>
      </c>
      <c r="B1216" t="s">
        <v>128</v>
      </c>
      <c r="C1216" t="s">
        <v>31</v>
      </c>
      <c r="D1216" t="s">
        <v>155</v>
      </c>
      <c r="E1216" t="s">
        <v>126</v>
      </c>
      <c r="F1216" s="32">
        <v>9.8058727999999995</v>
      </c>
      <c r="G1216" s="23" t="e">
        <v>#N/A</v>
      </c>
      <c r="H1216" s="29">
        <v>0.44049261859862177</v>
      </c>
      <c r="I1216" s="7" t="e">
        <f t="shared" si="55"/>
        <v>#N/A</v>
      </c>
      <c r="J1216" s="7" t="e">
        <f t="shared" si="54"/>
        <v>#N/A</v>
      </c>
    </row>
    <row r="1217" spans="1:10" x14ac:dyDescent="0.35">
      <c r="A1217" t="s">
        <v>135</v>
      </c>
      <c r="B1217" t="s">
        <v>128</v>
      </c>
      <c r="C1217" t="s">
        <v>32</v>
      </c>
      <c r="D1217" t="s">
        <v>153</v>
      </c>
      <c r="E1217" t="s">
        <v>126</v>
      </c>
      <c r="F1217" s="32">
        <v>0</v>
      </c>
      <c r="G1217" s="23" t="e">
        <v>#N/A</v>
      </c>
      <c r="H1217" s="29">
        <v>9.8839132868942664E-2</v>
      </c>
      <c r="I1217" s="7" t="e">
        <f t="shared" si="55"/>
        <v>#N/A</v>
      </c>
      <c r="J1217" s="7" t="e">
        <f t="shared" si="54"/>
        <v>#N/A</v>
      </c>
    </row>
    <row r="1218" spans="1:10" x14ac:dyDescent="0.35">
      <c r="A1218" t="s">
        <v>135</v>
      </c>
      <c r="B1218" t="s">
        <v>128</v>
      </c>
      <c r="C1218" t="s">
        <v>33</v>
      </c>
      <c r="D1218" t="s">
        <v>155</v>
      </c>
      <c r="E1218" t="s">
        <v>126</v>
      </c>
      <c r="F1218" s="32">
        <v>213.88310750000002</v>
      </c>
      <c r="G1218" s="23">
        <v>13.43251677180255</v>
      </c>
      <c r="H1218" s="29">
        <v>16.458420253028855</v>
      </c>
      <c r="I1218" s="7">
        <f t="shared" si="55"/>
        <v>13.43251677180255</v>
      </c>
      <c r="J1218" s="7">
        <f t="shared" si="54"/>
        <v>18.810414188212508</v>
      </c>
    </row>
    <row r="1219" spans="1:10" x14ac:dyDescent="0.35">
      <c r="A1219" t="s">
        <v>135</v>
      </c>
      <c r="B1219" t="s">
        <v>128</v>
      </c>
      <c r="C1219" t="s">
        <v>34</v>
      </c>
      <c r="D1219" t="s">
        <v>153</v>
      </c>
      <c r="E1219" t="s">
        <v>126</v>
      </c>
      <c r="F1219" s="32">
        <v>0</v>
      </c>
      <c r="G1219" s="23" t="e">
        <v>#N/A</v>
      </c>
      <c r="H1219" s="29">
        <v>-0.15377725837439055</v>
      </c>
      <c r="I1219" s="7" t="e">
        <f t="shared" si="55"/>
        <v>#N/A</v>
      </c>
      <c r="J1219" s="7" t="e">
        <f t="shared" si="54"/>
        <v>#N/A</v>
      </c>
    </row>
    <row r="1220" spans="1:10" x14ac:dyDescent="0.35">
      <c r="A1220" t="s">
        <v>135</v>
      </c>
      <c r="B1220" t="s">
        <v>128</v>
      </c>
      <c r="C1220" t="s">
        <v>35</v>
      </c>
      <c r="D1220" t="s">
        <v>154</v>
      </c>
      <c r="E1220" t="s">
        <v>126</v>
      </c>
      <c r="F1220" s="32">
        <v>116.80064160000001</v>
      </c>
      <c r="G1220" s="23">
        <v>11.660003188778305</v>
      </c>
      <c r="H1220" s="29">
        <v>36.389971219118074</v>
      </c>
      <c r="I1220" s="7">
        <f t="shared" si="55"/>
        <v>11.660003188778305</v>
      </c>
      <c r="J1220" s="7">
        <f t="shared" si="54"/>
        <v>16.328249809240031</v>
      </c>
    </row>
    <row r="1221" spans="1:10" x14ac:dyDescent="0.35">
      <c r="A1221" t="s">
        <v>135</v>
      </c>
      <c r="B1221" t="s">
        <v>128</v>
      </c>
      <c r="C1221" t="s">
        <v>36</v>
      </c>
      <c r="D1221" t="s">
        <v>155</v>
      </c>
      <c r="E1221" t="s">
        <v>126</v>
      </c>
      <c r="F1221" s="32">
        <v>1.9571567000000001</v>
      </c>
      <c r="G1221" s="23" t="e">
        <v>#N/A</v>
      </c>
      <c r="H1221" s="29">
        <v>0.17951426040209992</v>
      </c>
      <c r="I1221" s="7" t="e">
        <f t="shared" si="55"/>
        <v>#N/A</v>
      </c>
      <c r="J1221" s="7" t="e">
        <f t="shared" si="54"/>
        <v>#N/A</v>
      </c>
    </row>
    <row r="1222" spans="1:10" x14ac:dyDescent="0.35">
      <c r="A1222" t="s">
        <v>135</v>
      </c>
      <c r="B1222" t="s">
        <v>128</v>
      </c>
      <c r="C1222" t="s">
        <v>37</v>
      </c>
      <c r="D1222" t="s">
        <v>155</v>
      </c>
      <c r="E1222" t="s">
        <v>126</v>
      </c>
      <c r="F1222" s="32">
        <v>7.7411357000000001</v>
      </c>
      <c r="G1222" s="23">
        <v>2.3568544525816097</v>
      </c>
      <c r="H1222" s="29">
        <v>2.7136302480000341</v>
      </c>
      <c r="I1222" s="7">
        <f t="shared" si="55"/>
        <v>2.3568544525816097</v>
      </c>
      <c r="J1222" s="7">
        <f t="shared" si="54"/>
        <v>3.3004543517457079</v>
      </c>
    </row>
    <row r="1223" spans="1:10" x14ac:dyDescent="0.35">
      <c r="A1223" t="s">
        <v>135</v>
      </c>
      <c r="B1223" t="s">
        <v>128</v>
      </c>
      <c r="C1223" t="s">
        <v>38</v>
      </c>
      <c r="D1223" t="s">
        <v>155</v>
      </c>
      <c r="E1223" t="s">
        <v>126</v>
      </c>
      <c r="F1223" s="32">
        <v>8.2331139000000011</v>
      </c>
      <c r="G1223" s="23" t="e">
        <v>#N/A</v>
      </c>
      <c r="H1223" s="29">
        <v>1.0542328519399495</v>
      </c>
      <c r="I1223" s="7" t="e">
        <f t="shared" si="55"/>
        <v>#N/A</v>
      </c>
      <c r="J1223" s="7" t="e">
        <f t="shared" si="54"/>
        <v>#N/A</v>
      </c>
    </row>
    <row r="1224" spans="1:10" x14ac:dyDescent="0.35">
      <c r="A1224" t="s">
        <v>135</v>
      </c>
      <c r="B1224" t="s">
        <v>128</v>
      </c>
      <c r="C1224" t="s">
        <v>39</v>
      </c>
      <c r="D1224" t="s">
        <v>153</v>
      </c>
      <c r="E1224" t="s">
        <v>126</v>
      </c>
      <c r="F1224" s="32">
        <v>0</v>
      </c>
      <c r="G1224" s="23" t="e">
        <v>#N/A</v>
      </c>
      <c r="H1224" s="29">
        <v>-0.40821852650577162</v>
      </c>
      <c r="I1224" s="7" t="e">
        <f t="shared" si="55"/>
        <v>#N/A</v>
      </c>
      <c r="J1224" s="7" t="e">
        <f t="shared" si="54"/>
        <v>#N/A</v>
      </c>
    </row>
    <row r="1225" spans="1:10" s="19" customFormat="1" x14ac:dyDescent="0.35">
      <c r="A1225" s="19" t="s">
        <v>135</v>
      </c>
      <c r="B1225" s="19" t="s">
        <v>128</v>
      </c>
      <c r="C1225" s="19" t="s">
        <v>40</v>
      </c>
      <c r="D1225" s="19" t="s">
        <v>154</v>
      </c>
      <c r="E1225" s="19" t="s">
        <v>126</v>
      </c>
      <c r="F1225" s="33">
        <v>0</v>
      </c>
      <c r="G1225" s="24" t="e">
        <v>#N/A</v>
      </c>
      <c r="H1225" s="30">
        <v>9.6264234752005046E-2</v>
      </c>
      <c r="I1225" s="21" t="e">
        <f t="shared" si="55"/>
        <v>#N/A</v>
      </c>
      <c r="J1225" s="21" t="e">
        <f t="shared" si="54"/>
        <v>#N/A</v>
      </c>
    </row>
    <row r="1226" spans="1:10" x14ac:dyDescent="0.35">
      <c r="A1226" t="s">
        <v>137</v>
      </c>
      <c r="B1226" t="s">
        <v>130</v>
      </c>
      <c r="C1226" t="s">
        <v>6</v>
      </c>
      <c r="D1226" t="s">
        <v>153</v>
      </c>
      <c r="E1226" t="s">
        <v>126</v>
      </c>
      <c r="F1226" s="32">
        <v>6.7232431999999998</v>
      </c>
      <c r="G1226" s="23" t="e">
        <v>#N/A</v>
      </c>
      <c r="H1226" s="29">
        <v>0.75081814702752037</v>
      </c>
      <c r="I1226" s="7" t="e">
        <f t="shared" si="55"/>
        <v>#N/A</v>
      </c>
      <c r="J1226" s="7" t="e">
        <f>I1226/0.4128</f>
        <v>#N/A</v>
      </c>
    </row>
    <row r="1227" spans="1:10" x14ac:dyDescent="0.35">
      <c r="A1227" t="s">
        <v>137</v>
      </c>
      <c r="B1227" t="s">
        <v>130</v>
      </c>
      <c r="C1227" t="s">
        <v>7</v>
      </c>
      <c r="D1227" t="s">
        <v>153</v>
      </c>
      <c r="E1227" t="s">
        <v>126</v>
      </c>
      <c r="F1227" s="32">
        <v>0</v>
      </c>
      <c r="G1227" s="23" t="e">
        <v>#N/A</v>
      </c>
      <c r="H1227" s="29">
        <v>-8.6625762114767704E-2</v>
      </c>
      <c r="I1227" s="7" t="e">
        <f t="shared" si="55"/>
        <v>#N/A</v>
      </c>
      <c r="J1227" s="7" t="e">
        <f t="shared" ref="J1227:J1259" si="56">I1227/0.4128</f>
        <v>#N/A</v>
      </c>
    </row>
    <row r="1228" spans="1:10" x14ac:dyDescent="0.35">
      <c r="A1228" t="s">
        <v>137</v>
      </c>
      <c r="B1228" t="s">
        <v>130</v>
      </c>
      <c r="C1228" t="s">
        <v>8</v>
      </c>
      <c r="D1228" t="s">
        <v>153</v>
      </c>
      <c r="E1228" t="s">
        <v>126</v>
      </c>
      <c r="F1228" s="32" t="e">
        <v>#N/A</v>
      </c>
      <c r="G1228" s="23" t="e">
        <v>#N/A</v>
      </c>
      <c r="H1228" s="29">
        <v>-8.040633656252595E-4</v>
      </c>
      <c r="I1228" s="7" t="e">
        <f t="shared" si="55"/>
        <v>#N/A</v>
      </c>
      <c r="J1228" s="7" t="e">
        <f t="shared" si="56"/>
        <v>#N/A</v>
      </c>
    </row>
    <row r="1229" spans="1:10" x14ac:dyDescent="0.35">
      <c r="A1229" t="s">
        <v>137</v>
      </c>
      <c r="B1229" t="s">
        <v>130</v>
      </c>
      <c r="C1229" t="s">
        <v>9</v>
      </c>
      <c r="D1229" t="s">
        <v>153</v>
      </c>
      <c r="E1229" t="s">
        <v>126</v>
      </c>
      <c r="F1229" s="32">
        <v>7.1924260000000002</v>
      </c>
      <c r="G1229" s="23">
        <v>1.1970988965716616</v>
      </c>
      <c r="H1229" s="29">
        <v>4.3926756621662424</v>
      </c>
      <c r="I1229" s="7">
        <f t="shared" si="55"/>
        <v>1.1970988965716616</v>
      </c>
      <c r="J1229" s="7">
        <f t="shared" si="56"/>
        <v>2.8999488773538311</v>
      </c>
    </row>
    <row r="1230" spans="1:10" x14ac:dyDescent="0.35">
      <c r="A1230" t="s">
        <v>137</v>
      </c>
      <c r="B1230" t="s">
        <v>130</v>
      </c>
      <c r="C1230" t="s">
        <v>10</v>
      </c>
      <c r="D1230" t="s">
        <v>153</v>
      </c>
      <c r="E1230" t="s">
        <v>126</v>
      </c>
      <c r="F1230" s="32">
        <v>89.016080299999999</v>
      </c>
      <c r="G1230" s="23">
        <v>9.0661349715735131</v>
      </c>
      <c r="H1230" s="29">
        <v>7.1633589532990891</v>
      </c>
      <c r="I1230" s="7">
        <f t="shared" si="55"/>
        <v>9.0661349715735131</v>
      </c>
      <c r="J1230" s="7">
        <f t="shared" si="56"/>
        <v>21.962536268346689</v>
      </c>
    </row>
    <row r="1231" spans="1:10" x14ac:dyDescent="0.35">
      <c r="A1231" t="s">
        <v>137</v>
      </c>
      <c r="B1231" t="s">
        <v>130</v>
      </c>
      <c r="C1231" t="s">
        <v>11</v>
      </c>
      <c r="D1231" t="s">
        <v>153</v>
      </c>
      <c r="E1231" t="s">
        <v>126</v>
      </c>
      <c r="F1231" s="32">
        <v>56.979877600000002</v>
      </c>
      <c r="G1231" s="23">
        <v>6.6836650199922945</v>
      </c>
      <c r="H1231" s="29">
        <v>16.062997969629819</v>
      </c>
      <c r="I1231" s="7">
        <f t="shared" si="55"/>
        <v>6.6836650199922945</v>
      </c>
      <c r="J1231" s="7">
        <f t="shared" si="56"/>
        <v>16.191048982539474</v>
      </c>
    </row>
    <row r="1232" spans="1:10" x14ac:dyDescent="0.35">
      <c r="A1232" t="s">
        <v>137</v>
      </c>
      <c r="B1232" t="s">
        <v>130</v>
      </c>
      <c r="C1232" t="s">
        <v>12</v>
      </c>
      <c r="D1232" t="s">
        <v>154</v>
      </c>
      <c r="E1232" t="s">
        <v>126</v>
      </c>
      <c r="F1232" s="32">
        <v>0</v>
      </c>
      <c r="G1232" s="23" t="e">
        <v>#N/A</v>
      </c>
      <c r="H1232" s="29">
        <v>-2.4435723644759683E-2</v>
      </c>
      <c r="I1232" s="7" t="e">
        <f t="shared" si="55"/>
        <v>#N/A</v>
      </c>
      <c r="J1232" s="7" t="e">
        <f t="shared" si="56"/>
        <v>#N/A</v>
      </c>
    </row>
    <row r="1233" spans="1:10" x14ac:dyDescent="0.35">
      <c r="A1233" t="s">
        <v>137</v>
      </c>
      <c r="B1233" t="s">
        <v>130</v>
      </c>
      <c r="C1233" t="s">
        <v>13</v>
      </c>
      <c r="D1233" t="s">
        <v>153</v>
      </c>
      <c r="E1233" t="s">
        <v>126</v>
      </c>
      <c r="F1233" s="32">
        <v>9.3105071000000006</v>
      </c>
      <c r="G1233" s="23">
        <v>1.285119217695498</v>
      </c>
      <c r="H1233" s="29">
        <v>0.45496463423396205</v>
      </c>
      <c r="I1233" s="7">
        <f t="shared" si="55"/>
        <v>1.285119217695498</v>
      </c>
      <c r="J1233" s="7">
        <f t="shared" si="56"/>
        <v>3.1131763994561483</v>
      </c>
    </row>
    <row r="1234" spans="1:10" x14ac:dyDescent="0.35">
      <c r="A1234" t="s">
        <v>137</v>
      </c>
      <c r="B1234" t="s">
        <v>130</v>
      </c>
      <c r="C1234" t="s">
        <v>14</v>
      </c>
      <c r="D1234" t="s">
        <v>154</v>
      </c>
      <c r="E1234" t="s">
        <v>126</v>
      </c>
      <c r="F1234" s="32">
        <v>0</v>
      </c>
      <c r="G1234" s="23" t="e">
        <v>#N/A</v>
      </c>
      <c r="H1234" s="29">
        <v>-5.6097282168075385E-2</v>
      </c>
      <c r="I1234" s="7" t="e">
        <f t="shared" si="55"/>
        <v>#N/A</v>
      </c>
      <c r="J1234" s="7" t="e">
        <f t="shared" si="56"/>
        <v>#N/A</v>
      </c>
    </row>
    <row r="1235" spans="1:10" x14ac:dyDescent="0.35">
      <c r="A1235" t="s">
        <v>137</v>
      </c>
      <c r="B1235" t="s">
        <v>130</v>
      </c>
      <c r="C1235" t="s">
        <v>15</v>
      </c>
      <c r="D1235" t="s">
        <v>153</v>
      </c>
      <c r="E1235" t="s">
        <v>126</v>
      </c>
      <c r="F1235" s="32">
        <v>1936.7175377999999</v>
      </c>
      <c r="G1235" s="23">
        <v>46.728032911265814</v>
      </c>
      <c r="H1235" s="29">
        <v>141.11076423615873</v>
      </c>
      <c r="I1235" s="7">
        <f t="shared" si="55"/>
        <v>46.728032911265814</v>
      </c>
      <c r="J1235" s="7">
        <f t="shared" si="56"/>
        <v>113.19775414550827</v>
      </c>
    </row>
    <row r="1236" spans="1:10" x14ac:dyDescent="0.35">
      <c r="A1236" t="s">
        <v>137</v>
      </c>
      <c r="B1236" t="s">
        <v>130</v>
      </c>
      <c r="C1236" t="s">
        <v>16</v>
      </c>
      <c r="D1236" t="s">
        <v>154</v>
      </c>
      <c r="E1236" t="s">
        <v>126</v>
      </c>
      <c r="F1236" s="32">
        <v>159.33959250000001</v>
      </c>
      <c r="G1236" s="23">
        <v>15.076342637551274</v>
      </c>
      <c r="H1236" s="29">
        <v>40.32430015363591</v>
      </c>
      <c r="I1236" s="7">
        <f t="shared" si="55"/>
        <v>15.076342637551274</v>
      </c>
      <c r="J1236" s="7">
        <f t="shared" si="56"/>
        <v>36.522147862285067</v>
      </c>
    </row>
    <row r="1237" spans="1:10" x14ac:dyDescent="0.35">
      <c r="A1237" t="s">
        <v>137</v>
      </c>
      <c r="B1237" t="s">
        <v>130</v>
      </c>
      <c r="C1237" t="s">
        <v>18</v>
      </c>
      <c r="D1237" t="s">
        <v>154</v>
      </c>
      <c r="E1237" t="s">
        <v>126</v>
      </c>
      <c r="F1237" s="32">
        <v>0</v>
      </c>
      <c r="G1237" s="23" t="e">
        <v>#N/A</v>
      </c>
      <c r="H1237" s="29">
        <v>-3.7589672788203111E-2</v>
      </c>
      <c r="I1237" s="7" t="e">
        <f t="shared" si="55"/>
        <v>#N/A</v>
      </c>
      <c r="J1237" s="7" t="e">
        <f t="shared" si="56"/>
        <v>#N/A</v>
      </c>
    </row>
    <row r="1238" spans="1:10" x14ac:dyDescent="0.35">
      <c r="A1238" t="s">
        <v>137</v>
      </c>
      <c r="B1238" t="s">
        <v>130</v>
      </c>
      <c r="C1238" t="s">
        <v>19</v>
      </c>
      <c r="D1238" t="s">
        <v>153</v>
      </c>
      <c r="E1238" t="s">
        <v>126</v>
      </c>
      <c r="F1238" s="32">
        <v>442.89497649999998</v>
      </c>
      <c r="G1238" s="23">
        <v>34.01597514901534</v>
      </c>
      <c r="H1238" s="29">
        <v>36.331454721042974</v>
      </c>
      <c r="I1238" s="7">
        <f t="shared" si="55"/>
        <v>34.01597514901534</v>
      </c>
      <c r="J1238" s="7">
        <f t="shared" si="56"/>
        <v>82.403040574165061</v>
      </c>
    </row>
    <row r="1239" spans="1:10" x14ac:dyDescent="0.35">
      <c r="A1239" t="s">
        <v>137</v>
      </c>
      <c r="B1239" t="s">
        <v>130</v>
      </c>
      <c r="C1239" t="s">
        <v>20</v>
      </c>
      <c r="D1239" t="s">
        <v>154</v>
      </c>
      <c r="E1239" t="s">
        <v>126</v>
      </c>
      <c r="F1239" s="32">
        <v>335.34007030000004</v>
      </c>
      <c r="G1239" s="23">
        <v>32.119334619787537</v>
      </c>
      <c r="H1239" s="29">
        <v>82.459893276008557</v>
      </c>
      <c r="I1239" s="7">
        <f t="shared" si="55"/>
        <v>32.119334619787537</v>
      </c>
      <c r="J1239" s="7">
        <f t="shared" si="56"/>
        <v>77.808465648710126</v>
      </c>
    </row>
    <row r="1240" spans="1:10" x14ac:dyDescent="0.35">
      <c r="A1240" t="s">
        <v>137</v>
      </c>
      <c r="B1240" t="s">
        <v>130</v>
      </c>
      <c r="C1240" t="s">
        <v>21</v>
      </c>
      <c r="D1240" t="s">
        <v>155</v>
      </c>
      <c r="E1240" t="s">
        <v>126</v>
      </c>
      <c r="F1240" s="32">
        <v>0.3407386</v>
      </c>
      <c r="G1240" s="23" t="e">
        <v>#N/A</v>
      </c>
      <c r="H1240" s="29">
        <v>8.7650544482539255E-2</v>
      </c>
      <c r="I1240" s="7" t="e">
        <f t="shared" si="55"/>
        <v>#N/A</v>
      </c>
      <c r="J1240" s="7" t="e">
        <f t="shared" si="56"/>
        <v>#N/A</v>
      </c>
    </row>
    <row r="1241" spans="1:10" x14ac:dyDescent="0.35">
      <c r="A1241" t="s">
        <v>137</v>
      </c>
      <c r="B1241" t="s">
        <v>130</v>
      </c>
      <c r="C1241" t="s">
        <v>22</v>
      </c>
      <c r="D1241" t="s">
        <v>155</v>
      </c>
      <c r="E1241" t="s">
        <v>126</v>
      </c>
      <c r="F1241" s="32">
        <v>117.20800689999999</v>
      </c>
      <c r="G1241" s="23">
        <v>9.1016982966733018</v>
      </c>
      <c r="H1241" s="29">
        <v>20.171786493037619</v>
      </c>
      <c r="I1241" s="7">
        <f t="shared" si="55"/>
        <v>9.1016982966733018</v>
      </c>
      <c r="J1241" s="7">
        <f t="shared" si="56"/>
        <v>22.048687734189201</v>
      </c>
    </row>
    <row r="1242" spans="1:10" x14ac:dyDescent="0.35">
      <c r="A1242" t="s">
        <v>137</v>
      </c>
      <c r="B1242" t="s">
        <v>130</v>
      </c>
      <c r="C1242" t="s">
        <v>23</v>
      </c>
      <c r="D1242" t="s">
        <v>155</v>
      </c>
      <c r="E1242" t="s">
        <v>126</v>
      </c>
      <c r="F1242" s="32">
        <v>0.13098089999999998</v>
      </c>
      <c r="G1242" s="23" t="e">
        <v>#N/A</v>
      </c>
      <c r="H1242" s="29">
        <v>5.366785814445104E-2</v>
      </c>
      <c r="I1242" s="7" t="e">
        <f t="shared" si="55"/>
        <v>#N/A</v>
      </c>
      <c r="J1242" s="7" t="e">
        <f t="shared" si="56"/>
        <v>#N/A</v>
      </c>
    </row>
    <row r="1243" spans="1:10" x14ac:dyDescent="0.35">
      <c r="A1243" t="s">
        <v>137</v>
      </c>
      <c r="B1243" t="s">
        <v>130</v>
      </c>
      <c r="C1243" t="s">
        <v>24</v>
      </c>
      <c r="D1243" t="s">
        <v>155</v>
      </c>
      <c r="E1243" t="s">
        <v>126</v>
      </c>
      <c r="F1243" s="32">
        <v>88.699407199999996</v>
      </c>
      <c r="G1243" s="23">
        <v>1.889817076905739</v>
      </c>
      <c r="H1243" s="29">
        <v>2.5207529053851694</v>
      </c>
      <c r="I1243" s="7">
        <f t="shared" si="55"/>
        <v>1.889817076905739</v>
      </c>
      <c r="J1243" s="7">
        <f t="shared" si="56"/>
        <v>4.5780452444421975</v>
      </c>
    </row>
    <row r="1244" spans="1:10" x14ac:dyDescent="0.35">
      <c r="A1244" t="s">
        <v>137</v>
      </c>
      <c r="B1244" t="s">
        <v>130</v>
      </c>
      <c r="C1244" t="s">
        <v>25</v>
      </c>
      <c r="D1244" t="s">
        <v>155</v>
      </c>
      <c r="E1244" t="s">
        <v>126</v>
      </c>
      <c r="F1244" s="32">
        <v>0.75011329999999998</v>
      </c>
      <c r="G1244" s="23" t="e">
        <v>#N/A</v>
      </c>
      <c r="H1244" s="29">
        <v>0.19547357204278754</v>
      </c>
      <c r="I1244" s="7" t="e">
        <f t="shared" si="55"/>
        <v>#N/A</v>
      </c>
      <c r="J1244" s="7" t="e">
        <f t="shared" si="56"/>
        <v>#N/A</v>
      </c>
    </row>
    <row r="1245" spans="1:10" x14ac:dyDescent="0.35">
      <c r="A1245" t="s">
        <v>137</v>
      </c>
      <c r="B1245" t="s">
        <v>130</v>
      </c>
      <c r="C1245" t="s">
        <v>26</v>
      </c>
      <c r="D1245" t="s">
        <v>153</v>
      </c>
      <c r="E1245" t="s">
        <v>126</v>
      </c>
      <c r="F1245" s="32">
        <v>1.6099726000000001</v>
      </c>
      <c r="G1245" s="23">
        <v>0.51509175858405254</v>
      </c>
      <c r="H1245" s="29">
        <v>-4.0036484621213293E-2</v>
      </c>
      <c r="I1245" s="7">
        <f t="shared" si="55"/>
        <v>0.51509175858405254</v>
      </c>
      <c r="J1245" s="7">
        <f t="shared" si="56"/>
        <v>1.2477998027714452</v>
      </c>
    </row>
    <row r="1246" spans="1:10" x14ac:dyDescent="0.35">
      <c r="A1246" t="s">
        <v>137</v>
      </c>
      <c r="B1246" t="s">
        <v>130</v>
      </c>
      <c r="C1246" t="s">
        <v>27</v>
      </c>
      <c r="D1246" t="s">
        <v>154</v>
      </c>
      <c r="E1246" t="s">
        <v>126</v>
      </c>
      <c r="F1246" s="32">
        <v>8.6810985999999986</v>
      </c>
      <c r="G1246" s="23">
        <v>3.1094039047975897</v>
      </c>
      <c r="H1246" s="29">
        <v>2.414307371163674</v>
      </c>
      <c r="I1246" s="7">
        <f t="shared" si="55"/>
        <v>3.1094039047975897</v>
      </c>
      <c r="J1246" s="7">
        <f t="shared" si="56"/>
        <v>7.5324706996065638</v>
      </c>
    </row>
    <row r="1247" spans="1:10" x14ac:dyDescent="0.35">
      <c r="A1247" t="s">
        <v>137</v>
      </c>
      <c r="B1247" t="s">
        <v>130</v>
      </c>
      <c r="C1247" t="s">
        <v>28</v>
      </c>
      <c r="D1247" t="s">
        <v>155</v>
      </c>
      <c r="E1247" t="s">
        <v>126</v>
      </c>
      <c r="F1247" s="32">
        <v>13.280417999999999</v>
      </c>
      <c r="G1247" s="23">
        <v>1.3046065421861532</v>
      </c>
      <c r="H1247" s="29">
        <v>3.9052125534253461</v>
      </c>
      <c r="I1247" s="7">
        <f t="shared" si="55"/>
        <v>1.3046065421861532</v>
      </c>
      <c r="J1247" s="7">
        <f t="shared" si="56"/>
        <v>3.1603840653734334</v>
      </c>
    </row>
    <row r="1248" spans="1:10" x14ac:dyDescent="0.35">
      <c r="A1248" t="s">
        <v>137</v>
      </c>
      <c r="B1248" t="s">
        <v>130</v>
      </c>
      <c r="C1248" t="s">
        <v>29</v>
      </c>
      <c r="D1248" t="s">
        <v>155</v>
      </c>
      <c r="E1248" t="s">
        <v>126</v>
      </c>
      <c r="F1248" s="32">
        <v>14.096272900000001</v>
      </c>
      <c r="G1248" s="23" t="e">
        <v>#N/A</v>
      </c>
      <c r="H1248" s="29">
        <v>4.2066316505618175</v>
      </c>
      <c r="I1248" s="7" t="e">
        <f t="shared" si="55"/>
        <v>#N/A</v>
      </c>
      <c r="J1248" s="7" t="e">
        <f t="shared" si="56"/>
        <v>#N/A</v>
      </c>
    </row>
    <row r="1249" spans="1:10" x14ac:dyDescent="0.35">
      <c r="A1249" t="s">
        <v>137</v>
      </c>
      <c r="B1249" t="s">
        <v>130</v>
      </c>
      <c r="C1249" t="s">
        <v>30</v>
      </c>
      <c r="D1249" t="s">
        <v>155</v>
      </c>
      <c r="E1249" t="s">
        <v>126</v>
      </c>
      <c r="F1249" s="32">
        <v>91.994641600000008</v>
      </c>
      <c r="G1249" s="23">
        <v>3.714751185063538</v>
      </c>
      <c r="H1249" s="29">
        <v>11.386218959553918</v>
      </c>
      <c r="I1249" s="7">
        <f t="shared" si="55"/>
        <v>3.714751185063538</v>
      </c>
      <c r="J1249" s="7">
        <f t="shared" si="56"/>
        <v>8.9989127545143841</v>
      </c>
    </row>
    <row r="1250" spans="1:10" x14ac:dyDescent="0.35">
      <c r="A1250" t="s">
        <v>137</v>
      </c>
      <c r="B1250" t="s">
        <v>130</v>
      </c>
      <c r="C1250" t="s">
        <v>31</v>
      </c>
      <c r="D1250" t="s">
        <v>155</v>
      </c>
      <c r="E1250" t="s">
        <v>126</v>
      </c>
      <c r="F1250" s="32" t="e">
        <v>#N/A</v>
      </c>
      <c r="G1250" s="23" t="e">
        <v>#N/A</v>
      </c>
      <c r="H1250" s="29">
        <v>7.0032608818120567E-2</v>
      </c>
      <c r="I1250" s="7" t="e">
        <f t="shared" si="55"/>
        <v>#N/A</v>
      </c>
      <c r="J1250" s="7" t="e">
        <f t="shared" si="56"/>
        <v>#N/A</v>
      </c>
    </row>
    <row r="1251" spans="1:10" x14ac:dyDescent="0.35">
      <c r="A1251" t="s">
        <v>137</v>
      </c>
      <c r="B1251" t="s">
        <v>130</v>
      </c>
      <c r="C1251" t="s">
        <v>32</v>
      </c>
      <c r="D1251" t="s">
        <v>153</v>
      </c>
      <c r="E1251" t="s">
        <v>126</v>
      </c>
      <c r="F1251" s="32">
        <v>0</v>
      </c>
      <c r="G1251" s="23" t="e">
        <v>#N/A</v>
      </c>
      <c r="H1251" s="29">
        <v>0.10818179988554313</v>
      </c>
      <c r="I1251" s="7" t="e">
        <f t="shared" si="55"/>
        <v>#N/A</v>
      </c>
      <c r="J1251" s="7" t="e">
        <f t="shared" si="56"/>
        <v>#N/A</v>
      </c>
    </row>
    <row r="1252" spans="1:10" x14ac:dyDescent="0.35">
      <c r="A1252" t="s">
        <v>137</v>
      </c>
      <c r="B1252" t="s">
        <v>130</v>
      </c>
      <c r="C1252" t="s">
        <v>33</v>
      </c>
      <c r="D1252" t="s">
        <v>155</v>
      </c>
      <c r="E1252" t="s">
        <v>126</v>
      </c>
      <c r="F1252" s="32">
        <v>98.284169699999993</v>
      </c>
      <c r="G1252" s="23">
        <v>3.9289064594294509</v>
      </c>
      <c r="H1252" s="29">
        <v>4.9084587585171482</v>
      </c>
      <c r="I1252" s="7">
        <f t="shared" si="55"/>
        <v>3.9289064594294509</v>
      </c>
      <c r="J1252" s="7">
        <f t="shared" si="56"/>
        <v>9.5176997563697938</v>
      </c>
    </row>
    <row r="1253" spans="1:10" x14ac:dyDescent="0.35">
      <c r="A1253" t="s">
        <v>137</v>
      </c>
      <c r="B1253" t="s">
        <v>130</v>
      </c>
      <c r="C1253" t="s">
        <v>34</v>
      </c>
      <c r="D1253" t="s">
        <v>153</v>
      </c>
      <c r="E1253" t="s">
        <v>126</v>
      </c>
      <c r="F1253" s="32">
        <v>0</v>
      </c>
      <c r="G1253" s="23" t="e">
        <v>#N/A</v>
      </c>
      <c r="H1253" s="29">
        <v>-0.26202127526724828</v>
      </c>
      <c r="I1253" s="7" t="e">
        <f t="shared" si="55"/>
        <v>#N/A</v>
      </c>
      <c r="J1253" s="7" t="e">
        <f t="shared" si="56"/>
        <v>#N/A</v>
      </c>
    </row>
    <row r="1254" spans="1:10" x14ac:dyDescent="0.35">
      <c r="A1254" t="s">
        <v>137</v>
      </c>
      <c r="B1254" t="s">
        <v>130</v>
      </c>
      <c r="C1254" t="s">
        <v>35</v>
      </c>
      <c r="D1254" t="s">
        <v>154</v>
      </c>
      <c r="E1254" t="s">
        <v>126</v>
      </c>
      <c r="F1254" s="32">
        <v>119.90831080000001</v>
      </c>
      <c r="G1254" s="23">
        <v>11.131989229188671</v>
      </c>
      <c r="H1254" s="29">
        <v>37.374138104223668</v>
      </c>
      <c r="I1254" s="7">
        <f t="shared" si="55"/>
        <v>11.131989229188671</v>
      </c>
      <c r="J1254" s="7">
        <f t="shared" si="56"/>
        <v>26.967028171484184</v>
      </c>
    </row>
    <row r="1255" spans="1:10" x14ac:dyDescent="0.35">
      <c r="A1255" t="s">
        <v>137</v>
      </c>
      <c r="B1255" t="s">
        <v>130</v>
      </c>
      <c r="C1255" t="s">
        <v>36</v>
      </c>
      <c r="D1255" t="s">
        <v>155</v>
      </c>
      <c r="E1255" t="s">
        <v>126</v>
      </c>
      <c r="F1255" s="32">
        <v>1.972998</v>
      </c>
      <c r="G1255" s="23" t="e">
        <v>#N/A</v>
      </c>
      <c r="H1255" s="29">
        <v>0.18353754274060347</v>
      </c>
      <c r="I1255" s="7" t="e">
        <f t="shared" si="55"/>
        <v>#N/A</v>
      </c>
      <c r="J1255" s="7" t="e">
        <f t="shared" si="56"/>
        <v>#N/A</v>
      </c>
    </row>
    <row r="1256" spans="1:10" x14ac:dyDescent="0.35">
      <c r="A1256" t="s">
        <v>137</v>
      </c>
      <c r="B1256" t="s">
        <v>130</v>
      </c>
      <c r="C1256" t="s">
        <v>37</v>
      </c>
      <c r="D1256" t="s">
        <v>155</v>
      </c>
      <c r="E1256" t="s">
        <v>126</v>
      </c>
      <c r="F1256" s="32">
        <v>2.6072953000000001</v>
      </c>
      <c r="G1256" s="23">
        <v>0.9423342490356369</v>
      </c>
      <c r="H1256" s="29">
        <v>1.060975242094119</v>
      </c>
      <c r="I1256" s="7">
        <f t="shared" si="55"/>
        <v>0.9423342490356369</v>
      </c>
      <c r="J1256" s="7">
        <f t="shared" si="56"/>
        <v>2.2827864559971824</v>
      </c>
    </row>
    <row r="1257" spans="1:10" x14ac:dyDescent="0.35">
      <c r="A1257" t="s">
        <v>137</v>
      </c>
      <c r="B1257" t="s">
        <v>130</v>
      </c>
      <c r="C1257" t="s">
        <v>38</v>
      </c>
      <c r="D1257" t="s">
        <v>155</v>
      </c>
      <c r="E1257" t="s">
        <v>126</v>
      </c>
      <c r="F1257" s="32">
        <v>0.49858179999999996</v>
      </c>
      <c r="G1257" s="23">
        <v>0.86020269504869573</v>
      </c>
      <c r="H1257" s="29">
        <v>0.13464220107019015</v>
      </c>
      <c r="I1257" s="7">
        <f t="shared" si="55"/>
        <v>0.86020269504869573</v>
      </c>
      <c r="J1257" s="7">
        <f t="shared" si="56"/>
        <v>2.0838243581606002</v>
      </c>
    </row>
    <row r="1258" spans="1:10" x14ac:dyDescent="0.35">
      <c r="A1258" t="s">
        <v>137</v>
      </c>
      <c r="B1258" t="s">
        <v>130</v>
      </c>
      <c r="C1258" t="s">
        <v>39</v>
      </c>
      <c r="D1258" t="s">
        <v>153</v>
      </c>
      <c r="E1258" t="s">
        <v>126</v>
      </c>
      <c r="F1258" s="32">
        <v>0</v>
      </c>
      <c r="G1258" s="23" t="e">
        <v>#N/A</v>
      </c>
      <c r="H1258" s="29">
        <v>-0.42887896713293266</v>
      </c>
      <c r="I1258" s="7" t="e">
        <f t="shared" si="55"/>
        <v>#N/A</v>
      </c>
      <c r="J1258" s="7" t="e">
        <f t="shared" si="56"/>
        <v>#N/A</v>
      </c>
    </row>
    <row r="1259" spans="1:10" s="19" customFormat="1" x14ac:dyDescent="0.35">
      <c r="A1259" s="19" t="s">
        <v>137</v>
      </c>
      <c r="B1259" s="19" t="s">
        <v>130</v>
      </c>
      <c r="C1259" s="19" t="s">
        <v>40</v>
      </c>
      <c r="D1259" s="19" t="s">
        <v>154</v>
      </c>
      <c r="E1259" s="19" t="s">
        <v>126</v>
      </c>
      <c r="F1259" s="33">
        <v>0</v>
      </c>
      <c r="G1259" s="24" t="e">
        <v>#N/A</v>
      </c>
      <c r="H1259" s="30">
        <v>1.0781122094822788</v>
      </c>
      <c r="I1259" s="21" t="e">
        <f t="shared" si="55"/>
        <v>#N/A</v>
      </c>
      <c r="J1259" s="21" t="e">
        <f t="shared" si="56"/>
        <v>#N/A</v>
      </c>
    </row>
    <row r="1260" spans="1:10" x14ac:dyDescent="0.35">
      <c r="A1260" t="s">
        <v>139</v>
      </c>
      <c r="B1260" t="s">
        <v>132</v>
      </c>
      <c r="C1260" t="s">
        <v>6</v>
      </c>
      <c r="D1260" t="s">
        <v>153</v>
      </c>
      <c r="E1260" t="s">
        <v>126</v>
      </c>
      <c r="F1260" s="32">
        <v>6.8768636000000001</v>
      </c>
      <c r="G1260" s="23" t="e">
        <v>#N/A</v>
      </c>
      <c r="H1260" s="29">
        <v>0.75728538607650109</v>
      </c>
      <c r="I1260" s="7" t="e">
        <f t="shared" si="55"/>
        <v>#N/A</v>
      </c>
      <c r="J1260" s="7" t="e">
        <f>I1260/0.4579</f>
        <v>#N/A</v>
      </c>
    </row>
    <row r="1261" spans="1:10" x14ac:dyDescent="0.35">
      <c r="A1261" t="s">
        <v>139</v>
      </c>
      <c r="B1261" t="s">
        <v>132</v>
      </c>
      <c r="C1261" t="s">
        <v>7</v>
      </c>
      <c r="D1261" t="s">
        <v>153</v>
      </c>
      <c r="E1261" t="s">
        <v>126</v>
      </c>
      <c r="F1261" s="32">
        <v>0</v>
      </c>
      <c r="G1261" s="23" t="e">
        <v>#N/A</v>
      </c>
      <c r="H1261" s="29">
        <v>-0.10627820262766201</v>
      </c>
      <c r="I1261" s="7" t="e">
        <f t="shared" si="55"/>
        <v>#N/A</v>
      </c>
      <c r="J1261" s="7" t="e">
        <f t="shared" ref="J1261:J1293" si="57">I1261/0.4579</f>
        <v>#N/A</v>
      </c>
    </row>
    <row r="1262" spans="1:10" x14ac:dyDescent="0.35">
      <c r="A1262" t="s">
        <v>139</v>
      </c>
      <c r="B1262" t="s">
        <v>132</v>
      </c>
      <c r="C1262" t="s">
        <v>8</v>
      </c>
      <c r="D1262" t="s">
        <v>153</v>
      </c>
      <c r="E1262" t="s">
        <v>126</v>
      </c>
      <c r="F1262" s="32" t="e">
        <v>#N/A</v>
      </c>
      <c r="G1262" s="23" t="e">
        <v>#N/A</v>
      </c>
      <c r="H1262" s="29">
        <v>-3.0421883636265017E-2</v>
      </c>
      <c r="I1262" s="7" t="e">
        <f t="shared" si="55"/>
        <v>#N/A</v>
      </c>
      <c r="J1262" s="7" t="e">
        <f t="shared" si="57"/>
        <v>#N/A</v>
      </c>
    </row>
    <row r="1263" spans="1:10" x14ac:dyDescent="0.35">
      <c r="A1263" t="s">
        <v>139</v>
      </c>
      <c r="B1263" t="s">
        <v>132</v>
      </c>
      <c r="C1263" t="s">
        <v>9</v>
      </c>
      <c r="D1263" t="s">
        <v>153</v>
      </c>
      <c r="E1263" t="s">
        <v>126</v>
      </c>
      <c r="F1263" s="32">
        <v>5.7644688999999998</v>
      </c>
      <c r="G1263" s="23">
        <v>1.048230270011147</v>
      </c>
      <c r="H1263" s="29">
        <v>3.946403991570083</v>
      </c>
      <c r="I1263" s="7">
        <f t="shared" si="55"/>
        <v>1.048230270011147</v>
      </c>
      <c r="J1263" s="7">
        <f t="shared" si="57"/>
        <v>2.2892122079299999</v>
      </c>
    </row>
    <row r="1264" spans="1:10" x14ac:dyDescent="0.35">
      <c r="A1264" t="s">
        <v>139</v>
      </c>
      <c r="B1264" t="s">
        <v>132</v>
      </c>
      <c r="C1264" t="s">
        <v>10</v>
      </c>
      <c r="D1264" t="s">
        <v>153</v>
      </c>
      <c r="E1264" t="s">
        <v>126</v>
      </c>
      <c r="F1264" s="32">
        <v>80.764719700000001</v>
      </c>
      <c r="G1264" s="23">
        <v>8.3944322361840502</v>
      </c>
      <c r="H1264" s="29">
        <v>6.4996189203294463</v>
      </c>
      <c r="I1264" s="7">
        <f t="shared" si="55"/>
        <v>8.3944322361840502</v>
      </c>
      <c r="J1264" s="7">
        <f t="shared" si="57"/>
        <v>18.332457384110178</v>
      </c>
    </row>
    <row r="1265" spans="1:10" x14ac:dyDescent="0.35">
      <c r="A1265" t="s">
        <v>139</v>
      </c>
      <c r="B1265" t="s">
        <v>132</v>
      </c>
      <c r="C1265" t="s">
        <v>11</v>
      </c>
      <c r="D1265" t="s">
        <v>153</v>
      </c>
      <c r="E1265" t="s">
        <v>126</v>
      </c>
      <c r="F1265" s="32">
        <v>76.653050700000009</v>
      </c>
      <c r="G1265" s="23">
        <v>8.8262551645996634</v>
      </c>
      <c r="H1265" s="29">
        <v>21.11525505692542</v>
      </c>
      <c r="I1265" s="7">
        <f t="shared" si="55"/>
        <v>8.8262551645996634</v>
      </c>
      <c r="J1265" s="7">
        <f t="shared" si="57"/>
        <v>19.275508112250851</v>
      </c>
    </row>
    <row r="1266" spans="1:10" x14ac:dyDescent="0.35">
      <c r="A1266" t="s">
        <v>139</v>
      </c>
      <c r="B1266" t="s">
        <v>132</v>
      </c>
      <c r="C1266" t="s">
        <v>12</v>
      </c>
      <c r="D1266" t="s">
        <v>154</v>
      </c>
      <c r="E1266" t="s">
        <v>126</v>
      </c>
      <c r="F1266" s="32">
        <v>0</v>
      </c>
      <c r="G1266" s="23" t="e">
        <v>#N/A</v>
      </c>
      <c r="H1266" s="29">
        <v>-3.159138879617252E-3</v>
      </c>
      <c r="I1266" s="7" t="e">
        <f t="shared" si="55"/>
        <v>#N/A</v>
      </c>
      <c r="J1266" s="7" t="e">
        <f t="shared" si="57"/>
        <v>#N/A</v>
      </c>
    </row>
    <row r="1267" spans="1:10" x14ac:dyDescent="0.35">
      <c r="A1267" t="s">
        <v>139</v>
      </c>
      <c r="B1267" t="s">
        <v>132</v>
      </c>
      <c r="C1267" t="s">
        <v>13</v>
      </c>
      <c r="D1267" t="s">
        <v>153</v>
      </c>
      <c r="E1267" t="s">
        <v>126</v>
      </c>
      <c r="F1267" s="32">
        <v>13.141641600000002</v>
      </c>
      <c r="G1267" s="23">
        <v>1.808420633181469</v>
      </c>
      <c r="H1267" s="29">
        <v>0.63845753579023823</v>
      </c>
      <c r="I1267" s="7">
        <f t="shared" si="55"/>
        <v>1.808420633181469</v>
      </c>
      <c r="J1267" s="7">
        <f t="shared" si="57"/>
        <v>3.9493789761552063</v>
      </c>
    </row>
    <row r="1268" spans="1:10" x14ac:dyDescent="0.35">
      <c r="A1268" t="s">
        <v>139</v>
      </c>
      <c r="B1268" t="s">
        <v>132</v>
      </c>
      <c r="C1268" t="s">
        <v>14</v>
      </c>
      <c r="D1268" t="s">
        <v>154</v>
      </c>
      <c r="E1268" t="s">
        <v>126</v>
      </c>
      <c r="F1268" s="32">
        <v>0</v>
      </c>
      <c r="G1268" s="23" t="e">
        <v>#N/A</v>
      </c>
      <c r="H1268" s="29">
        <v>-1.8539677477987244E-2</v>
      </c>
      <c r="I1268" s="7" t="e">
        <f t="shared" si="55"/>
        <v>#N/A</v>
      </c>
      <c r="J1268" s="7" t="e">
        <f t="shared" si="57"/>
        <v>#N/A</v>
      </c>
    </row>
    <row r="1269" spans="1:10" x14ac:dyDescent="0.35">
      <c r="A1269" t="s">
        <v>139</v>
      </c>
      <c r="B1269" t="s">
        <v>132</v>
      </c>
      <c r="C1269" t="s">
        <v>15</v>
      </c>
      <c r="D1269" t="s">
        <v>153</v>
      </c>
      <c r="E1269" t="s">
        <v>126</v>
      </c>
      <c r="F1269" s="32">
        <v>2267.1541937000002</v>
      </c>
      <c r="G1269" s="23">
        <v>54.66175858414281</v>
      </c>
      <c r="H1269" s="29">
        <v>165.21036945407747</v>
      </c>
      <c r="I1269" s="7">
        <f t="shared" si="55"/>
        <v>54.66175858414281</v>
      </c>
      <c r="J1269" s="7">
        <f t="shared" si="57"/>
        <v>119.37488225407908</v>
      </c>
    </row>
    <row r="1270" spans="1:10" x14ac:dyDescent="0.35">
      <c r="A1270" t="s">
        <v>139</v>
      </c>
      <c r="B1270" t="s">
        <v>132</v>
      </c>
      <c r="C1270" t="s">
        <v>16</v>
      </c>
      <c r="D1270" t="s">
        <v>154</v>
      </c>
      <c r="E1270" t="s">
        <v>126</v>
      </c>
      <c r="F1270" s="32">
        <v>292.75304090000003</v>
      </c>
      <c r="G1270" s="23">
        <v>26.895583594859861</v>
      </c>
      <c r="H1270" s="29">
        <v>73.706425617963291</v>
      </c>
      <c r="I1270" s="7">
        <f t="shared" si="55"/>
        <v>26.895583594859861</v>
      </c>
      <c r="J1270" s="7">
        <f t="shared" si="57"/>
        <v>58.73680627835742</v>
      </c>
    </row>
    <row r="1271" spans="1:10" x14ac:dyDescent="0.35">
      <c r="A1271" t="s">
        <v>139</v>
      </c>
      <c r="B1271" t="s">
        <v>132</v>
      </c>
      <c r="C1271" t="s">
        <v>18</v>
      </c>
      <c r="D1271" t="s">
        <v>154</v>
      </c>
      <c r="E1271" t="s">
        <v>126</v>
      </c>
      <c r="F1271" s="32">
        <v>0.53909699999999994</v>
      </c>
      <c r="G1271" s="23" t="e">
        <v>#N/A</v>
      </c>
      <c r="H1271" s="29">
        <v>0.26063623095778299</v>
      </c>
      <c r="I1271" s="7" t="e">
        <f t="shared" si="55"/>
        <v>#N/A</v>
      </c>
      <c r="J1271" s="7" t="e">
        <f t="shared" si="57"/>
        <v>#N/A</v>
      </c>
    </row>
    <row r="1272" spans="1:10" x14ac:dyDescent="0.35">
      <c r="A1272" t="s">
        <v>139</v>
      </c>
      <c r="B1272" t="s">
        <v>132</v>
      </c>
      <c r="C1272" t="s">
        <v>19</v>
      </c>
      <c r="D1272" t="s">
        <v>153</v>
      </c>
      <c r="E1272" t="s">
        <v>126</v>
      </c>
      <c r="F1272" s="32">
        <v>466.51220490000003</v>
      </c>
      <c r="G1272" s="23">
        <v>36.005637417251329</v>
      </c>
      <c r="H1272" s="29">
        <v>38.250915636625024</v>
      </c>
      <c r="I1272" s="7">
        <f t="shared" si="55"/>
        <v>36.005637417251329</v>
      </c>
      <c r="J1272" s="7">
        <f t="shared" si="57"/>
        <v>78.632097438854188</v>
      </c>
    </row>
    <row r="1273" spans="1:10" x14ac:dyDescent="0.35">
      <c r="A1273" t="s">
        <v>139</v>
      </c>
      <c r="B1273" t="s">
        <v>132</v>
      </c>
      <c r="C1273" t="s">
        <v>20</v>
      </c>
      <c r="D1273" t="s">
        <v>154</v>
      </c>
      <c r="E1273" t="s">
        <v>126</v>
      </c>
      <c r="F1273" s="32">
        <v>336.1057563</v>
      </c>
      <c r="G1273" s="23">
        <v>32.346939647313945</v>
      </c>
      <c r="H1273" s="29">
        <v>82.6466544293026</v>
      </c>
      <c r="I1273" s="7">
        <f t="shared" si="55"/>
        <v>32.346939647313945</v>
      </c>
      <c r="J1273" s="7">
        <f t="shared" si="57"/>
        <v>70.641929782297325</v>
      </c>
    </row>
    <row r="1274" spans="1:10" x14ac:dyDescent="0.35">
      <c r="A1274" t="s">
        <v>139</v>
      </c>
      <c r="B1274" t="s">
        <v>132</v>
      </c>
      <c r="C1274" t="s">
        <v>21</v>
      </c>
      <c r="D1274" t="s">
        <v>155</v>
      </c>
      <c r="E1274" t="s">
        <v>126</v>
      </c>
      <c r="F1274" s="32">
        <v>0.29446349999999999</v>
      </c>
      <c r="G1274" s="23" t="e">
        <v>#N/A</v>
      </c>
      <c r="H1274" s="29">
        <v>7.6882612115979965E-2</v>
      </c>
      <c r="I1274" s="7" t="e">
        <f t="shared" ref="I1274:I1337" si="58">IF(G1274&lt;0,0,G1274)</f>
        <v>#N/A</v>
      </c>
      <c r="J1274" s="7" t="e">
        <f t="shared" si="57"/>
        <v>#N/A</v>
      </c>
    </row>
    <row r="1275" spans="1:10" x14ac:dyDescent="0.35">
      <c r="A1275" t="s">
        <v>139</v>
      </c>
      <c r="B1275" t="s">
        <v>132</v>
      </c>
      <c r="C1275" t="s">
        <v>22</v>
      </c>
      <c r="D1275" t="s">
        <v>155</v>
      </c>
      <c r="E1275" t="s">
        <v>126</v>
      </c>
      <c r="F1275" s="32">
        <v>153.96691179999999</v>
      </c>
      <c r="G1275" s="23">
        <v>11.885644182494916</v>
      </c>
      <c r="H1275" s="29">
        <v>26.496652040449426</v>
      </c>
      <c r="I1275" s="7">
        <f t="shared" si="58"/>
        <v>11.885644182494916</v>
      </c>
      <c r="J1275" s="7">
        <f t="shared" si="57"/>
        <v>25.956855607108359</v>
      </c>
    </row>
    <row r="1276" spans="1:10" x14ac:dyDescent="0.35">
      <c r="A1276" t="s">
        <v>139</v>
      </c>
      <c r="B1276" t="s">
        <v>132</v>
      </c>
      <c r="C1276" t="s">
        <v>23</v>
      </c>
      <c r="D1276" t="s">
        <v>155</v>
      </c>
      <c r="E1276" t="s">
        <v>126</v>
      </c>
      <c r="F1276" s="32">
        <v>0</v>
      </c>
      <c r="G1276" s="23">
        <v>0.60493960670580671</v>
      </c>
      <c r="H1276" s="29">
        <v>1.2868869634017151E-2</v>
      </c>
      <c r="I1276" s="7">
        <f t="shared" si="58"/>
        <v>0.60493960670580671</v>
      </c>
      <c r="J1276" s="7">
        <f t="shared" si="57"/>
        <v>1.321117289158783</v>
      </c>
    </row>
    <row r="1277" spans="1:10" x14ac:dyDescent="0.35">
      <c r="A1277" t="s">
        <v>139</v>
      </c>
      <c r="B1277" t="s">
        <v>132</v>
      </c>
      <c r="C1277" t="s">
        <v>24</v>
      </c>
      <c r="D1277" t="s">
        <v>155</v>
      </c>
      <c r="E1277" t="s">
        <v>126</v>
      </c>
      <c r="F1277" s="32">
        <v>117.5720901</v>
      </c>
      <c r="G1277" s="23">
        <v>2.5901378043123655</v>
      </c>
      <c r="H1277" s="29">
        <v>3.3474281120692013</v>
      </c>
      <c r="I1277" s="7">
        <f t="shared" si="58"/>
        <v>2.5901378043123655</v>
      </c>
      <c r="J1277" s="7">
        <f t="shared" si="57"/>
        <v>5.656557773121567</v>
      </c>
    </row>
    <row r="1278" spans="1:10" x14ac:dyDescent="0.35">
      <c r="A1278" t="s">
        <v>139</v>
      </c>
      <c r="B1278" t="s">
        <v>132</v>
      </c>
      <c r="C1278" t="s">
        <v>25</v>
      </c>
      <c r="D1278" t="s">
        <v>155</v>
      </c>
      <c r="E1278" t="s">
        <v>126</v>
      </c>
      <c r="F1278" s="32">
        <v>10.186507799999999</v>
      </c>
      <c r="G1278" s="23">
        <v>1.0653942769072267</v>
      </c>
      <c r="H1278" s="29">
        <v>1.0398696451809262</v>
      </c>
      <c r="I1278" s="7">
        <f t="shared" si="58"/>
        <v>1.0653942769072267</v>
      </c>
      <c r="J1278" s="7">
        <f t="shared" si="57"/>
        <v>2.3266963898388879</v>
      </c>
    </row>
    <row r="1279" spans="1:10" x14ac:dyDescent="0.35">
      <c r="A1279" t="s">
        <v>139</v>
      </c>
      <c r="B1279" t="s">
        <v>132</v>
      </c>
      <c r="C1279" t="s">
        <v>26</v>
      </c>
      <c r="D1279" t="s">
        <v>153</v>
      </c>
      <c r="E1279" t="s">
        <v>126</v>
      </c>
      <c r="F1279" s="32">
        <v>2.4318781</v>
      </c>
      <c r="G1279" s="23">
        <v>0.94661794192521764</v>
      </c>
      <c r="H1279" s="29">
        <v>-1.5308605112803351E-2</v>
      </c>
      <c r="I1279" s="7">
        <f t="shared" si="58"/>
        <v>0.94661794192521764</v>
      </c>
      <c r="J1279" s="7">
        <f t="shared" si="57"/>
        <v>2.0673027777357889</v>
      </c>
    </row>
    <row r="1280" spans="1:10" x14ac:dyDescent="0.35">
      <c r="A1280" t="s">
        <v>139</v>
      </c>
      <c r="B1280" t="s">
        <v>132</v>
      </c>
      <c r="C1280" t="s">
        <v>27</v>
      </c>
      <c r="D1280" t="s">
        <v>154</v>
      </c>
      <c r="E1280" t="s">
        <v>126</v>
      </c>
      <c r="F1280" s="32">
        <v>0.25653680000000001</v>
      </c>
      <c r="G1280" s="23">
        <v>3.4094641180514609</v>
      </c>
      <c r="H1280" s="29">
        <v>7.333654743362962E-2</v>
      </c>
      <c r="I1280" s="7">
        <f t="shared" si="58"/>
        <v>3.4094641180514609</v>
      </c>
      <c r="J1280" s="7">
        <f t="shared" si="57"/>
        <v>7.4458705351637064</v>
      </c>
    </row>
    <row r="1281" spans="1:10" x14ac:dyDescent="0.35">
      <c r="A1281" t="s">
        <v>139</v>
      </c>
      <c r="B1281" t="s">
        <v>132</v>
      </c>
      <c r="C1281" t="s">
        <v>28</v>
      </c>
      <c r="D1281" t="s">
        <v>155</v>
      </c>
      <c r="E1281" t="s">
        <v>126</v>
      </c>
      <c r="F1281" s="32">
        <v>16.474373200000002</v>
      </c>
      <c r="G1281" s="23">
        <v>2.0036093760466605</v>
      </c>
      <c r="H1281" s="29">
        <v>4.8417488908363318</v>
      </c>
      <c r="I1281" s="7">
        <f t="shared" si="58"/>
        <v>2.0036093760466605</v>
      </c>
      <c r="J1281" s="7">
        <f t="shared" si="57"/>
        <v>4.3756483425347472</v>
      </c>
    </row>
    <row r="1282" spans="1:10" x14ac:dyDescent="0.35">
      <c r="A1282" t="s">
        <v>139</v>
      </c>
      <c r="B1282" t="s">
        <v>132</v>
      </c>
      <c r="C1282" t="s">
        <v>29</v>
      </c>
      <c r="D1282" t="s">
        <v>155</v>
      </c>
      <c r="E1282" t="s">
        <v>126</v>
      </c>
      <c r="F1282" s="32">
        <v>0.42555770000000004</v>
      </c>
      <c r="G1282" s="23" t="e">
        <v>#N/A</v>
      </c>
      <c r="H1282" s="29">
        <v>9.4801957004388593E-2</v>
      </c>
      <c r="I1282" s="7" t="e">
        <f t="shared" si="58"/>
        <v>#N/A</v>
      </c>
      <c r="J1282" s="7" t="e">
        <f t="shared" si="57"/>
        <v>#N/A</v>
      </c>
    </row>
    <row r="1283" spans="1:10" x14ac:dyDescent="0.35">
      <c r="A1283" t="s">
        <v>139</v>
      </c>
      <c r="B1283" t="s">
        <v>132</v>
      </c>
      <c r="C1283" t="s">
        <v>30</v>
      </c>
      <c r="D1283" t="s">
        <v>155</v>
      </c>
      <c r="E1283" t="s">
        <v>126</v>
      </c>
      <c r="F1283" s="32">
        <v>140.12785200000002</v>
      </c>
      <c r="G1283" s="23">
        <v>5.6900156905560442</v>
      </c>
      <c r="H1283" s="29">
        <v>17.347325741089495</v>
      </c>
      <c r="I1283" s="7">
        <f t="shared" si="58"/>
        <v>5.6900156905560442</v>
      </c>
      <c r="J1283" s="7">
        <f t="shared" si="57"/>
        <v>12.426328216981972</v>
      </c>
    </row>
    <row r="1284" spans="1:10" x14ac:dyDescent="0.35">
      <c r="A1284" t="s">
        <v>139</v>
      </c>
      <c r="B1284" t="s">
        <v>132</v>
      </c>
      <c r="C1284" t="s">
        <v>31</v>
      </c>
      <c r="D1284" t="s">
        <v>155</v>
      </c>
      <c r="E1284" t="s">
        <v>126</v>
      </c>
      <c r="F1284" s="32" t="e">
        <v>#N/A</v>
      </c>
      <c r="G1284" s="23" t="e">
        <v>#N/A</v>
      </c>
      <c r="H1284" s="29">
        <v>5.3131762197209415E-2</v>
      </c>
      <c r="I1284" s="7" t="e">
        <f t="shared" si="58"/>
        <v>#N/A</v>
      </c>
      <c r="J1284" s="7" t="e">
        <f t="shared" si="57"/>
        <v>#N/A</v>
      </c>
    </row>
    <row r="1285" spans="1:10" x14ac:dyDescent="0.35">
      <c r="A1285" t="s">
        <v>139</v>
      </c>
      <c r="B1285" t="s">
        <v>132</v>
      </c>
      <c r="C1285" t="s">
        <v>32</v>
      </c>
      <c r="D1285" t="s">
        <v>153</v>
      </c>
      <c r="E1285" t="s">
        <v>126</v>
      </c>
      <c r="F1285" s="32">
        <v>0</v>
      </c>
      <c r="G1285" s="23" t="e">
        <v>#N/A</v>
      </c>
      <c r="H1285" s="29">
        <v>2.6599569861611994E-2</v>
      </c>
      <c r="I1285" s="7" t="e">
        <f t="shared" si="58"/>
        <v>#N/A</v>
      </c>
      <c r="J1285" s="7" t="e">
        <f t="shared" si="57"/>
        <v>#N/A</v>
      </c>
    </row>
    <row r="1286" spans="1:10" x14ac:dyDescent="0.35">
      <c r="A1286" t="s">
        <v>139</v>
      </c>
      <c r="B1286" t="s">
        <v>132</v>
      </c>
      <c r="C1286" t="s">
        <v>33</v>
      </c>
      <c r="D1286" t="s">
        <v>155</v>
      </c>
      <c r="E1286" t="s">
        <v>126</v>
      </c>
      <c r="F1286" s="32">
        <v>155.76380570000001</v>
      </c>
      <c r="G1286" s="23">
        <v>8.0281549961195768</v>
      </c>
      <c r="H1286" s="29">
        <v>9.8640437405814474</v>
      </c>
      <c r="I1286" s="7">
        <f t="shared" si="58"/>
        <v>8.0281549961195768</v>
      </c>
      <c r="J1286" s="7">
        <f t="shared" si="57"/>
        <v>17.532550766804057</v>
      </c>
    </row>
    <row r="1287" spans="1:10" x14ac:dyDescent="0.35">
      <c r="A1287" t="s">
        <v>139</v>
      </c>
      <c r="B1287" t="s">
        <v>132</v>
      </c>
      <c r="C1287" t="s">
        <v>34</v>
      </c>
      <c r="D1287" t="s">
        <v>153</v>
      </c>
      <c r="E1287" t="s">
        <v>126</v>
      </c>
      <c r="F1287" s="32">
        <v>0</v>
      </c>
      <c r="G1287" s="23" t="e">
        <v>#N/A</v>
      </c>
      <c r="H1287" s="29">
        <v>-0.1557278475777743</v>
      </c>
      <c r="I1287" s="7" t="e">
        <f t="shared" si="58"/>
        <v>#N/A</v>
      </c>
      <c r="J1287" s="7" t="e">
        <f t="shared" si="57"/>
        <v>#N/A</v>
      </c>
    </row>
    <row r="1288" spans="1:10" x14ac:dyDescent="0.35">
      <c r="A1288" t="s">
        <v>139</v>
      </c>
      <c r="B1288" t="s">
        <v>132</v>
      </c>
      <c r="C1288" t="s">
        <v>35</v>
      </c>
      <c r="D1288" t="s">
        <v>154</v>
      </c>
      <c r="E1288" t="s">
        <v>126</v>
      </c>
      <c r="F1288" s="32">
        <v>118.8679376</v>
      </c>
      <c r="G1288" s="23">
        <v>11.563759671029253</v>
      </c>
      <c r="H1288" s="29">
        <v>37.044663397210286</v>
      </c>
      <c r="I1288" s="7">
        <f t="shared" si="58"/>
        <v>11.563759671029253</v>
      </c>
      <c r="J1288" s="7">
        <f t="shared" si="57"/>
        <v>25.253897512621212</v>
      </c>
    </row>
    <row r="1289" spans="1:10" x14ac:dyDescent="0.35">
      <c r="A1289" t="s">
        <v>139</v>
      </c>
      <c r="B1289" t="s">
        <v>132</v>
      </c>
      <c r="C1289" t="s">
        <v>36</v>
      </c>
      <c r="D1289" t="s">
        <v>155</v>
      </c>
      <c r="E1289" t="s">
        <v>126</v>
      </c>
      <c r="F1289" s="32">
        <v>1.9537872000000001</v>
      </c>
      <c r="G1289" s="23" t="e">
        <v>#N/A</v>
      </c>
      <c r="H1289" s="29">
        <v>0.17865781234529654</v>
      </c>
      <c r="I1289" s="7" t="e">
        <f t="shared" si="58"/>
        <v>#N/A</v>
      </c>
      <c r="J1289" s="7" t="e">
        <f t="shared" si="57"/>
        <v>#N/A</v>
      </c>
    </row>
    <row r="1290" spans="1:10" x14ac:dyDescent="0.35">
      <c r="A1290" t="s">
        <v>139</v>
      </c>
      <c r="B1290" t="s">
        <v>132</v>
      </c>
      <c r="C1290" t="s">
        <v>37</v>
      </c>
      <c r="D1290" t="s">
        <v>155</v>
      </c>
      <c r="E1290" t="s">
        <v>126</v>
      </c>
      <c r="F1290" s="32">
        <v>4.3420641</v>
      </c>
      <c r="G1290" s="23">
        <v>1.4492379543825982</v>
      </c>
      <c r="H1290" s="29">
        <v>1.6194218138143393</v>
      </c>
      <c r="I1290" s="7">
        <f t="shared" si="58"/>
        <v>1.4492379543825982</v>
      </c>
      <c r="J1290" s="7">
        <f t="shared" si="57"/>
        <v>3.1649660501913042</v>
      </c>
    </row>
    <row r="1291" spans="1:10" x14ac:dyDescent="0.35">
      <c r="A1291" t="s">
        <v>139</v>
      </c>
      <c r="B1291" t="s">
        <v>132</v>
      </c>
      <c r="C1291" t="s">
        <v>38</v>
      </c>
      <c r="D1291" t="s">
        <v>155</v>
      </c>
      <c r="E1291" t="s">
        <v>126</v>
      </c>
      <c r="F1291" s="32">
        <v>2.4813516</v>
      </c>
      <c r="G1291" s="23">
        <v>0.40818482081303942</v>
      </c>
      <c r="H1291" s="29">
        <v>0.3703816239694524</v>
      </c>
      <c r="I1291" s="7">
        <f t="shared" si="58"/>
        <v>0.40818482081303942</v>
      </c>
      <c r="J1291" s="7">
        <f t="shared" si="57"/>
        <v>0.89142786812194685</v>
      </c>
    </row>
    <row r="1292" spans="1:10" x14ac:dyDescent="0.35">
      <c r="A1292" t="s">
        <v>139</v>
      </c>
      <c r="B1292" t="s">
        <v>132</v>
      </c>
      <c r="C1292" t="s">
        <v>39</v>
      </c>
      <c r="D1292" t="s">
        <v>153</v>
      </c>
      <c r="E1292" t="s">
        <v>126</v>
      </c>
      <c r="F1292" s="32">
        <v>14.3991209</v>
      </c>
      <c r="G1292" s="23" t="e">
        <v>#N/A</v>
      </c>
      <c r="H1292" s="29">
        <v>0.29368826759511862</v>
      </c>
      <c r="I1292" s="7" t="e">
        <f t="shared" si="58"/>
        <v>#N/A</v>
      </c>
      <c r="J1292" s="7" t="e">
        <f t="shared" si="57"/>
        <v>#N/A</v>
      </c>
    </row>
    <row r="1293" spans="1:10" s="19" customFormat="1" x14ac:dyDescent="0.35">
      <c r="A1293" s="19" t="s">
        <v>139</v>
      </c>
      <c r="B1293" s="19" t="s">
        <v>132</v>
      </c>
      <c r="C1293" s="19" t="s">
        <v>40</v>
      </c>
      <c r="D1293" s="19" t="s">
        <v>154</v>
      </c>
      <c r="E1293" s="19" t="s">
        <v>126</v>
      </c>
      <c r="F1293" s="33">
        <v>0</v>
      </c>
      <c r="G1293" s="24" t="e">
        <v>#N/A</v>
      </c>
      <c r="H1293" s="30">
        <v>0.12460128603131562</v>
      </c>
      <c r="I1293" s="21" t="e">
        <f t="shared" si="58"/>
        <v>#N/A</v>
      </c>
      <c r="J1293" s="21" t="e">
        <f t="shared" si="57"/>
        <v>#N/A</v>
      </c>
    </row>
    <row r="1294" spans="1:10" x14ac:dyDescent="0.35">
      <c r="A1294" t="s">
        <v>141</v>
      </c>
      <c r="B1294" t="s">
        <v>134</v>
      </c>
      <c r="C1294" t="s">
        <v>6</v>
      </c>
      <c r="D1294" t="s">
        <v>153</v>
      </c>
      <c r="E1294" t="s">
        <v>126</v>
      </c>
      <c r="F1294" s="32">
        <v>6.7338294999999997</v>
      </c>
      <c r="G1294" s="23" t="e">
        <v>#N/A</v>
      </c>
      <c r="H1294" s="29">
        <v>0.75126419947505862</v>
      </c>
      <c r="I1294" s="7" t="e">
        <f t="shared" si="58"/>
        <v>#N/A</v>
      </c>
      <c r="J1294" s="7" t="e">
        <f>I1294/0.5688</f>
        <v>#N/A</v>
      </c>
    </row>
    <row r="1295" spans="1:10" x14ac:dyDescent="0.35">
      <c r="A1295" t="s">
        <v>141</v>
      </c>
      <c r="B1295" t="s">
        <v>134</v>
      </c>
      <c r="C1295" t="s">
        <v>7</v>
      </c>
      <c r="D1295" t="s">
        <v>153</v>
      </c>
      <c r="E1295" t="s">
        <v>126</v>
      </c>
      <c r="F1295" s="32">
        <v>1.5662897</v>
      </c>
      <c r="G1295" s="23" t="e">
        <v>#N/A</v>
      </c>
      <c r="H1295" s="29">
        <v>-1.6809993971204481E-3</v>
      </c>
      <c r="I1295" s="7" t="e">
        <f t="shared" si="58"/>
        <v>#N/A</v>
      </c>
      <c r="J1295" s="7" t="e">
        <f t="shared" ref="J1295:J1327" si="59">I1295/0.5688</f>
        <v>#N/A</v>
      </c>
    </row>
    <row r="1296" spans="1:10" x14ac:dyDescent="0.35">
      <c r="A1296" t="s">
        <v>141</v>
      </c>
      <c r="B1296" t="s">
        <v>134</v>
      </c>
      <c r="C1296" t="s">
        <v>8</v>
      </c>
      <c r="D1296" t="s">
        <v>153</v>
      </c>
      <c r="E1296" t="s">
        <v>126</v>
      </c>
      <c r="F1296" s="32" t="e">
        <v>#N/A</v>
      </c>
      <c r="G1296" s="23" t="e">
        <v>#N/A</v>
      </c>
      <c r="H1296" s="29">
        <v>1.0515164774923987E-2</v>
      </c>
      <c r="I1296" s="7" t="e">
        <f t="shared" si="58"/>
        <v>#N/A</v>
      </c>
      <c r="J1296" s="7" t="e">
        <f t="shared" si="59"/>
        <v>#N/A</v>
      </c>
    </row>
    <row r="1297" spans="1:10" x14ac:dyDescent="0.35">
      <c r="A1297" t="s">
        <v>141</v>
      </c>
      <c r="B1297" t="s">
        <v>134</v>
      </c>
      <c r="C1297" t="s">
        <v>9</v>
      </c>
      <c r="D1297" t="s">
        <v>153</v>
      </c>
      <c r="E1297" t="s">
        <v>126</v>
      </c>
      <c r="F1297" s="32">
        <v>15.172462299999999</v>
      </c>
      <c r="G1297" s="23">
        <v>2.0096103383371799</v>
      </c>
      <c r="H1297" s="29">
        <v>6.8866342152358095</v>
      </c>
      <c r="I1297" s="7">
        <f t="shared" si="58"/>
        <v>2.0096103383371799</v>
      </c>
      <c r="J1297" s="7">
        <f t="shared" si="59"/>
        <v>3.5330702150794306</v>
      </c>
    </row>
    <row r="1298" spans="1:10" x14ac:dyDescent="0.35">
      <c r="A1298" t="s">
        <v>141</v>
      </c>
      <c r="B1298" t="s">
        <v>134</v>
      </c>
      <c r="C1298" t="s">
        <v>10</v>
      </c>
      <c r="D1298" t="s">
        <v>153</v>
      </c>
      <c r="E1298" t="s">
        <v>126</v>
      </c>
      <c r="F1298" s="32">
        <v>96.950537999999995</v>
      </c>
      <c r="G1298" s="23">
        <v>10.08585394444178</v>
      </c>
      <c r="H1298" s="29">
        <v>7.8016076131129788</v>
      </c>
      <c r="I1298" s="7">
        <f t="shared" si="58"/>
        <v>10.08585394444178</v>
      </c>
      <c r="J1298" s="7">
        <f t="shared" si="59"/>
        <v>17.731810732140964</v>
      </c>
    </row>
    <row r="1299" spans="1:10" x14ac:dyDescent="0.35">
      <c r="A1299" t="s">
        <v>141</v>
      </c>
      <c r="B1299" t="s">
        <v>134</v>
      </c>
      <c r="C1299" t="s">
        <v>11</v>
      </c>
      <c r="D1299" t="s">
        <v>153</v>
      </c>
      <c r="E1299" t="s">
        <v>126</v>
      </c>
      <c r="F1299" s="32">
        <v>90.808160099999995</v>
      </c>
      <c r="G1299" s="23">
        <v>10.409961630547571</v>
      </c>
      <c r="H1299" s="29">
        <v>24.750421042766973</v>
      </c>
      <c r="I1299" s="7">
        <f t="shared" si="58"/>
        <v>10.409961630547571</v>
      </c>
      <c r="J1299" s="7">
        <f t="shared" si="59"/>
        <v>18.30162030686985</v>
      </c>
    </row>
    <row r="1300" spans="1:10" x14ac:dyDescent="0.35">
      <c r="A1300" t="s">
        <v>141</v>
      </c>
      <c r="B1300" t="s">
        <v>134</v>
      </c>
      <c r="C1300" t="s">
        <v>12</v>
      </c>
      <c r="D1300" t="s">
        <v>154</v>
      </c>
      <c r="E1300" t="s">
        <v>126</v>
      </c>
      <c r="F1300" s="32">
        <v>0</v>
      </c>
      <c r="G1300" s="23" t="e">
        <v>#N/A</v>
      </c>
      <c r="H1300" s="29">
        <v>-7.1797525452398439E-4</v>
      </c>
      <c r="I1300" s="7" t="e">
        <f t="shared" si="58"/>
        <v>#N/A</v>
      </c>
      <c r="J1300" s="7" t="e">
        <f t="shared" si="59"/>
        <v>#N/A</v>
      </c>
    </row>
    <row r="1301" spans="1:10" x14ac:dyDescent="0.35">
      <c r="A1301" t="s">
        <v>141</v>
      </c>
      <c r="B1301" t="s">
        <v>134</v>
      </c>
      <c r="C1301" t="s">
        <v>13</v>
      </c>
      <c r="D1301" t="s">
        <v>153</v>
      </c>
      <c r="E1301" t="s">
        <v>126</v>
      </c>
      <c r="F1301" s="32">
        <v>11.251206399999999</v>
      </c>
      <c r="G1301" s="23">
        <v>1.6185091636290514</v>
      </c>
      <c r="H1301" s="29">
        <v>0.54791491166761797</v>
      </c>
      <c r="I1301" s="7">
        <f t="shared" si="58"/>
        <v>1.6185091636290514</v>
      </c>
      <c r="J1301" s="7">
        <f t="shared" si="59"/>
        <v>2.8454802454800485</v>
      </c>
    </row>
    <row r="1302" spans="1:10" x14ac:dyDescent="0.35">
      <c r="A1302" t="s">
        <v>141</v>
      </c>
      <c r="B1302" t="s">
        <v>134</v>
      </c>
      <c r="C1302" t="s">
        <v>14</v>
      </c>
      <c r="D1302" t="s">
        <v>154</v>
      </c>
      <c r="E1302" t="s">
        <v>126</v>
      </c>
      <c r="F1302" s="32">
        <v>0</v>
      </c>
      <c r="G1302" s="23" t="e">
        <v>#N/A</v>
      </c>
      <c r="H1302" s="29">
        <v>8.8183679887289132E-2</v>
      </c>
      <c r="I1302" s="7" t="e">
        <f t="shared" si="58"/>
        <v>#N/A</v>
      </c>
      <c r="J1302" s="7" t="e">
        <f t="shared" si="59"/>
        <v>#N/A</v>
      </c>
    </row>
    <row r="1303" spans="1:10" x14ac:dyDescent="0.35">
      <c r="A1303" t="s">
        <v>141</v>
      </c>
      <c r="B1303" t="s">
        <v>134</v>
      </c>
      <c r="C1303" t="s">
        <v>15</v>
      </c>
      <c r="D1303" t="s">
        <v>153</v>
      </c>
      <c r="E1303" t="s">
        <v>126</v>
      </c>
      <c r="F1303" s="32">
        <v>2681.8350313000001</v>
      </c>
      <c r="G1303" s="23">
        <v>64.308598183929931</v>
      </c>
      <c r="H1303" s="29">
        <v>195.45412372376171</v>
      </c>
      <c r="I1303" s="7">
        <f t="shared" si="58"/>
        <v>64.308598183929931</v>
      </c>
      <c r="J1303" s="7">
        <f t="shared" si="59"/>
        <v>113.06012338946894</v>
      </c>
    </row>
    <row r="1304" spans="1:10" x14ac:dyDescent="0.35">
      <c r="A1304" t="s">
        <v>141</v>
      </c>
      <c r="B1304" t="s">
        <v>134</v>
      </c>
      <c r="C1304" t="s">
        <v>16</v>
      </c>
      <c r="D1304" t="s">
        <v>154</v>
      </c>
      <c r="E1304" t="s">
        <v>126</v>
      </c>
      <c r="F1304" s="32">
        <v>418.14089680000001</v>
      </c>
      <c r="G1304" s="23">
        <v>37.976646226100613</v>
      </c>
      <c r="H1304" s="29">
        <v>105.08042434621045</v>
      </c>
      <c r="I1304" s="7">
        <f t="shared" si="58"/>
        <v>37.976646226100613</v>
      </c>
      <c r="J1304" s="7">
        <f t="shared" si="59"/>
        <v>66.766255671766203</v>
      </c>
    </row>
    <row r="1305" spans="1:10" x14ac:dyDescent="0.35">
      <c r="A1305" t="s">
        <v>141</v>
      </c>
      <c r="B1305" t="s">
        <v>134</v>
      </c>
      <c r="C1305" t="s">
        <v>18</v>
      </c>
      <c r="D1305" t="s">
        <v>154</v>
      </c>
      <c r="E1305" t="s">
        <v>126</v>
      </c>
      <c r="F1305" s="32">
        <v>0</v>
      </c>
      <c r="G1305" s="23" t="e">
        <v>#N/A</v>
      </c>
      <c r="H1305" s="29">
        <v>6.1414293662223523E-3</v>
      </c>
      <c r="I1305" s="7" t="e">
        <f t="shared" si="58"/>
        <v>#N/A</v>
      </c>
      <c r="J1305" s="7" t="e">
        <f t="shared" si="59"/>
        <v>#N/A</v>
      </c>
    </row>
    <row r="1306" spans="1:10" x14ac:dyDescent="0.35">
      <c r="A1306" t="s">
        <v>141</v>
      </c>
      <c r="B1306" t="s">
        <v>134</v>
      </c>
      <c r="C1306" t="s">
        <v>19</v>
      </c>
      <c r="D1306" t="s">
        <v>153</v>
      </c>
      <c r="E1306" t="s">
        <v>126</v>
      </c>
      <c r="F1306" s="32">
        <v>510.02374609999998</v>
      </c>
      <c r="G1306" s="23">
        <v>39.582528571386248</v>
      </c>
      <c r="H1306" s="29">
        <v>41.787262354404156</v>
      </c>
      <c r="I1306" s="7">
        <f t="shared" si="58"/>
        <v>39.582528571386248</v>
      </c>
      <c r="J1306" s="7">
        <f t="shared" si="59"/>
        <v>69.589536869525759</v>
      </c>
    </row>
    <row r="1307" spans="1:10" x14ac:dyDescent="0.35">
      <c r="A1307" t="s">
        <v>141</v>
      </c>
      <c r="B1307" t="s">
        <v>134</v>
      </c>
      <c r="C1307" t="s">
        <v>20</v>
      </c>
      <c r="D1307" t="s">
        <v>154</v>
      </c>
      <c r="E1307" t="s">
        <v>126</v>
      </c>
      <c r="F1307" s="32">
        <v>433.0092123</v>
      </c>
      <c r="G1307" s="23">
        <v>40.523701066488854</v>
      </c>
      <c r="H1307" s="29">
        <v>106.28263109046087</v>
      </c>
      <c r="I1307" s="7">
        <f t="shared" si="58"/>
        <v>40.523701066488854</v>
      </c>
      <c r="J1307" s="7">
        <f t="shared" si="59"/>
        <v>71.244200187216691</v>
      </c>
    </row>
    <row r="1308" spans="1:10" x14ac:dyDescent="0.35">
      <c r="A1308" t="s">
        <v>141</v>
      </c>
      <c r="B1308" t="s">
        <v>134</v>
      </c>
      <c r="C1308" t="s">
        <v>21</v>
      </c>
      <c r="D1308" t="s">
        <v>155</v>
      </c>
      <c r="E1308" t="s">
        <v>126</v>
      </c>
      <c r="F1308" s="32">
        <v>2.2944054999999999</v>
      </c>
      <c r="G1308" s="23" t="e">
        <v>#N/A</v>
      </c>
      <c r="H1308" s="29">
        <v>0.54224649091294241</v>
      </c>
      <c r="I1308" s="7" t="e">
        <f t="shared" si="58"/>
        <v>#N/A</v>
      </c>
      <c r="J1308" s="7" t="e">
        <f t="shared" si="59"/>
        <v>#N/A</v>
      </c>
    </row>
    <row r="1309" spans="1:10" x14ac:dyDescent="0.35">
      <c r="A1309" t="s">
        <v>141</v>
      </c>
      <c r="B1309" t="s">
        <v>134</v>
      </c>
      <c r="C1309" t="s">
        <v>22</v>
      </c>
      <c r="D1309" t="s">
        <v>155</v>
      </c>
      <c r="E1309" t="s">
        <v>126</v>
      </c>
      <c r="F1309" s="32">
        <v>231.05647769999999</v>
      </c>
      <c r="G1309" s="23">
        <v>17.683259226859683</v>
      </c>
      <c r="H1309" s="29">
        <v>39.760954002144047</v>
      </c>
      <c r="I1309" s="7">
        <f t="shared" si="58"/>
        <v>17.683259226859683</v>
      </c>
      <c r="J1309" s="7">
        <f t="shared" si="59"/>
        <v>31.088711720920681</v>
      </c>
    </row>
    <row r="1310" spans="1:10" x14ac:dyDescent="0.35">
      <c r="A1310" t="s">
        <v>141</v>
      </c>
      <c r="B1310" t="s">
        <v>134</v>
      </c>
      <c r="C1310" t="s">
        <v>23</v>
      </c>
      <c r="D1310" t="s">
        <v>155</v>
      </c>
      <c r="E1310" t="s">
        <v>126</v>
      </c>
      <c r="F1310" s="32">
        <v>22.888521900000001</v>
      </c>
      <c r="G1310" s="23">
        <v>1.5645690134591108</v>
      </c>
      <c r="H1310" s="29">
        <v>3.4493165161740409</v>
      </c>
      <c r="I1310" s="7">
        <f t="shared" si="58"/>
        <v>1.5645690134591108</v>
      </c>
      <c r="J1310" s="7">
        <f t="shared" si="59"/>
        <v>2.7506487578395058</v>
      </c>
    </row>
    <row r="1311" spans="1:10" x14ac:dyDescent="0.35">
      <c r="A1311" t="s">
        <v>141</v>
      </c>
      <c r="B1311" t="s">
        <v>134</v>
      </c>
      <c r="C1311" t="s">
        <v>24</v>
      </c>
      <c r="D1311" t="s">
        <v>155</v>
      </c>
      <c r="E1311" t="s">
        <v>126</v>
      </c>
      <c r="F1311" s="32">
        <v>225.59529709999998</v>
      </c>
      <c r="G1311" s="23">
        <v>4.9160489935749565</v>
      </c>
      <c r="H1311" s="29">
        <v>6.4403217303943965</v>
      </c>
      <c r="I1311" s="7">
        <f t="shared" si="58"/>
        <v>4.9160489935749565</v>
      </c>
      <c r="J1311" s="7">
        <f t="shared" si="59"/>
        <v>8.6428428157084323</v>
      </c>
    </row>
    <row r="1312" spans="1:10" x14ac:dyDescent="0.35">
      <c r="A1312" t="s">
        <v>141</v>
      </c>
      <c r="B1312" t="s">
        <v>134</v>
      </c>
      <c r="C1312" t="s">
        <v>25</v>
      </c>
      <c r="D1312" t="s">
        <v>155</v>
      </c>
      <c r="E1312" t="s">
        <v>126</v>
      </c>
      <c r="F1312" s="32">
        <v>18.420323400000001</v>
      </c>
      <c r="G1312" s="23">
        <v>0.7667102685622661</v>
      </c>
      <c r="H1312" s="29">
        <v>1.7766552704820029</v>
      </c>
      <c r="I1312" s="7">
        <f t="shared" si="58"/>
        <v>0.7667102685622661</v>
      </c>
      <c r="J1312" s="7">
        <f t="shared" si="59"/>
        <v>1.3479435101305663</v>
      </c>
    </row>
    <row r="1313" spans="1:10" x14ac:dyDescent="0.35">
      <c r="A1313" t="s">
        <v>141</v>
      </c>
      <c r="B1313" t="s">
        <v>134</v>
      </c>
      <c r="C1313" t="s">
        <v>26</v>
      </c>
      <c r="D1313" t="s">
        <v>153</v>
      </c>
      <c r="E1313" t="s">
        <v>126</v>
      </c>
      <c r="F1313" s="32">
        <v>1.6016769</v>
      </c>
      <c r="G1313" s="23" t="e">
        <v>#N/A</v>
      </c>
      <c r="H1313" s="29">
        <v>-4.0286094958347986E-2</v>
      </c>
      <c r="I1313" s="7" t="e">
        <f t="shared" si="58"/>
        <v>#N/A</v>
      </c>
      <c r="J1313" s="7" t="e">
        <f t="shared" si="59"/>
        <v>#N/A</v>
      </c>
    </row>
    <row r="1314" spans="1:10" x14ac:dyDescent="0.35">
      <c r="A1314" t="s">
        <v>141</v>
      </c>
      <c r="B1314" t="s">
        <v>134</v>
      </c>
      <c r="C1314" t="s">
        <v>27</v>
      </c>
      <c r="D1314" t="s">
        <v>154</v>
      </c>
      <c r="E1314" t="s">
        <v>126</v>
      </c>
      <c r="F1314" s="32">
        <v>7.7440865999999993</v>
      </c>
      <c r="G1314" s="23">
        <v>2.3057731681885079</v>
      </c>
      <c r="H1314" s="29">
        <v>2.1539362277906884</v>
      </c>
      <c r="I1314" s="7">
        <f t="shared" si="58"/>
        <v>2.3057731681885079</v>
      </c>
      <c r="J1314" s="7">
        <f t="shared" si="59"/>
        <v>4.0537502956900635</v>
      </c>
    </row>
    <row r="1315" spans="1:10" x14ac:dyDescent="0.35">
      <c r="A1315" t="s">
        <v>141</v>
      </c>
      <c r="B1315" t="s">
        <v>134</v>
      </c>
      <c r="C1315" t="s">
        <v>28</v>
      </c>
      <c r="D1315" t="s">
        <v>155</v>
      </c>
      <c r="E1315" t="s">
        <v>126</v>
      </c>
      <c r="F1315" s="32">
        <v>29.200894599999998</v>
      </c>
      <c r="G1315" s="23">
        <v>2.5091073303713722</v>
      </c>
      <c r="H1315" s="29">
        <v>8.5734382564658596</v>
      </c>
      <c r="I1315" s="7">
        <f t="shared" si="58"/>
        <v>2.5091073303713722</v>
      </c>
      <c r="J1315" s="7">
        <f t="shared" si="59"/>
        <v>4.4112294837752675</v>
      </c>
    </row>
    <row r="1316" spans="1:10" x14ac:dyDescent="0.35">
      <c r="A1316" t="s">
        <v>141</v>
      </c>
      <c r="B1316" t="s">
        <v>134</v>
      </c>
      <c r="C1316" t="s">
        <v>29</v>
      </c>
      <c r="D1316" t="s">
        <v>155</v>
      </c>
      <c r="E1316" t="s">
        <v>126</v>
      </c>
      <c r="F1316" s="32">
        <v>1.2008975</v>
      </c>
      <c r="G1316" s="23">
        <v>0.58763166092027352</v>
      </c>
      <c r="H1316" s="29">
        <v>0.32800629810486481</v>
      </c>
      <c r="I1316" s="7">
        <f t="shared" si="58"/>
        <v>0.58763166092027352</v>
      </c>
      <c r="J1316" s="7">
        <f t="shared" si="59"/>
        <v>1.033107702039862</v>
      </c>
    </row>
    <row r="1317" spans="1:10" x14ac:dyDescent="0.35">
      <c r="A1317" t="s">
        <v>141</v>
      </c>
      <c r="B1317" t="s">
        <v>134</v>
      </c>
      <c r="C1317" t="s">
        <v>30</v>
      </c>
      <c r="D1317" t="s">
        <v>155</v>
      </c>
      <c r="E1317" t="s">
        <v>126</v>
      </c>
      <c r="F1317" s="32">
        <v>252.48778760000002</v>
      </c>
      <c r="G1317" s="23">
        <v>10.302152591657276</v>
      </c>
      <c r="H1317" s="29">
        <v>31.262656843053179</v>
      </c>
      <c r="I1317" s="7">
        <f t="shared" si="58"/>
        <v>10.302152591657276</v>
      </c>
      <c r="J1317" s="7">
        <f t="shared" si="59"/>
        <v>18.112082615431216</v>
      </c>
    </row>
    <row r="1318" spans="1:10" x14ac:dyDescent="0.35">
      <c r="A1318" t="s">
        <v>141</v>
      </c>
      <c r="B1318" t="s">
        <v>134</v>
      </c>
      <c r="C1318" t="s">
        <v>31</v>
      </c>
      <c r="D1318" t="s">
        <v>155</v>
      </c>
      <c r="E1318" t="s">
        <v>126</v>
      </c>
      <c r="F1318" s="32">
        <v>8.6348212000000011</v>
      </c>
      <c r="G1318" s="23" t="e">
        <v>#N/A</v>
      </c>
      <c r="H1318" s="29">
        <v>0.38056721040993624</v>
      </c>
      <c r="I1318" s="7" t="e">
        <f t="shared" si="58"/>
        <v>#N/A</v>
      </c>
      <c r="J1318" s="7" t="e">
        <f t="shared" si="59"/>
        <v>#N/A</v>
      </c>
    </row>
    <row r="1319" spans="1:10" x14ac:dyDescent="0.35">
      <c r="A1319" t="s">
        <v>141</v>
      </c>
      <c r="B1319" t="s">
        <v>134</v>
      </c>
      <c r="C1319" t="s">
        <v>32</v>
      </c>
      <c r="D1319" t="s">
        <v>153</v>
      </c>
      <c r="E1319" t="s">
        <v>126</v>
      </c>
      <c r="F1319" s="32">
        <v>0</v>
      </c>
      <c r="G1319" s="23" t="e">
        <v>#N/A</v>
      </c>
      <c r="H1319" s="29">
        <v>1.8426545957568895E-2</v>
      </c>
      <c r="I1319" s="7" t="e">
        <f t="shared" si="58"/>
        <v>#N/A</v>
      </c>
      <c r="J1319" s="7" t="e">
        <f t="shared" si="59"/>
        <v>#N/A</v>
      </c>
    </row>
    <row r="1320" spans="1:10" x14ac:dyDescent="0.35">
      <c r="A1320" t="s">
        <v>141</v>
      </c>
      <c r="B1320" t="s">
        <v>134</v>
      </c>
      <c r="C1320" t="s">
        <v>33</v>
      </c>
      <c r="D1320" t="s">
        <v>155</v>
      </c>
      <c r="E1320" t="s">
        <v>126</v>
      </c>
      <c r="F1320" s="32">
        <v>240.54604749999999</v>
      </c>
      <c r="G1320" s="23">
        <v>16.388453436349739</v>
      </c>
      <c r="H1320" s="29">
        <v>20.016510184871041</v>
      </c>
      <c r="I1320" s="7">
        <f t="shared" si="58"/>
        <v>16.388453436349739</v>
      </c>
      <c r="J1320" s="7">
        <f t="shared" si="59"/>
        <v>28.812330232682385</v>
      </c>
    </row>
    <row r="1321" spans="1:10" x14ac:dyDescent="0.35">
      <c r="A1321" t="s">
        <v>141</v>
      </c>
      <c r="B1321" t="s">
        <v>134</v>
      </c>
      <c r="C1321" t="s">
        <v>34</v>
      </c>
      <c r="D1321" t="s">
        <v>153</v>
      </c>
      <c r="E1321" t="s">
        <v>126</v>
      </c>
      <c r="F1321" s="32">
        <v>0</v>
      </c>
      <c r="G1321" s="23" t="e">
        <v>#N/A</v>
      </c>
      <c r="H1321" s="29">
        <v>-0.10346210957131047</v>
      </c>
      <c r="I1321" s="7" t="e">
        <f t="shared" si="58"/>
        <v>#N/A</v>
      </c>
      <c r="J1321" s="7" t="e">
        <f t="shared" si="59"/>
        <v>#N/A</v>
      </c>
    </row>
    <row r="1322" spans="1:10" x14ac:dyDescent="0.35">
      <c r="A1322" t="s">
        <v>141</v>
      </c>
      <c r="B1322" t="s">
        <v>134</v>
      </c>
      <c r="C1322" t="s">
        <v>35</v>
      </c>
      <c r="D1322" t="s">
        <v>154</v>
      </c>
      <c r="E1322" t="s">
        <v>126</v>
      </c>
      <c r="F1322" s="32">
        <v>107.9605569</v>
      </c>
      <c r="G1322" s="23">
        <v>10.692313247225238</v>
      </c>
      <c r="H1322" s="29">
        <v>33.590407192069016</v>
      </c>
      <c r="I1322" s="7">
        <f t="shared" si="58"/>
        <v>10.692313247225238</v>
      </c>
      <c r="J1322" s="7">
        <f t="shared" si="59"/>
        <v>18.798019070367861</v>
      </c>
    </row>
    <row r="1323" spans="1:10" x14ac:dyDescent="0.35">
      <c r="A1323" t="s">
        <v>141</v>
      </c>
      <c r="B1323" t="s">
        <v>134</v>
      </c>
      <c r="C1323" t="s">
        <v>36</v>
      </c>
      <c r="D1323" t="s">
        <v>155</v>
      </c>
      <c r="E1323" t="s">
        <v>126</v>
      </c>
      <c r="F1323" s="32">
        <v>7.4573210999999997</v>
      </c>
      <c r="G1323" s="23" t="e">
        <v>#N/A</v>
      </c>
      <c r="H1323" s="29">
        <v>1.5765188638924397</v>
      </c>
      <c r="I1323" s="7" t="e">
        <f t="shared" si="58"/>
        <v>#N/A</v>
      </c>
      <c r="J1323" s="7" t="e">
        <f t="shared" si="59"/>
        <v>#N/A</v>
      </c>
    </row>
    <row r="1324" spans="1:10" x14ac:dyDescent="0.35">
      <c r="A1324" t="s">
        <v>141</v>
      </c>
      <c r="B1324" t="s">
        <v>134</v>
      </c>
      <c r="C1324" t="s">
        <v>37</v>
      </c>
      <c r="D1324" t="s">
        <v>155</v>
      </c>
      <c r="E1324" t="s">
        <v>126</v>
      </c>
      <c r="F1324" s="32">
        <v>7.6749007000000002</v>
      </c>
      <c r="G1324" s="23">
        <v>2.1639255113436455</v>
      </c>
      <c r="H1324" s="29">
        <v>2.6923083843920455</v>
      </c>
      <c r="I1324" s="7">
        <f t="shared" si="58"/>
        <v>2.1639255113436455</v>
      </c>
      <c r="J1324" s="7">
        <f t="shared" si="59"/>
        <v>3.8043697456815146</v>
      </c>
    </row>
    <row r="1325" spans="1:10" x14ac:dyDescent="0.35">
      <c r="A1325" t="s">
        <v>141</v>
      </c>
      <c r="B1325" t="s">
        <v>134</v>
      </c>
      <c r="C1325" t="s">
        <v>38</v>
      </c>
      <c r="D1325" t="s">
        <v>155</v>
      </c>
      <c r="E1325" t="s">
        <v>126</v>
      </c>
      <c r="F1325" s="32">
        <v>6.7180198999999998</v>
      </c>
      <c r="G1325" s="23">
        <v>0.83537053327464472</v>
      </c>
      <c r="H1325" s="29">
        <v>0.87409754464352674</v>
      </c>
      <c r="I1325" s="7">
        <f t="shared" si="58"/>
        <v>0.83537053327464472</v>
      </c>
      <c r="J1325" s="7">
        <f t="shared" si="59"/>
        <v>1.4686542427472657</v>
      </c>
    </row>
    <row r="1326" spans="1:10" x14ac:dyDescent="0.35">
      <c r="A1326" t="s">
        <v>141</v>
      </c>
      <c r="B1326" t="s">
        <v>134</v>
      </c>
      <c r="C1326" t="s">
        <v>39</v>
      </c>
      <c r="D1326" t="s">
        <v>153</v>
      </c>
      <c r="E1326" t="s">
        <v>126</v>
      </c>
      <c r="F1326" s="32">
        <v>10.869472999999999</v>
      </c>
      <c r="G1326" s="23" t="e">
        <v>#N/A</v>
      </c>
      <c r="H1326" s="29">
        <v>0.1417752667017031</v>
      </c>
      <c r="I1326" s="7" t="e">
        <f t="shared" si="58"/>
        <v>#N/A</v>
      </c>
      <c r="J1326" s="7" t="e">
        <f t="shared" si="59"/>
        <v>#N/A</v>
      </c>
    </row>
    <row r="1327" spans="1:10" s="19" customFormat="1" x14ac:dyDescent="0.35">
      <c r="A1327" s="19" t="s">
        <v>141</v>
      </c>
      <c r="B1327" s="19" t="s">
        <v>134</v>
      </c>
      <c r="C1327" s="19" t="s">
        <v>40</v>
      </c>
      <c r="D1327" s="19" t="s">
        <v>154</v>
      </c>
      <c r="E1327" s="19" t="s">
        <v>126</v>
      </c>
      <c r="F1327" s="33">
        <v>0</v>
      </c>
      <c r="G1327" s="24" t="e">
        <v>#N/A</v>
      </c>
      <c r="H1327" s="30">
        <v>9.6526741249157083E-2</v>
      </c>
      <c r="I1327" s="21" t="e">
        <f t="shared" si="58"/>
        <v>#N/A</v>
      </c>
      <c r="J1327" s="21" t="e">
        <f t="shared" si="59"/>
        <v>#N/A</v>
      </c>
    </row>
    <row r="1328" spans="1:10" x14ac:dyDescent="0.35">
      <c r="A1328" t="s">
        <v>143</v>
      </c>
      <c r="B1328" t="s">
        <v>136</v>
      </c>
      <c r="C1328" t="s">
        <v>6</v>
      </c>
      <c r="D1328" t="s">
        <v>153</v>
      </c>
      <c r="E1328" t="s">
        <v>126</v>
      </c>
      <c r="F1328" s="32">
        <v>6.8677396000000002</v>
      </c>
      <c r="G1328" s="23" t="e">
        <v>#N/A</v>
      </c>
      <c r="H1328" s="29">
        <v>0.75690110315159254</v>
      </c>
      <c r="I1328" s="7" t="e">
        <f t="shared" si="58"/>
        <v>#N/A</v>
      </c>
      <c r="J1328" s="7" t="e">
        <f>I1328/0.4954</f>
        <v>#N/A</v>
      </c>
    </row>
    <row r="1329" spans="1:10" x14ac:dyDescent="0.35">
      <c r="A1329" t="s">
        <v>143</v>
      </c>
      <c r="B1329" t="s">
        <v>136</v>
      </c>
      <c r="C1329" t="s">
        <v>7</v>
      </c>
      <c r="D1329" t="s">
        <v>153</v>
      </c>
      <c r="E1329" t="s">
        <v>126</v>
      </c>
      <c r="F1329" s="32">
        <v>1.0888094000000001</v>
      </c>
      <c r="G1329" s="23" t="e">
        <v>#N/A</v>
      </c>
      <c r="H1329" s="29">
        <v>-1.8766743905187795E-2</v>
      </c>
      <c r="I1329" s="7" t="e">
        <f t="shared" si="58"/>
        <v>#N/A</v>
      </c>
      <c r="J1329" s="7" t="e">
        <f t="shared" ref="J1329:J1361" si="60">I1329/0.4954</f>
        <v>#N/A</v>
      </c>
    </row>
    <row r="1330" spans="1:10" x14ac:dyDescent="0.35">
      <c r="A1330" t="s">
        <v>143</v>
      </c>
      <c r="B1330" t="s">
        <v>136</v>
      </c>
      <c r="C1330" t="s">
        <v>8</v>
      </c>
      <c r="D1330" t="s">
        <v>153</v>
      </c>
      <c r="E1330" t="s">
        <v>126</v>
      </c>
      <c r="F1330" s="32" t="e">
        <v>#N/A</v>
      </c>
      <c r="G1330" s="23" t="e">
        <v>#N/A</v>
      </c>
      <c r="H1330" s="29">
        <v>6.5358760523744333E-3</v>
      </c>
      <c r="I1330" s="7" t="e">
        <f t="shared" si="58"/>
        <v>#N/A</v>
      </c>
      <c r="J1330" s="7" t="e">
        <f t="shared" si="60"/>
        <v>#N/A</v>
      </c>
    </row>
    <row r="1331" spans="1:10" x14ac:dyDescent="0.35">
      <c r="A1331" t="s">
        <v>143</v>
      </c>
      <c r="B1331" t="s">
        <v>136</v>
      </c>
      <c r="C1331" t="s">
        <v>9</v>
      </c>
      <c r="D1331" t="s">
        <v>153</v>
      </c>
      <c r="E1331" t="s">
        <v>126</v>
      </c>
      <c r="F1331" s="32">
        <v>16.6845298</v>
      </c>
      <c r="G1331" s="23">
        <v>2.1436975337121531</v>
      </c>
      <c r="H1331" s="29">
        <v>7.3591923470492659</v>
      </c>
      <c r="I1331" s="7">
        <f t="shared" si="58"/>
        <v>2.1436975337121531</v>
      </c>
      <c r="J1331" s="7">
        <f t="shared" si="60"/>
        <v>4.3272053567060009</v>
      </c>
    </row>
    <row r="1332" spans="1:10" x14ac:dyDescent="0.35">
      <c r="A1332" t="s">
        <v>143</v>
      </c>
      <c r="B1332" t="s">
        <v>136</v>
      </c>
      <c r="C1332" t="s">
        <v>10</v>
      </c>
      <c r="D1332" t="s">
        <v>153</v>
      </c>
      <c r="E1332" t="s">
        <v>126</v>
      </c>
      <c r="F1332" s="32">
        <v>100.9588437</v>
      </c>
      <c r="G1332" s="23">
        <v>10.191131155142889</v>
      </c>
      <c r="H1332" s="29">
        <v>8.1240361816182709</v>
      </c>
      <c r="I1332" s="7">
        <f t="shared" si="58"/>
        <v>10.191131155142889</v>
      </c>
      <c r="J1332" s="7">
        <f t="shared" si="60"/>
        <v>20.571520297018346</v>
      </c>
    </row>
    <row r="1333" spans="1:10" x14ac:dyDescent="0.35">
      <c r="A1333" t="s">
        <v>143</v>
      </c>
      <c r="B1333" t="s">
        <v>136</v>
      </c>
      <c r="C1333" t="s">
        <v>11</v>
      </c>
      <c r="D1333" t="s">
        <v>153</v>
      </c>
      <c r="E1333" t="s">
        <v>126</v>
      </c>
      <c r="F1333" s="32">
        <v>84.719422399999999</v>
      </c>
      <c r="G1333" s="23">
        <v>9.4793283100030905</v>
      </c>
      <c r="H1333" s="29">
        <v>23.186775324144616</v>
      </c>
      <c r="I1333" s="7">
        <f t="shared" si="58"/>
        <v>9.4793283100030905</v>
      </c>
      <c r="J1333" s="7">
        <f t="shared" si="60"/>
        <v>19.134695821564573</v>
      </c>
    </row>
    <row r="1334" spans="1:10" x14ac:dyDescent="0.35">
      <c r="A1334" t="s">
        <v>143</v>
      </c>
      <c r="B1334" t="s">
        <v>136</v>
      </c>
      <c r="C1334" t="s">
        <v>12</v>
      </c>
      <c r="D1334" t="s">
        <v>154</v>
      </c>
      <c r="E1334" t="s">
        <v>126</v>
      </c>
      <c r="F1334" s="32">
        <v>0</v>
      </c>
      <c r="G1334" s="23" t="e">
        <v>#N/A</v>
      </c>
      <c r="H1334" s="29">
        <v>-1.6587541488399461E-2</v>
      </c>
      <c r="I1334" s="7" t="e">
        <f t="shared" si="58"/>
        <v>#N/A</v>
      </c>
      <c r="J1334" s="7" t="e">
        <f t="shared" si="60"/>
        <v>#N/A</v>
      </c>
    </row>
    <row r="1335" spans="1:10" x14ac:dyDescent="0.35">
      <c r="A1335" t="s">
        <v>143</v>
      </c>
      <c r="B1335" t="s">
        <v>136</v>
      </c>
      <c r="C1335" t="s">
        <v>13</v>
      </c>
      <c r="D1335" t="s">
        <v>153</v>
      </c>
      <c r="E1335" t="s">
        <v>126</v>
      </c>
      <c r="F1335" s="32">
        <v>14.5837579</v>
      </c>
      <c r="G1335" s="23">
        <v>1.9699609992899765</v>
      </c>
      <c r="H1335" s="29">
        <v>0.70752824130988912</v>
      </c>
      <c r="I1335" s="7">
        <f t="shared" si="58"/>
        <v>1.9699609992899765</v>
      </c>
      <c r="J1335" s="7">
        <f t="shared" si="60"/>
        <v>3.9765058524222376</v>
      </c>
    </row>
    <row r="1336" spans="1:10" x14ac:dyDescent="0.35">
      <c r="A1336" t="s">
        <v>143</v>
      </c>
      <c r="B1336" t="s">
        <v>136</v>
      </c>
      <c r="C1336" t="s">
        <v>14</v>
      </c>
      <c r="D1336" t="s">
        <v>154</v>
      </c>
      <c r="E1336" t="s">
        <v>126</v>
      </c>
      <c r="F1336" s="32">
        <v>0</v>
      </c>
      <c r="G1336" s="23" t="e">
        <v>#N/A</v>
      </c>
      <c r="H1336" s="29">
        <v>-3.9540846647099212E-2</v>
      </c>
      <c r="I1336" s="7" t="e">
        <f t="shared" si="58"/>
        <v>#N/A</v>
      </c>
      <c r="J1336" s="7" t="e">
        <f t="shared" si="60"/>
        <v>#N/A</v>
      </c>
    </row>
    <row r="1337" spans="1:10" x14ac:dyDescent="0.35">
      <c r="A1337" t="s">
        <v>143</v>
      </c>
      <c r="B1337" t="s">
        <v>136</v>
      </c>
      <c r="C1337" t="s">
        <v>15</v>
      </c>
      <c r="D1337" t="s">
        <v>153</v>
      </c>
      <c r="E1337" t="s">
        <v>126</v>
      </c>
      <c r="F1337" s="32">
        <v>2450.7073688</v>
      </c>
      <c r="G1337" s="23">
        <v>58.317833408841636</v>
      </c>
      <c r="H1337" s="29">
        <v>178.59737915812281</v>
      </c>
      <c r="I1337" s="7">
        <f t="shared" si="58"/>
        <v>58.317833408841636</v>
      </c>
      <c r="J1337" s="7">
        <f t="shared" si="60"/>
        <v>117.71867866136786</v>
      </c>
    </row>
    <row r="1338" spans="1:10" x14ac:dyDescent="0.35">
      <c r="A1338" t="s">
        <v>143</v>
      </c>
      <c r="B1338" t="s">
        <v>136</v>
      </c>
      <c r="C1338" t="s">
        <v>16</v>
      </c>
      <c r="D1338" t="s">
        <v>154</v>
      </c>
      <c r="E1338" t="s">
        <v>126</v>
      </c>
      <c r="F1338" s="32">
        <v>323.61403789999997</v>
      </c>
      <c r="G1338" s="23">
        <v>29.119219330779291</v>
      </c>
      <c r="H1338" s="29">
        <v>81.428327397011174</v>
      </c>
      <c r="I1338" s="7">
        <f t="shared" ref="I1338:I1361" si="61">IF(G1338&lt;0,0,G1338)</f>
        <v>29.119219330779291</v>
      </c>
      <c r="J1338" s="7">
        <f t="shared" si="60"/>
        <v>58.779207369356662</v>
      </c>
    </row>
    <row r="1339" spans="1:10" x14ac:dyDescent="0.35">
      <c r="A1339" t="s">
        <v>143</v>
      </c>
      <c r="B1339" t="s">
        <v>136</v>
      </c>
      <c r="C1339" t="s">
        <v>18</v>
      </c>
      <c r="D1339" t="s">
        <v>154</v>
      </c>
      <c r="E1339" t="s">
        <v>126</v>
      </c>
      <c r="F1339" s="32" t="e">
        <v>#N/A</v>
      </c>
      <c r="G1339" s="23" t="e">
        <v>#N/A</v>
      </c>
      <c r="H1339" s="29">
        <v>-3.8350910834132314E-2</v>
      </c>
      <c r="I1339" s="7" t="e">
        <f t="shared" si="61"/>
        <v>#N/A</v>
      </c>
      <c r="J1339" s="7" t="e">
        <f t="shared" si="60"/>
        <v>#N/A</v>
      </c>
    </row>
    <row r="1340" spans="1:10" x14ac:dyDescent="0.35">
      <c r="A1340" t="s">
        <v>143</v>
      </c>
      <c r="B1340" t="s">
        <v>136</v>
      </c>
      <c r="C1340" t="s">
        <v>19</v>
      </c>
      <c r="D1340" t="s">
        <v>153</v>
      </c>
      <c r="E1340" t="s">
        <v>126</v>
      </c>
      <c r="F1340" s="32">
        <v>501.55448200000001</v>
      </c>
      <c r="G1340" s="23">
        <v>38.208823697696872</v>
      </c>
      <c r="H1340" s="29">
        <v>41.098932900105432</v>
      </c>
      <c r="I1340" s="7">
        <f t="shared" si="61"/>
        <v>38.208823697696872</v>
      </c>
      <c r="J1340" s="7">
        <f t="shared" si="60"/>
        <v>77.127217799145882</v>
      </c>
    </row>
    <row r="1341" spans="1:10" x14ac:dyDescent="0.35">
      <c r="A1341" t="s">
        <v>143</v>
      </c>
      <c r="B1341" t="s">
        <v>136</v>
      </c>
      <c r="C1341" t="s">
        <v>20</v>
      </c>
      <c r="D1341" t="s">
        <v>154</v>
      </c>
      <c r="E1341" t="s">
        <v>126</v>
      </c>
      <c r="F1341" s="32">
        <v>484.74813510000001</v>
      </c>
      <c r="G1341" s="23">
        <v>46.664421585255702</v>
      </c>
      <c r="H1341" s="29">
        <v>118.90240311174935</v>
      </c>
      <c r="I1341" s="7">
        <f t="shared" si="61"/>
        <v>46.664421585255702</v>
      </c>
      <c r="J1341" s="7">
        <f t="shared" si="60"/>
        <v>94.195441229825803</v>
      </c>
    </row>
    <row r="1342" spans="1:10" x14ac:dyDescent="0.35">
      <c r="A1342" t="s">
        <v>143</v>
      </c>
      <c r="B1342" t="s">
        <v>136</v>
      </c>
      <c r="C1342" t="s">
        <v>21</v>
      </c>
      <c r="D1342" t="s">
        <v>155</v>
      </c>
      <c r="E1342" t="s">
        <v>126</v>
      </c>
      <c r="F1342" s="32">
        <v>0.1108309</v>
      </c>
      <c r="G1342" s="23" t="e">
        <v>#N/A</v>
      </c>
      <c r="H1342" s="29">
        <v>3.4153394003557963E-2</v>
      </c>
      <c r="I1342" s="7" t="e">
        <f t="shared" si="61"/>
        <v>#N/A</v>
      </c>
      <c r="J1342" s="7" t="e">
        <f t="shared" si="60"/>
        <v>#N/A</v>
      </c>
    </row>
    <row r="1343" spans="1:10" x14ac:dyDescent="0.35">
      <c r="A1343" t="s">
        <v>143</v>
      </c>
      <c r="B1343" t="s">
        <v>136</v>
      </c>
      <c r="C1343" t="s">
        <v>22</v>
      </c>
      <c r="D1343" t="s">
        <v>155</v>
      </c>
      <c r="E1343" t="s">
        <v>126</v>
      </c>
      <c r="F1343" s="32">
        <v>258.65551099999999</v>
      </c>
      <c r="G1343" s="23">
        <v>19.642673681174553</v>
      </c>
      <c r="H1343" s="29">
        <v>44.509739634508456</v>
      </c>
      <c r="I1343" s="7">
        <f t="shared" si="61"/>
        <v>19.642673681174553</v>
      </c>
      <c r="J1343" s="7">
        <f t="shared" si="60"/>
        <v>39.650128544962762</v>
      </c>
    </row>
    <row r="1344" spans="1:10" x14ac:dyDescent="0.35">
      <c r="A1344" t="s">
        <v>143</v>
      </c>
      <c r="B1344" t="s">
        <v>136</v>
      </c>
      <c r="C1344" t="s">
        <v>23</v>
      </c>
      <c r="D1344" t="s">
        <v>155</v>
      </c>
      <c r="E1344" t="s">
        <v>126</v>
      </c>
      <c r="F1344" s="32">
        <v>0</v>
      </c>
      <c r="G1344" s="23" t="e">
        <v>#N/A</v>
      </c>
      <c r="H1344" s="29">
        <v>1.9694431238869749E-2</v>
      </c>
      <c r="I1344" s="7" t="e">
        <f t="shared" si="61"/>
        <v>#N/A</v>
      </c>
      <c r="J1344" s="7" t="e">
        <f t="shared" si="60"/>
        <v>#N/A</v>
      </c>
    </row>
    <row r="1345" spans="1:10" x14ac:dyDescent="0.35">
      <c r="A1345" t="s">
        <v>143</v>
      </c>
      <c r="B1345" t="s">
        <v>136</v>
      </c>
      <c r="C1345" t="s">
        <v>24</v>
      </c>
      <c r="D1345" t="s">
        <v>155</v>
      </c>
      <c r="E1345" t="s">
        <v>126</v>
      </c>
      <c r="F1345" s="32">
        <v>264.73478769999997</v>
      </c>
      <c r="G1345" s="23">
        <v>5.7302231094932825</v>
      </c>
      <c r="H1345" s="29">
        <v>7.5609533969656075</v>
      </c>
      <c r="I1345" s="7">
        <f t="shared" si="61"/>
        <v>5.7302231094932825</v>
      </c>
      <c r="J1345" s="7">
        <f t="shared" si="60"/>
        <v>11.566861343345343</v>
      </c>
    </row>
    <row r="1346" spans="1:10" x14ac:dyDescent="0.35">
      <c r="A1346" t="s">
        <v>143</v>
      </c>
      <c r="B1346" t="s">
        <v>136</v>
      </c>
      <c r="C1346" t="s">
        <v>25</v>
      </c>
      <c r="D1346" t="s">
        <v>155</v>
      </c>
      <c r="E1346" t="s">
        <v>126</v>
      </c>
      <c r="F1346" s="32">
        <v>12.528589</v>
      </c>
      <c r="G1346" s="23">
        <v>1.2317217969271819</v>
      </c>
      <c r="H1346" s="29">
        <v>1.249446128751962</v>
      </c>
      <c r="I1346" s="7">
        <f t="shared" si="61"/>
        <v>1.2317217969271819</v>
      </c>
      <c r="J1346" s="7">
        <f t="shared" si="60"/>
        <v>2.4863177168493782</v>
      </c>
    </row>
    <row r="1347" spans="1:10" x14ac:dyDescent="0.35">
      <c r="A1347" t="s">
        <v>143</v>
      </c>
      <c r="B1347" t="s">
        <v>136</v>
      </c>
      <c r="C1347" t="s">
        <v>26</v>
      </c>
      <c r="D1347" t="s">
        <v>153</v>
      </c>
      <c r="E1347" t="s">
        <v>126</v>
      </c>
      <c r="F1347" s="32">
        <v>1.7239437</v>
      </c>
      <c r="G1347" s="23">
        <v>0.70275813095784012</v>
      </c>
      <c r="H1347" s="29">
        <v>-3.660750780656221E-2</v>
      </c>
      <c r="I1347" s="7">
        <f t="shared" si="61"/>
        <v>0.70275813095784012</v>
      </c>
      <c r="J1347" s="7">
        <f t="shared" si="60"/>
        <v>1.4185670790428746</v>
      </c>
    </row>
    <row r="1348" spans="1:10" x14ac:dyDescent="0.35">
      <c r="A1348" t="s">
        <v>143</v>
      </c>
      <c r="B1348" t="s">
        <v>136</v>
      </c>
      <c r="C1348" t="s">
        <v>27</v>
      </c>
      <c r="D1348" t="s">
        <v>154</v>
      </c>
      <c r="E1348" t="s">
        <v>126</v>
      </c>
      <c r="F1348" s="32">
        <v>15.196997799999998</v>
      </c>
      <c r="G1348" s="23">
        <v>5.1286213653293995</v>
      </c>
      <c r="H1348" s="29">
        <v>4.2249086512591898</v>
      </c>
      <c r="I1348" s="7">
        <f t="shared" si="61"/>
        <v>5.1286213653293995</v>
      </c>
      <c r="J1348" s="7">
        <f t="shared" si="60"/>
        <v>10.352485598161888</v>
      </c>
    </row>
    <row r="1349" spans="1:10" x14ac:dyDescent="0.35">
      <c r="A1349" t="s">
        <v>143</v>
      </c>
      <c r="B1349" t="s">
        <v>136</v>
      </c>
      <c r="C1349" t="s">
        <v>28</v>
      </c>
      <c r="D1349" t="s">
        <v>155</v>
      </c>
      <c r="E1349" t="s">
        <v>126</v>
      </c>
      <c r="F1349" s="32">
        <v>36.381873500000005</v>
      </c>
      <c r="G1349" s="23">
        <v>4.0805228796844775</v>
      </c>
      <c r="H1349" s="29">
        <v>10.679056024612407</v>
      </c>
      <c r="I1349" s="7">
        <f t="shared" si="61"/>
        <v>4.0805228796844775</v>
      </c>
      <c r="J1349" s="7">
        <f t="shared" si="60"/>
        <v>8.2368245451846533</v>
      </c>
    </row>
    <row r="1350" spans="1:10" x14ac:dyDescent="0.35">
      <c r="A1350" t="s">
        <v>143</v>
      </c>
      <c r="B1350" t="s">
        <v>136</v>
      </c>
      <c r="C1350" t="s">
        <v>29</v>
      </c>
      <c r="D1350" t="s">
        <v>155</v>
      </c>
      <c r="E1350" t="s">
        <v>126</v>
      </c>
      <c r="F1350" s="32">
        <v>0.29078519999999997</v>
      </c>
      <c r="G1350" s="23">
        <v>0.52738776700783152</v>
      </c>
      <c r="H1350" s="29">
        <v>5.426573117817058E-2</v>
      </c>
      <c r="I1350" s="7">
        <f t="shared" si="61"/>
        <v>0.52738776700783152</v>
      </c>
      <c r="J1350" s="7">
        <f t="shared" si="60"/>
        <v>1.0645695740973586</v>
      </c>
    </row>
    <row r="1351" spans="1:10" x14ac:dyDescent="0.35">
      <c r="A1351" t="s">
        <v>143</v>
      </c>
      <c r="B1351" t="s">
        <v>136</v>
      </c>
      <c r="C1351" t="s">
        <v>30</v>
      </c>
      <c r="D1351" t="s">
        <v>155</v>
      </c>
      <c r="E1351" t="s">
        <v>126</v>
      </c>
      <c r="F1351" s="32">
        <v>216.8623528</v>
      </c>
      <c r="G1351" s="23">
        <v>8.5409793984153666</v>
      </c>
      <c r="H1351" s="29">
        <v>26.850588075400495</v>
      </c>
      <c r="I1351" s="7">
        <f t="shared" si="61"/>
        <v>8.5409793984153666</v>
      </c>
      <c r="J1351" s="7">
        <f t="shared" si="60"/>
        <v>17.240572059780714</v>
      </c>
    </row>
    <row r="1352" spans="1:10" x14ac:dyDescent="0.35">
      <c r="A1352" t="s">
        <v>143</v>
      </c>
      <c r="B1352" t="s">
        <v>136</v>
      </c>
      <c r="C1352" t="s">
        <v>31</v>
      </c>
      <c r="D1352" t="s">
        <v>155</v>
      </c>
      <c r="E1352" t="s">
        <v>126</v>
      </c>
      <c r="F1352" s="32" t="e">
        <v>#N/A</v>
      </c>
      <c r="G1352" s="23" t="e">
        <v>#N/A</v>
      </c>
      <c r="H1352" s="29">
        <v>6.9882385689451612E-2</v>
      </c>
      <c r="I1352" s="7" t="e">
        <f t="shared" si="61"/>
        <v>#N/A</v>
      </c>
      <c r="J1352" s="7" t="e">
        <f t="shared" si="60"/>
        <v>#N/A</v>
      </c>
    </row>
    <row r="1353" spans="1:10" x14ac:dyDescent="0.35">
      <c r="A1353" t="s">
        <v>143</v>
      </c>
      <c r="B1353" t="s">
        <v>136</v>
      </c>
      <c r="C1353" t="s">
        <v>32</v>
      </c>
      <c r="D1353" t="s">
        <v>153</v>
      </c>
      <c r="E1353" t="s">
        <v>126</v>
      </c>
      <c r="F1353" s="32">
        <v>0</v>
      </c>
      <c r="G1353" s="23" t="e">
        <v>#N/A</v>
      </c>
      <c r="H1353" s="29">
        <v>1.528511742657109E-2</v>
      </c>
      <c r="I1353" s="7" t="e">
        <f t="shared" si="61"/>
        <v>#N/A</v>
      </c>
      <c r="J1353" s="7" t="e">
        <f t="shared" si="60"/>
        <v>#N/A</v>
      </c>
    </row>
    <row r="1354" spans="1:10" x14ac:dyDescent="0.35">
      <c r="A1354" t="s">
        <v>143</v>
      </c>
      <c r="B1354" t="s">
        <v>136</v>
      </c>
      <c r="C1354" t="s">
        <v>33</v>
      </c>
      <c r="D1354" t="s">
        <v>155</v>
      </c>
      <c r="E1354" t="s">
        <v>126</v>
      </c>
      <c r="F1354" s="32">
        <v>190.06237760000002</v>
      </c>
      <c r="G1354" s="23">
        <v>11.16169479263637</v>
      </c>
      <c r="H1354" s="29">
        <v>13.563073243186501</v>
      </c>
      <c r="I1354" s="7">
        <f t="shared" si="61"/>
        <v>11.16169479263637</v>
      </c>
      <c r="J1354" s="7">
        <f t="shared" si="60"/>
        <v>22.530671765515482</v>
      </c>
    </row>
    <row r="1355" spans="1:10" x14ac:dyDescent="0.35">
      <c r="A1355" t="s">
        <v>143</v>
      </c>
      <c r="B1355" t="s">
        <v>136</v>
      </c>
      <c r="C1355" t="s">
        <v>34</v>
      </c>
      <c r="D1355" t="s">
        <v>153</v>
      </c>
      <c r="E1355" t="s">
        <v>126</v>
      </c>
      <c r="F1355" s="32">
        <v>0</v>
      </c>
      <c r="G1355" s="23" t="e">
        <v>#N/A</v>
      </c>
      <c r="H1355" s="29">
        <v>-0.1563227565526297</v>
      </c>
      <c r="I1355" s="7" t="e">
        <f t="shared" si="61"/>
        <v>#N/A</v>
      </c>
      <c r="J1355" s="7" t="e">
        <f t="shared" si="60"/>
        <v>#N/A</v>
      </c>
    </row>
    <row r="1356" spans="1:10" x14ac:dyDescent="0.35">
      <c r="A1356" t="s">
        <v>143</v>
      </c>
      <c r="B1356" t="s">
        <v>136</v>
      </c>
      <c r="C1356" t="s">
        <v>35</v>
      </c>
      <c r="D1356" t="s">
        <v>154</v>
      </c>
      <c r="E1356" t="s">
        <v>126</v>
      </c>
      <c r="F1356" s="32">
        <v>120.5201481</v>
      </c>
      <c r="G1356" s="23">
        <v>11.698539130104335</v>
      </c>
      <c r="H1356" s="29">
        <v>14.806185687628686</v>
      </c>
      <c r="I1356" s="7">
        <f t="shared" si="61"/>
        <v>11.698539130104335</v>
      </c>
      <c r="J1356" s="7">
        <f t="shared" si="60"/>
        <v>23.614330097102009</v>
      </c>
    </row>
    <row r="1357" spans="1:10" x14ac:dyDescent="0.35">
      <c r="A1357" t="s">
        <v>143</v>
      </c>
      <c r="B1357" t="s">
        <v>136</v>
      </c>
      <c r="C1357" t="s">
        <v>36</v>
      </c>
      <c r="D1357" t="s">
        <v>155</v>
      </c>
      <c r="E1357" t="s">
        <v>126</v>
      </c>
      <c r="F1357" s="32">
        <v>1.9489389000000001</v>
      </c>
      <c r="G1357" s="23" t="e">
        <v>#N/A</v>
      </c>
      <c r="H1357" s="29">
        <v>0.17742700953461948</v>
      </c>
      <c r="I1357" s="7" t="e">
        <f t="shared" si="61"/>
        <v>#N/A</v>
      </c>
      <c r="J1357" s="7" t="e">
        <f t="shared" si="60"/>
        <v>#N/A</v>
      </c>
    </row>
    <row r="1358" spans="1:10" x14ac:dyDescent="0.35">
      <c r="A1358" t="s">
        <v>143</v>
      </c>
      <c r="B1358" t="s">
        <v>136</v>
      </c>
      <c r="C1358" t="s">
        <v>37</v>
      </c>
      <c r="D1358" t="s">
        <v>155</v>
      </c>
      <c r="E1358" t="s">
        <v>126</v>
      </c>
      <c r="F1358" s="32">
        <v>6.7048836000000005</v>
      </c>
      <c r="G1358" s="23">
        <v>1.8392505365655949</v>
      </c>
      <c r="H1358" s="29">
        <v>2.3800462441358214</v>
      </c>
      <c r="I1358" s="7">
        <f t="shared" si="61"/>
        <v>1.8392505365655949</v>
      </c>
      <c r="J1358" s="7">
        <f t="shared" si="60"/>
        <v>3.7126575223366873</v>
      </c>
    </row>
    <row r="1359" spans="1:10" x14ac:dyDescent="0.35">
      <c r="A1359" t="s">
        <v>143</v>
      </c>
      <c r="B1359" t="s">
        <v>136</v>
      </c>
      <c r="C1359" t="s">
        <v>38</v>
      </c>
      <c r="D1359" t="s">
        <v>155</v>
      </c>
      <c r="E1359" t="s">
        <v>126</v>
      </c>
      <c r="F1359" s="32">
        <v>4.7687079000000008</v>
      </c>
      <c r="G1359" s="23">
        <v>0.58226652364524489</v>
      </c>
      <c r="H1359" s="29">
        <v>0.64233479090570189</v>
      </c>
      <c r="I1359" s="7">
        <f t="shared" si="61"/>
        <v>0.58226652364524489</v>
      </c>
      <c r="J1359" s="7">
        <f t="shared" si="60"/>
        <v>1.175346232630692</v>
      </c>
    </row>
    <row r="1360" spans="1:10" x14ac:dyDescent="0.35">
      <c r="A1360" t="s">
        <v>143</v>
      </c>
      <c r="B1360" t="s">
        <v>136</v>
      </c>
      <c r="C1360" t="s">
        <v>39</v>
      </c>
      <c r="D1360" t="s">
        <v>153</v>
      </c>
      <c r="E1360" t="s">
        <v>126</v>
      </c>
      <c r="F1360" s="32">
        <v>13.1466727</v>
      </c>
      <c r="G1360" s="23" t="e">
        <v>#N/A</v>
      </c>
      <c r="H1360" s="29">
        <v>0.23978419028316764</v>
      </c>
      <c r="I1360" s="7" t="e">
        <f t="shared" si="61"/>
        <v>#N/A</v>
      </c>
      <c r="J1360" s="7" t="e">
        <f t="shared" si="60"/>
        <v>#N/A</v>
      </c>
    </row>
    <row r="1361" spans="1:10" x14ac:dyDescent="0.35">
      <c r="A1361" t="s">
        <v>143</v>
      </c>
      <c r="B1361" t="s">
        <v>136</v>
      </c>
      <c r="C1361" t="s">
        <v>40</v>
      </c>
      <c r="D1361" t="s">
        <v>154</v>
      </c>
      <c r="E1361" t="s">
        <v>126</v>
      </c>
      <c r="F1361" s="32">
        <v>0</v>
      </c>
      <c r="G1361" s="23" t="e">
        <v>#N/A</v>
      </c>
      <c r="H1361" s="29">
        <v>5.6138064990702979E-2</v>
      </c>
      <c r="I1361" s="7" t="e">
        <f t="shared" si="61"/>
        <v>#N/A</v>
      </c>
      <c r="J1361" s="7" t="e">
        <f t="shared" si="60"/>
        <v>#N/A</v>
      </c>
    </row>
    <row r="1366" spans="1:10" x14ac:dyDescent="0.35">
      <c r="J1366" s="7"/>
    </row>
    <row r="1367" spans="1:10" x14ac:dyDescent="0.35">
      <c r="J1367" s="7"/>
    </row>
    <row r="1368" spans="1:10" x14ac:dyDescent="0.35">
      <c r="J1368" s="7"/>
    </row>
    <row r="1369" spans="1:10" x14ac:dyDescent="0.35">
      <c r="J1369" s="7"/>
    </row>
    <row r="1370" spans="1:10" x14ac:dyDescent="0.35">
      <c r="J1370" s="7"/>
    </row>
    <row r="1371" spans="1:10" x14ac:dyDescent="0.35">
      <c r="J1371" s="7"/>
    </row>
    <row r="1372" spans="1:10" x14ac:dyDescent="0.35">
      <c r="J1372" s="7"/>
    </row>
    <row r="1373" spans="1:10" x14ac:dyDescent="0.35">
      <c r="J1373" s="7"/>
    </row>
    <row r="1374" spans="1:10" x14ac:dyDescent="0.35">
      <c r="J1374" s="7"/>
    </row>
    <row r="1375" spans="1:10" x14ac:dyDescent="0.35">
      <c r="J1375" s="7"/>
    </row>
    <row r="1376" spans="1:10" x14ac:dyDescent="0.35">
      <c r="J1376" s="7"/>
    </row>
    <row r="1377" spans="10:10" x14ac:dyDescent="0.35">
      <c r="J1377" s="7"/>
    </row>
    <row r="1378" spans="10:10" x14ac:dyDescent="0.35">
      <c r="J1378" s="7"/>
    </row>
    <row r="1379" spans="10:10" x14ac:dyDescent="0.35">
      <c r="J1379" s="7"/>
    </row>
    <row r="1380" spans="10:10" x14ac:dyDescent="0.35">
      <c r="J1380" s="7"/>
    </row>
    <row r="1381" spans="10:10" x14ac:dyDescent="0.35">
      <c r="J1381" s="7"/>
    </row>
    <row r="1382" spans="10:10" x14ac:dyDescent="0.35">
      <c r="J1382" s="7"/>
    </row>
    <row r="1383" spans="10:10" x14ac:dyDescent="0.35">
      <c r="J1383" s="7"/>
    </row>
    <row r="1384" spans="10:10" x14ac:dyDescent="0.35">
      <c r="J1384" s="7"/>
    </row>
    <row r="1385" spans="10:10" x14ac:dyDescent="0.35">
      <c r="J1385" s="7"/>
    </row>
    <row r="1386" spans="10:10" x14ac:dyDescent="0.35">
      <c r="J1386" s="7"/>
    </row>
    <row r="1387" spans="10:10" x14ac:dyDescent="0.35">
      <c r="J1387" s="7"/>
    </row>
    <row r="1388" spans="10:10" x14ac:dyDescent="0.35">
      <c r="J1388" s="7"/>
    </row>
    <row r="1389" spans="10:10" x14ac:dyDescent="0.35">
      <c r="J1389" s="7"/>
    </row>
    <row r="1390" spans="10:10" x14ac:dyDescent="0.35">
      <c r="J1390" s="7"/>
    </row>
    <row r="1391" spans="10:10" x14ac:dyDescent="0.35">
      <c r="J1391" s="7"/>
    </row>
    <row r="1392" spans="10:10" x14ac:dyDescent="0.35">
      <c r="J1392" s="7"/>
    </row>
    <row r="1393" spans="10:10" x14ac:dyDescent="0.35">
      <c r="J1393" s="7"/>
    </row>
    <row r="1394" spans="10:10" x14ac:dyDescent="0.35">
      <c r="J1394" s="7"/>
    </row>
    <row r="1395" spans="10:10" x14ac:dyDescent="0.35">
      <c r="J1395" s="7"/>
    </row>
    <row r="1396" spans="10:10" x14ac:dyDescent="0.35">
      <c r="J1396" s="7"/>
    </row>
    <row r="1397" spans="10:10" x14ac:dyDescent="0.35">
      <c r="J1397" s="7"/>
    </row>
    <row r="1398" spans="10:10" x14ac:dyDescent="0.35">
      <c r="J1398" s="7"/>
    </row>
    <row r="1399" spans="10:10" x14ac:dyDescent="0.35">
      <c r="J1399" s="7"/>
    </row>
    <row r="1400" spans="10:10" x14ac:dyDescent="0.35">
      <c r="J1400" s="7"/>
    </row>
    <row r="1401" spans="10:10" x14ac:dyDescent="0.35">
      <c r="J1401" s="7"/>
    </row>
    <row r="1402" spans="10:10" x14ac:dyDescent="0.35">
      <c r="J1402" s="7"/>
    </row>
    <row r="1403" spans="10:10" x14ac:dyDescent="0.35">
      <c r="J1403" s="7"/>
    </row>
    <row r="1404" spans="10:10" x14ac:dyDescent="0.35">
      <c r="J1404" s="7"/>
    </row>
    <row r="1405" spans="10:10" x14ac:dyDescent="0.35">
      <c r="J1405" s="7"/>
    </row>
    <row r="1406" spans="10:10" x14ac:dyDescent="0.35">
      <c r="J1406" s="7"/>
    </row>
    <row r="1407" spans="10:10" x14ac:dyDescent="0.35">
      <c r="J1407" s="7"/>
    </row>
    <row r="1408" spans="10:10" x14ac:dyDescent="0.35">
      <c r="J1408" s="7"/>
    </row>
    <row r="1409" spans="10:10" x14ac:dyDescent="0.35">
      <c r="J1409" s="7"/>
    </row>
    <row r="1410" spans="10:10" x14ac:dyDescent="0.35">
      <c r="J1410" s="7"/>
    </row>
  </sheetData>
  <autoFilter ref="A1:V1361" xr:uid="{3DFBA287-A835-40CC-BC1E-80EAB4C6BCB6}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B42DB-5626-45D7-9E99-2E44CDD4A7C9}">
  <dimension ref="A1:D1327"/>
  <sheetViews>
    <sheetView tabSelected="1" topLeftCell="A1306" zoomScale="90" zoomScaleNormal="90" workbookViewId="0">
      <selection sqref="A1:D1327"/>
    </sheetView>
  </sheetViews>
  <sheetFormatPr baseColWidth="10" defaultRowHeight="14.5" x14ac:dyDescent="0.35"/>
  <sheetData>
    <row r="1" spans="1:4" x14ac:dyDescent="0.35">
      <c r="A1" t="s">
        <v>161</v>
      </c>
      <c r="B1" t="s">
        <v>162</v>
      </c>
      <c r="C1" t="s">
        <v>163</v>
      </c>
      <c r="D1" t="s">
        <v>164</v>
      </c>
    </row>
    <row r="2" spans="1:4" x14ac:dyDescent="0.35">
      <c r="A2" t="s">
        <v>5</v>
      </c>
      <c r="B2" t="s">
        <v>6</v>
      </c>
      <c r="C2" t="s">
        <v>41</v>
      </c>
      <c r="D2">
        <v>0</v>
      </c>
    </row>
    <row r="3" spans="1:4" x14ac:dyDescent="0.35">
      <c r="A3" t="s">
        <v>5</v>
      </c>
      <c r="B3" t="s">
        <v>7</v>
      </c>
      <c r="C3" t="s">
        <v>41</v>
      </c>
      <c r="D3">
        <v>0</v>
      </c>
    </row>
    <row r="4" spans="1:4" x14ac:dyDescent="0.35">
      <c r="A4" t="s">
        <v>5</v>
      </c>
      <c r="B4" t="s">
        <v>8</v>
      </c>
      <c r="C4" t="s">
        <v>41</v>
      </c>
      <c r="D4">
        <v>0</v>
      </c>
    </row>
    <row r="5" spans="1:4" x14ac:dyDescent="0.35">
      <c r="A5" t="s">
        <v>5</v>
      </c>
      <c r="B5" t="s">
        <v>9</v>
      </c>
      <c r="C5" t="s">
        <v>41</v>
      </c>
      <c r="D5">
        <v>2.057057946</v>
      </c>
    </row>
    <row r="6" spans="1:4" x14ac:dyDescent="0.35">
      <c r="A6" t="s">
        <v>5</v>
      </c>
      <c r="B6" t="s">
        <v>10</v>
      </c>
      <c r="C6" t="s">
        <v>41</v>
      </c>
      <c r="D6">
        <v>22.493583569999998</v>
      </c>
    </row>
    <row r="7" spans="1:4" x14ac:dyDescent="0.35">
      <c r="A7" t="s">
        <v>5</v>
      </c>
      <c r="B7" t="s">
        <v>11</v>
      </c>
      <c r="C7" t="s">
        <v>41</v>
      </c>
      <c r="D7">
        <v>22.96326621</v>
      </c>
    </row>
    <row r="8" spans="1:4" x14ac:dyDescent="0.35">
      <c r="A8" t="s">
        <v>5</v>
      </c>
      <c r="B8" t="s">
        <v>12</v>
      </c>
      <c r="C8" t="s">
        <v>41</v>
      </c>
      <c r="D8">
        <v>0</v>
      </c>
    </row>
    <row r="9" spans="1:4" x14ac:dyDescent="0.35">
      <c r="A9" t="s">
        <v>5</v>
      </c>
      <c r="B9" t="s">
        <v>13</v>
      </c>
      <c r="C9" t="s">
        <v>41</v>
      </c>
      <c r="D9">
        <v>3.9596644780000001</v>
      </c>
    </row>
    <row r="10" spans="1:4" x14ac:dyDescent="0.35">
      <c r="A10" t="s">
        <v>5</v>
      </c>
      <c r="B10" t="s">
        <v>14</v>
      </c>
      <c r="C10" t="s">
        <v>41</v>
      </c>
      <c r="D10">
        <v>0</v>
      </c>
    </row>
    <row r="11" spans="1:4" x14ac:dyDescent="0.35">
      <c r="A11" t="s">
        <v>5</v>
      </c>
      <c r="B11" t="s">
        <v>15</v>
      </c>
      <c r="C11" t="s">
        <v>41</v>
      </c>
      <c r="D11">
        <v>145.3611124</v>
      </c>
    </row>
    <row r="12" spans="1:4" x14ac:dyDescent="0.35">
      <c r="A12" t="s">
        <v>5</v>
      </c>
      <c r="B12" t="s">
        <v>16</v>
      </c>
      <c r="C12" t="s">
        <v>41</v>
      </c>
      <c r="D12">
        <v>77.133953640000001</v>
      </c>
    </row>
    <row r="13" spans="1:4" x14ac:dyDescent="0.35">
      <c r="A13" t="s">
        <v>5</v>
      </c>
      <c r="B13" t="s">
        <v>18</v>
      </c>
      <c r="C13" t="s">
        <v>41</v>
      </c>
      <c r="D13">
        <v>0</v>
      </c>
    </row>
    <row r="14" spans="1:4" x14ac:dyDescent="0.35">
      <c r="A14" t="s">
        <v>5</v>
      </c>
      <c r="B14" t="s">
        <v>19</v>
      </c>
      <c r="C14" t="s">
        <v>41</v>
      </c>
      <c r="D14">
        <v>87.276765010000005</v>
      </c>
    </row>
    <row r="15" spans="1:4" x14ac:dyDescent="0.35">
      <c r="A15" t="s">
        <v>5</v>
      </c>
      <c r="B15" t="s">
        <v>20</v>
      </c>
      <c r="C15" t="s">
        <v>41</v>
      </c>
      <c r="D15">
        <v>91.196446050000006</v>
      </c>
    </row>
    <row r="16" spans="1:4" x14ac:dyDescent="0.35">
      <c r="A16" t="s">
        <v>5</v>
      </c>
      <c r="B16" t="s">
        <v>21</v>
      </c>
      <c r="C16" t="s">
        <v>41</v>
      </c>
      <c r="D16">
        <v>0</v>
      </c>
    </row>
    <row r="17" spans="1:4" x14ac:dyDescent="0.35">
      <c r="A17" t="s">
        <v>5</v>
      </c>
      <c r="B17" t="s">
        <v>22</v>
      </c>
      <c r="C17" t="s">
        <v>41</v>
      </c>
      <c r="D17">
        <v>40.390228839999999</v>
      </c>
    </row>
    <row r="18" spans="1:4" x14ac:dyDescent="0.35">
      <c r="A18" t="s">
        <v>5</v>
      </c>
      <c r="B18" t="s">
        <v>23</v>
      </c>
      <c r="C18" t="s">
        <v>41</v>
      </c>
      <c r="D18">
        <v>2.3467111460000001</v>
      </c>
    </row>
    <row r="19" spans="1:4" x14ac:dyDescent="0.35">
      <c r="A19" t="s">
        <v>5</v>
      </c>
      <c r="B19" t="s">
        <v>24</v>
      </c>
      <c r="C19" t="s">
        <v>41</v>
      </c>
      <c r="D19">
        <v>9.7958179600000008</v>
      </c>
    </row>
    <row r="20" spans="1:4" x14ac:dyDescent="0.35">
      <c r="A20" t="s">
        <v>5</v>
      </c>
      <c r="B20" t="s">
        <v>25</v>
      </c>
      <c r="C20" t="s">
        <v>41</v>
      </c>
      <c r="D20">
        <v>2.5539174089999999</v>
      </c>
    </row>
    <row r="21" spans="1:4" x14ac:dyDescent="0.35">
      <c r="A21" t="s">
        <v>5</v>
      </c>
      <c r="B21" t="s">
        <v>26</v>
      </c>
      <c r="C21" t="s">
        <v>41</v>
      </c>
      <c r="D21">
        <v>3.1336366880000002</v>
      </c>
    </row>
    <row r="22" spans="1:4" x14ac:dyDescent="0.35">
      <c r="A22" t="s">
        <v>5</v>
      </c>
      <c r="B22" t="s">
        <v>27</v>
      </c>
      <c r="C22" t="s">
        <v>41</v>
      </c>
      <c r="D22">
        <v>9.8615370690000006</v>
      </c>
    </row>
    <row r="23" spans="1:4" x14ac:dyDescent="0.35">
      <c r="A23" t="s">
        <v>5</v>
      </c>
      <c r="B23" t="s">
        <v>28</v>
      </c>
      <c r="C23" t="s">
        <v>41</v>
      </c>
      <c r="D23">
        <v>7.3675452220000004</v>
      </c>
    </row>
    <row r="24" spans="1:4" x14ac:dyDescent="0.35">
      <c r="A24" t="s">
        <v>5</v>
      </c>
      <c r="B24" t="s">
        <v>29</v>
      </c>
      <c r="C24" t="s">
        <v>41</v>
      </c>
      <c r="D24">
        <v>0.84312358700000001</v>
      </c>
    </row>
    <row r="25" spans="1:4" x14ac:dyDescent="0.35">
      <c r="A25" t="s">
        <v>5</v>
      </c>
      <c r="B25" t="s">
        <v>30</v>
      </c>
      <c r="C25" t="s">
        <v>41</v>
      </c>
      <c r="D25">
        <v>21.16779399</v>
      </c>
    </row>
    <row r="26" spans="1:4" x14ac:dyDescent="0.35">
      <c r="A26" t="s">
        <v>5</v>
      </c>
      <c r="B26" t="s">
        <v>31</v>
      </c>
      <c r="C26" t="s">
        <v>41</v>
      </c>
      <c r="D26">
        <v>0</v>
      </c>
    </row>
    <row r="27" spans="1:4" x14ac:dyDescent="0.35">
      <c r="A27" t="s">
        <v>5</v>
      </c>
      <c r="B27" t="s">
        <v>32</v>
      </c>
      <c r="C27" t="s">
        <v>41</v>
      </c>
      <c r="D27">
        <v>0</v>
      </c>
    </row>
    <row r="28" spans="1:4" x14ac:dyDescent="0.35">
      <c r="A28" t="s">
        <v>5</v>
      </c>
      <c r="B28" t="s">
        <v>33</v>
      </c>
      <c r="C28" t="s">
        <v>41</v>
      </c>
      <c r="D28">
        <v>26.244361049999998</v>
      </c>
    </row>
    <row r="29" spans="1:4" x14ac:dyDescent="0.35">
      <c r="A29" t="s">
        <v>5</v>
      </c>
      <c r="B29" t="s">
        <v>34</v>
      </c>
      <c r="C29" t="s">
        <v>41</v>
      </c>
      <c r="D29">
        <v>0</v>
      </c>
    </row>
    <row r="30" spans="1:4" x14ac:dyDescent="0.35">
      <c r="A30" t="s">
        <v>5</v>
      </c>
      <c r="B30" t="s">
        <v>35</v>
      </c>
      <c r="C30" t="s">
        <v>41</v>
      </c>
      <c r="D30">
        <v>11.29696706</v>
      </c>
    </row>
    <row r="31" spans="1:4" x14ac:dyDescent="0.35">
      <c r="A31" t="s">
        <v>5</v>
      </c>
      <c r="B31" t="s">
        <v>36</v>
      </c>
      <c r="C31" t="s">
        <v>41</v>
      </c>
      <c r="D31">
        <v>0</v>
      </c>
    </row>
    <row r="32" spans="1:4" x14ac:dyDescent="0.35">
      <c r="A32" t="s">
        <v>5</v>
      </c>
      <c r="B32" t="s">
        <v>37</v>
      </c>
      <c r="C32" t="s">
        <v>41</v>
      </c>
      <c r="D32">
        <v>4.3128887029999996</v>
      </c>
    </row>
    <row r="33" spans="1:4" x14ac:dyDescent="0.35">
      <c r="A33" t="s">
        <v>5</v>
      </c>
      <c r="B33" t="s">
        <v>38</v>
      </c>
      <c r="C33" t="s">
        <v>41</v>
      </c>
      <c r="D33">
        <v>1.87415815</v>
      </c>
    </row>
    <row r="34" spans="1:4" x14ac:dyDescent="0.35">
      <c r="A34" t="s">
        <v>5</v>
      </c>
      <c r="B34" t="s">
        <v>39</v>
      </c>
      <c r="C34" t="s">
        <v>41</v>
      </c>
      <c r="D34">
        <v>0</v>
      </c>
    </row>
    <row r="35" spans="1:4" x14ac:dyDescent="0.35">
      <c r="A35" t="s">
        <v>5</v>
      </c>
      <c r="B35" t="s">
        <v>40</v>
      </c>
      <c r="C35" t="s">
        <v>41</v>
      </c>
      <c r="D35">
        <v>0</v>
      </c>
    </row>
    <row r="36" spans="1:4" x14ac:dyDescent="0.35">
      <c r="A36" t="s">
        <v>43</v>
      </c>
      <c r="B36" t="s">
        <v>6</v>
      </c>
      <c r="C36" t="s">
        <v>41</v>
      </c>
      <c r="D36">
        <v>0</v>
      </c>
    </row>
    <row r="37" spans="1:4" x14ac:dyDescent="0.35">
      <c r="A37" t="s">
        <v>43</v>
      </c>
      <c r="B37" t="s">
        <v>7</v>
      </c>
      <c r="C37" t="s">
        <v>41</v>
      </c>
      <c r="D37">
        <v>0</v>
      </c>
    </row>
    <row r="38" spans="1:4" x14ac:dyDescent="0.35">
      <c r="A38" t="s">
        <v>43</v>
      </c>
      <c r="B38" t="s">
        <v>8</v>
      </c>
      <c r="C38" t="s">
        <v>41</v>
      </c>
      <c r="D38">
        <v>0</v>
      </c>
    </row>
    <row r="39" spans="1:4" x14ac:dyDescent="0.35">
      <c r="A39" t="s">
        <v>43</v>
      </c>
      <c r="B39" t="s">
        <v>9</v>
      </c>
      <c r="C39" t="s">
        <v>41</v>
      </c>
      <c r="D39">
        <v>2.2319855130000001</v>
      </c>
    </row>
    <row r="40" spans="1:4" x14ac:dyDescent="0.35">
      <c r="A40" t="s">
        <v>43</v>
      </c>
      <c r="B40" t="s">
        <v>10</v>
      </c>
      <c r="C40" t="s">
        <v>41</v>
      </c>
      <c r="D40">
        <v>16.22024107</v>
      </c>
    </row>
    <row r="41" spans="1:4" x14ac:dyDescent="0.35">
      <c r="A41" t="s">
        <v>43</v>
      </c>
      <c r="B41" t="s">
        <v>11</v>
      </c>
      <c r="C41" t="s">
        <v>41</v>
      </c>
      <c r="D41">
        <v>17.022648539999999</v>
      </c>
    </row>
    <row r="42" spans="1:4" x14ac:dyDescent="0.35">
      <c r="A42" t="s">
        <v>43</v>
      </c>
      <c r="B42" t="s">
        <v>12</v>
      </c>
      <c r="C42" t="s">
        <v>41</v>
      </c>
      <c r="D42">
        <v>0</v>
      </c>
    </row>
    <row r="43" spans="1:4" x14ac:dyDescent="0.35">
      <c r="A43" t="s">
        <v>43</v>
      </c>
      <c r="B43" t="s">
        <v>13</v>
      </c>
      <c r="C43" t="s">
        <v>41</v>
      </c>
      <c r="D43">
        <v>3.3273539489999999</v>
      </c>
    </row>
    <row r="44" spans="1:4" x14ac:dyDescent="0.35">
      <c r="A44" t="s">
        <v>43</v>
      </c>
      <c r="B44" t="s">
        <v>14</v>
      </c>
      <c r="C44" t="s">
        <v>41</v>
      </c>
      <c r="D44">
        <v>0</v>
      </c>
    </row>
    <row r="45" spans="1:4" x14ac:dyDescent="0.35">
      <c r="A45" t="s">
        <v>43</v>
      </c>
      <c r="B45" t="s">
        <v>15</v>
      </c>
      <c r="C45" t="s">
        <v>41</v>
      </c>
      <c r="D45">
        <v>90.445729310000004</v>
      </c>
    </row>
    <row r="46" spans="1:4" x14ac:dyDescent="0.35">
      <c r="A46" t="s">
        <v>43</v>
      </c>
      <c r="B46" t="s">
        <v>16</v>
      </c>
      <c r="C46" t="s">
        <v>41</v>
      </c>
      <c r="D46">
        <v>47.825668190000002</v>
      </c>
    </row>
    <row r="47" spans="1:4" x14ac:dyDescent="0.35">
      <c r="A47" t="s">
        <v>43</v>
      </c>
      <c r="B47" t="s">
        <v>18</v>
      </c>
      <c r="C47" t="s">
        <v>41</v>
      </c>
      <c r="D47">
        <v>0</v>
      </c>
    </row>
    <row r="48" spans="1:4" x14ac:dyDescent="0.35">
      <c r="A48" t="s">
        <v>43</v>
      </c>
      <c r="B48" t="s">
        <v>19</v>
      </c>
      <c r="C48" t="s">
        <v>41</v>
      </c>
      <c r="D48">
        <v>50.055147869999999</v>
      </c>
    </row>
    <row r="49" spans="1:4" x14ac:dyDescent="0.35">
      <c r="A49" t="s">
        <v>43</v>
      </c>
      <c r="B49" t="s">
        <v>20</v>
      </c>
      <c r="C49" t="s">
        <v>41</v>
      </c>
      <c r="D49">
        <v>65.453699700000001</v>
      </c>
    </row>
    <row r="50" spans="1:4" x14ac:dyDescent="0.35">
      <c r="A50" t="s">
        <v>43</v>
      </c>
      <c r="B50" t="s">
        <v>21</v>
      </c>
      <c r="C50" t="s">
        <v>41</v>
      </c>
      <c r="D50">
        <v>0</v>
      </c>
    </row>
    <row r="51" spans="1:4" x14ac:dyDescent="0.35">
      <c r="A51" t="s">
        <v>43</v>
      </c>
      <c r="B51" t="s">
        <v>22</v>
      </c>
      <c r="C51" t="s">
        <v>41</v>
      </c>
      <c r="D51">
        <v>25.45518349</v>
      </c>
    </row>
    <row r="52" spans="1:4" x14ac:dyDescent="0.35">
      <c r="A52" t="s">
        <v>43</v>
      </c>
      <c r="B52" t="s">
        <v>23</v>
      </c>
      <c r="C52" t="s">
        <v>41</v>
      </c>
      <c r="D52">
        <v>1.2068096909999999</v>
      </c>
    </row>
    <row r="53" spans="1:4" x14ac:dyDescent="0.35">
      <c r="A53" t="s">
        <v>43</v>
      </c>
      <c r="B53" t="s">
        <v>24</v>
      </c>
      <c r="C53" t="s">
        <v>41</v>
      </c>
      <c r="D53">
        <v>6.3431859490000004</v>
      </c>
    </row>
    <row r="54" spans="1:4" x14ac:dyDescent="0.35">
      <c r="A54" t="s">
        <v>43</v>
      </c>
      <c r="B54" t="s">
        <v>25</v>
      </c>
      <c r="C54" t="s">
        <v>41</v>
      </c>
      <c r="D54">
        <v>1.301729299</v>
      </c>
    </row>
    <row r="55" spans="1:4" x14ac:dyDescent="0.35">
      <c r="A55" t="s">
        <v>43</v>
      </c>
      <c r="B55" t="s">
        <v>26</v>
      </c>
      <c r="C55" t="s">
        <v>41</v>
      </c>
      <c r="D55">
        <v>1.874374097</v>
      </c>
    </row>
    <row r="56" spans="1:4" x14ac:dyDescent="0.35">
      <c r="A56" t="s">
        <v>43</v>
      </c>
      <c r="B56" t="s">
        <v>27</v>
      </c>
      <c r="C56" t="s">
        <v>41</v>
      </c>
      <c r="D56">
        <v>4.7520511409999999</v>
      </c>
    </row>
    <row r="57" spans="1:4" x14ac:dyDescent="0.35">
      <c r="A57" t="s">
        <v>43</v>
      </c>
      <c r="B57" t="s">
        <v>28</v>
      </c>
      <c r="C57" t="s">
        <v>41</v>
      </c>
      <c r="D57">
        <v>4.6705549829999997</v>
      </c>
    </row>
    <row r="58" spans="1:4" x14ac:dyDescent="0.35">
      <c r="A58" t="s">
        <v>43</v>
      </c>
      <c r="B58" t="s">
        <v>29</v>
      </c>
      <c r="C58" t="s">
        <v>41</v>
      </c>
      <c r="D58">
        <v>0.58239362699999997</v>
      </c>
    </row>
    <row r="59" spans="1:4" x14ac:dyDescent="0.35">
      <c r="A59" t="s">
        <v>43</v>
      </c>
      <c r="B59" t="s">
        <v>30</v>
      </c>
      <c r="C59" t="s">
        <v>41</v>
      </c>
      <c r="D59">
        <v>9.696302738</v>
      </c>
    </row>
    <row r="60" spans="1:4" x14ac:dyDescent="0.35">
      <c r="A60" t="s">
        <v>43</v>
      </c>
      <c r="B60" t="s">
        <v>31</v>
      </c>
      <c r="C60" t="s">
        <v>41</v>
      </c>
      <c r="D60">
        <v>0</v>
      </c>
    </row>
    <row r="61" spans="1:4" x14ac:dyDescent="0.35">
      <c r="A61" t="s">
        <v>43</v>
      </c>
      <c r="B61" t="s">
        <v>32</v>
      </c>
      <c r="C61" t="s">
        <v>41</v>
      </c>
      <c r="D61">
        <v>0</v>
      </c>
    </row>
    <row r="62" spans="1:4" x14ac:dyDescent="0.35">
      <c r="A62" t="s">
        <v>43</v>
      </c>
      <c r="B62" t="s">
        <v>33</v>
      </c>
      <c r="C62" t="s">
        <v>41</v>
      </c>
      <c r="D62">
        <v>15.66994057</v>
      </c>
    </row>
    <row r="63" spans="1:4" x14ac:dyDescent="0.35">
      <c r="A63" t="s">
        <v>43</v>
      </c>
      <c r="B63" t="s">
        <v>34</v>
      </c>
      <c r="C63" t="s">
        <v>41</v>
      </c>
      <c r="D63">
        <v>0</v>
      </c>
    </row>
    <row r="64" spans="1:4" x14ac:dyDescent="0.35">
      <c r="A64" t="s">
        <v>43</v>
      </c>
      <c r="B64" t="s">
        <v>35</v>
      </c>
      <c r="C64" t="s">
        <v>41</v>
      </c>
      <c r="D64">
        <v>8.7439241120000002</v>
      </c>
    </row>
    <row r="65" spans="1:4" x14ac:dyDescent="0.35">
      <c r="A65" t="s">
        <v>43</v>
      </c>
      <c r="B65" t="s">
        <v>36</v>
      </c>
      <c r="C65" t="s">
        <v>41</v>
      </c>
      <c r="D65">
        <v>0</v>
      </c>
    </row>
    <row r="66" spans="1:4" x14ac:dyDescent="0.35">
      <c r="A66" t="s">
        <v>43</v>
      </c>
      <c r="B66" t="s">
        <v>37</v>
      </c>
      <c r="C66" t="s">
        <v>41</v>
      </c>
      <c r="D66">
        <v>0</v>
      </c>
    </row>
    <row r="67" spans="1:4" x14ac:dyDescent="0.35">
      <c r="A67" t="s">
        <v>43</v>
      </c>
      <c r="B67" t="s">
        <v>38</v>
      </c>
      <c r="C67" t="s">
        <v>41</v>
      </c>
      <c r="D67">
        <v>0.97804447999999999</v>
      </c>
    </row>
    <row r="68" spans="1:4" x14ac:dyDescent="0.35">
      <c r="A68" t="s">
        <v>43</v>
      </c>
      <c r="B68" t="s">
        <v>39</v>
      </c>
      <c r="C68" t="s">
        <v>41</v>
      </c>
      <c r="D68">
        <v>0</v>
      </c>
    </row>
    <row r="69" spans="1:4" x14ac:dyDescent="0.35">
      <c r="A69" t="s">
        <v>43</v>
      </c>
      <c r="B69" t="s">
        <v>40</v>
      </c>
      <c r="C69" t="s">
        <v>41</v>
      </c>
      <c r="D69">
        <v>0</v>
      </c>
    </row>
    <row r="70" spans="1:4" x14ac:dyDescent="0.35">
      <c r="A70" t="s">
        <v>49</v>
      </c>
      <c r="B70" t="s">
        <v>6</v>
      </c>
      <c r="C70" t="s">
        <v>41</v>
      </c>
      <c r="D70">
        <v>0</v>
      </c>
    </row>
    <row r="71" spans="1:4" x14ac:dyDescent="0.35">
      <c r="A71" t="s">
        <v>49</v>
      </c>
      <c r="B71" t="s">
        <v>7</v>
      </c>
      <c r="C71" t="s">
        <v>41</v>
      </c>
      <c r="D71">
        <v>0</v>
      </c>
    </row>
    <row r="72" spans="1:4" x14ac:dyDescent="0.35">
      <c r="A72" t="s">
        <v>49</v>
      </c>
      <c r="B72" t="s">
        <v>8</v>
      </c>
      <c r="C72" t="s">
        <v>41</v>
      </c>
      <c r="D72">
        <v>0</v>
      </c>
    </row>
    <row r="73" spans="1:4" x14ac:dyDescent="0.35">
      <c r="A73" t="s">
        <v>49</v>
      </c>
      <c r="B73" t="s">
        <v>9</v>
      </c>
      <c r="C73" t="s">
        <v>41</v>
      </c>
      <c r="D73">
        <v>2.0492781469999999</v>
      </c>
    </row>
    <row r="74" spans="1:4" x14ac:dyDescent="0.35">
      <c r="A74" t="s">
        <v>49</v>
      </c>
      <c r="B74" t="s">
        <v>10</v>
      </c>
      <c r="C74" t="s">
        <v>41</v>
      </c>
      <c r="D74">
        <v>10.538987970000001</v>
      </c>
    </row>
    <row r="75" spans="1:4" x14ac:dyDescent="0.35">
      <c r="A75" t="s">
        <v>49</v>
      </c>
      <c r="B75" t="s">
        <v>11</v>
      </c>
      <c r="C75" t="s">
        <v>41</v>
      </c>
      <c r="D75">
        <v>11.364320859999999</v>
      </c>
    </row>
    <row r="76" spans="1:4" x14ac:dyDescent="0.35">
      <c r="A76" t="s">
        <v>49</v>
      </c>
      <c r="B76" t="s">
        <v>12</v>
      </c>
      <c r="C76" t="s">
        <v>41</v>
      </c>
      <c r="D76">
        <v>0</v>
      </c>
    </row>
    <row r="77" spans="1:4" x14ac:dyDescent="0.35">
      <c r="A77" t="s">
        <v>49</v>
      </c>
      <c r="B77" t="s">
        <v>13</v>
      </c>
      <c r="C77" t="s">
        <v>41</v>
      </c>
      <c r="D77">
        <v>3.1652376109999998</v>
      </c>
    </row>
    <row r="78" spans="1:4" x14ac:dyDescent="0.35">
      <c r="A78" t="s">
        <v>49</v>
      </c>
      <c r="B78" t="s">
        <v>14</v>
      </c>
      <c r="C78" t="s">
        <v>41</v>
      </c>
      <c r="D78">
        <v>0</v>
      </c>
    </row>
    <row r="79" spans="1:4" x14ac:dyDescent="0.35">
      <c r="A79" t="s">
        <v>49</v>
      </c>
      <c r="B79" t="s">
        <v>15</v>
      </c>
      <c r="C79" t="s">
        <v>41</v>
      </c>
      <c r="D79">
        <v>83.032480219999997</v>
      </c>
    </row>
    <row r="80" spans="1:4" x14ac:dyDescent="0.35">
      <c r="A80" t="s">
        <v>49</v>
      </c>
      <c r="B80" t="s">
        <v>16</v>
      </c>
      <c r="C80" t="s">
        <v>41</v>
      </c>
      <c r="D80">
        <v>48.703769790000003</v>
      </c>
    </row>
    <row r="81" spans="1:4" x14ac:dyDescent="0.35">
      <c r="A81" t="s">
        <v>49</v>
      </c>
      <c r="B81" t="s">
        <v>18</v>
      </c>
      <c r="C81" t="s">
        <v>41</v>
      </c>
      <c r="D81">
        <v>0</v>
      </c>
    </row>
    <row r="82" spans="1:4" x14ac:dyDescent="0.35">
      <c r="A82" t="s">
        <v>49</v>
      </c>
      <c r="B82" t="s">
        <v>19</v>
      </c>
      <c r="C82" t="s">
        <v>41</v>
      </c>
      <c r="D82">
        <v>47.1677769</v>
      </c>
    </row>
    <row r="83" spans="1:4" x14ac:dyDescent="0.35">
      <c r="A83" t="s">
        <v>49</v>
      </c>
      <c r="B83" t="s">
        <v>20</v>
      </c>
      <c r="C83" t="s">
        <v>41</v>
      </c>
      <c r="D83">
        <v>82.864110100000005</v>
      </c>
    </row>
    <row r="84" spans="1:4" x14ac:dyDescent="0.35">
      <c r="A84" t="s">
        <v>49</v>
      </c>
      <c r="B84" t="s">
        <v>21</v>
      </c>
      <c r="C84" t="s">
        <v>41</v>
      </c>
      <c r="D84">
        <v>0</v>
      </c>
    </row>
    <row r="85" spans="1:4" x14ac:dyDescent="0.35">
      <c r="A85" t="s">
        <v>49</v>
      </c>
      <c r="B85" t="s">
        <v>22</v>
      </c>
      <c r="C85" t="s">
        <v>41</v>
      </c>
      <c r="D85">
        <v>36.574740239999997</v>
      </c>
    </row>
    <row r="86" spans="1:4" x14ac:dyDescent="0.35">
      <c r="A86" t="s">
        <v>49</v>
      </c>
      <c r="B86" t="s">
        <v>23</v>
      </c>
      <c r="C86" t="s">
        <v>41</v>
      </c>
      <c r="D86">
        <v>2.2808621420000001</v>
      </c>
    </row>
    <row r="87" spans="1:4" x14ac:dyDescent="0.35">
      <c r="A87" t="s">
        <v>49</v>
      </c>
      <c r="B87" t="s">
        <v>24</v>
      </c>
      <c r="C87" t="s">
        <v>41</v>
      </c>
      <c r="D87">
        <v>12.34136984</v>
      </c>
    </row>
    <row r="88" spans="1:4" x14ac:dyDescent="0.35">
      <c r="A88" t="s">
        <v>49</v>
      </c>
      <c r="B88" t="s">
        <v>25</v>
      </c>
      <c r="C88" t="s">
        <v>41</v>
      </c>
      <c r="D88">
        <v>0</v>
      </c>
    </row>
    <row r="89" spans="1:4" x14ac:dyDescent="0.35">
      <c r="A89" t="s">
        <v>49</v>
      </c>
      <c r="B89" t="s">
        <v>26</v>
      </c>
      <c r="C89" t="s">
        <v>41</v>
      </c>
      <c r="D89">
        <v>1.9134174319999999</v>
      </c>
    </row>
    <row r="90" spans="1:4" x14ac:dyDescent="0.35">
      <c r="A90" t="s">
        <v>49</v>
      </c>
      <c r="B90" t="s">
        <v>27</v>
      </c>
      <c r="C90" t="s">
        <v>41</v>
      </c>
      <c r="D90">
        <v>12.475314819999999</v>
      </c>
    </row>
    <row r="91" spans="1:4" x14ac:dyDescent="0.35">
      <c r="A91" t="s">
        <v>49</v>
      </c>
      <c r="B91" t="s">
        <v>28</v>
      </c>
      <c r="C91" t="s">
        <v>41</v>
      </c>
      <c r="D91">
        <v>9.9947134920000007</v>
      </c>
    </row>
    <row r="92" spans="1:4" x14ac:dyDescent="0.35">
      <c r="A92" t="s">
        <v>49</v>
      </c>
      <c r="B92" t="s">
        <v>29</v>
      </c>
      <c r="C92" t="s">
        <v>41</v>
      </c>
      <c r="D92">
        <v>2.5616241030000002</v>
      </c>
    </row>
    <row r="93" spans="1:4" x14ac:dyDescent="0.35">
      <c r="A93" t="s">
        <v>49</v>
      </c>
      <c r="B93" t="s">
        <v>30</v>
      </c>
      <c r="C93" t="s">
        <v>41</v>
      </c>
      <c r="D93">
        <v>16.403479310000002</v>
      </c>
    </row>
    <row r="94" spans="1:4" x14ac:dyDescent="0.35">
      <c r="A94" t="s">
        <v>49</v>
      </c>
      <c r="B94" t="s">
        <v>31</v>
      </c>
      <c r="C94" t="s">
        <v>41</v>
      </c>
      <c r="D94">
        <v>0.871420152</v>
      </c>
    </row>
    <row r="95" spans="1:4" x14ac:dyDescent="0.35">
      <c r="A95" t="s">
        <v>49</v>
      </c>
      <c r="B95" t="s">
        <v>32</v>
      </c>
      <c r="C95" t="s">
        <v>41</v>
      </c>
      <c r="D95">
        <v>0</v>
      </c>
    </row>
    <row r="96" spans="1:4" x14ac:dyDescent="0.35">
      <c r="A96" t="s">
        <v>49</v>
      </c>
      <c r="B96" t="s">
        <v>33</v>
      </c>
      <c r="C96" t="s">
        <v>41</v>
      </c>
      <c r="D96">
        <v>24.564235310000001</v>
      </c>
    </row>
    <row r="97" spans="1:4" x14ac:dyDescent="0.35">
      <c r="A97" t="s">
        <v>49</v>
      </c>
      <c r="B97" t="s">
        <v>34</v>
      </c>
      <c r="C97" t="s">
        <v>41</v>
      </c>
      <c r="D97">
        <v>0</v>
      </c>
    </row>
    <row r="98" spans="1:4" x14ac:dyDescent="0.35">
      <c r="A98" t="s">
        <v>49</v>
      </c>
      <c r="B98" t="s">
        <v>35</v>
      </c>
      <c r="C98" t="s">
        <v>41</v>
      </c>
      <c r="D98">
        <v>9.2646031870000005</v>
      </c>
    </row>
    <row r="99" spans="1:4" x14ac:dyDescent="0.35">
      <c r="A99" t="s">
        <v>49</v>
      </c>
      <c r="B99" t="s">
        <v>36</v>
      </c>
      <c r="C99" t="s">
        <v>41</v>
      </c>
      <c r="D99">
        <v>0</v>
      </c>
    </row>
    <row r="100" spans="1:4" x14ac:dyDescent="0.35">
      <c r="A100" t="s">
        <v>49</v>
      </c>
      <c r="B100" t="s">
        <v>37</v>
      </c>
      <c r="C100" t="s">
        <v>41</v>
      </c>
      <c r="D100">
        <v>4.3496610130000004</v>
      </c>
    </row>
    <row r="101" spans="1:4" x14ac:dyDescent="0.35">
      <c r="A101" t="s">
        <v>49</v>
      </c>
      <c r="B101" t="s">
        <v>38</v>
      </c>
      <c r="C101" t="s">
        <v>41</v>
      </c>
      <c r="D101">
        <v>2.2845965979999998</v>
      </c>
    </row>
    <row r="102" spans="1:4" x14ac:dyDescent="0.35">
      <c r="A102" t="s">
        <v>49</v>
      </c>
      <c r="B102" t="s">
        <v>39</v>
      </c>
      <c r="C102" t="s">
        <v>41</v>
      </c>
      <c r="D102">
        <v>0</v>
      </c>
    </row>
    <row r="103" spans="1:4" x14ac:dyDescent="0.35">
      <c r="A103" t="s">
        <v>49</v>
      </c>
      <c r="B103" t="s">
        <v>40</v>
      </c>
      <c r="C103" t="s">
        <v>41</v>
      </c>
      <c r="D103">
        <v>0</v>
      </c>
    </row>
    <row r="104" spans="1:4" x14ac:dyDescent="0.35">
      <c r="A104" t="s">
        <v>50</v>
      </c>
      <c r="B104" t="s">
        <v>6</v>
      </c>
      <c r="C104" t="s">
        <v>41</v>
      </c>
      <c r="D104">
        <v>0</v>
      </c>
    </row>
    <row r="105" spans="1:4" x14ac:dyDescent="0.35">
      <c r="A105" t="s">
        <v>50</v>
      </c>
      <c r="B105" t="s">
        <v>7</v>
      </c>
      <c r="C105" t="s">
        <v>41</v>
      </c>
      <c r="D105">
        <v>0</v>
      </c>
    </row>
    <row r="106" spans="1:4" x14ac:dyDescent="0.35">
      <c r="A106" t="s">
        <v>50</v>
      </c>
      <c r="B106" t="s">
        <v>8</v>
      </c>
      <c r="C106" t="s">
        <v>41</v>
      </c>
      <c r="D106">
        <v>0</v>
      </c>
    </row>
    <row r="107" spans="1:4" x14ac:dyDescent="0.35">
      <c r="A107" t="s">
        <v>50</v>
      </c>
      <c r="B107" t="s">
        <v>9</v>
      </c>
      <c r="C107" t="s">
        <v>41</v>
      </c>
      <c r="D107">
        <v>2.3096078680000001</v>
      </c>
    </row>
    <row r="108" spans="1:4" x14ac:dyDescent="0.35">
      <c r="A108" t="s">
        <v>50</v>
      </c>
      <c r="B108" t="s">
        <v>10</v>
      </c>
      <c r="C108" t="s">
        <v>41</v>
      </c>
      <c r="D108">
        <v>13.71999894</v>
      </c>
    </row>
    <row r="109" spans="1:4" x14ac:dyDescent="0.35">
      <c r="A109" t="s">
        <v>50</v>
      </c>
      <c r="B109" t="s">
        <v>11</v>
      </c>
      <c r="C109" t="s">
        <v>41</v>
      </c>
      <c r="D109">
        <v>17.029143820000002</v>
      </c>
    </row>
    <row r="110" spans="1:4" x14ac:dyDescent="0.35">
      <c r="A110" t="s">
        <v>50</v>
      </c>
      <c r="B110" t="s">
        <v>12</v>
      </c>
      <c r="C110" t="s">
        <v>41</v>
      </c>
      <c r="D110">
        <v>0</v>
      </c>
    </row>
    <row r="111" spans="1:4" x14ac:dyDescent="0.35">
      <c r="A111" t="s">
        <v>50</v>
      </c>
      <c r="B111" t="s">
        <v>13</v>
      </c>
      <c r="C111" t="s">
        <v>41</v>
      </c>
      <c r="D111">
        <v>3.2016020859999998</v>
      </c>
    </row>
    <row r="112" spans="1:4" x14ac:dyDescent="0.35">
      <c r="A112" t="s">
        <v>50</v>
      </c>
      <c r="B112" t="s">
        <v>14</v>
      </c>
      <c r="C112" t="s">
        <v>41</v>
      </c>
      <c r="D112">
        <v>0</v>
      </c>
    </row>
    <row r="113" spans="1:4" x14ac:dyDescent="0.35">
      <c r="A113" t="s">
        <v>50</v>
      </c>
      <c r="B113" t="s">
        <v>15</v>
      </c>
      <c r="C113" t="s">
        <v>41</v>
      </c>
      <c r="D113">
        <v>90.546801139999999</v>
      </c>
    </row>
    <row r="114" spans="1:4" x14ac:dyDescent="0.35">
      <c r="A114" t="s">
        <v>50</v>
      </c>
      <c r="B114" t="s">
        <v>16</v>
      </c>
      <c r="C114" t="s">
        <v>41</v>
      </c>
      <c r="D114">
        <v>58.61929671</v>
      </c>
    </row>
    <row r="115" spans="1:4" x14ac:dyDescent="0.35">
      <c r="A115" t="s">
        <v>50</v>
      </c>
      <c r="B115" t="s">
        <v>18</v>
      </c>
      <c r="C115" t="s">
        <v>41</v>
      </c>
      <c r="D115">
        <v>0</v>
      </c>
    </row>
    <row r="116" spans="1:4" x14ac:dyDescent="0.35">
      <c r="A116" t="s">
        <v>50</v>
      </c>
      <c r="B116" t="s">
        <v>19</v>
      </c>
      <c r="C116" t="s">
        <v>41</v>
      </c>
      <c r="D116">
        <v>48.179672459999999</v>
      </c>
    </row>
    <row r="117" spans="1:4" x14ac:dyDescent="0.35">
      <c r="A117" t="s">
        <v>50</v>
      </c>
      <c r="B117" t="s">
        <v>20</v>
      </c>
      <c r="C117" t="s">
        <v>41</v>
      </c>
      <c r="D117">
        <v>57.866030019999997</v>
      </c>
    </row>
    <row r="118" spans="1:4" x14ac:dyDescent="0.35">
      <c r="A118" t="s">
        <v>50</v>
      </c>
      <c r="B118" t="s">
        <v>21</v>
      </c>
      <c r="C118" t="s">
        <v>41</v>
      </c>
      <c r="D118">
        <v>0</v>
      </c>
    </row>
    <row r="119" spans="1:4" x14ac:dyDescent="0.35">
      <c r="A119" t="s">
        <v>50</v>
      </c>
      <c r="B119" t="s">
        <v>22</v>
      </c>
      <c r="C119" t="s">
        <v>41</v>
      </c>
      <c r="D119">
        <v>25.116439069999998</v>
      </c>
    </row>
    <row r="120" spans="1:4" x14ac:dyDescent="0.35">
      <c r="A120" t="s">
        <v>50</v>
      </c>
      <c r="B120" t="s">
        <v>23</v>
      </c>
      <c r="C120" t="s">
        <v>41</v>
      </c>
      <c r="D120">
        <v>1.528125972</v>
      </c>
    </row>
    <row r="121" spans="1:4" x14ac:dyDescent="0.35">
      <c r="A121" t="s">
        <v>50</v>
      </c>
      <c r="B121" t="s">
        <v>24</v>
      </c>
      <c r="C121" t="s">
        <v>41</v>
      </c>
      <c r="D121">
        <v>6.4511052089999996</v>
      </c>
    </row>
    <row r="122" spans="1:4" x14ac:dyDescent="0.35">
      <c r="A122" t="s">
        <v>50</v>
      </c>
      <c r="B122" t="s">
        <v>25</v>
      </c>
      <c r="C122" t="s">
        <v>41</v>
      </c>
      <c r="D122">
        <v>1.2481876730000001</v>
      </c>
    </row>
    <row r="123" spans="1:4" x14ac:dyDescent="0.35">
      <c r="A123" t="s">
        <v>50</v>
      </c>
      <c r="B123" t="s">
        <v>26</v>
      </c>
      <c r="C123" t="s">
        <v>41</v>
      </c>
      <c r="D123">
        <v>2.3360077860000001</v>
      </c>
    </row>
    <row r="124" spans="1:4" x14ac:dyDescent="0.35">
      <c r="A124" t="s">
        <v>50</v>
      </c>
      <c r="B124" t="s">
        <v>27</v>
      </c>
      <c r="C124" t="s">
        <v>41</v>
      </c>
      <c r="D124">
        <v>4.2313805929999999</v>
      </c>
    </row>
    <row r="125" spans="1:4" x14ac:dyDescent="0.35">
      <c r="A125" t="s">
        <v>50</v>
      </c>
      <c r="B125" t="s">
        <v>28</v>
      </c>
      <c r="C125" t="s">
        <v>41</v>
      </c>
      <c r="D125">
        <v>2.8881088720000001</v>
      </c>
    </row>
    <row r="126" spans="1:4" x14ac:dyDescent="0.35">
      <c r="A126" t="s">
        <v>50</v>
      </c>
      <c r="B126" t="s">
        <v>29</v>
      </c>
      <c r="C126" t="s">
        <v>41</v>
      </c>
      <c r="D126">
        <v>0.70526525699999998</v>
      </c>
    </row>
    <row r="127" spans="1:4" x14ac:dyDescent="0.35">
      <c r="A127" t="s">
        <v>50</v>
      </c>
      <c r="B127" t="s">
        <v>30</v>
      </c>
      <c r="C127" t="s">
        <v>41</v>
      </c>
      <c r="D127">
        <v>13.20176011</v>
      </c>
    </row>
    <row r="128" spans="1:4" x14ac:dyDescent="0.35">
      <c r="A128" t="s">
        <v>50</v>
      </c>
      <c r="B128" t="s">
        <v>31</v>
      </c>
      <c r="C128" t="s">
        <v>41</v>
      </c>
      <c r="D128">
        <v>0</v>
      </c>
    </row>
    <row r="129" spans="1:4" x14ac:dyDescent="0.35">
      <c r="A129" t="s">
        <v>50</v>
      </c>
      <c r="B129" t="s">
        <v>32</v>
      </c>
      <c r="C129" t="s">
        <v>41</v>
      </c>
      <c r="D129">
        <v>0</v>
      </c>
    </row>
    <row r="130" spans="1:4" x14ac:dyDescent="0.35">
      <c r="A130" t="s">
        <v>50</v>
      </c>
      <c r="B130" t="s">
        <v>33</v>
      </c>
      <c r="C130" t="s">
        <v>41</v>
      </c>
      <c r="D130">
        <v>18.32494264</v>
      </c>
    </row>
    <row r="131" spans="1:4" x14ac:dyDescent="0.35">
      <c r="A131" t="s">
        <v>50</v>
      </c>
      <c r="B131" t="s">
        <v>34</v>
      </c>
      <c r="C131" t="s">
        <v>41</v>
      </c>
      <c r="D131">
        <v>0</v>
      </c>
    </row>
    <row r="132" spans="1:4" x14ac:dyDescent="0.35">
      <c r="A132" t="s">
        <v>50</v>
      </c>
      <c r="B132" t="s">
        <v>35</v>
      </c>
      <c r="C132" t="s">
        <v>41</v>
      </c>
      <c r="D132">
        <v>9.434265194</v>
      </c>
    </row>
    <row r="133" spans="1:4" x14ac:dyDescent="0.35">
      <c r="A133" t="s">
        <v>50</v>
      </c>
      <c r="B133" t="s">
        <v>36</v>
      </c>
      <c r="C133" t="s">
        <v>41</v>
      </c>
      <c r="D133">
        <v>0</v>
      </c>
    </row>
    <row r="134" spans="1:4" x14ac:dyDescent="0.35">
      <c r="A134" t="s">
        <v>50</v>
      </c>
      <c r="B134" t="s">
        <v>37</v>
      </c>
      <c r="C134" t="s">
        <v>41</v>
      </c>
      <c r="D134">
        <v>3.2101379040000002</v>
      </c>
    </row>
    <row r="135" spans="1:4" x14ac:dyDescent="0.35">
      <c r="A135" t="s">
        <v>50</v>
      </c>
      <c r="B135" t="s">
        <v>38</v>
      </c>
      <c r="C135" t="s">
        <v>41</v>
      </c>
      <c r="D135">
        <v>0.94334723099999995</v>
      </c>
    </row>
    <row r="136" spans="1:4" x14ac:dyDescent="0.35">
      <c r="A136" t="s">
        <v>50</v>
      </c>
      <c r="B136" t="s">
        <v>39</v>
      </c>
      <c r="C136" t="s">
        <v>41</v>
      </c>
      <c r="D136">
        <v>0</v>
      </c>
    </row>
    <row r="137" spans="1:4" x14ac:dyDescent="0.35">
      <c r="A137" t="s">
        <v>50</v>
      </c>
      <c r="B137" t="s">
        <v>40</v>
      </c>
      <c r="C137" t="s">
        <v>41</v>
      </c>
      <c r="D137">
        <v>0</v>
      </c>
    </row>
    <row r="138" spans="1:4" x14ac:dyDescent="0.35">
      <c r="A138" t="s">
        <v>52</v>
      </c>
      <c r="B138" t="s">
        <v>6</v>
      </c>
      <c r="C138" t="s">
        <v>41</v>
      </c>
      <c r="D138">
        <v>0</v>
      </c>
    </row>
    <row r="139" spans="1:4" x14ac:dyDescent="0.35">
      <c r="A139" t="s">
        <v>52</v>
      </c>
      <c r="B139" t="s">
        <v>7</v>
      </c>
      <c r="C139" t="s">
        <v>41</v>
      </c>
      <c r="D139">
        <v>0</v>
      </c>
    </row>
    <row r="140" spans="1:4" x14ac:dyDescent="0.35">
      <c r="A140" t="s">
        <v>52</v>
      </c>
      <c r="B140" t="s">
        <v>8</v>
      </c>
      <c r="C140" t="s">
        <v>41</v>
      </c>
      <c r="D140">
        <v>0</v>
      </c>
    </row>
    <row r="141" spans="1:4" x14ac:dyDescent="0.35">
      <c r="A141" t="s">
        <v>52</v>
      </c>
      <c r="B141" t="s">
        <v>9</v>
      </c>
      <c r="C141" t="s">
        <v>41</v>
      </c>
      <c r="D141">
        <v>2.8956421460000001</v>
      </c>
    </row>
    <row r="142" spans="1:4" x14ac:dyDescent="0.35">
      <c r="A142" t="s">
        <v>52</v>
      </c>
      <c r="B142" t="s">
        <v>10</v>
      </c>
      <c r="C142" t="s">
        <v>41</v>
      </c>
      <c r="D142">
        <v>14.523803770000001</v>
      </c>
    </row>
    <row r="143" spans="1:4" x14ac:dyDescent="0.35">
      <c r="A143" t="s">
        <v>52</v>
      </c>
      <c r="B143" t="s">
        <v>11</v>
      </c>
      <c r="C143" t="s">
        <v>41</v>
      </c>
      <c r="D143">
        <v>22.179314789999999</v>
      </c>
    </row>
    <row r="144" spans="1:4" x14ac:dyDescent="0.35">
      <c r="A144" t="s">
        <v>52</v>
      </c>
      <c r="B144" t="s">
        <v>12</v>
      </c>
      <c r="C144" t="s">
        <v>41</v>
      </c>
      <c r="D144">
        <v>0</v>
      </c>
    </row>
    <row r="145" spans="1:4" x14ac:dyDescent="0.35">
      <c r="A145" t="s">
        <v>52</v>
      </c>
      <c r="B145" t="s">
        <v>13</v>
      </c>
      <c r="C145" t="s">
        <v>41</v>
      </c>
      <c r="D145">
        <v>3.7648417940000001</v>
      </c>
    </row>
    <row r="146" spans="1:4" x14ac:dyDescent="0.35">
      <c r="A146" t="s">
        <v>52</v>
      </c>
      <c r="B146" t="s">
        <v>14</v>
      </c>
      <c r="C146" t="s">
        <v>41</v>
      </c>
      <c r="D146">
        <v>0</v>
      </c>
    </row>
    <row r="147" spans="1:4" x14ac:dyDescent="0.35">
      <c r="A147" t="s">
        <v>52</v>
      </c>
      <c r="B147" t="s">
        <v>15</v>
      </c>
      <c r="C147" t="s">
        <v>41</v>
      </c>
      <c r="D147">
        <v>108.75516829999999</v>
      </c>
    </row>
    <row r="148" spans="1:4" x14ac:dyDescent="0.35">
      <c r="A148" t="s">
        <v>52</v>
      </c>
      <c r="B148" t="s">
        <v>16</v>
      </c>
      <c r="C148" t="s">
        <v>41</v>
      </c>
      <c r="D148">
        <v>63.490399099999998</v>
      </c>
    </row>
    <row r="149" spans="1:4" x14ac:dyDescent="0.35">
      <c r="A149" t="s">
        <v>52</v>
      </c>
      <c r="B149" t="s">
        <v>18</v>
      </c>
      <c r="C149" t="s">
        <v>41</v>
      </c>
      <c r="D149">
        <v>0</v>
      </c>
    </row>
    <row r="150" spans="1:4" x14ac:dyDescent="0.35">
      <c r="A150" t="s">
        <v>52</v>
      </c>
      <c r="B150" t="s">
        <v>19</v>
      </c>
      <c r="C150" t="s">
        <v>41</v>
      </c>
      <c r="D150">
        <v>52.982941969999999</v>
      </c>
    </row>
    <row r="151" spans="1:4" x14ac:dyDescent="0.35">
      <c r="A151" t="s">
        <v>52</v>
      </c>
      <c r="B151" t="s">
        <v>20</v>
      </c>
      <c r="C151" t="s">
        <v>41</v>
      </c>
      <c r="D151">
        <v>88.83727571</v>
      </c>
    </row>
    <row r="152" spans="1:4" x14ac:dyDescent="0.35">
      <c r="A152" t="s">
        <v>52</v>
      </c>
      <c r="B152" t="s">
        <v>21</v>
      </c>
      <c r="C152" t="s">
        <v>41</v>
      </c>
      <c r="D152">
        <v>0</v>
      </c>
    </row>
    <row r="153" spans="1:4" x14ac:dyDescent="0.35">
      <c r="A153" t="s">
        <v>52</v>
      </c>
      <c r="B153" t="s">
        <v>22</v>
      </c>
      <c r="C153" t="s">
        <v>41</v>
      </c>
      <c r="D153">
        <v>34.222899519999999</v>
      </c>
    </row>
    <row r="154" spans="1:4" x14ac:dyDescent="0.35">
      <c r="A154" t="s">
        <v>52</v>
      </c>
      <c r="B154" t="s">
        <v>23</v>
      </c>
      <c r="C154" t="s">
        <v>41</v>
      </c>
      <c r="D154">
        <v>1.802053431</v>
      </c>
    </row>
    <row r="155" spans="1:4" x14ac:dyDescent="0.35">
      <c r="A155" t="s">
        <v>52</v>
      </c>
      <c r="B155" t="s">
        <v>24</v>
      </c>
      <c r="C155" t="s">
        <v>41</v>
      </c>
      <c r="D155">
        <v>7.4503123819999999</v>
      </c>
    </row>
    <row r="156" spans="1:4" x14ac:dyDescent="0.35">
      <c r="A156" t="s">
        <v>52</v>
      </c>
      <c r="B156" t="s">
        <v>25</v>
      </c>
      <c r="C156" t="s">
        <v>41</v>
      </c>
      <c r="D156">
        <v>0.86052813399999994</v>
      </c>
    </row>
    <row r="157" spans="1:4" x14ac:dyDescent="0.35">
      <c r="A157" t="s">
        <v>52</v>
      </c>
      <c r="B157" t="s">
        <v>26</v>
      </c>
      <c r="C157" t="s">
        <v>41</v>
      </c>
      <c r="D157">
        <v>0</v>
      </c>
    </row>
    <row r="158" spans="1:4" x14ac:dyDescent="0.35">
      <c r="A158" t="s">
        <v>52</v>
      </c>
      <c r="B158" t="s">
        <v>27</v>
      </c>
      <c r="C158" t="s">
        <v>41</v>
      </c>
      <c r="D158">
        <v>6.6802225200000001</v>
      </c>
    </row>
    <row r="159" spans="1:4" x14ac:dyDescent="0.35">
      <c r="A159" t="s">
        <v>52</v>
      </c>
      <c r="B159" t="s">
        <v>28</v>
      </c>
      <c r="C159" t="s">
        <v>41</v>
      </c>
      <c r="D159">
        <v>7.7947633879999998</v>
      </c>
    </row>
    <row r="160" spans="1:4" x14ac:dyDescent="0.35">
      <c r="A160" t="s">
        <v>52</v>
      </c>
      <c r="B160" t="s">
        <v>29</v>
      </c>
      <c r="C160" t="s">
        <v>41</v>
      </c>
      <c r="D160">
        <v>1.5878505570000001</v>
      </c>
    </row>
    <row r="161" spans="1:4" x14ac:dyDescent="0.35">
      <c r="A161" t="s">
        <v>52</v>
      </c>
      <c r="B161" t="s">
        <v>30</v>
      </c>
      <c r="C161" t="s">
        <v>41</v>
      </c>
      <c r="D161">
        <v>14.056425000000001</v>
      </c>
    </row>
    <row r="162" spans="1:4" x14ac:dyDescent="0.35">
      <c r="A162" t="s">
        <v>52</v>
      </c>
      <c r="B162" t="s">
        <v>31</v>
      </c>
      <c r="C162" t="s">
        <v>41</v>
      </c>
      <c r="D162">
        <v>0</v>
      </c>
    </row>
    <row r="163" spans="1:4" x14ac:dyDescent="0.35">
      <c r="A163" t="s">
        <v>52</v>
      </c>
      <c r="B163" t="s">
        <v>32</v>
      </c>
      <c r="C163" t="s">
        <v>41</v>
      </c>
      <c r="D163">
        <v>0</v>
      </c>
    </row>
    <row r="164" spans="1:4" x14ac:dyDescent="0.35">
      <c r="A164" t="s">
        <v>52</v>
      </c>
      <c r="B164" t="s">
        <v>33</v>
      </c>
      <c r="C164" t="s">
        <v>41</v>
      </c>
      <c r="D164">
        <v>17.816494479999999</v>
      </c>
    </row>
    <row r="165" spans="1:4" x14ac:dyDescent="0.35">
      <c r="A165" t="s">
        <v>52</v>
      </c>
      <c r="B165" t="s">
        <v>34</v>
      </c>
      <c r="C165" t="s">
        <v>41</v>
      </c>
      <c r="D165">
        <v>0</v>
      </c>
    </row>
    <row r="166" spans="1:4" x14ac:dyDescent="0.35">
      <c r="A166" t="s">
        <v>52</v>
      </c>
      <c r="B166" t="s">
        <v>35</v>
      </c>
      <c r="C166" t="s">
        <v>41</v>
      </c>
      <c r="D166">
        <v>4.6004137399999996</v>
      </c>
    </row>
    <row r="167" spans="1:4" x14ac:dyDescent="0.35">
      <c r="A167" t="s">
        <v>52</v>
      </c>
      <c r="B167" t="s">
        <v>36</v>
      </c>
      <c r="C167" t="s">
        <v>41</v>
      </c>
      <c r="D167">
        <v>0</v>
      </c>
    </row>
    <row r="168" spans="1:4" x14ac:dyDescent="0.35">
      <c r="A168" t="s">
        <v>52</v>
      </c>
      <c r="B168" t="s">
        <v>37</v>
      </c>
      <c r="C168" t="s">
        <v>41</v>
      </c>
      <c r="D168">
        <v>3.1128337730000002</v>
      </c>
    </row>
    <row r="169" spans="1:4" x14ac:dyDescent="0.35">
      <c r="A169" t="s">
        <v>52</v>
      </c>
      <c r="B169" t="s">
        <v>38</v>
      </c>
      <c r="C169" t="s">
        <v>41</v>
      </c>
      <c r="D169">
        <v>1.2426318890000001</v>
      </c>
    </row>
    <row r="170" spans="1:4" x14ac:dyDescent="0.35">
      <c r="A170" t="s">
        <v>52</v>
      </c>
      <c r="B170" t="s">
        <v>39</v>
      </c>
      <c r="C170" t="s">
        <v>41</v>
      </c>
      <c r="D170">
        <v>0</v>
      </c>
    </row>
    <row r="171" spans="1:4" x14ac:dyDescent="0.35">
      <c r="A171" t="s">
        <v>52</v>
      </c>
      <c r="B171" t="s">
        <v>40</v>
      </c>
      <c r="C171" t="s">
        <v>41</v>
      </c>
      <c r="D171">
        <v>0</v>
      </c>
    </row>
    <row r="172" spans="1:4" x14ac:dyDescent="0.35">
      <c r="A172" t="s">
        <v>54</v>
      </c>
      <c r="B172" t="s">
        <v>6</v>
      </c>
      <c r="C172" t="s">
        <v>41</v>
      </c>
      <c r="D172">
        <v>0</v>
      </c>
    </row>
    <row r="173" spans="1:4" x14ac:dyDescent="0.35">
      <c r="A173" t="s">
        <v>54</v>
      </c>
      <c r="B173" t="s">
        <v>7</v>
      </c>
      <c r="C173" t="s">
        <v>41</v>
      </c>
      <c r="D173">
        <v>0</v>
      </c>
    </row>
    <row r="174" spans="1:4" x14ac:dyDescent="0.35">
      <c r="A174" t="s">
        <v>54</v>
      </c>
      <c r="B174" t="s">
        <v>8</v>
      </c>
      <c r="C174" t="s">
        <v>41</v>
      </c>
      <c r="D174">
        <v>0</v>
      </c>
    </row>
    <row r="175" spans="1:4" x14ac:dyDescent="0.35">
      <c r="A175" t="s">
        <v>54</v>
      </c>
      <c r="B175" t="s">
        <v>9</v>
      </c>
      <c r="C175" t="s">
        <v>41</v>
      </c>
      <c r="D175">
        <v>0</v>
      </c>
    </row>
    <row r="176" spans="1:4" x14ac:dyDescent="0.35">
      <c r="A176" t="s">
        <v>54</v>
      </c>
      <c r="B176" t="s">
        <v>10</v>
      </c>
      <c r="C176" t="s">
        <v>41</v>
      </c>
      <c r="D176">
        <v>0</v>
      </c>
    </row>
    <row r="177" spans="1:4" x14ac:dyDescent="0.35">
      <c r="A177" t="s">
        <v>54</v>
      </c>
      <c r="B177" t="s">
        <v>11</v>
      </c>
      <c r="C177" t="s">
        <v>41</v>
      </c>
      <c r="D177">
        <v>7.1613616779999996</v>
      </c>
    </row>
    <row r="178" spans="1:4" x14ac:dyDescent="0.35">
      <c r="A178" t="s">
        <v>54</v>
      </c>
      <c r="B178" t="s">
        <v>12</v>
      </c>
      <c r="C178" t="s">
        <v>41</v>
      </c>
      <c r="D178">
        <v>0</v>
      </c>
    </row>
    <row r="179" spans="1:4" x14ac:dyDescent="0.35">
      <c r="A179" t="s">
        <v>54</v>
      </c>
      <c r="B179" t="s">
        <v>13</v>
      </c>
      <c r="C179" t="s">
        <v>41</v>
      </c>
      <c r="D179">
        <v>2.1936356259999998</v>
      </c>
    </row>
    <row r="180" spans="1:4" x14ac:dyDescent="0.35">
      <c r="A180" t="s">
        <v>54</v>
      </c>
      <c r="B180" t="s">
        <v>14</v>
      </c>
      <c r="C180" t="s">
        <v>41</v>
      </c>
      <c r="D180">
        <v>0</v>
      </c>
    </row>
    <row r="181" spans="1:4" x14ac:dyDescent="0.35">
      <c r="A181" t="s">
        <v>54</v>
      </c>
      <c r="B181" t="s">
        <v>15</v>
      </c>
      <c r="C181" t="s">
        <v>41</v>
      </c>
      <c r="D181">
        <v>94.938042859999996</v>
      </c>
    </row>
    <row r="182" spans="1:4" x14ac:dyDescent="0.35">
      <c r="A182" t="s">
        <v>54</v>
      </c>
      <c r="B182" t="s">
        <v>16</v>
      </c>
      <c r="C182" t="s">
        <v>41</v>
      </c>
      <c r="D182">
        <v>50.016196010000002</v>
      </c>
    </row>
    <row r="183" spans="1:4" x14ac:dyDescent="0.35">
      <c r="A183" t="s">
        <v>54</v>
      </c>
      <c r="B183" t="s">
        <v>18</v>
      </c>
      <c r="C183" t="s">
        <v>41</v>
      </c>
      <c r="D183">
        <v>0</v>
      </c>
    </row>
    <row r="184" spans="1:4" x14ac:dyDescent="0.35">
      <c r="A184" t="s">
        <v>54</v>
      </c>
      <c r="B184" t="s">
        <v>19</v>
      </c>
      <c r="C184" t="s">
        <v>41</v>
      </c>
      <c r="D184">
        <v>64.712836139999993</v>
      </c>
    </row>
    <row r="185" spans="1:4" x14ac:dyDescent="0.35">
      <c r="A185" t="s">
        <v>54</v>
      </c>
      <c r="B185" t="s">
        <v>20</v>
      </c>
      <c r="C185" t="s">
        <v>41</v>
      </c>
      <c r="D185">
        <v>93.457922740000001</v>
      </c>
    </row>
    <row r="186" spans="1:4" x14ac:dyDescent="0.35">
      <c r="A186" t="s">
        <v>54</v>
      </c>
      <c r="B186" t="s">
        <v>21</v>
      </c>
      <c r="C186" t="s">
        <v>41</v>
      </c>
      <c r="D186">
        <v>0</v>
      </c>
    </row>
    <row r="187" spans="1:4" x14ac:dyDescent="0.35">
      <c r="A187" t="s">
        <v>54</v>
      </c>
      <c r="B187" t="s">
        <v>22</v>
      </c>
      <c r="C187" t="s">
        <v>41</v>
      </c>
      <c r="D187">
        <v>47.016426170000003</v>
      </c>
    </row>
    <row r="188" spans="1:4" x14ac:dyDescent="0.35">
      <c r="A188" t="s">
        <v>54</v>
      </c>
      <c r="B188" t="s">
        <v>23</v>
      </c>
      <c r="C188" t="s">
        <v>41</v>
      </c>
      <c r="D188">
        <v>2.3854981259999999</v>
      </c>
    </row>
    <row r="189" spans="1:4" x14ac:dyDescent="0.35">
      <c r="A189" t="s">
        <v>54</v>
      </c>
      <c r="B189" t="s">
        <v>24</v>
      </c>
      <c r="C189" t="s">
        <v>41</v>
      </c>
      <c r="D189">
        <v>14.04412022</v>
      </c>
    </row>
    <row r="190" spans="1:4" x14ac:dyDescent="0.35">
      <c r="A190" t="s">
        <v>54</v>
      </c>
      <c r="B190" t="s">
        <v>25</v>
      </c>
      <c r="C190" t="s">
        <v>41</v>
      </c>
      <c r="D190">
        <v>3.271135584</v>
      </c>
    </row>
    <row r="191" spans="1:4" x14ac:dyDescent="0.35">
      <c r="A191" t="s">
        <v>54</v>
      </c>
      <c r="B191" t="s">
        <v>26</v>
      </c>
      <c r="C191" t="s">
        <v>41</v>
      </c>
      <c r="D191">
        <v>2.128439975</v>
      </c>
    </row>
    <row r="192" spans="1:4" x14ac:dyDescent="0.35">
      <c r="A192" t="s">
        <v>54</v>
      </c>
      <c r="B192" t="s">
        <v>27</v>
      </c>
      <c r="C192" t="s">
        <v>41</v>
      </c>
      <c r="D192">
        <v>4.9789543409999997</v>
      </c>
    </row>
    <row r="193" spans="1:4" x14ac:dyDescent="0.35">
      <c r="A193" t="s">
        <v>54</v>
      </c>
      <c r="B193" t="s">
        <v>28</v>
      </c>
      <c r="C193" t="s">
        <v>41</v>
      </c>
      <c r="D193">
        <v>10.35108769</v>
      </c>
    </row>
    <row r="194" spans="1:4" x14ac:dyDescent="0.35">
      <c r="A194" t="s">
        <v>54</v>
      </c>
      <c r="B194" t="s">
        <v>29</v>
      </c>
      <c r="C194" t="s">
        <v>41</v>
      </c>
      <c r="D194">
        <v>2.7806604629999998</v>
      </c>
    </row>
    <row r="195" spans="1:4" x14ac:dyDescent="0.35">
      <c r="A195" t="s">
        <v>54</v>
      </c>
      <c r="B195" t="s">
        <v>30</v>
      </c>
      <c r="C195" t="s">
        <v>41</v>
      </c>
      <c r="D195">
        <v>17.949252090000002</v>
      </c>
    </row>
    <row r="196" spans="1:4" x14ac:dyDescent="0.35">
      <c r="A196" t="s">
        <v>54</v>
      </c>
      <c r="B196" t="s">
        <v>31</v>
      </c>
      <c r="C196" t="s">
        <v>41</v>
      </c>
      <c r="D196">
        <v>0.57790416600000005</v>
      </c>
    </row>
    <row r="197" spans="1:4" x14ac:dyDescent="0.35">
      <c r="A197" t="s">
        <v>54</v>
      </c>
      <c r="B197" t="s">
        <v>32</v>
      </c>
      <c r="C197" t="s">
        <v>41</v>
      </c>
      <c r="D197">
        <v>0</v>
      </c>
    </row>
    <row r="198" spans="1:4" x14ac:dyDescent="0.35">
      <c r="A198" t="s">
        <v>54</v>
      </c>
      <c r="B198" t="s">
        <v>33</v>
      </c>
      <c r="C198" t="s">
        <v>41</v>
      </c>
      <c r="D198">
        <v>23.456535970000001</v>
      </c>
    </row>
    <row r="199" spans="1:4" x14ac:dyDescent="0.35">
      <c r="A199" t="s">
        <v>54</v>
      </c>
      <c r="B199" t="s">
        <v>34</v>
      </c>
      <c r="C199" t="s">
        <v>41</v>
      </c>
      <c r="D199">
        <v>0</v>
      </c>
    </row>
    <row r="200" spans="1:4" x14ac:dyDescent="0.35">
      <c r="A200" t="s">
        <v>54</v>
      </c>
      <c r="B200" t="s">
        <v>35</v>
      </c>
      <c r="C200" t="s">
        <v>41</v>
      </c>
      <c r="D200">
        <v>11.65771037</v>
      </c>
    </row>
    <row r="201" spans="1:4" x14ac:dyDescent="0.35">
      <c r="A201" t="s">
        <v>54</v>
      </c>
      <c r="B201" t="s">
        <v>36</v>
      </c>
      <c r="C201" t="s">
        <v>41</v>
      </c>
      <c r="D201">
        <v>0</v>
      </c>
    </row>
    <row r="202" spans="1:4" x14ac:dyDescent="0.35">
      <c r="A202" t="s">
        <v>54</v>
      </c>
      <c r="B202" t="s">
        <v>37</v>
      </c>
      <c r="C202" t="s">
        <v>41</v>
      </c>
      <c r="D202">
        <v>4.3126498870000001</v>
      </c>
    </row>
    <row r="203" spans="1:4" x14ac:dyDescent="0.35">
      <c r="A203" t="s">
        <v>54</v>
      </c>
      <c r="B203" t="s">
        <v>38</v>
      </c>
      <c r="C203" t="s">
        <v>41</v>
      </c>
      <c r="D203">
        <v>2.1116615539999999</v>
      </c>
    </row>
    <row r="204" spans="1:4" x14ac:dyDescent="0.35">
      <c r="A204" t="s">
        <v>54</v>
      </c>
      <c r="B204" t="s">
        <v>39</v>
      </c>
      <c r="C204" t="s">
        <v>41</v>
      </c>
      <c r="D204">
        <v>0</v>
      </c>
    </row>
    <row r="205" spans="1:4" x14ac:dyDescent="0.35">
      <c r="A205" t="s">
        <v>54</v>
      </c>
      <c r="B205" t="s">
        <v>40</v>
      </c>
      <c r="C205" t="s">
        <v>41</v>
      </c>
      <c r="D205">
        <v>0</v>
      </c>
    </row>
    <row r="206" spans="1:4" x14ac:dyDescent="0.35">
      <c r="A206" t="s">
        <v>56</v>
      </c>
      <c r="B206" t="s">
        <v>6</v>
      </c>
      <c r="C206" t="s">
        <v>41</v>
      </c>
      <c r="D206">
        <v>0</v>
      </c>
    </row>
    <row r="207" spans="1:4" x14ac:dyDescent="0.35">
      <c r="A207" t="s">
        <v>56</v>
      </c>
      <c r="B207" t="s">
        <v>7</v>
      </c>
      <c r="C207" t="s">
        <v>41</v>
      </c>
      <c r="D207">
        <v>0</v>
      </c>
    </row>
    <row r="208" spans="1:4" x14ac:dyDescent="0.35">
      <c r="A208" t="s">
        <v>56</v>
      </c>
      <c r="B208" t="s">
        <v>8</v>
      </c>
      <c r="C208" t="s">
        <v>41</v>
      </c>
      <c r="D208">
        <v>0</v>
      </c>
    </row>
    <row r="209" spans="1:4" x14ac:dyDescent="0.35">
      <c r="A209" t="s">
        <v>56</v>
      </c>
      <c r="B209" t="s">
        <v>9</v>
      </c>
      <c r="C209" t="s">
        <v>41</v>
      </c>
      <c r="D209">
        <v>0</v>
      </c>
    </row>
    <row r="210" spans="1:4" x14ac:dyDescent="0.35">
      <c r="A210" t="s">
        <v>56</v>
      </c>
      <c r="B210" t="s">
        <v>10</v>
      </c>
      <c r="C210" t="s">
        <v>41</v>
      </c>
      <c r="D210">
        <v>0</v>
      </c>
    </row>
    <row r="211" spans="1:4" x14ac:dyDescent="0.35">
      <c r="A211" t="s">
        <v>56</v>
      </c>
      <c r="B211" t="s">
        <v>11</v>
      </c>
      <c r="C211" t="s">
        <v>41</v>
      </c>
      <c r="D211">
        <v>14.106933529999999</v>
      </c>
    </row>
    <row r="212" spans="1:4" x14ac:dyDescent="0.35">
      <c r="A212" t="s">
        <v>56</v>
      </c>
      <c r="B212" t="s">
        <v>12</v>
      </c>
      <c r="C212" t="s">
        <v>41</v>
      </c>
      <c r="D212">
        <v>0</v>
      </c>
    </row>
    <row r="213" spans="1:4" x14ac:dyDescent="0.35">
      <c r="A213" t="s">
        <v>56</v>
      </c>
      <c r="B213" t="s">
        <v>13</v>
      </c>
      <c r="C213" t="s">
        <v>41</v>
      </c>
      <c r="D213">
        <v>2.5399433789999999</v>
      </c>
    </row>
    <row r="214" spans="1:4" x14ac:dyDescent="0.35">
      <c r="A214" t="s">
        <v>56</v>
      </c>
      <c r="B214" t="s">
        <v>14</v>
      </c>
      <c r="C214" t="s">
        <v>41</v>
      </c>
      <c r="D214">
        <v>0</v>
      </c>
    </row>
    <row r="215" spans="1:4" x14ac:dyDescent="0.35">
      <c r="A215" t="s">
        <v>56</v>
      </c>
      <c r="B215" t="s">
        <v>15</v>
      </c>
      <c r="C215" t="s">
        <v>41</v>
      </c>
      <c r="D215">
        <v>95.640602889999997</v>
      </c>
    </row>
    <row r="216" spans="1:4" x14ac:dyDescent="0.35">
      <c r="A216" t="s">
        <v>56</v>
      </c>
      <c r="B216" t="s">
        <v>16</v>
      </c>
      <c r="C216" t="s">
        <v>41</v>
      </c>
      <c r="D216">
        <v>62.332838150000001</v>
      </c>
    </row>
    <row r="217" spans="1:4" x14ac:dyDescent="0.35">
      <c r="A217" t="s">
        <v>56</v>
      </c>
      <c r="B217" t="s">
        <v>18</v>
      </c>
      <c r="C217" t="s">
        <v>41</v>
      </c>
      <c r="D217">
        <v>0</v>
      </c>
    </row>
    <row r="218" spans="1:4" x14ac:dyDescent="0.35">
      <c r="A218" t="s">
        <v>56</v>
      </c>
      <c r="B218" t="s">
        <v>19</v>
      </c>
      <c r="C218" t="s">
        <v>41</v>
      </c>
      <c r="D218">
        <v>53.876258640000003</v>
      </c>
    </row>
    <row r="219" spans="1:4" x14ac:dyDescent="0.35">
      <c r="A219" t="s">
        <v>56</v>
      </c>
      <c r="B219" t="s">
        <v>20</v>
      </c>
      <c r="C219" t="s">
        <v>41</v>
      </c>
      <c r="D219">
        <v>77.115248149999999</v>
      </c>
    </row>
    <row r="220" spans="1:4" x14ac:dyDescent="0.35">
      <c r="A220" t="s">
        <v>56</v>
      </c>
      <c r="B220" t="s">
        <v>21</v>
      </c>
      <c r="C220" t="s">
        <v>41</v>
      </c>
      <c r="D220">
        <v>0</v>
      </c>
    </row>
    <row r="221" spans="1:4" x14ac:dyDescent="0.35">
      <c r="A221" t="s">
        <v>56</v>
      </c>
      <c r="B221" t="s">
        <v>22</v>
      </c>
      <c r="C221" t="s">
        <v>41</v>
      </c>
      <c r="D221">
        <v>34.627033650000001</v>
      </c>
    </row>
    <row r="222" spans="1:4" x14ac:dyDescent="0.35">
      <c r="A222" t="s">
        <v>56</v>
      </c>
      <c r="B222" t="s">
        <v>23</v>
      </c>
      <c r="C222" t="s">
        <v>41</v>
      </c>
      <c r="D222">
        <v>2.4902856930000001</v>
      </c>
    </row>
    <row r="223" spans="1:4" x14ac:dyDescent="0.35">
      <c r="A223" t="s">
        <v>56</v>
      </c>
      <c r="B223" t="s">
        <v>24</v>
      </c>
      <c r="C223" t="s">
        <v>41</v>
      </c>
      <c r="D223">
        <v>9.2950514159999997</v>
      </c>
    </row>
    <row r="224" spans="1:4" x14ac:dyDescent="0.35">
      <c r="A224" t="s">
        <v>56</v>
      </c>
      <c r="B224" t="s">
        <v>25</v>
      </c>
      <c r="C224" t="s">
        <v>41</v>
      </c>
      <c r="D224">
        <v>2.9416977210000002</v>
      </c>
    </row>
    <row r="225" spans="1:4" x14ac:dyDescent="0.35">
      <c r="A225" t="s">
        <v>56</v>
      </c>
      <c r="B225" t="s">
        <v>26</v>
      </c>
      <c r="C225" t="s">
        <v>41</v>
      </c>
      <c r="D225">
        <v>2.5373207629999999</v>
      </c>
    </row>
    <row r="226" spans="1:4" x14ac:dyDescent="0.35">
      <c r="A226" t="s">
        <v>56</v>
      </c>
      <c r="B226" t="s">
        <v>27</v>
      </c>
      <c r="C226" t="s">
        <v>41</v>
      </c>
      <c r="D226">
        <v>0</v>
      </c>
    </row>
    <row r="227" spans="1:4" x14ac:dyDescent="0.35">
      <c r="A227" t="s">
        <v>56</v>
      </c>
      <c r="B227" t="s">
        <v>28</v>
      </c>
      <c r="C227" t="s">
        <v>41</v>
      </c>
      <c r="D227">
        <v>8.8594774310000002</v>
      </c>
    </row>
    <row r="228" spans="1:4" x14ac:dyDescent="0.35">
      <c r="A228" t="s">
        <v>56</v>
      </c>
      <c r="B228" t="s">
        <v>29</v>
      </c>
      <c r="C228" t="s">
        <v>41</v>
      </c>
      <c r="D228">
        <v>1.745166716</v>
      </c>
    </row>
    <row r="229" spans="1:4" x14ac:dyDescent="0.35">
      <c r="A229" t="s">
        <v>56</v>
      </c>
      <c r="B229" t="s">
        <v>30</v>
      </c>
      <c r="C229" t="s">
        <v>41</v>
      </c>
      <c r="D229">
        <v>17.272072130000002</v>
      </c>
    </row>
    <row r="230" spans="1:4" x14ac:dyDescent="0.35">
      <c r="A230" t="s">
        <v>56</v>
      </c>
      <c r="B230" t="s">
        <v>31</v>
      </c>
      <c r="C230" t="s">
        <v>41</v>
      </c>
      <c r="D230">
        <v>0</v>
      </c>
    </row>
    <row r="231" spans="1:4" x14ac:dyDescent="0.35">
      <c r="A231" t="s">
        <v>56</v>
      </c>
      <c r="B231" t="s">
        <v>32</v>
      </c>
      <c r="C231" t="s">
        <v>41</v>
      </c>
      <c r="D231">
        <v>0</v>
      </c>
    </row>
    <row r="232" spans="1:4" x14ac:dyDescent="0.35">
      <c r="A232" t="s">
        <v>56</v>
      </c>
      <c r="B232" t="s">
        <v>33</v>
      </c>
      <c r="C232" t="s">
        <v>41</v>
      </c>
      <c r="D232">
        <v>23.927563750000001</v>
      </c>
    </row>
    <row r="233" spans="1:4" x14ac:dyDescent="0.35">
      <c r="A233" t="s">
        <v>56</v>
      </c>
      <c r="B233" t="s">
        <v>34</v>
      </c>
      <c r="C233" t="s">
        <v>41</v>
      </c>
      <c r="D233">
        <v>0</v>
      </c>
    </row>
    <row r="234" spans="1:4" x14ac:dyDescent="0.35">
      <c r="A234" t="s">
        <v>56</v>
      </c>
      <c r="B234" t="s">
        <v>35</v>
      </c>
      <c r="C234" t="s">
        <v>41</v>
      </c>
      <c r="D234">
        <v>7.3626102070000004</v>
      </c>
    </row>
    <row r="235" spans="1:4" x14ac:dyDescent="0.35">
      <c r="A235" t="s">
        <v>56</v>
      </c>
      <c r="B235" t="s">
        <v>36</v>
      </c>
      <c r="C235" t="s">
        <v>41</v>
      </c>
      <c r="D235">
        <v>0</v>
      </c>
    </row>
    <row r="236" spans="1:4" x14ac:dyDescent="0.35">
      <c r="A236" t="s">
        <v>56</v>
      </c>
      <c r="B236" t="s">
        <v>37</v>
      </c>
      <c r="C236" t="s">
        <v>41</v>
      </c>
      <c r="D236">
        <v>3.6517271099999999</v>
      </c>
    </row>
    <row r="237" spans="1:4" x14ac:dyDescent="0.35">
      <c r="A237" t="s">
        <v>56</v>
      </c>
      <c r="B237" t="s">
        <v>38</v>
      </c>
      <c r="C237" t="s">
        <v>41</v>
      </c>
      <c r="D237">
        <v>1.7965048589999999</v>
      </c>
    </row>
    <row r="238" spans="1:4" x14ac:dyDescent="0.35">
      <c r="A238" t="s">
        <v>56</v>
      </c>
      <c r="B238" t="s">
        <v>39</v>
      </c>
      <c r="C238" t="s">
        <v>41</v>
      </c>
      <c r="D238">
        <v>0</v>
      </c>
    </row>
    <row r="239" spans="1:4" x14ac:dyDescent="0.35">
      <c r="A239" t="s">
        <v>56</v>
      </c>
      <c r="B239" t="s">
        <v>40</v>
      </c>
      <c r="C239" t="s">
        <v>41</v>
      </c>
      <c r="D239">
        <v>0</v>
      </c>
    </row>
    <row r="240" spans="1:4" x14ac:dyDescent="0.35">
      <c r="A240" t="s">
        <v>58</v>
      </c>
      <c r="B240" t="s">
        <v>6</v>
      </c>
      <c r="C240" t="s">
        <v>41</v>
      </c>
      <c r="D240">
        <v>0</v>
      </c>
    </row>
    <row r="241" spans="1:4" x14ac:dyDescent="0.35">
      <c r="A241" t="s">
        <v>58</v>
      </c>
      <c r="B241" t="s">
        <v>7</v>
      </c>
      <c r="C241" t="s">
        <v>41</v>
      </c>
      <c r="D241">
        <v>0</v>
      </c>
    </row>
    <row r="242" spans="1:4" x14ac:dyDescent="0.35">
      <c r="A242" t="s">
        <v>58</v>
      </c>
      <c r="B242" t="s">
        <v>8</v>
      </c>
      <c r="C242" t="s">
        <v>41</v>
      </c>
      <c r="D242">
        <v>0</v>
      </c>
    </row>
    <row r="243" spans="1:4" x14ac:dyDescent="0.35">
      <c r="A243" t="s">
        <v>58</v>
      </c>
      <c r="B243" t="s">
        <v>9</v>
      </c>
      <c r="C243" t="s">
        <v>41</v>
      </c>
      <c r="D243">
        <v>0</v>
      </c>
    </row>
    <row r="244" spans="1:4" x14ac:dyDescent="0.35">
      <c r="A244" t="s">
        <v>58</v>
      </c>
      <c r="B244" t="s">
        <v>10</v>
      </c>
      <c r="C244" t="s">
        <v>41</v>
      </c>
      <c r="D244">
        <v>0</v>
      </c>
    </row>
    <row r="245" spans="1:4" x14ac:dyDescent="0.35">
      <c r="A245" t="s">
        <v>58</v>
      </c>
      <c r="B245" t="s">
        <v>11</v>
      </c>
      <c r="C245" t="s">
        <v>41</v>
      </c>
      <c r="D245">
        <v>7.8905919869999996</v>
      </c>
    </row>
    <row r="246" spans="1:4" x14ac:dyDescent="0.35">
      <c r="A246" t="s">
        <v>58</v>
      </c>
      <c r="B246" t="s">
        <v>12</v>
      </c>
      <c r="C246" t="s">
        <v>41</v>
      </c>
      <c r="D246">
        <v>0</v>
      </c>
    </row>
    <row r="247" spans="1:4" x14ac:dyDescent="0.35">
      <c r="A247" t="s">
        <v>58</v>
      </c>
      <c r="B247" t="s">
        <v>13</v>
      </c>
      <c r="C247" t="s">
        <v>41</v>
      </c>
      <c r="D247">
        <v>1.6101141160000001</v>
      </c>
    </row>
    <row r="248" spans="1:4" x14ac:dyDescent="0.35">
      <c r="A248" t="s">
        <v>58</v>
      </c>
      <c r="B248" t="s">
        <v>14</v>
      </c>
      <c r="C248" t="s">
        <v>41</v>
      </c>
      <c r="D248">
        <v>0</v>
      </c>
    </row>
    <row r="249" spans="1:4" x14ac:dyDescent="0.35">
      <c r="A249" t="s">
        <v>58</v>
      </c>
      <c r="B249" t="s">
        <v>15</v>
      </c>
      <c r="C249" t="s">
        <v>41</v>
      </c>
      <c r="D249">
        <v>57.991510820000002</v>
      </c>
    </row>
    <row r="250" spans="1:4" x14ac:dyDescent="0.35">
      <c r="A250" t="s">
        <v>58</v>
      </c>
      <c r="B250" t="s">
        <v>16</v>
      </c>
      <c r="C250" t="s">
        <v>41</v>
      </c>
      <c r="D250">
        <v>54.464387350000003</v>
      </c>
    </row>
    <row r="251" spans="1:4" x14ac:dyDescent="0.35">
      <c r="A251" t="s">
        <v>58</v>
      </c>
      <c r="B251" t="s">
        <v>18</v>
      </c>
      <c r="C251" t="s">
        <v>41</v>
      </c>
      <c r="D251">
        <v>0</v>
      </c>
    </row>
    <row r="252" spans="1:4" x14ac:dyDescent="0.35">
      <c r="A252" t="s">
        <v>58</v>
      </c>
      <c r="B252" t="s">
        <v>19</v>
      </c>
      <c r="C252" t="s">
        <v>41</v>
      </c>
      <c r="D252">
        <v>44.9532284</v>
      </c>
    </row>
    <row r="253" spans="1:4" x14ac:dyDescent="0.35">
      <c r="A253" t="s">
        <v>58</v>
      </c>
      <c r="B253" t="s">
        <v>20</v>
      </c>
      <c r="C253" t="s">
        <v>41</v>
      </c>
      <c r="D253">
        <v>76.414639640000004</v>
      </c>
    </row>
    <row r="254" spans="1:4" x14ac:dyDescent="0.35">
      <c r="A254" t="s">
        <v>58</v>
      </c>
      <c r="B254" t="s">
        <v>21</v>
      </c>
      <c r="C254" t="s">
        <v>41</v>
      </c>
      <c r="D254">
        <v>0</v>
      </c>
    </row>
    <row r="255" spans="1:4" x14ac:dyDescent="0.35">
      <c r="A255" t="s">
        <v>58</v>
      </c>
      <c r="B255" t="s">
        <v>22</v>
      </c>
      <c r="C255" t="s">
        <v>41</v>
      </c>
      <c r="D255">
        <v>33.821873549999999</v>
      </c>
    </row>
    <row r="256" spans="1:4" x14ac:dyDescent="0.35">
      <c r="A256" t="s">
        <v>58</v>
      </c>
      <c r="B256" t="s">
        <v>23</v>
      </c>
      <c r="C256" t="s">
        <v>41</v>
      </c>
      <c r="D256">
        <v>2.1448246059999998</v>
      </c>
    </row>
    <row r="257" spans="1:4" x14ac:dyDescent="0.35">
      <c r="A257" t="s">
        <v>58</v>
      </c>
      <c r="B257" t="s">
        <v>24</v>
      </c>
      <c r="C257" t="s">
        <v>41</v>
      </c>
      <c r="D257">
        <v>10.674004869999999</v>
      </c>
    </row>
    <row r="258" spans="1:4" x14ac:dyDescent="0.35">
      <c r="A258" t="s">
        <v>58</v>
      </c>
      <c r="B258" t="s">
        <v>25</v>
      </c>
      <c r="C258" t="s">
        <v>41</v>
      </c>
      <c r="D258">
        <v>2.7108218609999999</v>
      </c>
    </row>
    <row r="259" spans="1:4" x14ac:dyDescent="0.35">
      <c r="A259" t="s">
        <v>58</v>
      </c>
      <c r="B259" t="s">
        <v>26</v>
      </c>
      <c r="C259" t="s">
        <v>41</v>
      </c>
      <c r="D259">
        <v>0.54680588900000004</v>
      </c>
    </row>
    <row r="260" spans="1:4" x14ac:dyDescent="0.35">
      <c r="A260" t="s">
        <v>58</v>
      </c>
      <c r="B260" t="s">
        <v>27</v>
      </c>
      <c r="C260" t="s">
        <v>41</v>
      </c>
      <c r="D260">
        <v>7.7190679810000002</v>
      </c>
    </row>
    <row r="261" spans="1:4" x14ac:dyDescent="0.35">
      <c r="A261" t="s">
        <v>58</v>
      </c>
      <c r="B261" t="s">
        <v>28</v>
      </c>
      <c r="C261" t="s">
        <v>41</v>
      </c>
      <c r="D261">
        <v>7.6273279360000004</v>
      </c>
    </row>
    <row r="262" spans="1:4" x14ac:dyDescent="0.35">
      <c r="A262" t="s">
        <v>58</v>
      </c>
      <c r="B262" t="s">
        <v>29</v>
      </c>
      <c r="C262" t="s">
        <v>41</v>
      </c>
      <c r="D262">
        <v>0.96299427000000004</v>
      </c>
    </row>
    <row r="263" spans="1:4" x14ac:dyDescent="0.35">
      <c r="A263" t="s">
        <v>58</v>
      </c>
      <c r="B263" t="s">
        <v>30</v>
      </c>
      <c r="C263" t="s">
        <v>41</v>
      </c>
      <c r="D263">
        <v>13.01006289</v>
      </c>
    </row>
    <row r="264" spans="1:4" x14ac:dyDescent="0.35">
      <c r="A264" t="s">
        <v>58</v>
      </c>
      <c r="B264" t="s">
        <v>31</v>
      </c>
      <c r="C264" t="s">
        <v>41</v>
      </c>
      <c r="D264">
        <v>0.44104985800000002</v>
      </c>
    </row>
    <row r="265" spans="1:4" x14ac:dyDescent="0.35">
      <c r="A265" t="s">
        <v>58</v>
      </c>
      <c r="B265" t="s">
        <v>32</v>
      </c>
      <c r="C265" t="s">
        <v>41</v>
      </c>
      <c r="D265">
        <v>0</v>
      </c>
    </row>
    <row r="266" spans="1:4" x14ac:dyDescent="0.35">
      <c r="A266" t="s">
        <v>58</v>
      </c>
      <c r="B266" t="s">
        <v>33</v>
      </c>
      <c r="C266" t="s">
        <v>41</v>
      </c>
      <c r="D266">
        <v>21.162527050000001</v>
      </c>
    </row>
    <row r="267" spans="1:4" x14ac:dyDescent="0.35">
      <c r="A267" t="s">
        <v>58</v>
      </c>
      <c r="B267" t="s">
        <v>34</v>
      </c>
      <c r="C267" t="s">
        <v>41</v>
      </c>
      <c r="D267">
        <v>0</v>
      </c>
    </row>
    <row r="268" spans="1:4" x14ac:dyDescent="0.35">
      <c r="A268" t="s">
        <v>58</v>
      </c>
      <c r="B268" t="s">
        <v>35</v>
      </c>
      <c r="C268" t="s">
        <v>41</v>
      </c>
      <c r="D268">
        <v>7.6913317069999998</v>
      </c>
    </row>
    <row r="269" spans="1:4" x14ac:dyDescent="0.35">
      <c r="A269" t="s">
        <v>58</v>
      </c>
      <c r="B269" t="s">
        <v>36</v>
      </c>
      <c r="C269" t="s">
        <v>41</v>
      </c>
      <c r="D269">
        <v>0</v>
      </c>
    </row>
    <row r="270" spans="1:4" x14ac:dyDescent="0.35">
      <c r="A270" t="s">
        <v>58</v>
      </c>
      <c r="B270" t="s">
        <v>37</v>
      </c>
      <c r="C270" t="s">
        <v>41</v>
      </c>
      <c r="D270">
        <v>3.148173248</v>
      </c>
    </row>
    <row r="271" spans="1:4" x14ac:dyDescent="0.35">
      <c r="A271" t="s">
        <v>58</v>
      </c>
      <c r="B271" t="s">
        <v>38</v>
      </c>
      <c r="C271" t="s">
        <v>41</v>
      </c>
      <c r="D271">
        <v>0.994487381</v>
      </c>
    </row>
    <row r="272" spans="1:4" x14ac:dyDescent="0.35">
      <c r="A272" t="s">
        <v>58</v>
      </c>
      <c r="B272" t="s">
        <v>39</v>
      </c>
      <c r="C272" t="s">
        <v>41</v>
      </c>
      <c r="D272">
        <v>0</v>
      </c>
    </row>
    <row r="273" spans="1:4" x14ac:dyDescent="0.35">
      <c r="A273" t="s">
        <v>58</v>
      </c>
      <c r="B273" t="s">
        <v>40</v>
      </c>
      <c r="C273" t="s">
        <v>41</v>
      </c>
      <c r="D273">
        <v>0</v>
      </c>
    </row>
    <row r="274" spans="1:4" x14ac:dyDescent="0.35">
      <c r="A274" t="s">
        <v>60</v>
      </c>
      <c r="B274" t="s">
        <v>6</v>
      </c>
      <c r="C274" t="s">
        <v>41</v>
      </c>
      <c r="D274">
        <v>0</v>
      </c>
    </row>
    <row r="275" spans="1:4" x14ac:dyDescent="0.35">
      <c r="A275" t="s">
        <v>60</v>
      </c>
      <c r="B275" t="s">
        <v>7</v>
      </c>
      <c r="C275" t="s">
        <v>41</v>
      </c>
      <c r="D275">
        <v>0</v>
      </c>
    </row>
    <row r="276" spans="1:4" x14ac:dyDescent="0.35">
      <c r="A276" t="s">
        <v>60</v>
      </c>
      <c r="B276" t="s">
        <v>8</v>
      </c>
      <c r="C276" t="s">
        <v>41</v>
      </c>
      <c r="D276">
        <v>0</v>
      </c>
    </row>
    <row r="277" spans="1:4" x14ac:dyDescent="0.35">
      <c r="A277" t="s">
        <v>60</v>
      </c>
      <c r="B277" t="s">
        <v>9</v>
      </c>
      <c r="C277" t="s">
        <v>41</v>
      </c>
      <c r="D277">
        <v>0</v>
      </c>
    </row>
    <row r="278" spans="1:4" x14ac:dyDescent="0.35">
      <c r="A278" t="s">
        <v>60</v>
      </c>
      <c r="B278" t="s">
        <v>10</v>
      </c>
      <c r="C278" t="s">
        <v>41</v>
      </c>
      <c r="D278">
        <v>0</v>
      </c>
    </row>
    <row r="279" spans="1:4" x14ac:dyDescent="0.35">
      <c r="A279" t="s">
        <v>60</v>
      </c>
      <c r="B279" t="s">
        <v>11</v>
      </c>
      <c r="C279" t="s">
        <v>41</v>
      </c>
      <c r="D279">
        <v>7.1944301020000001</v>
      </c>
    </row>
    <row r="280" spans="1:4" x14ac:dyDescent="0.35">
      <c r="A280" t="s">
        <v>60</v>
      </c>
      <c r="B280" t="s">
        <v>12</v>
      </c>
      <c r="C280" t="s">
        <v>41</v>
      </c>
      <c r="D280">
        <v>0</v>
      </c>
    </row>
    <row r="281" spans="1:4" x14ac:dyDescent="0.35">
      <c r="A281" t="s">
        <v>60</v>
      </c>
      <c r="B281" t="s">
        <v>13</v>
      </c>
      <c r="C281" t="s">
        <v>41</v>
      </c>
      <c r="D281">
        <v>2.0283550620000002</v>
      </c>
    </row>
    <row r="282" spans="1:4" x14ac:dyDescent="0.35">
      <c r="A282" t="s">
        <v>60</v>
      </c>
      <c r="B282" t="s">
        <v>14</v>
      </c>
      <c r="C282" t="s">
        <v>41</v>
      </c>
      <c r="D282">
        <v>0</v>
      </c>
    </row>
    <row r="283" spans="1:4" x14ac:dyDescent="0.35">
      <c r="A283" t="s">
        <v>60</v>
      </c>
      <c r="B283" t="s">
        <v>15</v>
      </c>
      <c r="C283" t="s">
        <v>41</v>
      </c>
      <c r="D283">
        <v>89.373585379999994</v>
      </c>
    </row>
    <row r="284" spans="1:4" x14ac:dyDescent="0.35">
      <c r="A284" t="s">
        <v>60</v>
      </c>
      <c r="B284" t="s">
        <v>16</v>
      </c>
      <c r="C284" t="s">
        <v>41</v>
      </c>
      <c r="D284">
        <v>54.684110680000003</v>
      </c>
    </row>
    <row r="285" spans="1:4" x14ac:dyDescent="0.35">
      <c r="A285" t="s">
        <v>60</v>
      </c>
      <c r="B285" t="s">
        <v>18</v>
      </c>
      <c r="C285" t="s">
        <v>41</v>
      </c>
      <c r="D285">
        <v>0</v>
      </c>
    </row>
    <row r="286" spans="1:4" x14ac:dyDescent="0.35">
      <c r="A286" t="s">
        <v>60</v>
      </c>
      <c r="B286" t="s">
        <v>19</v>
      </c>
      <c r="C286" t="s">
        <v>41</v>
      </c>
      <c r="D286">
        <v>54.729504149999997</v>
      </c>
    </row>
    <row r="287" spans="1:4" x14ac:dyDescent="0.35">
      <c r="A287" t="s">
        <v>60</v>
      </c>
      <c r="B287" t="s">
        <v>20</v>
      </c>
      <c r="C287" t="s">
        <v>41</v>
      </c>
      <c r="D287">
        <v>65.817887819999996</v>
      </c>
    </row>
    <row r="288" spans="1:4" x14ac:dyDescent="0.35">
      <c r="A288" t="s">
        <v>60</v>
      </c>
      <c r="B288" t="s">
        <v>21</v>
      </c>
      <c r="C288" t="s">
        <v>41</v>
      </c>
      <c r="D288">
        <v>0</v>
      </c>
    </row>
    <row r="289" spans="1:4" x14ac:dyDescent="0.35">
      <c r="A289" t="s">
        <v>60</v>
      </c>
      <c r="B289" t="s">
        <v>22</v>
      </c>
      <c r="C289" t="s">
        <v>41</v>
      </c>
      <c r="D289">
        <v>30.572077969999999</v>
      </c>
    </row>
    <row r="290" spans="1:4" x14ac:dyDescent="0.35">
      <c r="A290" t="s">
        <v>60</v>
      </c>
      <c r="B290" t="s">
        <v>23</v>
      </c>
      <c r="C290" t="s">
        <v>41</v>
      </c>
      <c r="D290">
        <v>2.2541004739999999</v>
      </c>
    </row>
    <row r="291" spans="1:4" x14ac:dyDescent="0.35">
      <c r="A291" t="s">
        <v>60</v>
      </c>
      <c r="B291" t="s">
        <v>24</v>
      </c>
      <c r="C291" t="s">
        <v>41</v>
      </c>
      <c r="D291">
        <v>8.381733594</v>
      </c>
    </row>
    <row r="292" spans="1:4" x14ac:dyDescent="0.35">
      <c r="A292" t="s">
        <v>60</v>
      </c>
      <c r="B292" t="s">
        <v>25</v>
      </c>
      <c r="C292" t="s">
        <v>41</v>
      </c>
      <c r="D292">
        <v>2.3130173859999998</v>
      </c>
    </row>
    <row r="293" spans="1:4" x14ac:dyDescent="0.35">
      <c r="A293" t="s">
        <v>60</v>
      </c>
      <c r="B293" t="s">
        <v>26</v>
      </c>
      <c r="C293" t="s">
        <v>41</v>
      </c>
      <c r="D293">
        <v>2.4657929909999998</v>
      </c>
    </row>
    <row r="294" spans="1:4" x14ac:dyDescent="0.35">
      <c r="A294" t="s">
        <v>60</v>
      </c>
      <c r="B294" t="s">
        <v>27</v>
      </c>
      <c r="C294" t="s">
        <v>41</v>
      </c>
      <c r="D294">
        <v>8.2944827090000004</v>
      </c>
    </row>
    <row r="295" spans="1:4" x14ac:dyDescent="0.35">
      <c r="A295" t="s">
        <v>60</v>
      </c>
      <c r="B295" t="s">
        <v>28</v>
      </c>
      <c r="C295" t="s">
        <v>41</v>
      </c>
      <c r="D295">
        <v>7.3937149099999999</v>
      </c>
    </row>
    <row r="296" spans="1:4" x14ac:dyDescent="0.35">
      <c r="A296" t="s">
        <v>60</v>
      </c>
      <c r="B296" t="s">
        <v>29</v>
      </c>
      <c r="C296" t="s">
        <v>41</v>
      </c>
      <c r="D296">
        <v>1.532958367</v>
      </c>
    </row>
    <row r="297" spans="1:4" x14ac:dyDescent="0.35">
      <c r="A297" t="s">
        <v>60</v>
      </c>
      <c r="B297" t="s">
        <v>30</v>
      </c>
      <c r="C297" t="s">
        <v>41</v>
      </c>
      <c r="D297">
        <v>17.722040100000001</v>
      </c>
    </row>
    <row r="298" spans="1:4" x14ac:dyDescent="0.35">
      <c r="A298" t="s">
        <v>60</v>
      </c>
      <c r="B298" t="s">
        <v>31</v>
      </c>
      <c r="C298" t="s">
        <v>41</v>
      </c>
      <c r="D298">
        <v>0.40804140999999999</v>
      </c>
    </row>
    <row r="299" spans="1:4" x14ac:dyDescent="0.35">
      <c r="A299" t="s">
        <v>60</v>
      </c>
      <c r="B299" t="s">
        <v>32</v>
      </c>
      <c r="C299" t="s">
        <v>41</v>
      </c>
      <c r="D299">
        <v>0</v>
      </c>
    </row>
    <row r="300" spans="1:4" x14ac:dyDescent="0.35">
      <c r="A300" t="s">
        <v>60</v>
      </c>
      <c r="B300" t="s">
        <v>33</v>
      </c>
      <c r="C300" t="s">
        <v>41</v>
      </c>
      <c r="D300">
        <v>24.174830270000001</v>
      </c>
    </row>
    <row r="301" spans="1:4" x14ac:dyDescent="0.35">
      <c r="A301" t="s">
        <v>60</v>
      </c>
      <c r="B301" t="s">
        <v>34</v>
      </c>
      <c r="C301" t="s">
        <v>41</v>
      </c>
      <c r="D301">
        <v>0</v>
      </c>
    </row>
    <row r="302" spans="1:4" x14ac:dyDescent="0.35">
      <c r="A302" t="s">
        <v>60</v>
      </c>
      <c r="B302" t="s">
        <v>35</v>
      </c>
      <c r="C302" t="s">
        <v>41</v>
      </c>
      <c r="D302">
        <v>9.351837562</v>
      </c>
    </row>
    <row r="303" spans="1:4" x14ac:dyDescent="0.35">
      <c r="A303" t="s">
        <v>60</v>
      </c>
      <c r="B303" t="s">
        <v>36</v>
      </c>
      <c r="C303" t="s">
        <v>41</v>
      </c>
      <c r="D303">
        <v>0</v>
      </c>
    </row>
    <row r="304" spans="1:4" x14ac:dyDescent="0.35">
      <c r="A304" t="s">
        <v>60</v>
      </c>
      <c r="B304" t="s">
        <v>37</v>
      </c>
      <c r="C304" t="s">
        <v>41</v>
      </c>
      <c r="D304">
        <v>4.8155598560000001</v>
      </c>
    </row>
    <row r="305" spans="1:4" x14ac:dyDescent="0.35">
      <c r="A305" t="s">
        <v>60</v>
      </c>
      <c r="B305" t="s">
        <v>38</v>
      </c>
      <c r="C305" t="s">
        <v>41</v>
      </c>
      <c r="D305">
        <v>1.772927285</v>
      </c>
    </row>
    <row r="306" spans="1:4" x14ac:dyDescent="0.35">
      <c r="A306" t="s">
        <v>60</v>
      </c>
      <c r="B306" t="s">
        <v>39</v>
      </c>
      <c r="C306" t="s">
        <v>41</v>
      </c>
      <c r="D306">
        <v>0</v>
      </c>
    </row>
    <row r="307" spans="1:4" x14ac:dyDescent="0.35">
      <c r="A307" t="s">
        <v>60</v>
      </c>
      <c r="B307" t="s">
        <v>40</v>
      </c>
      <c r="C307" t="s">
        <v>41</v>
      </c>
      <c r="D307">
        <v>0</v>
      </c>
    </row>
    <row r="308" spans="1:4" x14ac:dyDescent="0.35">
      <c r="A308" t="s">
        <v>62</v>
      </c>
      <c r="B308" t="s">
        <v>6</v>
      </c>
      <c r="C308" t="s">
        <v>41</v>
      </c>
      <c r="D308">
        <v>0</v>
      </c>
    </row>
    <row r="309" spans="1:4" x14ac:dyDescent="0.35">
      <c r="A309" t="s">
        <v>62</v>
      </c>
      <c r="B309" t="s">
        <v>7</v>
      </c>
      <c r="C309" t="s">
        <v>41</v>
      </c>
      <c r="D309">
        <v>0</v>
      </c>
    </row>
    <row r="310" spans="1:4" x14ac:dyDescent="0.35">
      <c r="A310" t="s">
        <v>62</v>
      </c>
      <c r="B310" t="s">
        <v>8</v>
      </c>
      <c r="C310" t="s">
        <v>41</v>
      </c>
      <c r="D310">
        <v>0</v>
      </c>
    </row>
    <row r="311" spans="1:4" x14ac:dyDescent="0.35">
      <c r="A311" t="s">
        <v>62</v>
      </c>
      <c r="B311" t="s">
        <v>9</v>
      </c>
      <c r="C311" t="s">
        <v>41</v>
      </c>
      <c r="D311">
        <v>0</v>
      </c>
    </row>
    <row r="312" spans="1:4" x14ac:dyDescent="0.35">
      <c r="A312" t="s">
        <v>62</v>
      </c>
      <c r="B312" t="s">
        <v>10</v>
      </c>
      <c r="C312" t="s">
        <v>41</v>
      </c>
      <c r="D312">
        <v>0</v>
      </c>
    </row>
    <row r="313" spans="1:4" x14ac:dyDescent="0.35">
      <c r="A313" t="s">
        <v>62</v>
      </c>
      <c r="B313" t="s">
        <v>11</v>
      </c>
      <c r="C313" t="s">
        <v>41</v>
      </c>
      <c r="D313">
        <v>5.8132176580000001</v>
      </c>
    </row>
    <row r="314" spans="1:4" x14ac:dyDescent="0.35">
      <c r="A314" t="s">
        <v>62</v>
      </c>
      <c r="B314" t="s">
        <v>12</v>
      </c>
      <c r="C314" t="s">
        <v>41</v>
      </c>
      <c r="D314">
        <v>0</v>
      </c>
    </row>
    <row r="315" spans="1:4" x14ac:dyDescent="0.35">
      <c r="A315" t="s">
        <v>62</v>
      </c>
      <c r="B315" t="s">
        <v>13</v>
      </c>
      <c r="C315" t="s">
        <v>41</v>
      </c>
      <c r="D315">
        <v>1.1491132989999999</v>
      </c>
    </row>
    <row r="316" spans="1:4" x14ac:dyDescent="0.35">
      <c r="A316" t="s">
        <v>62</v>
      </c>
      <c r="B316" t="s">
        <v>14</v>
      </c>
      <c r="C316" t="s">
        <v>41</v>
      </c>
      <c r="D316">
        <v>0</v>
      </c>
    </row>
    <row r="317" spans="1:4" x14ac:dyDescent="0.35">
      <c r="A317" t="s">
        <v>62</v>
      </c>
      <c r="B317" t="s">
        <v>15</v>
      </c>
      <c r="C317" t="s">
        <v>41</v>
      </c>
      <c r="D317">
        <v>59.188730640000003</v>
      </c>
    </row>
    <row r="318" spans="1:4" x14ac:dyDescent="0.35">
      <c r="A318" t="s">
        <v>62</v>
      </c>
      <c r="B318" t="s">
        <v>16</v>
      </c>
      <c r="C318" t="s">
        <v>41</v>
      </c>
      <c r="D318">
        <v>35.854530019999999</v>
      </c>
    </row>
    <row r="319" spans="1:4" x14ac:dyDescent="0.35">
      <c r="A319" t="s">
        <v>62</v>
      </c>
      <c r="B319" t="s">
        <v>18</v>
      </c>
      <c r="C319" t="s">
        <v>41</v>
      </c>
      <c r="D319">
        <v>0</v>
      </c>
    </row>
    <row r="320" spans="1:4" x14ac:dyDescent="0.35">
      <c r="A320" t="s">
        <v>62</v>
      </c>
      <c r="B320" t="s">
        <v>19</v>
      </c>
      <c r="C320" t="s">
        <v>41</v>
      </c>
      <c r="D320">
        <v>35.038873440000003</v>
      </c>
    </row>
    <row r="321" spans="1:4" x14ac:dyDescent="0.35">
      <c r="A321" t="s">
        <v>62</v>
      </c>
      <c r="B321" t="s">
        <v>20</v>
      </c>
      <c r="C321" t="s">
        <v>41</v>
      </c>
      <c r="D321">
        <v>60.924033710000003</v>
      </c>
    </row>
    <row r="322" spans="1:4" x14ac:dyDescent="0.35">
      <c r="A322" t="s">
        <v>62</v>
      </c>
      <c r="B322" t="s">
        <v>21</v>
      </c>
      <c r="C322" t="s">
        <v>41</v>
      </c>
      <c r="D322">
        <v>0</v>
      </c>
    </row>
    <row r="323" spans="1:4" x14ac:dyDescent="0.35">
      <c r="A323" t="s">
        <v>62</v>
      </c>
      <c r="B323" t="s">
        <v>22</v>
      </c>
      <c r="C323" t="s">
        <v>41</v>
      </c>
      <c r="D323">
        <v>23.85073143</v>
      </c>
    </row>
    <row r="324" spans="1:4" x14ac:dyDescent="0.35">
      <c r="A324" t="s">
        <v>62</v>
      </c>
      <c r="B324" t="s">
        <v>23</v>
      </c>
      <c r="C324" t="s">
        <v>41</v>
      </c>
      <c r="D324">
        <v>0.71058389200000005</v>
      </c>
    </row>
    <row r="325" spans="1:4" x14ac:dyDescent="0.35">
      <c r="A325" t="s">
        <v>62</v>
      </c>
      <c r="B325" t="s">
        <v>24</v>
      </c>
      <c r="C325" t="s">
        <v>41</v>
      </c>
      <c r="D325">
        <v>5.856220661</v>
      </c>
    </row>
    <row r="326" spans="1:4" x14ac:dyDescent="0.35">
      <c r="A326" t="s">
        <v>62</v>
      </c>
      <c r="B326" t="s">
        <v>25</v>
      </c>
      <c r="C326" t="s">
        <v>41</v>
      </c>
      <c r="D326">
        <v>0</v>
      </c>
    </row>
    <row r="327" spans="1:4" x14ac:dyDescent="0.35">
      <c r="A327" t="s">
        <v>62</v>
      </c>
      <c r="B327" t="s">
        <v>26</v>
      </c>
      <c r="C327" t="s">
        <v>41</v>
      </c>
      <c r="D327">
        <v>0.76314001600000003</v>
      </c>
    </row>
    <row r="328" spans="1:4" x14ac:dyDescent="0.35">
      <c r="A328" t="s">
        <v>62</v>
      </c>
      <c r="B328" t="s">
        <v>27</v>
      </c>
      <c r="C328" t="s">
        <v>41</v>
      </c>
      <c r="D328">
        <v>5.2796626260000004</v>
      </c>
    </row>
    <row r="329" spans="1:4" x14ac:dyDescent="0.35">
      <c r="A329" t="s">
        <v>62</v>
      </c>
      <c r="B329" t="s">
        <v>28</v>
      </c>
      <c r="C329" t="s">
        <v>41</v>
      </c>
      <c r="D329">
        <v>4.4771118330000004</v>
      </c>
    </row>
    <row r="330" spans="1:4" x14ac:dyDescent="0.35">
      <c r="A330" t="s">
        <v>62</v>
      </c>
      <c r="B330" t="s">
        <v>29</v>
      </c>
      <c r="C330" t="s">
        <v>41</v>
      </c>
      <c r="D330">
        <v>0.54942186800000004</v>
      </c>
    </row>
    <row r="331" spans="1:4" x14ac:dyDescent="0.35">
      <c r="A331" t="s">
        <v>62</v>
      </c>
      <c r="B331" t="s">
        <v>30</v>
      </c>
      <c r="C331" t="s">
        <v>41</v>
      </c>
      <c r="D331">
        <v>8.4967053749999994</v>
      </c>
    </row>
    <row r="332" spans="1:4" x14ac:dyDescent="0.35">
      <c r="A332" t="s">
        <v>62</v>
      </c>
      <c r="B332" t="s">
        <v>31</v>
      </c>
      <c r="C332" t="s">
        <v>41</v>
      </c>
      <c r="D332">
        <v>0.23323239500000001</v>
      </c>
    </row>
    <row r="333" spans="1:4" x14ac:dyDescent="0.35">
      <c r="A333" t="s">
        <v>62</v>
      </c>
      <c r="B333" t="s">
        <v>32</v>
      </c>
      <c r="C333" t="s">
        <v>41</v>
      </c>
      <c r="D333">
        <v>0</v>
      </c>
    </row>
    <row r="334" spans="1:4" x14ac:dyDescent="0.35">
      <c r="A334" t="s">
        <v>62</v>
      </c>
      <c r="B334" t="s">
        <v>33</v>
      </c>
      <c r="C334" t="s">
        <v>41</v>
      </c>
      <c r="D334">
        <v>10.995643490000001</v>
      </c>
    </row>
    <row r="335" spans="1:4" x14ac:dyDescent="0.35">
      <c r="A335" t="s">
        <v>62</v>
      </c>
      <c r="B335" t="s">
        <v>34</v>
      </c>
      <c r="C335" t="s">
        <v>41</v>
      </c>
      <c r="D335">
        <v>0</v>
      </c>
    </row>
    <row r="336" spans="1:4" x14ac:dyDescent="0.35">
      <c r="A336" t="s">
        <v>62</v>
      </c>
      <c r="B336" t="s">
        <v>35</v>
      </c>
      <c r="C336" t="s">
        <v>41</v>
      </c>
      <c r="D336">
        <v>7.0713419179999999</v>
      </c>
    </row>
    <row r="337" spans="1:4" x14ac:dyDescent="0.35">
      <c r="A337" t="s">
        <v>62</v>
      </c>
      <c r="B337" t="s">
        <v>36</v>
      </c>
      <c r="C337" t="s">
        <v>41</v>
      </c>
      <c r="D337">
        <v>0</v>
      </c>
    </row>
    <row r="338" spans="1:4" x14ac:dyDescent="0.35">
      <c r="A338" t="s">
        <v>62</v>
      </c>
      <c r="B338" t="s">
        <v>37</v>
      </c>
      <c r="C338" t="s">
        <v>41</v>
      </c>
      <c r="D338">
        <v>2.18778944</v>
      </c>
    </row>
    <row r="339" spans="1:4" x14ac:dyDescent="0.35">
      <c r="A339" t="s">
        <v>62</v>
      </c>
      <c r="B339" t="s">
        <v>38</v>
      </c>
      <c r="C339" t="s">
        <v>41</v>
      </c>
      <c r="D339">
        <v>0.68773559699999998</v>
      </c>
    </row>
    <row r="340" spans="1:4" x14ac:dyDescent="0.35">
      <c r="A340" t="s">
        <v>62</v>
      </c>
      <c r="B340" t="s">
        <v>39</v>
      </c>
      <c r="C340" t="s">
        <v>41</v>
      </c>
      <c r="D340">
        <v>0</v>
      </c>
    </row>
    <row r="341" spans="1:4" x14ac:dyDescent="0.35">
      <c r="A341" t="s">
        <v>62</v>
      </c>
      <c r="B341" t="s">
        <v>40</v>
      </c>
      <c r="C341" t="s">
        <v>41</v>
      </c>
      <c r="D341">
        <v>0</v>
      </c>
    </row>
    <row r="342" spans="1:4" x14ac:dyDescent="0.35">
      <c r="A342" t="s">
        <v>64</v>
      </c>
      <c r="B342" t="s">
        <v>6</v>
      </c>
      <c r="C342" t="s">
        <v>65</v>
      </c>
      <c r="D342">
        <v>0</v>
      </c>
    </row>
    <row r="343" spans="1:4" x14ac:dyDescent="0.35">
      <c r="A343" t="s">
        <v>64</v>
      </c>
      <c r="B343" t="s">
        <v>7</v>
      </c>
      <c r="C343" t="s">
        <v>65</v>
      </c>
      <c r="D343">
        <v>0</v>
      </c>
    </row>
    <row r="344" spans="1:4" x14ac:dyDescent="0.35">
      <c r="A344" t="s">
        <v>64</v>
      </c>
      <c r="B344" t="s">
        <v>8</v>
      </c>
      <c r="C344" t="s">
        <v>65</v>
      </c>
      <c r="D344">
        <v>0</v>
      </c>
    </row>
    <row r="345" spans="1:4" x14ac:dyDescent="0.35">
      <c r="A345" t="s">
        <v>64</v>
      </c>
      <c r="B345" t="s">
        <v>9</v>
      </c>
      <c r="C345" t="s">
        <v>65</v>
      </c>
      <c r="D345">
        <v>0</v>
      </c>
    </row>
    <row r="346" spans="1:4" x14ac:dyDescent="0.35">
      <c r="A346" t="s">
        <v>64</v>
      </c>
      <c r="B346" t="s">
        <v>10</v>
      </c>
      <c r="C346" t="s">
        <v>65</v>
      </c>
      <c r="D346">
        <v>0</v>
      </c>
    </row>
    <row r="347" spans="1:4" x14ac:dyDescent="0.35">
      <c r="A347" t="s">
        <v>64</v>
      </c>
      <c r="B347" t="s">
        <v>11</v>
      </c>
      <c r="C347" t="s">
        <v>65</v>
      </c>
      <c r="D347">
        <v>9.9921518979999995</v>
      </c>
    </row>
    <row r="348" spans="1:4" x14ac:dyDescent="0.35">
      <c r="A348" t="s">
        <v>64</v>
      </c>
      <c r="B348" t="s">
        <v>12</v>
      </c>
      <c r="C348" t="s">
        <v>65</v>
      </c>
      <c r="D348">
        <v>0</v>
      </c>
    </row>
    <row r="349" spans="1:4" x14ac:dyDescent="0.35">
      <c r="A349" t="s">
        <v>64</v>
      </c>
      <c r="B349" t="s">
        <v>13</v>
      </c>
      <c r="C349" t="s">
        <v>65</v>
      </c>
      <c r="D349">
        <v>2.2498207589999999</v>
      </c>
    </row>
    <row r="350" spans="1:4" x14ac:dyDescent="0.35">
      <c r="A350" t="s">
        <v>64</v>
      </c>
      <c r="B350" t="s">
        <v>14</v>
      </c>
      <c r="C350" t="s">
        <v>65</v>
      </c>
      <c r="D350">
        <v>0</v>
      </c>
    </row>
    <row r="351" spans="1:4" x14ac:dyDescent="0.35">
      <c r="A351" t="s">
        <v>64</v>
      </c>
      <c r="B351" t="s">
        <v>15</v>
      </c>
      <c r="C351" t="s">
        <v>65</v>
      </c>
      <c r="D351">
        <v>106.3054312</v>
      </c>
    </row>
    <row r="352" spans="1:4" x14ac:dyDescent="0.35">
      <c r="A352" t="s">
        <v>64</v>
      </c>
      <c r="B352" t="s">
        <v>16</v>
      </c>
      <c r="C352" t="s">
        <v>65</v>
      </c>
      <c r="D352">
        <v>78.323411219999997</v>
      </c>
    </row>
    <row r="353" spans="1:4" x14ac:dyDescent="0.35">
      <c r="A353" t="s">
        <v>64</v>
      </c>
      <c r="B353" t="s">
        <v>18</v>
      </c>
      <c r="C353" t="s">
        <v>65</v>
      </c>
      <c r="D353">
        <v>0</v>
      </c>
    </row>
    <row r="354" spans="1:4" x14ac:dyDescent="0.35">
      <c r="A354" t="s">
        <v>64</v>
      </c>
      <c r="B354" t="s">
        <v>19</v>
      </c>
      <c r="C354" t="s">
        <v>65</v>
      </c>
      <c r="D354">
        <v>57.719313849999999</v>
      </c>
    </row>
    <row r="355" spans="1:4" x14ac:dyDescent="0.35">
      <c r="A355" t="s">
        <v>64</v>
      </c>
      <c r="B355" t="s">
        <v>20</v>
      </c>
      <c r="C355" t="s">
        <v>65</v>
      </c>
      <c r="D355">
        <v>83.435924880000002</v>
      </c>
    </row>
    <row r="356" spans="1:4" x14ac:dyDescent="0.35">
      <c r="A356" t="s">
        <v>64</v>
      </c>
      <c r="B356" t="s">
        <v>21</v>
      </c>
      <c r="C356" t="s">
        <v>65</v>
      </c>
      <c r="D356">
        <v>0</v>
      </c>
    </row>
    <row r="357" spans="1:4" x14ac:dyDescent="0.35">
      <c r="A357" t="s">
        <v>64</v>
      </c>
      <c r="B357" t="s">
        <v>22</v>
      </c>
      <c r="C357" t="s">
        <v>65</v>
      </c>
      <c r="D357">
        <v>13.607438889999999</v>
      </c>
    </row>
    <row r="358" spans="1:4" x14ac:dyDescent="0.35">
      <c r="A358" t="s">
        <v>64</v>
      </c>
      <c r="B358" t="s">
        <v>23</v>
      </c>
      <c r="C358" t="s">
        <v>65</v>
      </c>
      <c r="D358">
        <v>2.4969082729999998</v>
      </c>
    </row>
    <row r="359" spans="1:4" x14ac:dyDescent="0.35">
      <c r="A359" t="s">
        <v>64</v>
      </c>
      <c r="B359" t="s">
        <v>24</v>
      </c>
      <c r="C359" t="s">
        <v>65</v>
      </c>
      <c r="D359">
        <v>7.0637971799999999</v>
      </c>
    </row>
    <row r="360" spans="1:4" x14ac:dyDescent="0.35">
      <c r="A360" t="s">
        <v>64</v>
      </c>
      <c r="B360" t="s">
        <v>25</v>
      </c>
      <c r="C360" t="s">
        <v>65</v>
      </c>
      <c r="D360">
        <v>2.5924653000000002</v>
      </c>
    </row>
    <row r="361" spans="1:4" x14ac:dyDescent="0.35">
      <c r="A361" t="s">
        <v>64</v>
      </c>
      <c r="B361" t="s">
        <v>26</v>
      </c>
      <c r="C361" t="s">
        <v>65</v>
      </c>
      <c r="D361">
        <v>1.014944968</v>
      </c>
    </row>
    <row r="362" spans="1:4" x14ac:dyDescent="0.35">
      <c r="A362" t="s">
        <v>64</v>
      </c>
      <c r="B362" t="s">
        <v>27</v>
      </c>
      <c r="C362" t="s">
        <v>65</v>
      </c>
      <c r="D362">
        <v>8.8613931079999997</v>
      </c>
    </row>
    <row r="363" spans="1:4" x14ac:dyDescent="0.35">
      <c r="A363" t="s">
        <v>64</v>
      </c>
      <c r="B363" t="s">
        <v>28</v>
      </c>
      <c r="C363" t="s">
        <v>65</v>
      </c>
      <c r="D363">
        <v>6.2509162329999999</v>
      </c>
    </row>
    <row r="364" spans="1:4" x14ac:dyDescent="0.35">
      <c r="A364" t="s">
        <v>64</v>
      </c>
      <c r="B364" t="s">
        <v>29</v>
      </c>
      <c r="C364" t="s">
        <v>65</v>
      </c>
      <c r="D364">
        <v>1.278195545</v>
      </c>
    </row>
    <row r="365" spans="1:4" x14ac:dyDescent="0.35">
      <c r="A365" t="s">
        <v>64</v>
      </c>
      <c r="B365" t="s">
        <v>30</v>
      </c>
      <c r="C365" t="s">
        <v>65</v>
      </c>
      <c r="D365">
        <v>12.9298237</v>
      </c>
    </row>
    <row r="366" spans="1:4" x14ac:dyDescent="0.35">
      <c r="A366" t="s">
        <v>64</v>
      </c>
      <c r="B366" t="s">
        <v>31</v>
      </c>
      <c r="C366" t="s">
        <v>65</v>
      </c>
      <c r="D366">
        <v>0</v>
      </c>
    </row>
    <row r="367" spans="1:4" x14ac:dyDescent="0.35">
      <c r="A367" t="s">
        <v>64</v>
      </c>
      <c r="B367" t="s">
        <v>32</v>
      </c>
      <c r="C367" t="s">
        <v>65</v>
      </c>
      <c r="D367">
        <v>0</v>
      </c>
    </row>
    <row r="368" spans="1:4" x14ac:dyDescent="0.35">
      <c r="A368" t="s">
        <v>64</v>
      </c>
      <c r="B368" t="s">
        <v>33</v>
      </c>
      <c r="C368" t="s">
        <v>65</v>
      </c>
      <c r="D368">
        <v>18.474374170000001</v>
      </c>
    </row>
    <row r="369" spans="1:4" x14ac:dyDescent="0.35">
      <c r="A369" t="s">
        <v>64</v>
      </c>
      <c r="B369" t="s">
        <v>34</v>
      </c>
      <c r="C369" t="s">
        <v>65</v>
      </c>
      <c r="D369">
        <v>0</v>
      </c>
    </row>
    <row r="370" spans="1:4" x14ac:dyDescent="0.35">
      <c r="A370" t="s">
        <v>64</v>
      </c>
      <c r="B370" t="s">
        <v>35</v>
      </c>
      <c r="C370" t="s">
        <v>65</v>
      </c>
      <c r="D370">
        <v>8.7274640300000002</v>
      </c>
    </row>
    <row r="371" spans="1:4" x14ac:dyDescent="0.35">
      <c r="A371" t="s">
        <v>64</v>
      </c>
      <c r="B371" t="s">
        <v>36</v>
      </c>
      <c r="C371" t="s">
        <v>65</v>
      </c>
      <c r="D371">
        <v>0</v>
      </c>
    </row>
    <row r="372" spans="1:4" x14ac:dyDescent="0.35">
      <c r="A372" t="s">
        <v>64</v>
      </c>
      <c r="B372" t="s">
        <v>37</v>
      </c>
      <c r="C372" t="s">
        <v>65</v>
      </c>
      <c r="D372">
        <v>2.99247263</v>
      </c>
    </row>
    <row r="373" spans="1:4" x14ac:dyDescent="0.35">
      <c r="A373" t="s">
        <v>64</v>
      </c>
      <c r="B373" t="s">
        <v>38</v>
      </c>
      <c r="C373" t="s">
        <v>65</v>
      </c>
      <c r="D373">
        <v>0.76664954100000005</v>
      </c>
    </row>
    <row r="374" spans="1:4" x14ac:dyDescent="0.35">
      <c r="A374" t="s">
        <v>64</v>
      </c>
      <c r="B374" t="s">
        <v>39</v>
      </c>
      <c r="C374" t="s">
        <v>65</v>
      </c>
      <c r="D374">
        <v>0</v>
      </c>
    </row>
    <row r="375" spans="1:4" x14ac:dyDescent="0.35">
      <c r="A375" t="s">
        <v>64</v>
      </c>
      <c r="B375" t="s">
        <v>40</v>
      </c>
      <c r="C375" t="s">
        <v>65</v>
      </c>
      <c r="D375">
        <v>0</v>
      </c>
    </row>
    <row r="376" spans="1:4" x14ac:dyDescent="0.35">
      <c r="A376" t="s">
        <v>67</v>
      </c>
      <c r="B376" t="s">
        <v>6</v>
      </c>
      <c r="C376" t="s">
        <v>65</v>
      </c>
      <c r="D376">
        <v>0</v>
      </c>
    </row>
    <row r="377" spans="1:4" x14ac:dyDescent="0.35">
      <c r="A377" t="s">
        <v>67</v>
      </c>
      <c r="B377" t="s">
        <v>7</v>
      </c>
      <c r="C377" t="s">
        <v>65</v>
      </c>
      <c r="D377">
        <v>0</v>
      </c>
    </row>
    <row r="378" spans="1:4" x14ac:dyDescent="0.35">
      <c r="A378" t="s">
        <v>67</v>
      </c>
      <c r="B378" t="s">
        <v>8</v>
      </c>
      <c r="C378" t="s">
        <v>65</v>
      </c>
      <c r="D378">
        <v>0</v>
      </c>
    </row>
    <row r="379" spans="1:4" x14ac:dyDescent="0.35">
      <c r="A379" t="s">
        <v>67</v>
      </c>
      <c r="B379" t="s">
        <v>9</v>
      </c>
      <c r="C379" t="s">
        <v>65</v>
      </c>
      <c r="D379">
        <v>0</v>
      </c>
    </row>
    <row r="380" spans="1:4" x14ac:dyDescent="0.35">
      <c r="A380" t="s">
        <v>67</v>
      </c>
      <c r="B380" t="s">
        <v>10</v>
      </c>
      <c r="C380" t="s">
        <v>65</v>
      </c>
      <c r="D380">
        <v>0</v>
      </c>
    </row>
    <row r="381" spans="1:4" x14ac:dyDescent="0.35">
      <c r="A381" t="s">
        <v>67</v>
      </c>
      <c r="B381" t="s">
        <v>11</v>
      </c>
      <c r="C381" t="s">
        <v>65</v>
      </c>
      <c r="D381">
        <v>2.7933636150000001</v>
      </c>
    </row>
    <row r="382" spans="1:4" x14ac:dyDescent="0.35">
      <c r="A382" t="s">
        <v>67</v>
      </c>
      <c r="B382" t="s">
        <v>12</v>
      </c>
      <c r="C382" t="s">
        <v>65</v>
      </c>
      <c r="D382">
        <v>0</v>
      </c>
    </row>
    <row r="383" spans="1:4" x14ac:dyDescent="0.35">
      <c r="A383" t="s">
        <v>67</v>
      </c>
      <c r="B383" t="s">
        <v>13</v>
      </c>
      <c r="C383" t="s">
        <v>65</v>
      </c>
      <c r="D383">
        <v>1.7077061520000001</v>
      </c>
    </row>
    <row r="384" spans="1:4" x14ac:dyDescent="0.35">
      <c r="A384" t="s">
        <v>67</v>
      </c>
      <c r="B384" t="s">
        <v>14</v>
      </c>
      <c r="C384" t="s">
        <v>65</v>
      </c>
      <c r="D384">
        <v>0</v>
      </c>
    </row>
    <row r="385" spans="1:4" x14ac:dyDescent="0.35">
      <c r="A385" t="s">
        <v>67</v>
      </c>
      <c r="B385" t="s">
        <v>15</v>
      </c>
      <c r="C385" t="s">
        <v>65</v>
      </c>
      <c r="D385">
        <v>80.336098899999996</v>
      </c>
    </row>
    <row r="386" spans="1:4" x14ac:dyDescent="0.35">
      <c r="A386" t="s">
        <v>67</v>
      </c>
      <c r="B386" t="s">
        <v>16</v>
      </c>
      <c r="C386" t="s">
        <v>65</v>
      </c>
      <c r="D386">
        <v>9.9230807189999997</v>
      </c>
    </row>
    <row r="387" spans="1:4" x14ac:dyDescent="0.35">
      <c r="A387" t="s">
        <v>67</v>
      </c>
      <c r="B387" t="s">
        <v>18</v>
      </c>
      <c r="C387" t="s">
        <v>65</v>
      </c>
      <c r="D387">
        <v>0</v>
      </c>
    </row>
    <row r="388" spans="1:4" x14ac:dyDescent="0.35">
      <c r="A388" t="s">
        <v>67</v>
      </c>
      <c r="B388" t="s">
        <v>19</v>
      </c>
      <c r="C388" t="s">
        <v>65</v>
      </c>
      <c r="D388">
        <v>83.814987239999994</v>
      </c>
    </row>
    <row r="389" spans="1:4" x14ac:dyDescent="0.35">
      <c r="A389" t="s">
        <v>67</v>
      </c>
      <c r="B389" t="s">
        <v>20</v>
      </c>
      <c r="C389" t="s">
        <v>65</v>
      </c>
      <c r="D389">
        <v>3.0553132060000001</v>
      </c>
    </row>
    <row r="390" spans="1:4" x14ac:dyDescent="0.35">
      <c r="A390" t="s">
        <v>67</v>
      </c>
      <c r="B390" t="s">
        <v>21</v>
      </c>
      <c r="C390" t="s">
        <v>65</v>
      </c>
      <c r="D390">
        <v>0</v>
      </c>
    </row>
    <row r="391" spans="1:4" x14ac:dyDescent="0.35">
      <c r="A391" t="s">
        <v>67</v>
      </c>
      <c r="B391" t="s">
        <v>22</v>
      </c>
      <c r="C391" t="s">
        <v>65</v>
      </c>
      <c r="D391">
        <v>24.97206838</v>
      </c>
    </row>
    <row r="392" spans="1:4" x14ac:dyDescent="0.35">
      <c r="A392" t="s">
        <v>67</v>
      </c>
      <c r="B392" t="s">
        <v>23</v>
      </c>
      <c r="C392" t="s">
        <v>65</v>
      </c>
      <c r="D392">
        <v>0</v>
      </c>
    </row>
    <row r="393" spans="1:4" x14ac:dyDescent="0.35">
      <c r="A393" t="s">
        <v>67</v>
      </c>
      <c r="B393" t="s">
        <v>24</v>
      </c>
      <c r="C393" t="s">
        <v>65</v>
      </c>
      <c r="D393">
        <v>4.2416108250000004</v>
      </c>
    </row>
    <row r="394" spans="1:4" x14ac:dyDescent="0.35">
      <c r="A394" t="s">
        <v>67</v>
      </c>
      <c r="B394" t="s">
        <v>25</v>
      </c>
      <c r="C394" t="s">
        <v>65</v>
      </c>
      <c r="D394">
        <v>0</v>
      </c>
    </row>
    <row r="395" spans="1:4" x14ac:dyDescent="0.35">
      <c r="A395" t="s">
        <v>67</v>
      </c>
      <c r="B395" t="s">
        <v>26</v>
      </c>
      <c r="C395" t="s">
        <v>65</v>
      </c>
      <c r="D395">
        <v>2.664886648</v>
      </c>
    </row>
    <row r="396" spans="1:4" x14ac:dyDescent="0.35">
      <c r="A396" t="s">
        <v>67</v>
      </c>
      <c r="B396" t="s">
        <v>27</v>
      </c>
      <c r="C396" t="s">
        <v>65</v>
      </c>
      <c r="D396">
        <v>6.5157405229999998</v>
      </c>
    </row>
    <row r="397" spans="1:4" x14ac:dyDescent="0.35">
      <c r="A397" t="s">
        <v>67</v>
      </c>
      <c r="B397" t="s">
        <v>28</v>
      </c>
      <c r="C397" t="s">
        <v>65</v>
      </c>
      <c r="D397">
        <v>3.9663548689999999</v>
      </c>
    </row>
    <row r="398" spans="1:4" x14ac:dyDescent="0.35">
      <c r="A398" t="s">
        <v>67</v>
      </c>
      <c r="B398" t="s">
        <v>29</v>
      </c>
      <c r="C398" t="s">
        <v>65</v>
      </c>
      <c r="D398">
        <v>4.2355032000000001E-2</v>
      </c>
    </row>
    <row r="399" spans="1:4" x14ac:dyDescent="0.35">
      <c r="A399" t="s">
        <v>67</v>
      </c>
      <c r="B399" t="s">
        <v>30</v>
      </c>
      <c r="C399" t="s">
        <v>65</v>
      </c>
      <c r="D399">
        <v>14.82678705</v>
      </c>
    </row>
    <row r="400" spans="1:4" x14ac:dyDescent="0.35">
      <c r="A400" t="s">
        <v>67</v>
      </c>
      <c r="B400" t="s">
        <v>31</v>
      </c>
      <c r="C400" t="s">
        <v>65</v>
      </c>
      <c r="D400">
        <v>0</v>
      </c>
    </row>
    <row r="401" spans="1:4" x14ac:dyDescent="0.35">
      <c r="A401" t="s">
        <v>67</v>
      </c>
      <c r="B401" t="s">
        <v>32</v>
      </c>
      <c r="C401" t="s">
        <v>65</v>
      </c>
      <c r="D401">
        <v>0</v>
      </c>
    </row>
    <row r="402" spans="1:4" x14ac:dyDescent="0.35">
      <c r="A402" t="s">
        <v>67</v>
      </c>
      <c r="B402" t="s">
        <v>33</v>
      </c>
      <c r="C402" t="s">
        <v>65</v>
      </c>
      <c r="D402">
        <v>10.592473740000001</v>
      </c>
    </row>
    <row r="403" spans="1:4" x14ac:dyDescent="0.35">
      <c r="A403" t="s">
        <v>67</v>
      </c>
      <c r="B403" t="s">
        <v>34</v>
      </c>
      <c r="C403" t="s">
        <v>65</v>
      </c>
      <c r="D403">
        <v>0</v>
      </c>
    </row>
    <row r="404" spans="1:4" x14ac:dyDescent="0.35">
      <c r="A404" t="s">
        <v>67</v>
      </c>
      <c r="B404" t="s">
        <v>35</v>
      </c>
      <c r="C404" t="s">
        <v>65</v>
      </c>
      <c r="D404">
        <v>13.5272091</v>
      </c>
    </row>
    <row r="405" spans="1:4" x14ac:dyDescent="0.35">
      <c r="A405" t="s">
        <v>67</v>
      </c>
      <c r="B405" t="s">
        <v>36</v>
      </c>
      <c r="C405" t="s">
        <v>65</v>
      </c>
      <c r="D405">
        <v>0</v>
      </c>
    </row>
    <row r="406" spans="1:4" x14ac:dyDescent="0.35">
      <c r="A406" t="s">
        <v>67</v>
      </c>
      <c r="B406" t="s">
        <v>37</v>
      </c>
      <c r="C406" t="s">
        <v>65</v>
      </c>
      <c r="D406">
        <v>2.8281014</v>
      </c>
    </row>
    <row r="407" spans="1:4" x14ac:dyDescent="0.35">
      <c r="A407" t="s">
        <v>67</v>
      </c>
      <c r="B407" t="s">
        <v>38</v>
      </c>
      <c r="C407" t="s">
        <v>65</v>
      </c>
      <c r="D407">
        <v>0.68049019099999997</v>
      </c>
    </row>
    <row r="408" spans="1:4" x14ac:dyDescent="0.35">
      <c r="A408" t="s">
        <v>67</v>
      </c>
      <c r="B408" t="s">
        <v>39</v>
      </c>
      <c r="C408" t="s">
        <v>65</v>
      </c>
      <c r="D408">
        <v>0</v>
      </c>
    </row>
    <row r="409" spans="1:4" x14ac:dyDescent="0.35">
      <c r="A409" t="s">
        <v>67</v>
      </c>
      <c r="B409" t="s">
        <v>40</v>
      </c>
      <c r="C409" t="s">
        <v>65</v>
      </c>
      <c r="D409">
        <v>0</v>
      </c>
    </row>
    <row r="410" spans="1:4" x14ac:dyDescent="0.35">
      <c r="A410" t="s">
        <v>69</v>
      </c>
      <c r="B410" t="s">
        <v>6</v>
      </c>
      <c r="C410" t="s">
        <v>65</v>
      </c>
      <c r="D410">
        <v>0</v>
      </c>
    </row>
    <row r="411" spans="1:4" x14ac:dyDescent="0.35">
      <c r="A411" t="s">
        <v>69</v>
      </c>
      <c r="B411" t="s">
        <v>7</v>
      </c>
      <c r="C411" t="s">
        <v>65</v>
      </c>
      <c r="D411">
        <v>0</v>
      </c>
    </row>
    <row r="412" spans="1:4" x14ac:dyDescent="0.35">
      <c r="A412" t="s">
        <v>69</v>
      </c>
      <c r="B412" t="s">
        <v>8</v>
      </c>
      <c r="C412" t="s">
        <v>65</v>
      </c>
      <c r="D412">
        <v>0</v>
      </c>
    </row>
    <row r="413" spans="1:4" x14ac:dyDescent="0.35">
      <c r="A413" t="s">
        <v>69</v>
      </c>
      <c r="B413" t="s">
        <v>9</v>
      </c>
      <c r="C413" t="s">
        <v>65</v>
      </c>
      <c r="D413">
        <v>0</v>
      </c>
    </row>
    <row r="414" spans="1:4" x14ac:dyDescent="0.35">
      <c r="A414" t="s">
        <v>69</v>
      </c>
      <c r="B414" t="s">
        <v>10</v>
      </c>
      <c r="C414" t="s">
        <v>65</v>
      </c>
      <c r="D414">
        <v>0</v>
      </c>
    </row>
    <row r="415" spans="1:4" x14ac:dyDescent="0.35">
      <c r="A415" t="s">
        <v>69</v>
      </c>
      <c r="B415" t="s">
        <v>11</v>
      </c>
      <c r="C415" t="s">
        <v>65</v>
      </c>
      <c r="D415">
        <v>0</v>
      </c>
    </row>
    <row r="416" spans="1:4" x14ac:dyDescent="0.35">
      <c r="A416" t="s">
        <v>69</v>
      </c>
      <c r="B416" t="s">
        <v>12</v>
      </c>
      <c r="C416" t="s">
        <v>65</v>
      </c>
      <c r="D416">
        <v>0</v>
      </c>
    </row>
    <row r="417" spans="1:4" x14ac:dyDescent="0.35">
      <c r="A417" t="s">
        <v>69</v>
      </c>
      <c r="B417" t="s">
        <v>13</v>
      </c>
      <c r="C417" t="s">
        <v>65</v>
      </c>
      <c r="D417">
        <v>0</v>
      </c>
    </row>
    <row r="418" spans="1:4" x14ac:dyDescent="0.35">
      <c r="A418" t="s">
        <v>69</v>
      </c>
      <c r="B418" t="s">
        <v>14</v>
      </c>
      <c r="C418" t="s">
        <v>65</v>
      </c>
      <c r="D418">
        <v>0</v>
      </c>
    </row>
    <row r="419" spans="1:4" x14ac:dyDescent="0.35">
      <c r="A419" t="s">
        <v>69</v>
      </c>
      <c r="B419" t="s">
        <v>15</v>
      </c>
      <c r="C419" t="s">
        <v>65</v>
      </c>
      <c r="D419">
        <v>67.304452479999995</v>
      </c>
    </row>
    <row r="420" spans="1:4" x14ac:dyDescent="0.35">
      <c r="A420" t="s">
        <v>69</v>
      </c>
      <c r="B420" t="s">
        <v>16</v>
      </c>
      <c r="C420" t="s">
        <v>65</v>
      </c>
      <c r="D420">
        <v>19.478604390000001</v>
      </c>
    </row>
    <row r="421" spans="1:4" x14ac:dyDescent="0.35">
      <c r="A421" t="s">
        <v>69</v>
      </c>
      <c r="B421" t="s">
        <v>18</v>
      </c>
      <c r="C421" t="s">
        <v>65</v>
      </c>
      <c r="D421">
        <v>0</v>
      </c>
    </row>
    <row r="422" spans="1:4" x14ac:dyDescent="0.35">
      <c r="A422" t="s">
        <v>69</v>
      </c>
      <c r="B422" t="s">
        <v>19</v>
      </c>
      <c r="C422" t="s">
        <v>65</v>
      </c>
      <c r="D422">
        <v>63.648125360000002</v>
      </c>
    </row>
    <row r="423" spans="1:4" x14ac:dyDescent="0.35">
      <c r="A423" t="s">
        <v>69</v>
      </c>
      <c r="B423" t="s">
        <v>20</v>
      </c>
      <c r="C423" t="s">
        <v>65</v>
      </c>
      <c r="D423">
        <v>11.82943446</v>
      </c>
    </row>
    <row r="424" spans="1:4" x14ac:dyDescent="0.35">
      <c r="A424" t="s">
        <v>69</v>
      </c>
      <c r="B424" t="s">
        <v>21</v>
      </c>
      <c r="C424" t="s">
        <v>65</v>
      </c>
      <c r="D424">
        <v>0</v>
      </c>
    </row>
    <row r="425" spans="1:4" x14ac:dyDescent="0.35">
      <c r="A425" t="s">
        <v>69</v>
      </c>
      <c r="B425" t="s">
        <v>22</v>
      </c>
      <c r="C425" t="s">
        <v>65</v>
      </c>
      <c r="D425">
        <v>1.4903802429999999</v>
      </c>
    </row>
    <row r="426" spans="1:4" x14ac:dyDescent="0.35">
      <c r="A426" t="s">
        <v>69</v>
      </c>
      <c r="B426" t="s">
        <v>23</v>
      </c>
      <c r="C426" t="s">
        <v>65</v>
      </c>
      <c r="D426">
        <v>0.69250758099999998</v>
      </c>
    </row>
    <row r="427" spans="1:4" x14ac:dyDescent="0.35">
      <c r="A427" t="s">
        <v>69</v>
      </c>
      <c r="B427" t="s">
        <v>24</v>
      </c>
      <c r="C427" t="s">
        <v>65</v>
      </c>
      <c r="D427">
        <v>4.9230942549999996</v>
      </c>
    </row>
    <row r="428" spans="1:4" x14ac:dyDescent="0.35">
      <c r="A428" t="s">
        <v>69</v>
      </c>
      <c r="B428" t="s">
        <v>25</v>
      </c>
      <c r="C428" t="s">
        <v>65</v>
      </c>
      <c r="D428">
        <v>0</v>
      </c>
    </row>
    <row r="429" spans="1:4" x14ac:dyDescent="0.35">
      <c r="A429" t="s">
        <v>69</v>
      </c>
      <c r="B429" t="s">
        <v>26</v>
      </c>
      <c r="C429" t="s">
        <v>65</v>
      </c>
      <c r="D429">
        <v>0</v>
      </c>
    </row>
    <row r="430" spans="1:4" x14ac:dyDescent="0.35">
      <c r="A430" t="s">
        <v>69</v>
      </c>
      <c r="B430" t="s">
        <v>27</v>
      </c>
      <c r="C430" t="s">
        <v>65</v>
      </c>
      <c r="D430">
        <v>4.7652483119999998</v>
      </c>
    </row>
    <row r="431" spans="1:4" x14ac:dyDescent="0.35">
      <c r="A431" t="s">
        <v>69</v>
      </c>
      <c r="B431" t="s">
        <v>28</v>
      </c>
      <c r="C431" t="s">
        <v>65</v>
      </c>
      <c r="D431">
        <v>0</v>
      </c>
    </row>
    <row r="432" spans="1:4" x14ac:dyDescent="0.35">
      <c r="A432" t="s">
        <v>69</v>
      </c>
      <c r="B432" t="s">
        <v>29</v>
      </c>
      <c r="C432" t="s">
        <v>65</v>
      </c>
      <c r="D432">
        <v>0.79598954899999996</v>
      </c>
    </row>
    <row r="433" spans="1:4" x14ac:dyDescent="0.35">
      <c r="A433" t="s">
        <v>69</v>
      </c>
      <c r="B433" t="s">
        <v>30</v>
      </c>
      <c r="C433" t="s">
        <v>65</v>
      </c>
      <c r="D433">
        <v>13.538299200000001</v>
      </c>
    </row>
    <row r="434" spans="1:4" x14ac:dyDescent="0.35">
      <c r="A434" t="s">
        <v>69</v>
      </c>
      <c r="B434" t="s">
        <v>31</v>
      </c>
      <c r="C434" t="s">
        <v>65</v>
      </c>
      <c r="D434">
        <v>0</v>
      </c>
    </row>
    <row r="435" spans="1:4" x14ac:dyDescent="0.35">
      <c r="A435" t="s">
        <v>69</v>
      </c>
      <c r="B435" t="s">
        <v>32</v>
      </c>
      <c r="C435" t="s">
        <v>65</v>
      </c>
      <c r="D435">
        <v>0</v>
      </c>
    </row>
    <row r="436" spans="1:4" x14ac:dyDescent="0.35">
      <c r="A436" t="s">
        <v>69</v>
      </c>
      <c r="B436" t="s">
        <v>33</v>
      </c>
      <c r="C436" t="s">
        <v>65</v>
      </c>
      <c r="D436">
        <v>14.3236709</v>
      </c>
    </row>
    <row r="437" spans="1:4" x14ac:dyDescent="0.35">
      <c r="A437" t="s">
        <v>69</v>
      </c>
      <c r="B437" t="s">
        <v>34</v>
      </c>
      <c r="C437" t="s">
        <v>65</v>
      </c>
      <c r="D437">
        <v>0</v>
      </c>
    </row>
    <row r="438" spans="1:4" x14ac:dyDescent="0.35">
      <c r="A438" t="s">
        <v>69</v>
      </c>
      <c r="B438" t="s">
        <v>35</v>
      </c>
      <c r="C438" t="s">
        <v>65</v>
      </c>
      <c r="D438">
        <v>19.337677360000001</v>
      </c>
    </row>
    <row r="439" spans="1:4" x14ac:dyDescent="0.35">
      <c r="A439" t="s">
        <v>69</v>
      </c>
      <c r="B439" t="s">
        <v>36</v>
      </c>
      <c r="C439" t="s">
        <v>65</v>
      </c>
      <c r="D439">
        <v>0</v>
      </c>
    </row>
    <row r="440" spans="1:4" x14ac:dyDescent="0.35">
      <c r="A440" t="s">
        <v>69</v>
      </c>
      <c r="B440" t="s">
        <v>37</v>
      </c>
      <c r="C440" t="s">
        <v>65</v>
      </c>
      <c r="D440">
        <v>2.4669804489999998</v>
      </c>
    </row>
    <row r="441" spans="1:4" x14ac:dyDescent="0.35">
      <c r="A441" t="s">
        <v>69</v>
      </c>
      <c r="B441" t="s">
        <v>38</v>
      </c>
      <c r="C441" t="s">
        <v>65</v>
      </c>
      <c r="D441">
        <v>0.88205448500000005</v>
      </c>
    </row>
    <row r="442" spans="1:4" x14ac:dyDescent="0.35">
      <c r="A442" t="s">
        <v>69</v>
      </c>
      <c r="B442" t="s">
        <v>39</v>
      </c>
      <c r="C442" t="s">
        <v>65</v>
      </c>
      <c r="D442">
        <v>0</v>
      </c>
    </row>
    <row r="443" spans="1:4" x14ac:dyDescent="0.35">
      <c r="A443" t="s">
        <v>69</v>
      </c>
      <c r="B443" t="s">
        <v>40</v>
      </c>
      <c r="C443" t="s">
        <v>65</v>
      </c>
      <c r="D443">
        <v>0</v>
      </c>
    </row>
    <row r="444" spans="1:4" x14ac:dyDescent="0.35">
      <c r="A444" t="s">
        <v>71</v>
      </c>
      <c r="B444" t="s">
        <v>6</v>
      </c>
      <c r="C444" t="s">
        <v>65</v>
      </c>
      <c r="D444">
        <v>0</v>
      </c>
    </row>
    <row r="445" spans="1:4" x14ac:dyDescent="0.35">
      <c r="A445" t="s">
        <v>71</v>
      </c>
      <c r="B445" t="s">
        <v>7</v>
      </c>
      <c r="C445" t="s">
        <v>65</v>
      </c>
      <c r="D445">
        <v>0</v>
      </c>
    </row>
    <row r="446" spans="1:4" x14ac:dyDescent="0.35">
      <c r="A446" t="s">
        <v>71</v>
      </c>
      <c r="B446" t="s">
        <v>8</v>
      </c>
      <c r="C446" t="s">
        <v>65</v>
      </c>
      <c r="D446">
        <v>0</v>
      </c>
    </row>
    <row r="447" spans="1:4" x14ac:dyDescent="0.35">
      <c r="A447" t="s">
        <v>71</v>
      </c>
      <c r="B447" t="s">
        <v>9</v>
      </c>
      <c r="C447" t="s">
        <v>65</v>
      </c>
      <c r="D447">
        <v>0</v>
      </c>
    </row>
    <row r="448" spans="1:4" x14ac:dyDescent="0.35">
      <c r="A448" t="s">
        <v>71</v>
      </c>
      <c r="B448" t="s">
        <v>10</v>
      </c>
      <c r="C448" t="s">
        <v>65</v>
      </c>
      <c r="D448">
        <v>0</v>
      </c>
    </row>
    <row r="449" spans="1:4" x14ac:dyDescent="0.35">
      <c r="A449" t="s">
        <v>71</v>
      </c>
      <c r="B449" t="s">
        <v>11</v>
      </c>
      <c r="C449" t="s">
        <v>65</v>
      </c>
      <c r="D449">
        <v>0.87159717400000003</v>
      </c>
    </row>
    <row r="450" spans="1:4" x14ac:dyDescent="0.35">
      <c r="A450" t="s">
        <v>71</v>
      </c>
      <c r="B450" t="s">
        <v>12</v>
      </c>
      <c r="C450" t="s">
        <v>65</v>
      </c>
      <c r="D450">
        <v>0</v>
      </c>
    </row>
    <row r="451" spans="1:4" x14ac:dyDescent="0.35">
      <c r="A451" t="s">
        <v>71</v>
      </c>
      <c r="B451" t="s">
        <v>13</v>
      </c>
      <c r="C451" t="s">
        <v>65</v>
      </c>
      <c r="D451">
        <v>0</v>
      </c>
    </row>
    <row r="452" spans="1:4" x14ac:dyDescent="0.35">
      <c r="A452" t="s">
        <v>71</v>
      </c>
      <c r="B452" t="s">
        <v>14</v>
      </c>
      <c r="C452" t="s">
        <v>65</v>
      </c>
      <c r="D452">
        <v>0</v>
      </c>
    </row>
    <row r="453" spans="1:4" x14ac:dyDescent="0.35">
      <c r="A453" t="s">
        <v>71</v>
      </c>
      <c r="B453" t="s">
        <v>15</v>
      </c>
      <c r="C453" t="s">
        <v>65</v>
      </c>
      <c r="D453">
        <v>73.766212960000004</v>
      </c>
    </row>
    <row r="454" spans="1:4" x14ac:dyDescent="0.35">
      <c r="A454" t="s">
        <v>71</v>
      </c>
      <c r="B454" t="s">
        <v>16</v>
      </c>
      <c r="C454" t="s">
        <v>65</v>
      </c>
      <c r="D454">
        <v>43.011155379999998</v>
      </c>
    </row>
    <row r="455" spans="1:4" x14ac:dyDescent="0.35">
      <c r="A455" t="s">
        <v>71</v>
      </c>
      <c r="B455" t="s">
        <v>18</v>
      </c>
      <c r="C455" t="s">
        <v>65</v>
      </c>
      <c r="D455">
        <v>0</v>
      </c>
    </row>
    <row r="456" spans="1:4" x14ac:dyDescent="0.35">
      <c r="A456" t="s">
        <v>71</v>
      </c>
      <c r="B456" t="s">
        <v>19</v>
      </c>
      <c r="C456" t="s">
        <v>65</v>
      </c>
      <c r="D456">
        <v>51.02309649</v>
      </c>
    </row>
    <row r="457" spans="1:4" x14ac:dyDescent="0.35">
      <c r="A457" t="s">
        <v>71</v>
      </c>
      <c r="B457" t="s">
        <v>20</v>
      </c>
      <c r="C457" t="s">
        <v>65</v>
      </c>
      <c r="D457">
        <v>74.616462339999998</v>
      </c>
    </row>
    <row r="458" spans="1:4" x14ac:dyDescent="0.35">
      <c r="A458" t="s">
        <v>71</v>
      </c>
      <c r="B458" t="s">
        <v>21</v>
      </c>
      <c r="C458" t="s">
        <v>65</v>
      </c>
      <c r="D458">
        <v>0</v>
      </c>
    </row>
    <row r="459" spans="1:4" x14ac:dyDescent="0.35">
      <c r="A459" t="s">
        <v>71</v>
      </c>
      <c r="B459" t="s">
        <v>22</v>
      </c>
      <c r="C459" t="s">
        <v>65</v>
      </c>
      <c r="D459">
        <v>19.1503108</v>
      </c>
    </row>
    <row r="460" spans="1:4" x14ac:dyDescent="0.35">
      <c r="A460" t="s">
        <v>71</v>
      </c>
      <c r="B460" t="s">
        <v>23</v>
      </c>
      <c r="C460" t="s">
        <v>65</v>
      </c>
      <c r="D460">
        <v>0.44774213800000001</v>
      </c>
    </row>
    <row r="461" spans="1:4" x14ac:dyDescent="0.35">
      <c r="A461" t="s">
        <v>71</v>
      </c>
      <c r="B461" t="s">
        <v>24</v>
      </c>
      <c r="C461" t="s">
        <v>65</v>
      </c>
      <c r="D461">
        <v>3.7057012679999999</v>
      </c>
    </row>
    <row r="462" spans="1:4" x14ac:dyDescent="0.35">
      <c r="A462" t="s">
        <v>71</v>
      </c>
      <c r="B462" t="s">
        <v>25</v>
      </c>
      <c r="C462" t="s">
        <v>65</v>
      </c>
      <c r="D462">
        <v>0</v>
      </c>
    </row>
    <row r="463" spans="1:4" x14ac:dyDescent="0.35">
      <c r="A463" t="s">
        <v>71</v>
      </c>
      <c r="B463" t="s">
        <v>26</v>
      </c>
      <c r="C463" t="s">
        <v>65</v>
      </c>
      <c r="D463">
        <v>1.898134575</v>
      </c>
    </row>
    <row r="464" spans="1:4" x14ac:dyDescent="0.35">
      <c r="A464" t="s">
        <v>71</v>
      </c>
      <c r="B464" t="s">
        <v>27</v>
      </c>
      <c r="C464" t="s">
        <v>65</v>
      </c>
      <c r="D464">
        <v>9.310898345</v>
      </c>
    </row>
    <row r="465" spans="1:4" x14ac:dyDescent="0.35">
      <c r="A465" t="s">
        <v>71</v>
      </c>
      <c r="B465" t="s">
        <v>28</v>
      </c>
      <c r="C465" t="s">
        <v>65</v>
      </c>
      <c r="D465">
        <v>4.8062332320000003</v>
      </c>
    </row>
    <row r="466" spans="1:4" x14ac:dyDescent="0.35">
      <c r="A466" t="s">
        <v>71</v>
      </c>
      <c r="B466" t="s">
        <v>29</v>
      </c>
      <c r="C466" t="s">
        <v>65</v>
      </c>
      <c r="D466">
        <v>0</v>
      </c>
    </row>
    <row r="467" spans="1:4" x14ac:dyDescent="0.35">
      <c r="A467" t="s">
        <v>71</v>
      </c>
      <c r="B467" t="s">
        <v>30</v>
      </c>
      <c r="C467" t="s">
        <v>65</v>
      </c>
      <c r="D467">
        <v>6.6393090319999999</v>
      </c>
    </row>
    <row r="468" spans="1:4" x14ac:dyDescent="0.35">
      <c r="A468" t="s">
        <v>71</v>
      </c>
      <c r="B468" t="s">
        <v>31</v>
      </c>
      <c r="C468" t="s">
        <v>65</v>
      </c>
      <c r="D468">
        <v>0</v>
      </c>
    </row>
    <row r="469" spans="1:4" x14ac:dyDescent="0.35">
      <c r="A469" t="s">
        <v>71</v>
      </c>
      <c r="B469" t="s">
        <v>32</v>
      </c>
      <c r="C469" t="s">
        <v>65</v>
      </c>
      <c r="D469">
        <v>0</v>
      </c>
    </row>
    <row r="470" spans="1:4" x14ac:dyDescent="0.35">
      <c r="A470" t="s">
        <v>71</v>
      </c>
      <c r="B470" t="s">
        <v>33</v>
      </c>
      <c r="C470" t="s">
        <v>65</v>
      </c>
      <c r="D470">
        <v>8.4263272750000002</v>
      </c>
    </row>
    <row r="471" spans="1:4" x14ac:dyDescent="0.35">
      <c r="A471" t="s">
        <v>71</v>
      </c>
      <c r="B471" t="s">
        <v>34</v>
      </c>
      <c r="C471" t="s">
        <v>65</v>
      </c>
      <c r="D471">
        <v>0</v>
      </c>
    </row>
    <row r="472" spans="1:4" x14ac:dyDescent="0.35">
      <c r="A472" t="s">
        <v>71</v>
      </c>
      <c r="B472" t="s">
        <v>35</v>
      </c>
      <c r="C472" t="s">
        <v>65</v>
      </c>
      <c r="D472">
        <v>16.028187110000001</v>
      </c>
    </row>
    <row r="473" spans="1:4" x14ac:dyDescent="0.35">
      <c r="A473" t="s">
        <v>71</v>
      </c>
      <c r="B473" t="s">
        <v>36</v>
      </c>
      <c r="C473" t="s">
        <v>65</v>
      </c>
      <c r="D473">
        <v>0</v>
      </c>
    </row>
    <row r="474" spans="1:4" x14ac:dyDescent="0.35">
      <c r="A474" t="s">
        <v>71</v>
      </c>
      <c r="B474" t="s">
        <v>37</v>
      </c>
      <c r="C474" t="s">
        <v>65</v>
      </c>
      <c r="D474">
        <v>1.5667164170000001</v>
      </c>
    </row>
    <row r="475" spans="1:4" x14ac:dyDescent="0.35">
      <c r="A475" t="s">
        <v>71</v>
      </c>
      <c r="B475" t="s">
        <v>38</v>
      </c>
      <c r="C475" t="s">
        <v>65</v>
      </c>
      <c r="D475">
        <v>0.30999932099999999</v>
      </c>
    </row>
    <row r="476" spans="1:4" x14ac:dyDescent="0.35">
      <c r="A476" t="s">
        <v>71</v>
      </c>
      <c r="B476" t="s">
        <v>39</v>
      </c>
      <c r="C476" t="s">
        <v>65</v>
      </c>
      <c r="D476">
        <v>0</v>
      </c>
    </row>
    <row r="477" spans="1:4" x14ac:dyDescent="0.35">
      <c r="A477" t="s">
        <v>71</v>
      </c>
      <c r="B477" t="s">
        <v>40</v>
      </c>
      <c r="C477" t="s">
        <v>65</v>
      </c>
      <c r="D477">
        <v>0</v>
      </c>
    </row>
    <row r="478" spans="1:4" x14ac:dyDescent="0.35">
      <c r="A478" t="s">
        <v>73</v>
      </c>
      <c r="B478" t="s">
        <v>6</v>
      </c>
      <c r="C478" t="s">
        <v>65</v>
      </c>
      <c r="D478">
        <v>0</v>
      </c>
    </row>
    <row r="479" spans="1:4" x14ac:dyDescent="0.35">
      <c r="A479" t="s">
        <v>73</v>
      </c>
      <c r="B479" t="s">
        <v>7</v>
      </c>
      <c r="C479" t="s">
        <v>65</v>
      </c>
      <c r="D479">
        <v>0</v>
      </c>
    </row>
    <row r="480" spans="1:4" x14ac:dyDescent="0.35">
      <c r="A480" t="s">
        <v>73</v>
      </c>
      <c r="B480" t="s">
        <v>8</v>
      </c>
      <c r="C480" t="s">
        <v>65</v>
      </c>
      <c r="D480">
        <v>0</v>
      </c>
    </row>
    <row r="481" spans="1:4" x14ac:dyDescent="0.35">
      <c r="A481" t="s">
        <v>73</v>
      </c>
      <c r="B481" t="s">
        <v>9</v>
      </c>
      <c r="C481" t="s">
        <v>65</v>
      </c>
      <c r="D481">
        <v>0</v>
      </c>
    </row>
    <row r="482" spans="1:4" x14ac:dyDescent="0.35">
      <c r="A482" t="s">
        <v>73</v>
      </c>
      <c r="B482" t="s">
        <v>10</v>
      </c>
      <c r="C482" t="s">
        <v>65</v>
      </c>
      <c r="D482">
        <v>0</v>
      </c>
    </row>
    <row r="483" spans="1:4" x14ac:dyDescent="0.35">
      <c r="A483" t="s">
        <v>73</v>
      </c>
      <c r="B483" t="s">
        <v>11</v>
      </c>
      <c r="C483" t="s">
        <v>65</v>
      </c>
      <c r="D483">
        <v>0</v>
      </c>
    </row>
    <row r="484" spans="1:4" x14ac:dyDescent="0.35">
      <c r="A484" t="s">
        <v>73</v>
      </c>
      <c r="B484" t="s">
        <v>12</v>
      </c>
      <c r="C484" t="s">
        <v>65</v>
      </c>
      <c r="D484">
        <v>0</v>
      </c>
    </row>
    <row r="485" spans="1:4" x14ac:dyDescent="0.35">
      <c r="A485" t="s">
        <v>73</v>
      </c>
      <c r="B485" t="s">
        <v>13</v>
      </c>
      <c r="C485" t="s">
        <v>65</v>
      </c>
      <c r="D485">
        <v>0</v>
      </c>
    </row>
    <row r="486" spans="1:4" x14ac:dyDescent="0.35">
      <c r="A486" t="s">
        <v>73</v>
      </c>
      <c r="B486" t="s">
        <v>14</v>
      </c>
      <c r="C486" t="s">
        <v>65</v>
      </c>
      <c r="D486">
        <v>0</v>
      </c>
    </row>
    <row r="487" spans="1:4" x14ac:dyDescent="0.35">
      <c r="A487" t="s">
        <v>73</v>
      </c>
      <c r="B487" t="s">
        <v>15</v>
      </c>
      <c r="C487" t="s">
        <v>65</v>
      </c>
      <c r="D487">
        <v>45.054844799999998</v>
      </c>
    </row>
    <row r="488" spans="1:4" x14ac:dyDescent="0.35">
      <c r="A488" t="s">
        <v>73</v>
      </c>
      <c r="B488" t="s">
        <v>16</v>
      </c>
      <c r="C488" t="s">
        <v>65</v>
      </c>
      <c r="D488">
        <v>15.396233219999999</v>
      </c>
    </row>
    <row r="489" spans="1:4" x14ac:dyDescent="0.35">
      <c r="A489" t="s">
        <v>73</v>
      </c>
      <c r="B489" t="s">
        <v>18</v>
      </c>
      <c r="C489" t="s">
        <v>65</v>
      </c>
      <c r="D489">
        <v>0</v>
      </c>
    </row>
    <row r="490" spans="1:4" x14ac:dyDescent="0.35">
      <c r="A490" t="s">
        <v>73</v>
      </c>
      <c r="B490" t="s">
        <v>19</v>
      </c>
      <c r="C490" t="s">
        <v>65</v>
      </c>
      <c r="D490">
        <v>45.759138399999998</v>
      </c>
    </row>
    <row r="491" spans="1:4" x14ac:dyDescent="0.35">
      <c r="A491" t="s">
        <v>73</v>
      </c>
      <c r="B491" t="s">
        <v>20</v>
      </c>
      <c r="C491" t="s">
        <v>65</v>
      </c>
      <c r="D491">
        <v>13.529393900000001</v>
      </c>
    </row>
    <row r="492" spans="1:4" x14ac:dyDescent="0.35">
      <c r="A492" t="s">
        <v>73</v>
      </c>
      <c r="B492" t="s">
        <v>21</v>
      </c>
      <c r="C492" t="s">
        <v>65</v>
      </c>
      <c r="D492">
        <v>0</v>
      </c>
    </row>
    <row r="493" spans="1:4" x14ac:dyDescent="0.35">
      <c r="A493" t="s">
        <v>73</v>
      </c>
      <c r="B493" t="s">
        <v>22</v>
      </c>
      <c r="C493" t="s">
        <v>65</v>
      </c>
      <c r="D493">
        <v>13.333990139999999</v>
      </c>
    </row>
    <row r="494" spans="1:4" x14ac:dyDescent="0.35">
      <c r="A494" t="s">
        <v>73</v>
      </c>
      <c r="B494" t="s">
        <v>23</v>
      </c>
      <c r="C494" t="s">
        <v>65</v>
      </c>
      <c r="D494">
        <v>0.32385302700000002</v>
      </c>
    </row>
    <row r="495" spans="1:4" x14ac:dyDescent="0.35">
      <c r="A495" t="s">
        <v>73</v>
      </c>
      <c r="B495" t="s">
        <v>24</v>
      </c>
      <c r="C495" t="s">
        <v>65</v>
      </c>
      <c r="D495">
        <v>3.2173601980000002</v>
      </c>
    </row>
    <row r="496" spans="1:4" x14ac:dyDescent="0.35">
      <c r="A496" t="s">
        <v>73</v>
      </c>
      <c r="B496" t="s">
        <v>25</v>
      </c>
      <c r="C496" t="s">
        <v>65</v>
      </c>
      <c r="D496">
        <v>0</v>
      </c>
    </row>
    <row r="497" spans="1:4" x14ac:dyDescent="0.35">
      <c r="A497" t="s">
        <v>73</v>
      </c>
      <c r="B497" t="s">
        <v>26</v>
      </c>
      <c r="C497" t="s">
        <v>65</v>
      </c>
      <c r="D497">
        <v>1.7747278120000001</v>
      </c>
    </row>
    <row r="498" spans="1:4" x14ac:dyDescent="0.35">
      <c r="A498" t="s">
        <v>73</v>
      </c>
      <c r="B498" t="s">
        <v>27</v>
      </c>
      <c r="C498" t="s">
        <v>65</v>
      </c>
      <c r="D498">
        <v>6.2803746719999998</v>
      </c>
    </row>
    <row r="499" spans="1:4" x14ac:dyDescent="0.35">
      <c r="A499" t="s">
        <v>73</v>
      </c>
      <c r="B499" t="s">
        <v>28</v>
      </c>
      <c r="C499" t="s">
        <v>65</v>
      </c>
      <c r="D499">
        <v>4.5036543450000002</v>
      </c>
    </row>
    <row r="500" spans="1:4" x14ac:dyDescent="0.35">
      <c r="A500" t="s">
        <v>73</v>
      </c>
      <c r="B500" t="s">
        <v>29</v>
      </c>
      <c r="C500" t="s">
        <v>65</v>
      </c>
      <c r="D500">
        <v>0.50130909899999998</v>
      </c>
    </row>
    <row r="501" spans="1:4" x14ac:dyDescent="0.35">
      <c r="A501" t="s">
        <v>73</v>
      </c>
      <c r="B501" t="s">
        <v>30</v>
      </c>
      <c r="C501" t="s">
        <v>65</v>
      </c>
      <c r="D501">
        <v>9.3492501969999999</v>
      </c>
    </row>
    <row r="502" spans="1:4" x14ac:dyDescent="0.35">
      <c r="A502" t="s">
        <v>73</v>
      </c>
      <c r="B502" t="s">
        <v>31</v>
      </c>
      <c r="C502" t="s">
        <v>65</v>
      </c>
      <c r="D502">
        <v>0</v>
      </c>
    </row>
    <row r="503" spans="1:4" x14ac:dyDescent="0.35">
      <c r="A503" t="s">
        <v>73</v>
      </c>
      <c r="B503" t="s">
        <v>32</v>
      </c>
      <c r="C503" t="s">
        <v>65</v>
      </c>
      <c r="D503">
        <v>0</v>
      </c>
    </row>
    <row r="504" spans="1:4" x14ac:dyDescent="0.35">
      <c r="A504" t="s">
        <v>73</v>
      </c>
      <c r="B504" t="s">
        <v>33</v>
      </c>
      <c r="C504" t="s">
        <v>65</v>
      </c>
      <c r="D504">
        <v>10.348276329999999</v>
      </c>
    </row>
    <row r="505" spans="1:4" x14ac:dyDescent="0.35">
      <c r="A505" t="s">
        <v>73</v>
      </c>
      <c r="B505" t="s">
        <v>34</v>
      </c>
      <c r="C505" t="s">
        <v>65</v>
      </c>
      <c r="D505">
        <v>0</v>
      </c>
    </row>
    <row r="506" spans="1:4" x14ac:dyDescent="0.35">
      <c r="A506" t="s">
        <v>73</v>
      </c>
      <c r="B506" t="s">
        <v>35</v>
      </c>
      <c r="C506" t="s">
        <v>65</v>
      </c>
      <c r="D506">
        <v>13.546383430000001</v>
      </c>
    </row>
    <row r="507" spans="1:4" x14ac:dyDescent="0.35">
      <c r="A507" t="s">
        <v>73</v>
      </c>
      <c r="B507" t="s">
        <v>36</v>
      </c>
      <c r="C507" t="s">
        <v>65</v>
      </c>
      <c r="D507">
        <v>0</v>
      </c>
    </row>
    <row r="508" spans="1:4" x14ac:dyDescent="0.35">
      <c r="A508" t="s">
        <v>73</v>
      </c>
      <c r="B508" t="s">
        <v>37</v>
      </c>
      <c r="C508" t="s">
        <v>65</v>
      </c>
      <c r="D508">
        <v>2.1954323869999999</v>
      </c>
    </row>
    <row r="509" spans="1:4" x14ac:dyDescent="0.35">
      <c r="A509" t="s">
        <v>73</v>
      </c>
      <c r="B509" t="s">
        <v>38</v>
      </c>
      <c r="C509" t="s">
        <v>65</v>
      </c>
      <c r="D509">
        <v>0.89066581600000005</v>
      </c>
    </row>
    <row r="510" spans="1:4" x14ac:dyDescent="0.35">
      <c r="A510" t="s">
        <v>73</v>
      </c>
      <c r="B510" t="s">
        <v>39</v>
      </c>
      <c r="C510" t="s">
        <v>65</v>
      </c>
      <c r="D510">
        <v>0</v>
      </c>
    </row>
    <row r="511" spans="1:4" x14ac:dyDescent="0.35">
      <c r="A511" t="s">
        <v>73</v>
      </c>
      <c r="B511" t="s">
        <v>40</v>
      </c>
      <c r="C511" t="s">
        <v>65</v>
      </c>
      <c r="D511">
        <v>0</v>
      </c>
    </row>
    <row r="512" spans="1:4" x14ac:dyDescent="0.35">
      <c r="A512" t="s">
        <v>75</v>
      </c>
      <c r="B512" t="s">
        <v>6</v>
      </c>
      <c r="C512" t="s">
        <v>65</v>
      </c>
      <c r="D512">
        <v>0</v>
      </c>
    </row>
    <row r="513" spans="1:4" x14ac:dyDescent="0.35">
      <c r="A513" t="s">
        <v>75</v>
      </c>
      <c r="B513" t="s">
        <v>7</v>
      </c>
      <c r="C513" t="s">
        <v>65</v>
      </c>
      <c r="D513">
        <v>0</v>
      </c>
    </row>
    <row r="514" spans="1:4" x14ac:dyDescent="0.35">
      <c r="A514" t="s">
        <v>75</v>
      </c>
      <c r="B514" t="s">
        <v>8</v>
      </c>
      <c r="C514" t="s">
        <v>65</v>
      </c>
      <c r="D514">
        <v>0</v>
      </c>
    </row>
    <row r="515" spans="1:4" x14ac:dyDescent="0.35">
      <c r="A515" t="s">
        <v>75</v>
      </c>
      <c r="B515" t="s">
        <v>9</v>
      </c>
      <c r="C515" t="s">
        <v>65</v>
      </c>
      <c r="D515">
        <v>0</v>
      </c>
    </row>
    <row r="516" spans="1:4" x14ac:dyDescent="0.35">
      <c r="A516" t="s">
        <v>75</v>
      </c>
      <c r="B516" t="s">
        <v>10</v>
      </c>
      <c r="C516" t="s">
        <v>65</v>
      </c>
      <c r="D516">
        <v>0</v>
      </c>
    </row>
    <row r="517" spans="1:4" x14ac:dyDescent="0.35">
      <c r="A517" t="s">
        <v>75</v>
      </c>
      <c r="B517" t="s">
        <v>11</v>
      </c>
      <c r="C517" t="s">
        <v>65</v>
      </c>
      <c r="D517">
        <v>0</v>
      </c>
    </row>
    <row r="518" spans="1:4" x14ac:dyDescent="0.35">
      <c r="A518" t="s">
        <v>75</v>
      </c>
      <c r="B518" t="s">
        <v>12</v>
      </c>
      <c r="C518" t="s">
        <v>65</v>
      </c>
      <c r="D518">
        <v>0</v>
      </c>
    </row>
    <row r="519" spans="1:4" x14ac:dyDescent="0.35">
      <c r="A519" t="s">
        <v>75</v>
      </c>
      <c r="B519" t="s">
        <v>13</v>
      </c>
      <c r="C519" t="s">
        <v>65</v>
      </c>
      <c r="D519">
        <v>0</v>
      </c>
    </row>
    <row r="520" spans="1:4" x14ac:dyDescent="0.35">
      <c r="A520" t="s">
        <v>75</v>
      </c>
      <c r="B520" t="s">
        <v>14</v>
      </c>
      <c r="C520" t="s">
        <v>65</v>
      </c>
      <c r="D520">
        <v>0</v>
      </c>
    </row>
    <row r="521" spans="1:4" x14ac:dyDescent="0.35">
      <c r="A521" t="s">
        <v>75</v>
      </c>
      <c r="B521" t="s">
        <v>15</v>
      </c>
      <c r="C521" t="s">
        <v>65</v>
      </c>
      <c r="D521">
        <v>45.342869640000004</v>
      </c>
    </row>
    <row r="522" spans="1:4" x14ac:dyDescent="0.35">
      <c r="A522" t="s">
        <v>75</v>
      </c>
      <c r="B522" t="s">
        <v>16</v>
      </c>
      <c r="C522" t="s">
        <v>65</v>
      </c>
      <c r="D522">
        <v>4.558490087</v>
      </c>
    </row>
    <row r="523" spans="1:4" x14ac:dyDescent="0.35">
      <c r="A523" t="s">
        <v>75</v>
      </c>
      <c r="B523" t="s">
        <v>18</v>
      </c>
      <c r="C523" t="s">
        <v>65</v>
      </c>
      <c r="D523">
        <v>0</v>
      </c>
    </row>
    <row r="524" spans="1:4" x14ac:dyDescent="0.35">
      <c r="A524" t="s">
        <v>75</v>
      </c>
      <c r="B524" t="s">
        <v>19</v>
      </c>
      <c r="C524" t="s">
        <v>65</v>
      </c>
      <c r="D524">
        <v>54.878127669999998</v>
      </c>
    </row>
    <row r="525" spans="1:4" x14ac:dyDescent="0.35">
      <c r="A525" t="s">
        <v>75</v>
      </c>
      <c r="B525" t="s">
        <v>20</v>
      </c>
      <c r="C525" t="s">
        <v>65</v>
      </c>
      <c r="D525">
        <v>4.1859677020000001</v>
      </c>
    </row>
    <row r="526" spans="1:4" x14ac:dyDescent="0.35">
      <c r="A526" t="s">
        <v>75</v>
      </c>
      <c r="B526" t="s">
        <v>21</v>
      </c>
      <c r="C526" t="s">
        <v>65</v>
      </c>
      <c r="D526">
        <v>0</v>
      </c>
    </row>
    <row r="527" spans="1:4" x14ac:dyDescent="0.35">
      <c r="A527" t="s">
        <v>75</v>
      </c>
      <c r="B527" t="s">
        <v>22</v>
      </c>
      <c r="C527" t="s">
        <v>65</v>
      </c>
      <c r="D527">
        <v>15.43938651</v>
      </c>
    </row>
    <row r="528" spans="1:4" x14ac:dyDescent="0.35">
      <c r="A528" t="s">
        <v>75</v>
      </c>
      <c r="B528" t="s">
        <v>23</v>
      </c>
      <c r="C528" t="s">
        <v>65</v>
      </c>
      <c r="D528">
        <v>0</v>
      </c>
    </row>
    <row r="529" spans="1:4" x14ac:dyDescent="0.35">
      <c r="A529" t="s">
        <v>75</v>
      </c>
      <c r="B529" t="s">
        <v>24</v>
      </c>
      <c r="C529" t="s">
        <v>65</v>
      </c>
      <c r="D529">
        <v>0</v>
      </c>
    </row>
    <row r="530" spans="1:4" x14ac:dyDescent="0.35">
      <c r="A530" t="s">
        <v>75</v>
      </c>
      <c r="B530" t="s">
        <v>25</v>
      </c>
      <c r="C530" t="s">
        <v>65</v>
      </c>
      <c r="D530">
        <v>0</v>
      </c>
    </row>
    <row r="531" spans="1:4" x14ac:dyDescent="0.35">
      <c r="A531" t="s">
        <v>75</v>
      </c>
      <c r="B531" t="s">
        <v>26</v>
      </c>
      <c r="C531" t="s">
        <v>65</v>
      </c>
      <c r="D531">
        <v>2.2635818620000001</v>
      </c>
    </row>
    <row r="532" spans="1:4" x14ac:dyDescent="0.35">
      <c r="A532" t="s">
        <v>75</v>
      </c>
      <c r="B532" t="s">
        <v>27</v>
      </c>
      <c r="C532" t="s">
        <v>65</v>
      </c>
      <c r="D532">
        <v>4.4448315899999997</v>
      </c>
    </row>
    <row r="533" spans="1:4" x14ac:dyDescent="0.35">
      <c r="A533" t="s">
        <v>75</v>
      </c>
      <c r="B533" t="s">
        <v>28</v>
      </c>
      <c r="C533" t="s">
        <v>65</v>
      </c>
      <c r="D533">
        <v>5.1735725490000002</v>
      </c>
    </row>
    <row r="534" spans="1:4" x14ac:dyDescent="0.35">
      <c r="A534" t="s">
        <v>75</v>
      </c>
      <c r="B534" t="s">
        <v>29</v>
      </c>
      <c r="C534" t="s">
        <v>65</v>
      </c>
      <c r="D534">
        <v>0.33946358500000001</v>
      </c>
    </row>
    <row r="535" spans="1:4" x14ac:dyDescent="0.35">
      <c r="A535" t="s">
        <v>75</v>
      </c>
      <c r="B535" t="s">
        <v>30</v>
      </c>
      <c r="C535" t="s">
        <v>65</v>
      </c>
      <c r="D535">
        <v>13.238931450000001</v>
      </c>
    </row>
    <row r="536" spans="1:4" x14ac:dyDescent="0.35">
      <c r="A536" t="s">
        <v>75</v>
      </c>
      <c r="B536" t="s">
        <v>31</v>
      </c>
      <c r="C536" t="s">
        <v>65</v>
      </c>
      <c r="D536">
        <v>0</v>
      </c>
    </row>
    <row r="537" spans="1:4" x14ac:dyDescent="0.35">
      <c r="A537" t="s">
        <v>75</v>
      </c>
      <c r="B537" t="s">
        <v>32</v>
      </c>
      <c r="C537" t="s">
        <v>65</v>
      </c>
      <c r="D537">
        <v>0</v>
      </c>
    </row>
    <row r="538" spans="1:4" x14ac:dyDescent="0.35">
      <c r="A538" t="s">
        <v>75</v>
      </c>
      <c r="B538" t="s">
        <v>33</v>
      </c>
      <c r="C538" t="s">
        <v>65</v>
      </c>
      <c r="D538">
        <v>12.478265759999999</v>
      </c>
    </row>
    <row r="539" spans="1:4" x14ac:dyDescent="0.35">
      <c r="A539" t="s">
        <v>75</v>
      </c>
      <c r="B539" t="s">
        <v>34</v>
      </c>
      <c r="C539" t="s">
        <v>65</v>
      </c>
      <c r="D539">
        <v>0</v>
      </c>
    </row>
    <row r="540" spans="1:4" x14ac:dyDescent="0.35">
      <c r="A540" t="s">
        <v>75</v>
      </c>
      <c r="B540" t="s">
        <v>35</v>
      </c>
      <c r="C540" t="s">
        <v>65</v>
      </c>
      <c r="D540">
        <v>20.038504079999999</v>
      </c>
    </row>
    <row r="541" spans="1:4" x14ac:dyDescent="0.35">
      <c r="A541" t="s">
        <v>75</v>
      </c>
      <c r="B541" t="s">
        <v>36</v>
      </c>
      <c r="C541" t="s">
        <v>65</v>
      </c>
      <c r="D541">
        <v>0</v>
      </c>
    </row>
    <row r="542" spans="1:4" x14ac:dyDescent="0.35">
      <c r="A542" t="s">
        <v>75</v>
      </c>
      <c r="B542" t="s">
        <v>37</v>
      </c>
      <c r="C542" t="s">
        <v>65</v>
      </c>
      <c r="D542">
        <v>2.9739363929999998</v>
      </c>
    </row>
    <row r="543" spans="1:4" x14ac:dyDescent="0.35">
      <c r="A543" t="s">
        <v>75</v>
      </c>
      <c r="B543" t="s">
        <v>38</v>
      </c>
      <c r="C543" t="s">
        <v>65</v>
      </c>
      <c r="D543">
        <v>1.435131245</v>
      </c>
    </row>
    <row r="544" spans="1:4" x14ac:dyDescent="0.35">
      <c r="A544" t="s">
        <v>75</v>
      </c>
      <c r="B544" t="s">
        <v>39</v>
      </c>
      <c r="C544" t="s">
        <v>65</v>
      </c>
      <c r="D544">
        <v>0</v>
      </c>
    </row>
    <row r="545" spans="1:4" x14ac:dyDescent="0.35">
      <c r="A545" t="s">
        <v>75</v>
      </c>
      <c r="B545" t="s">
        <v>40</v>
      </c>
      <c r="C545" t="s">
        <v>65</v>
      </c>
      <c r="D545">
        <v>0</v>
      </c>
    </row>
    <row r="546" spans="1:4" x14ac:dyDescent="0.35">
      <c r="A546" t="s">
        <v>77</v>
      </c>
      <c r="B546" t="s">
        <v>6</v>
      </c>
      <c r="C546" t="s">
        <v>65</v>
      </c>
      <c r="D546">
        <v>0</v>
      </c>
    </row>
    <row r="547" spans="1:4" x14ac:dyDescent="0.35">
      <c r="A547" t="s">
        <v>77</v>
      </c>
      <c r="B547" t="s">
        <v>7</v>
      </c>
      <c r="C547" t="s">
        <v>65</v>
      </c>
      <c r="D547">
        <v>0</v>
      </c>
    </row>
    <row r="548" spans="1:4" x14ac:dyDescent="0.35">
      <c r="A548" t="s">
        <v>77</v>
      </c>
      <c r="B548" t="s">
        <v>8</v>
      </c>
      <c r="C548" t="s">
        <v>65</v>
      </c>
      <c r="D548">
        <v>0</v>
      </c>
    </row>
    <row r="549" spans="1:4" x14ac:dyDescent="0.35">
      <c r="A549" t="s">
        <v>77</v>
      </c>
      <c r="B549" t="s">
        <v>9</v>
      </c>
      <c r="C549" t="s">
        <v>65</v>
      </c>
      <c r="D549">
        <v>0</v>
      </c>
    </row>
    <row r="550" spans="1:4" x14ac:dyDescent="0.35">
      <c r="A550" t="s">
        <v>77</v>
      </c>
      <c r="B550" t="s">
        <v>10</v>
      </c>
      <c r="C550" t="s">
        <v>65</v>
      </c>
      <c r="D550">
        <v>0</v>
      </c>
    </row>
    <row r="551" spans="1:4" x14ac:dyDescent="0.35">
      <c r="A551" t="s">
        <v>77</v>
      </c>
      <c r="B551" t="s">
        <v>11</v>
      </c>
      <c r="C551" t="s">
        <v>65</v>
      </c>
      <c r="D551">
        <v>0</v>
      </c>
    </row>
    <row r="552" spans="1:4" x14ac:dyDescent="0.35">
      <c r="A552" t="s">
        <v>77</v>
      </c>
      <c r="B552" t="s">
        <v>12</v>
      </c>
      <c r="C552" t="s">
        <v>65</v>
      </c>
      <c r="D552">
        <v>0</v>
      </c>
    </row>
    <row r="553" spans="1:4" x14ac:dyDescent="0.35">
      <c r="A553" t="s">
        <v>77</v>
      </c>
      <c r="B553" t="s">
        <v>13</v>
      </c>
      <c r="C553" t="s">
        <v>65</v>
      </c>
      <c r="D553">
        <v>0</v>
      </c>
    </row>
    <row r="554" spans="1:4" x14ac:dyDescent="0.35">
      <c r="A554" t="s">
        <v>77</v>
      </c>
      <c r="B554" t="s">
        <v>14</v>
      </c>
      <c r="C554" t="s">
        <v>65</v>
      </c>
      <c r="D554">
        <v>0</v>
      </c>
    </row>
    <row r="555" spans="1:4" x14ac:dyDescent="0.35">
      <c r="A555" t="s">
        <v>77</v>
      </c>
      <c r="B555" t="s">
        <v>15</v>
      </c>
      <c r="C555" t="s">
        <v>65</v>
      </c>
      <c r="D555">
        <v>73.001409089999996</v>
      </c>
    </row>
    <row r="556" spans="1:4" x14ac:dyDescent="0.35">
      <c r="A556" t="s">
        <v>77</v>
      </c>
      <c r="B556" t="s">
        <v>16</v>
      </c>
      <c r="C556" t="s">
        <v>65</v>
      </c>
      <c r="D556">
        <v>38.408050590000002</v>
      </c>
    </row>
    <row r="557" spans="1:4" x14ac:dyDescent="0.35">
      <c r="A557" t="s">
        <v>77</v>
      </c>
      <c r="B557" t="s">
        <v>18</v>
      </c>
      <c r="C557" t="s">
        <v>65</v>
      </c>
      <c r="D557">
        <v>0</v>
      </c>
    </row>
    <row r="558" spans="1:4" x14ac:dyDescent="0.35">
      <c r="A558" t="s">
        <v>77</v>
      </c>
      <c r="B558" t="s">
        <v>19</v>
      </c>
      <c r="C558" t="s">
        <v>65</v>
      </c>
      <c r="D558">
        <v>53.709709220000001</v>
      </c>
    </row>
    <row r="559" spans="1:4" x14ac:dyDescent="0.35">
      <c r="A559" t="s">
        <v>77</v>
      </c>
      <c r="B559" t="s">
        <v>20</v>
      </c>
      <c r="C559" t="s">
        <v>65</v>
      </c>
      <c r="D559">
        <v>86.336367139999993</v>
      </c>
    </row>
    <row r="560" spans="1:4" x14ac:dyDescent="0.35">
      <c r="A560" t="s">
        <v>77</v>
      </c>
      <c r="B560" t="s">
        <v>21</v>
      </c>
      <c r="C560" t="s">
        <v>65</v>
      </c>
      <c r="D560">
        <v>0</v>
      </c>
    </row>
    <row r="561" spans="1:4" x14ac:dyDescent="0.35">
      <c r="A561" t="s">
        <v>77</v>
      </c>
      <c r="B561" t="s">
        <v>22</v>
      </c>
      <c r="C561" t="s">
        <v>65</v>
      </c>
      <c r="D561">
        <v>27.647571159999998</v>
      </c>
    </row>
    <row r="562" spans="1:4" x14ac:dyDescent="0.35">
      <c r="A562" t="s">
        <v>77</v>
      </c>
      <c r="B562" t="s">
        <v>23</v>
      </c>
      <c r="C562" t="s">
        <v>65</v>
      </c>
      <c r="D562">
        <v>0.71504619199999997</v>
      </c>
    </row>
    <row r="563" spans="1:4" x14ac:dyDescent="0.35">
      <c r="A563" t="s">
        <v>77</v>
      </c>
      <c r="B563" t="s">
        <v>24</v>
      </c>
      <c r="C563" t="s">
        <v>65</v>
      </c>
      <c r="D563">
        <v>6.3803615110000003</v>
      </c>
    </row>
    <row r="564" spans="1:4" x14ac:dyDescent="0.35">
      <c r="A564" t="s">
        <v>77</v>
      </c>
      <c r="B564" t="s">
        <v>25</v>
      </c>
      <c r="C564" t="s">
        <v>65</v>
      </c>
      <c r="D564">
        <v>0</v>
      </c>
    </row>
    <row r="565" spans="1:4" x14ac:dyDescent="0.35">
      <c r="A565" t="s">
        <v>77</v>
      </c>
      <c r="B565" t="s">
        <v>26</v>
      </c>
      <c r="C565" t="s">
        <v>65</v>
      </c>
      <c r="D565">
        <v>0.88922994899999996</v>
      </c>
    </row>
    <row r="566" spans="1:4" x14ac:dyDescent="0.35">
      <c r="A566" t="s">
        <v>77</v>
      </c>
      <c r="B566" t="s">
        <v>27</v>
      </c>
      <c r="C566" t="s">
        <v>65</v>
      </c>
      <c r="D566">
        <v>8.5658059909999995</v>
      </c>
    </row>
    <row r="567" spans="1:4" x14ac:dyDescent="0.35">
      <c r="A567" t="s">
        <v>77</v>
      </c>
      <c r="B567" t="s">
        <v>28</v>
      </c>
      <c r="C567" t="s">
        <v>65</v>
      </c>
      <c r="D567">
        <v>6.1337188879999998</v>
      </c>
    </row>
    <row r="568" spans="1:4" x14ac:dyDescent="0.35">
      <c r="A568" t="s">
        <v>77</v>
      </c>
      <c r="B568" t="s">
        <v>29</v>
      </c>
      <c r="C568" t="s">
        <v>65</v>
      </c>
      <c r="D568">
        <v>0.65467247799999995</v>
      </c>
    </row>
    <row r="569" spans="1:4" x14ac:dyDescent="0.35">
      <c r="A569" t="s">
        <v>77</v>
      </c>
      <c r="B569" t="s">
        <v>30</v>
      </c>
      <c r="C569" t="s">
        <v>65</v>
      </c>
      <c r="D569">
        <v>11.189142289999999</v>
      </c>
    </row>
    <row r="570" spans="1:4" x14ac:dyDescent="0.35">
      <c r="A570" t="s">
        <v>77</v>
      </c>
      <c r="B570" t="s">
        <v>31</v>
      </c>
      <c r="C570" t="s">
        <v>65</v>
      </c>
      <c r="D570">
        <v>0</v>
      </c>
    </row>
    <row r="571" spans="1:4" x14ac:dyDescent="0.35">
      <c r="A571" t="s">
        <v>77</v>
      </c>
      <c r="B571" t="s">
        <v>32</v>
      </c>
      <c r="C571" t="s">
        <v>65</v>
      </c>
      <c r="D571">
        <v>0</v>
      </c>
    </row>
    <row r="572" spans="1:4" x14ac:dyDescent="0.35">
      <c r="A572" t="s">
        <v>77</v>
      </c>
      <c r="B572" t="s">
        <v>33</v>
      </c>
      <c r="C572" t="s">
        <v>65</v>
      </c>
      <c r="D572">
        <v>12.678610109999999</v>
      </c>
    </row>
    <row r="573" spans="1:4" x14ac:dyDescent="0.35">
      <c r="A573" t="s">
        <v>77</v>
      </c>
      <c r="B573" t="s">
        <v>34</v>
      </c>
      <c r="C573" t="s">
        <v>65</v>
      </c>
      <c r="D573">
        <v>0</v>
      </c>
    </row>
    <row r="574" spans="1:4" x14ac:dyDescent="0.35">
      <c r="A574" t="s">
        <v>77</v>
      </c>
      <c r="B574" t="s">
        <v>35</v>
      </c>
      <c r="C574" t="s">
        <v>65</v>
      </c>
      <c r="D574">
        <v>15.970285459999999</v>
      </c>
    </row>
    <row r="575" spans="1:4" x14ac:dyDescent="0.35">
      <c r="A575" t="s">
        <v>77</v>
      </c>
      <c r="B575" t="s">
        <v>36</v>
      </c>
      <c r="C575" t="s">
        <v>65</v>
      </c>
      <c r="D575">
        <v>0</v>
      </c>
    </row>
    <row r="576" spans="1:4" x14ac:dyDescent="0.35">
      <c r="A576" t="s">
        <v>77</v>
      </c>
      <c r="B576" t="s">
        <v>37</v>
      </c>
      <c r="C576" t="s">
        <v>65</v>
      </c>
      <c r="D576">
        <v>2.2162084320000002</v>
      </c>
    </row>
    <row r="577" spans="1:4" x14ac:dyDescent="0.35">
      <c r="A577" t="s">
        <v>77</v>
      </c>
      <c r="B577" t="s">
        <v>38</v>
      </c>
      <c r="C577" t="s">
        <v>65</v>
      </c>
      <c r="D577">
        <v>0.71136604299999995</v>
      </c>
    </row>
    <row r="578" spans="1:4" x14ac:dyDescent="0.35">
      <c r="A578" t="s">
        <v>77</v>
      </c>
      <c r="B578" t="s">
        <v>39</v>
      </c>
      <c r="C578" t="s">
        <v>65</v>
      </c>
      <c r="D578">
        <v>0</v>
      </c>
    </row>
    <row r="579" spans="1:4" x14ac:dyDescent="0.35">
      <c r="A579" t="s">
        <v>77</v>
      </c>
      <c r="B579" t="s">
        <v>40</v>
      </c>
      <c r="C579" t="s">
        <v>65</v>
      </c>
      <c r="D579">
        <v>0</v>
      </c>
    </row>
    <row r="580" spans="1:4" x14ac:dyDescent="0.35">
      <c r="A580" t="s">
        <v>79</v>
      </c>
      <c r="B580" t="s">
        <v>6</v>
      </c>
      <c r="C580" t="s">
        <v>65</v>
      </c>
      <c r="D580">
        <v>0</v>
      </c>
    </row>
    <row r="581" spans="1:4" x14ac:dyDescent="0.35">
      <c r="A581" t="s">
        <v>79</v>
      </c>
      <c r="B581" t="s">
        <v>7</v>
      </c>
      <c r="C581" t="s">
        <v>65</v>
      </c>
      <c r="D581">
        <v>0</v>
      </c>
    </row>
    <row r="582" spans="1:4" x14ac:dyDescent="0.35">
      <c r="A582" t="s">
        <v>79</v>
      </c>
      <c r="B582" t="s">
        <v>8</v>
      </c>
      <c r="C582" t="s">
        <v>65</v>
      </c>
      <c r="D582">
        <v>0</v>
      </c>
    </row>
    <row r="583" spans="1:4" x14ac:dyDescent="0.35">
      <c r="A583" t="s">
        <v>79</v>
      </c>
      <c r="B583" t="s">
        <v>9</v>
      </c>
      <c r="C583" t="s">
        <v>65</v>
      </c>
      <c r="D583">
        <v>0</v>
      </c>
    </row>
    <row r="584" spans="1:4" x14ac:dyDescent="0.35">
      <c r="A584" t="s">
        <v>79</v>
      </c>
      <c r="B584" t="s">
        <v>10</v>
      </c>
      <c r="C584" t="s">
        <v>65</v>
      </c>
      <c r="D584">
        <v>0</v>
      </c>
    </row>
    <row r="585" spans="1:4" x14ac:dyDescent="0.35">
      <c r="A585" t="s">
        <v>79</v>
      </c>
      <c r="B585" t="s">
        <v>11</v>
      </c>
      <c r="C585" t="s">
        <v>65</v>
      </c>
      <c r="D585">
        <v>0.58663296399999998</v>
      </c>
    </row>
    <row r="586" spans="1:4" x14ac:dyDescent="0.35">
      <c r="A586" t="s">
        <v>79</v>
      </c>
      <c r="B586" t="s">
        <v>12</v>
      </c>
      <c r="C586" t="s">
        <v>65</v>
      </c>
      <c r="D586">
        <v>0</v>
      </c>
    </row>
    <row r="587" spans="1:4" x14ac:dyDescent="0.35">
      <c r="A587" t="s">
        <v>79</v>
      </c>
      <c r="B587" t="s">
        <v>13</v>
      </c>
      <c r="C587" t="s">
        <v>65</v>
      </c>
      <c r="D587">
        <v>0</v>
      </c>
    </row>
    <row r="588" spans="1:4" x14ac:dyDescent="0.35">
      <c r="A588" t="s">
        <v>79</v>
      </c>
      <c r="B588" t="s">
        <v>14</v>
      </c>
      <c r="C588" t="s">
        <v>65</v>
      </c>
      <c r="D588">
        <v>0</v>
      </c>
    </row>
    <row r="589" spans="1:4" x14ac:dyDescent="0.35">
      <c r="A589" t="s">
        <v>79</v>
      </c>
      <c r="B589" t="s">
        <v>15</v>
      </c>
      <c r="C589" t="s">
        <v>65</v>
      </c>
      <c r="D589">
        <v>73.889047270000006</v>
      </c>
    </row>
    <row r="590" spans="1:4" x14ac:dyDescent="0.35">
      <c r="A590" t="s">
        <v>79</v>
      </c>
      <c r="B590" t="s">
        <v>16</v>
      </c>
      <c r="C590" t="s">
        <v>65</v>
      </c>
      <c r="D590">
        <v>44.610432269999997</v>
      </c>
    </row>
    <row r="591" spans="1:4" x14ac:dyDescent="0.35">
      <c r="A591" t="s">
        <v>79</v>
      </c>
      <c r="B591" t="s">
        <v>18</v>
      </c>
      <c r="C591" t="s">
        <v>65</v>
      </c>
      <c r="D591">
        <v>0</v>
      </c>
    </row>
    <row r="592" spans="1:4" x14ac:dyDescent="0.35">
      <c r="A592" t="s">
        <v>79</v>
      </c>
      <c r="B592" t="s">
        <v>19</v>
      </c>
      <c r="C592" t="s">
        <v>65</v>
      </c>
      <c r="D592">
        <v>47.747163630000003</v>
      </c>
    </row>
    <row r="593" spans="1:4" x14ac:dyDescent="0.35">
      <c r="A593" t="s">
        <v>79</v>
      </c>
      <c r="B593" t="s">
        <v>20</v>
      </c>
      <c r="C593" t="s">
        <v>65</v>
      </c>
      <c r="D593">
        <v>75.745745799999995</v>
      </c>
    </row>
    <row r="594" spans="1:4" x14ac:dyDescent="0.35">
      <c r="A594" t="s">
        <v>79</v>
      </c>
      <c r="B594" t="s">
        <v>21</v>
      </c>
      <c r="C594" t="s">
        <v>65</v>
      </c>
      <c r="D594">
        <v>0</v>
      </c>
    </row>
    <row r="595" spans="1:4" x14ac:dyDescent="0.35">
      <c r="A595" t="s">
        <v>79</v>
      </c>
      <c r="B595" t="s">
        <v>22</v>
      </c>
      <c r="C595" t="s">
        <v>65</v>
      </c>
      <c r="D595">
        <v>30.02340036</v>
      </c>
    </row>
    <row r="596" spans="1:4" x14ac:dyDescent="0.35">
      <c r="A596" t="s">
        <v>79</v>
      </c>
      <c r="B596" t="s">
        <v>23</v>
      </c>
      <c r="C596" t="s">
        <v>65</v>
      </c>
      <c r="D596">
        <v>1.8413015319999999</v>
      </c>
    </row>
    <row r="597" spans="1:4" x14ac:dyDescent="0.35">
      <c r="A597" t="s">
        <v>79</v>
      </c>
      <c r="B597" t="s">
        <v>24</v>
      </c>
      <c r="C597" t="s">
        <v>65</v>
      </c>
      <c r="D597">
        <v>8.5204702480000005</v>
      </c>
    </row>
    <row r="598" spans="1:4" x14ac:dyDescent="0.35">
      <c r="A598" t="s">
        <v>79</v>
      </c>
      <c r="B598" t="s">
        <v>25</v>
      </c>
      <c r="C598" t="s">
        <v>65</v>
      </c>
      <c r="D598">
        <v>2.3724006019999999</v>
      </c>
    </row>
    <row r="599" spans="1:4" x14ac:dyDescent="0.35">
      <c r="A599" t="s">
        <v>79</v>
      </c>
      <c r="B599" t="s">
        <v>26</v>
      </c>
      <c r="C599" t="s">
        <v>65</v>
      </c>
      <c r="D599">
        <v>0</v>
      </c>
    </row>
    <row r="600" spans="1:4" x14ac:dyDescent="0.35">
      <c r="A600" t="s">
        <v>79</v>
      </c>
      <c r="B600" t="s">
        <v>27</v>
      </c>
      <c r="C600" t="s">
        <v>65</v>
      </c>
      <c r="D600">
        <v>7.1943582389999996</v>
      </c>
    </row>
    <row r="601" spans="1:4" x14ac:dyDescent="0.35">
      <c r="A601" t="s">
        <v>79</v>
      </c>
      <c r="B601" t="s">
        <v>28</v>
      </c>
      <c r="C601" t="s">
        <v>65</v>
      </c>
      <c r="D601">
        <v>9.3038293339999996</v>
      </c>
    </row>
    <row r="602" spans="1:4" x14ac:dyDescent="0.35">
      <c r="A602" t="s">
        <v>79</v>
      </c>
      <c r="B602" t="s">
        <v>29</v>
      </c>
      <c r="C602" t="s">
        <v>65</v>
      </c>
      <c r="D602">
        <v>2.5876771459999999</v>
      </c>
    </row>
    <row r="603" spans="1:4" x14ac:dyDescent="0.35">
      <c r="A603" t="s">
        <v>79</v>
      </c>
      <c r="B603" t="s">
        <v>30</v>
      </c>
      <c r="C603" t="s">
        <v>65</v>
      </c>
      <c r="D603">
        <v>20.298219490000001</v>
      </c>
    </row>
    <row r="604" spans="1:4" x14ac:dyDescent="0.35">
      <c r="A604" t="s">
        <v>79</v>
      </c>
      <c r="B604" t="s">
        <v>31</v>
      </c>
      <c r="C604" t="s">
        <v>65</v>
      </c>
      <c r="D604">
        <v>0</v>
      </c>
    </row>
    <row r="605" spans="1:4" x14ac:dyDescent="0.35">
      <c r="A605" t="s">
        <v>79</v>
      </c>
      <c r="B605" t="s">
        <v>32</v>
      </c>
      <c r="C605" t="s">
        <v>65</v>
      </c>
      <c r="D605">
        <v>0</v>
      </c>
    </row>
    <row r="606" spans="1:4" x14ac:dyDescent="0.35">
      <c r="A606" t="s">
        <v>79</v>
      </c>
      <c r="B606" t="s">
        <v>33</v>
      </c>
      <c r="C606" t="s">
        <v>65</v>
      </c>
      <c r="D606">
        <v>23.636579909999998</v>
      </c>
    </row>
    <row r="607" spans="1:4" x14ac:dyDescent="0.35">
      <c r="A607" t="s">
        <v>79</v>
      </c>
      <c r="B607" t="s">
        <v>34</v>
      </c>
      <c r="C607" t="s">
        <v>65</v>
      </c>
      <c r="D607">
        <v>0</v>
      </c>
    </row>
    <row r="608" spans="1:4" x14ac:dyDescent="0.35">
      <c r="A608" t="s">
        <v>79</v>
      </c>
      <c r="B608" t="s">
        <v>35</v>
      </c>
      <c r="C608" t="s">
        <v>65</v>
      </c>
      <c r="D608">
        <v>12.417890269999999</v>
      </c>
    </row>
    <row r="609" spans="1:4" x14ac:dyDescent="0.35">
      <c r="A609" t="s">
        <v>79</v>
      </c>
      <c r="B609" t="s">
        <v>36</v>
      </c>
      <c r="C609" t="s">
        <v>65</v>
      </c>
      <c r="D609">
        <v>0</v>
      </c>
    </row>
    <row r="610" spans="1:4" x14ac:dyDescent="0.35">
      <c r="A610" t="s">
        <v>79</v>
      </c>
      <c r="B610" t="s">
        <v>37</v>
      </c>
      <c r="C610" t="s">
        <v>65</v>
      </c>
      <c r="D610">
        <v>4.7987669650000004</v>
      </c>
    </row>
    <row r="611" spans="1:4" x14ac:dyDescent="0.35">
      <c r="A611" t="s">
        <v>79</v>
      </c>
      <c r="B611" t="s">
        <v>38</v>
      </c>
      <c r="C611" t="s">
        <v>65</v>
      </c>
      <c r="D611">
        <v>2.465183277</v>
      </c>
    </row>
    <row r="612" spans="1:4" x14ac:dyDescent="0.35">
      <c r="A612" t="s">
        <v>79</v>
      </c>
      <c r="B612" t="s">
        <v>39</v>
      </c>
      <c r="C612" t="s">
        <v>65</v>
      </c>
      <c r="D612">
        <v>0</v>
      </c>
    </row>
    <row r="613" spans="1:4" x14ac:dyDescent="0.35">
      <c r="A613" t="s">
        <v>79</v>
      </c>
      <c r="B613" t="s">
        <v>40</v>
      </c>
      <c r="C613" t="s">
        <v>65</v>
      </c>
      <c r="D613">
        <v>0</v>
      </c>
    </row>
    <row r="614" spans="1:4" x14ac:dyDescent="0.35">
      <c r="A614" t="s">
        <v>81</v>
      </c>
      <c r="B614" t="s">
        <v>6</v>
      </c>
      <c r="C614" t="s">
        <v>65</v>
      </c>
      <c r="D614">
        <v>0</v>
      </c>
    </row>
    <row r="615" spans="1:4" x14ac:dyDescent="0.35">
      <c r="A615" t="s">
        <v>81</v>
      </c>
      <c r="B615" t="s">
        <v>7</v>
      </c>
      <c r="C615" t="s">
        <v>65</v>
      </c>
      <c r="D615">
        <v>0</v>
      </c>
    </row>
    <row r="616" spans="1:4" x14ac:dyDescent="0.35">
      <c r="A616" t="s">
        <v>81</v>
      </c>
      <c r="B616" t="s">
        <v>8</v>
      </c>
      <c r="C616" t="s">
        <v>65</v>
      </c>
      <c r="D616">
        <v>0</v>
      </c>
    </row>
    <row r="617" spans="1:4" x14ac:dyDescent="0.35">
      <c r="A617" t="s">
        <v>81</v>
      </c>
      <c r="B617" t="s">
        <v>9</v>
      </c>
      <c r="C617" t="s">
        <v>65</v>
      </c>
      <c r="D617">
        <v>0</v>
      </c>
    </row>
    <row r="618" spans="1:4" x14ac:dyDescent="0.35">
      <c r="A618" t="s">
        <v>81</v>
      </c>
      <c r="B618" t="s">
        <v>10</v>
      </c>
      <c r="C618" t="s">
        <v>65</v>
      </c>
      <c r="D618">
        <v>0</v>
      </c>
    </row>
    <row r="619" spans="1:4" x14ac:dyDescent="0.35">
      <c r="A619" t="s">
        <v>81</v>
      </c>
      <c r="B619" t="s">
        <v>11</v>
      </c>
      <c r="C619" t="s">
        <v>65</v>
      </c>
      <c r="D619">
        <v>0.99747971599999996</v>
      </c>
    </row>
    <row r="620" spans="1:4" x14ac:dyDescent="0.35">
      <c r="A620" t="s">
        <v>81</v>
      </c>
      <c r="B620" t="s">
        <v>12</v>
      </c>
      <c r="C620" t="s">
        <v>65</v>
      </c>
      <c r="D620">
        <v>0</v>
      </c>
    </row>
    <row r="621" spans="1:4" x14ac:dyDescent="0.35">
      <c r="A621" t="s">
        <v>81</v>
      </c>
      <c r="B621" t="s">
        <v>13</v>
      </c>
      <c r="C621" t="s">
        <v>65</v>
      </c>
      <c r="D621">
        <v>0</v>
      </c>
    </row>
    <row r="622" spans="1:4" x14ac:dyDescent="0.35">
      <c r="A622" t="s">
        <v>81</v>
      </c>
      <c r="B622" t="s">
        <v>14</v>
      </c>
      <c r="C622" t="s">
        <v>65</v>
      </c>
      <c r="D622">
        <v>0</v>
      </c>
    </row>
    <row r="623" spans="1:4" x14ac:dyDescent="0.35">
      <c r="A623" t="s">
        <v>81</v>
      </c>
      <c r="B623" t="s">
        <v>15</v>
      </c>
      <c r="C623" t="s">
        <v>65</v>
      </c>
      <c r="D623">
        <v>102.04954859999999</v>
      </c>
    </row>
    <row r="624" spans="1:4" x14ac:dyDescent="0.35">
      <c r="A624" t="s">
        <v>81</v>
      </c>
      <c r="B624" t="s">
        <v>16</v>
      </c>
      <c r="C624" t="s">
        <v>65</v>
      </c>
      <c r="D624">
        <v>51.631590279999998</v>
      </c>
    </row>
    <row r="625" spans="1:4" x14ac:dyDescent="0.35">
      <c r="A625" t="s">
        <v>81</v>
      </c>
      <c r="B625" t="s">
        <v>18</v>
      </c>
      <c r="C625" t="s">
        <v>65</v>
      </c>
      <c r="D625">
        <v>0</v>
      </c>
    </row>
    <row r="626" spans="1:4" x14ac:dyDescent="0.35">
      <c r="A626" t="s">
        <v>81</v>
      </c>
      <c r="B626" t="s">
        <v>19</v>
      </c>
      <c r="C626" t="s">
        <v>65</v>
      </c>
      <c r="D626">
        <v>70.903076839999997</v>
      </c>
    </row>
    <row r="627" spans="1:4" x14ac:dyDescent="0.35">
      <c r="A627" t="s">
        <v>81</v>
      </c>
      <c r="B627" t="s">
        <v>20</v>
      </c>
      <c r="C627" t="s">
        <v>65</v>
      </c>
      <c r="D627">
        <v>96.502578260000007</v>
      </c>
    </row>
    <row r="628" spans="1:4" x14ac:dyDescent="0.35">
      <c r="A628" t="s">
        <v>81</v>
      </c>
      <c r="B628" t="s">
        <v>21</v>
      </c>
      <c r="C628" t="s">
        <v>65</v>
      </c>
      <c r="D628">
        <v>0</v>
      </c>
    </row>
    <row r="629" spans="1:4" x14ac:dyDescent="0.35">
      <c r="A629" t="s">
        <v>81</v>
      </c>
      <c r="B629" t="s">
        <v>22</v>
      </c>
      <c r="C629" t="s">
        <v>65</v>
      </c>
      <c r="D629">
        <v>33.000350269999998</v>
      </c>
    </row>
    <row r="630" spans="1:4" x14ac:dyDescent="0.35">
      <c r="A630" t="s">
        <v>81</v>
      </c>
      <c r="B630" t="s">
        <v>23</v>
      </c>
      <c r="C630" t="s">
        <v>65</v>
      </c>
      <c r="D630">
        <v>0.72454658800000005</v>
      </c>
    </row>
    <row r="631" spans="1:4" x14ac:dyDescent="0.35">
      <c r="A631" t="s">
        <v>81</v>
      </c>
      <c r="B631" t="s">
        <v>24</v>
      </c>
      <c r="C631" t="s">
        <v>65</v>
      </c>
      <c r="D631">
        <v>6.4910825479999996</v>
      </c>
    </row>
    <row r="632" spans="1:4" x14ac:dyDescent="0.35">
      <c r="A632" t="s">
        <v>81</v>
      </c>
      <c r="B632" t="s">
        <v>25</v>
      </c>
      <c r="C632" t="s">
        <v>65</v>
      </c>
      <c r="D632">
        <v>0</v>
      </c>
    </row>
    <row r="633" spans="1:4" x14ac:dyDescent="0.35">
      <c r="A633" t="s">
        <v>81</v>
      </c>
      <c r="B633" t="s">
        <v>26</v>
      </c>
      <c r="C633" t="s">
        <v>65</v>
      </c>
      <c r="D633">
        <v>1.021130597</v>
      </c>
    </row>
    <row r="634" spans="1:4" x14ac:dyDescent="0.35">
      <c r="A634" t="s">
        <v>81</v>
      </c>
      <c r="B634" t="s">
        <v>27</v>
      </c>
      <c r="C634" t="s">
        <v>65</v>
      </c>
      <c r="D634">
        <v>11.730710930000001</v>
      </c>
    </row>
    <row r="635" spans="1:4" x14ac:dyDescent="0.35">
      <c r="A635" t="s">
        <v>81</v>
      </c>
      <c r="B635" t="s">
        <v>28</v>
      </c>
      <c r="C635" t="s">
        <v>65</v>
      </c>
      <c r="D635">
        <v>7.1381442860000002</v>
      </c>
    </row>
    <row r="636" spans="1:4" x14ac:dyDescent="0.35">
      <c r="A636" t="s">
        <v>81</v>
      </c>
      <c r="B636" t="s">
        <v>29</v>
      </c>
      <c r="C636" t="s">
        <v>65</v>
      </c>
      <c r="D636">
        <v>0.99559908799999997</v>
      </c>
    </row>
    <row r="637" spans="1:4" x14ac:dyDescent="0.35">
      <c r="A637" t="s">
        <v>81</v>
      </c>
      <c r="B637" t="s">
        <v>30</v>
      </c>
      <c r="C637" t="s">
        <v>65</v>
      </c>
      <c r="D637">
        <v>17.829358289999998</v>
      </c>
    </row>
    <row r="638" spans="1:4" x14ac:dyDescent="0.35">
      <c r="A638" t="s">
        <v>81</v>
      </c>
      <c r="B638" t="s">
        <v>31</v>
      </c>
      <c r="C638" t="s">
        <v>65</v>
      </c>
      <c r="D638">
        <v>0</v>
      </c>
    </row>
    <row r="639" spans="1:4" x14ac:dyDescent="0.35">
      <c r="A639" t="s">
        <v>81</v>
      </c>
      <c r="B639" t="s">
        <v>32</v>
      </c>
      <c r="C639" t="s">
        <v>65</v>
      </c>
      <c r="D639">
        <v>0</v>
      </c>
    </row>
    <row r="640" spans="1:4" x14ac:dyDescent="0.35">
      <c r="A640" t="s">
        <v>81</v>
      </c>
      <c r="B640" t="s">
        <v>33</v>
      </c>
      <c r="C640" t="s">
        <v>65</v>
      </c>
      <c r="D640">
        <v>18.69413454</v>
      </c>
    </row>
    <row r="641" spans="1:4" x14ac:dyDescent="0.35">
      <c r="A641" t="s">
        <v>81</v>
      </c>
      <c r="B641" t="s">
        <v>34</v>
      </c>
      <c r="C641" t="s">
        <v>65</v>
      </c>
      <c r="D641">
        <v>0</v>
      </c>
    </row>
    <row r="642" spans="1:4" x14ac:dyDescent="0.35">
      <c r="A642" t="s">
        <v>81</v>
      </c>
      <c r="B642" t="s">
        <v>35</v>
      </c>
      <c r="C642" t="s">
        <v>65</v>
      </c>
      <c r="D642">
        <v>17.1399601</v>
      </c>
    </row>
    <row r="643" spans="1:4" x14ac:dyDescent="0.35">
      <c r="A643" t="s">
        <v>81</v>
      </c>
      <c r="B643" t="s">
        <v>36</v>
      </c>
      <c r="C643" t="s">
        <v>65</v>
      </c>
      <c r="D643">
        <v>0</v>
      </c>
    </row>
    <row r="644" spans="1:4" x14ac:dyDescent="0.35">
      <c r="A644" t="s">
        <v>81</v>
      </c>
      <c r="B644" t="s">
        <v>37</v>
      </c>
      <c r="C644" t="s">
        <v>65</v>
      </c>
      <c r="D644">
        <v>4.0334726420000004</v>
      </c>
    </row>
    <row r="645" spans="1:4" x14ac:dyDescent="0.35">
      <c r="A645" t="s">
        <v>81</v>
      </c>
      <c r="B645" t="s">
        <v>38</v>
      </c>
      <c r="C645" t="s">
        <v>65</v>
      </c>
      <c r="D645">
        <v>1.3757829559999999</v>
      </c>
    </row>
    <row r="646" spans="1:4" x14ac:dyDescent="0.35">
      <c r="A646" t="s">
        <v>81</v>
      </c>
      <c r="B646" t="s">
        <v>39</v>
      </c>
      <c r="C646" t="s">
        <v>65</v>
      </c>
      <c r="D646">
        <v>0</v>
      </c>
    </row>
    <row r="647" spans="1:4" x14ac:dyDescent="0.35">
      <c r="A647" t="s">
        <v>81</v>
      </c>
      <c r="B647" t="s">
        <v>40</v>
      </c>
      <c r="C647" t="s">
        <v>65</v>
      </c>
      <c r="D647">
        <v>0</v>
      </c>
    </row>
    <row r="648" spans="1:4" x14ac:dyDescent="0.35">
      <c r="A648" t="s">
        <v>83</v>
      </c>
      <c r="B648" t="s">
        <v>6</v>
      </c>
      <c r="C648" t="s">
        <v>65</v>
      </c>
      <c r="D648">
        <v>0</v>
      </c>
    </row>
    <row r="649" spans="1:4" x14ac:dyDescent="0.35">
      <c r="A649" t="s">
        <v>83</v>
      </c>
      <c r="B649" t="s">
        <v>7</v>
      </c>
      <c r="C649" t="s">
        <v>65</v>
      </c>
      <c r="D649">
        <v>0</v>
      </c>
    </row>
    <row r="650" spans="1:4" x14ac:dyDescent="0.35">
      <c r="A650" t="s">
        <v>83</v>
      </c>
      <c r="B650" t="s">
        <v>8</v>
      </c>
      <c r="C650" t="s">
        <v>65</v>
      </c>
      <c r="D650">
        <v>0</v>
      </c>
    </row>
    <row r="651" spans="1:4" x14ac:dyDescent="0.35">
      <c r="A651" t="s">
        <v>83</v>
      </c>
      <c r="B651" t="s">
        <v>9</v>
      </c>
      <c r="C651" t="s">
        <v>65</v>
      </c>
      <c r="D651">
        <v>0</v>
      </c>
    </row>
    <row r="652" spans="1:4" x14ac:dyDescent="0.35">
      <c r="A652" t="s">
        <v>83</v>
      </c>
      <c r="B652" t="s">
        <v>10</v>
      </c>
      <c r="C652" t="s">
        <v>65</v>
      </c>
      <c r="D652">
        <v>0</v>
      </c>
    </row>
    <row r="653" spans="1:4" x14ac:dyDescent="0.35">
      <c r="A653" t="s">
        <v>83</v>
      </c>
      <c r="B653" t="s">
        <v>11</v>
      </c>
      <c r="C653" t="s">
        <v>65</v>
      </c>
      <c r="D653">
        <v>0.297776396</v>
      </c>
    </row>
    <row r="654" spans="1:4" x14ac:dyDescent="0.35">
      <c r="A654" t="s">
        <v>83</v>
      </c>
      <c r="B654" t="s">
        <v>12</v>
      </c>
      <c r="C654" t="s">
        <v>65</v>
      </c>
      <c r="D654">
        <v>0</v>
      </c>
    </row>
    <row r="655" spans="1:4" x14ac:dyDescent="0.35">
      <c r="A655" t="s">
        <v>83</v>
      </c>
      <c r="B655" t="s">
        <v>13</v>
      </c>
      <c r="C655" t="s">
        <v>65</v>
      </c>
      <c r="D655">
        <v>0</v>
      </c>
    </row>
    <row r="656" spans="1:4" x14ac:dyDescent="0.35">
      <c r="A656" t="s">
        <v>83</v>
      </c>
      <c r="B656" t="s">
        <v>14</v>
      </c>
      <c r="C656" t="s">
        <v>65</v>
      </c>
      <c r="D656">
        <v>0</v>
      </c>
    </row>
    <row r="657" spans="1:4" x14ac:dyDescent="0.35">
      <c r="A657" t="s">
        <v>83</v>
      </c>
      <c r="B657" t="s">
        <v>15</v>
      </c>
      <c r="C657" t="s">
        <v>65</v>
      </c>
      <c r="D657">
        <v>78.881213070000001</v>
      </c>
    </row>
    <row r="658" spans="1:4" x14ac:dyDescent="0.35">
      <c r="A658" t="s">
        <v>83</v>
      </c>
      <c r="B658" t="s">
        <v>16</v>
      </c>
      <c r="C658" t="s">
        <v>65</v>
      </c>
      <c r="D658">
        <v>28.546790829999999</v>
      </c>
    </row>
    <row r="659" spans="1:4" x14ac:dyDescent="0.35">
      <c r="A659" t="s">
        <v>83</v>
      </c>
      <c r="B659" t="s">
        <v>18</v>
      </c>
      <c r="C659" t="s">
        <v>65</v>
      </c>
      <c r="D659">
        <v>0</v>
      </c>
    </row>
    <row r="660" spans="1:4" x14ac:dyDescent="0.35">
      <c r="A660" t="s">
        <v>83</v>
      </c>
      <c r="B660" t="s">
        <v>19</v>
      </c>
      <c r="C660" t="s">
        <v>65</v>
      </c>
      <c r="D660">
        <v>58.950660409999998</v>
      </c>
    </row>
    <row r="661" spans="1:4" x14ac:dyDescent="0.35">
      <c r="A661" t="s">
        <v>83</v>
      </c>
      <c r="B661" t="s">
        <v>20</v>
      </c>
      <c r="C661" t="s">
        <v>65</v>
      </c>
      <c r="D661">
        <v>77.895499090000001</v>
      </c>
    </row>
    <row r="662" spans="1:4" x14ac:dyDescent="0.35">
      <c r="A662" t="s">
        <v>83</v>
      </c>
      <c r="B662" t="s">
        <v>21</v>
      </c>
      <c r="C662" t="s">
        <v>65</v>
      </c>
      <c r="D662">
        <v>0</v>
      </c>
    </row>
    <row r="663" spans="1:4" x14ac:dyDescent="0.35">
      <c r="A663" t="s">
        <v>83</v>
      </c>
      <c r="B663" t="s">
        <v>22</v>
      </c>
      <c r="C663" t="s">
        <v>65</v>
      </c>
      <c r="D663">
        <v>34.9452979</v>
      </c>
    </row>
    <row r="664" spans="1:4" x14ac:dyDescent="0.35">
      <c r="A664" t="s">
        <v>83</v>
      </c>
      <c r="B664" t="s">
        <v>23</v>
      </c>
      <c r="C664" t="s">
        <v>65</v>
      </c>
      <c r="D664">
        <v>1.0784005029999999</v>
      </c>
    </row>
    <row r="665" spans="1:4" x14ac:dyDescent="0.35">
      <c r="A665" t="s">
        <v>83</v>
      </c>
      <c r="B665" t="s">
        <v>24</v>
      </c>
      <c r="C665" t="s">
        <v>65</v>
      </c>
      <c r="D665">
        <v>7.2742193110000004</v>
      </c>
    </row>
    <row r="666" spans="1:4" x14ac:dyDescent="0.35">
      <c r="A666" t="s">
        <v>83</v>
      </c>
      <c r="B666" t="s">
        <v>25</v>
      </c>
      <c r="C666" t="s">
        <v>65</v>
      </c>
      <c r="D666">
        <v>0</v>
      </c>
    </row>
    <row r="667" spans="1:4" x14ac:dyDescent="0.35">
      <c r="A667" t="s">
        <v>83</v>
      </c>
      <c r="B667" t="s">
        <v>26</v>
      </c>
      <c r="C667" t="s">
        <v>65</v>
      </c>
      <c r="D667">
        <v>1.366647078</v>
      </c>
    </row>
    <row r="668" spans="1:4" x14ac:dyDescent="0.35">
      <c r="A668" t="s">
        <v>83</v>
      </c>
      <c r="B668" t="s">
        <v>27</v>
      </c>
      <c r="C668" t="s">
        <v>65</v>
      </c>
      <c r="D668">
        <v>7.3955153539999996</v>
      </c>
    </row>
    <row r="669" spans="1:4" x14ac:dyDescent="0.35">
      <c r="A669" t="s">
        <v>83</v>
      </c>
      <c r="B669" t="s">
        <v>28</v>
      </c>
      <c r="C669" t="s">
        <v>65</v>
      </c>
      <c r="D669">
        <v>3.7874615669999998</v>
      </c>
    </row>
    <row r="670" spans="1:4" x14ac:dyDescent="0.35">
      <c r="A670" t="s">
        <v>83</v>
      </c>
      <c r="B670" t="s">
        <v>29</v>
      </c>
      <c r="C670" t="s">
        <v>65</v>
      </c>
      <c r="D670">
        <v>0</v>
      </c>
    </row>
    <row r="671" spans="1:4" x14ac:dyDescent="0.35">
      <c r="A671" t="s">
        <v>83</v>
      </c>
      <c r="B671" t="s">
        <v>30</v>
      </c>
      <c r="C671" t="s">
        <v>65</v>
      </c>
      <c r="D671">
        <v>13.589521039999999</v>
      </c>
    </row>
    <row r="672" spans="1:4" x14ac:dyDescent="0.35">
      <c r="A672" t="s">
        <v>83</v>
      </c>
      <c r="B672" t="s">
        <v>31</v>
      </c>
      <c r="C672" t="s">
        <v>65</v>
      </c>
      <c r="D672">
        <v>0</v>
      </c>
    </row>
    <row r="673" spans="1:4" x14ac:dyDescent="0.35">
      <c r="A673" t="s">
        <v>83</v>
      </c>
      <c r="B673" t="s">
        <v>32</v>
      </c>
      <c r="C673" t="s">
        <v>65</v>
      </c>
      <c r="D673">
        <v>0</v>
      </c>
    </row>
    <row r="674" spans="1:4" x14ac:dyDescent="0.35">
      <c r="A674" t="s">
        <v>83</v>
      </c>
      <c r="B674" t="s">
        <v>33</v>
      </c>
      <c r="C674" t="s">
        <v>65</v>
      </c>
      <c r="D674">
        <v>17.455724230000001</v>
      </c>
    </row>
    <row r="675" spans="1:4" x14ac:dyDescent="0.35">
      <c r="A675" t="s">
        <v>83</v>
      </c>
      <c r="B675" t="s">
        <v>34</v>
      </c>
      <c r="C675" t="s">
        <v>65</v>
      </c>
      <c r="D675">
        <v>0</v>
      </c>
    </row>
    <row r="676" spans="1:4" x14ac:dyDescent="0.35">
      <c r="A676" t="s">
        <v>83</v>
      </c>
      <c r="B676" t="s">
        <v>35</v>
      </c>
      <c r="C676" t="s">
        <v>65</v>
      </c>
      <c r="D676">
        <v>8.3502056739999997</v>
      </c>
    </row>
    <row r="677" spans="1:4" x14ac:dyDescent="0.35">
      <c r="A677" t="s">
        <v>83</v>
      </c>
      <c r="B677" t="s">
        <v>36</v>
      </c>
      <c r="C677" t="s">
        <v>65</v>
      </c>
      <c r="D677">
        <v>0</v>
      </c>
    </row>
    <row r="678" spans="1:4" x14ac:dyDescent="0.35">
      <c r="A678" t="s">
        <v>83</v>
      </c>
      <c r="B678" t="s">
        <v>37</v>
      </c>
      <c r="C678" t="s">
        <v>65</v>
      </c>
      <c r="D678">
        <v>2.7031806930000002</v>
      </c>
    </row>
    <row r="679" spans="1:4" x14ac:dyDescent="0.35">
      <c r="A679" t="s">
        <v>83</v>
      </c>
      <c r="B679" t="s">
        <v>38</v>
      </c>
      <c r="C679" t="s">
        <v>65</v>
      </c>
      <c r="D679">
        <v>0.84336031099999997</v>
      </c>
    </row>
    <row r="680" spans="1:4" x14ac:dyDescent="0.35">
      <c r="A680" t="s">
        <v>83</v>
      </c>
      <c r="B680" t="s">
        <v>39</v>
      </c>
      <c r="C680" t="s">
        <v>65</v>
      </c>
      <c r="D680">
        <v>0</v>
      </c>
    </row>
    <row r="681" spans="1:4" x14ac:dyDescent="0.35">
      <c r="A681" t="s">
        <v>83</v>
      </c>
      <c r="B681" t="s">
        <v>40</v>
      </c>
      <c r="C681" t="s">
        <v>65</v>
      </c>
      <c r="D681">
        <v>0</v>
      </c>
    </row>
    <row r="682" spans="1:4" x14ac:dyDescent="0.35">
      <c r="A682" t="s">
        <v>85</v>
      </c>
      <c r="B682" t="s">
        <v>6</v>
      </c>
      <c r="C682" t="s">
        <v>86</v>
      </c>
      <c r="D682">
        <v>0</v>
      </c>
    </row>
    <row r="683" spans="1:4" x14ac:dyDescent="0.35">
      <c r="A683" t="s">
        <v>85</v>
      </c>
      <c r="B683" t="s">
        <v>7</v>
      </c>
      <c r="C683" t="s">
        <v>86</v>
      </c>
      <c r="D683">
        <v>0</v>
      </c>
    </row>
    <row r="684" spans="1:4" x14ac:dyDescent="0.35">
      <c r="A684" t="s">
        <v>85</v>
      </c>
      <c r="B684" t="s">
        <v>8</v>
      </c>
      <c r="C684" t="s">
        <v>86</v>
      </c>
      <c r="D684">
        <v>0</v>
      </c>
    </row>
    <row r="685" spans="1:4" x14ac:dyDescent="0.35">
      <c r="A685" t="s">
        <v>85</v>
      </c>
      <c r="B685" t="s">
        <v>9</v>
      </c>
      <c r="C685" t="s">
        <v>86</v>
      </c>
      <c r="D685">
        <v>0</v>
      </c>
    </row>
    <row r="686" spans="1:4" x14ac:dyDescent="0.35">
      <c r="A686" t="s">
        <v>85</v>
      </c>
      <c r="B686" t="s">
        <v>10</v>
      </c>
      <c r="C686" t="s">
        <v>86</v>
      </c>
      <c r="D686">
        <v>0</v>
      </c>
    </row>
    <row r="687" spans="1:4" x14ac:dyDescent="0.35">
      <c r="A687" t="s">
        <v>85</v>
      </c>
      <c r="B687" t="s">
        <v>11</v>
      </c>
      <c r="C687" t="s">
        <v>86</v>
      </c>
      <c r="D687">
        <v>0</v>
      </c>
    </row>
    <row r="688" spans="1:4" x14ac:dyDescent="0.35">
      <c r="A688" t="s">
        <v>85</v>
      </c>
      <c r="B688" t="s">
        <v>12</v>
      </c>
      <c r="C688" t="s">
        <v>86</v>
      </c>
      <c r="D688">
        <v>0</v>
      </c>
    </row>
    <row r="689" spans="1:4" x14ac:dyDescent="0.35">
      <c r="A689" t="s">
        <v>85</v>
      </c>
      <c r="B689" t="s">
        <v>13</v>
      </c>
      <c r="C689" t="s">
        <v>86</v>
      </c>
      <c r="D689">
        <v>0</v>
      </c>
    </row>
    <row r="690" spans="1:4" x14ac:dyDescent="0.35">
      <c r="A690" t="s">
        <v>85</v>
      </c>
      <c r="B690" t="s">
        <v>14</v>
      </c>
      <c r="C690" t="s">
        <v>86</v>
      </c>
      <c r="D690">
        <v>0</v>
      </c>
    </row>
    <row r="691" spans="1:4" x14ac:dyDescent="0.35">
      <c r="A691" t="s">
        <v>85</v>
      </c>
      <c r="B691" t="s">
        <v>15</v>
      </c>
      <c r="C691" t="s">
        <v>86</v>
      </c>
      <c r="D691">
        <v>48.794094139999999</v>
      </c>
    </row>
    <row r="692" spans="1:4" x14ac:dyDescent="0.35">
      <c r="A692" t="s">
        <v>85</v>
      </c>
      <c r="B692" t="s">
        <v>16</v>
      </c>
      <c r="C692" t="s">
        <v>86</v>
      </c>
      <c r="D692">
        <v>7.0237775400000002</v>
      </c>
    </row>
    <row r="693" spans="1:4" x14ac:dyDescent="0.35">
      <c r="A693" t="s">
        <v>85</v>
      </c>
      <c r="B693" t="s">
        <v>18</v>
      </c>
      <c r="C693" t="s">
        <v>86</v>
      </c>
      <c r="D693">
        <v>0</v>
      </c>
    </row>
    <row r="694" spans="1:4" x14ac:dyDescent="0.35">
      <c r="A694" t="s">
        <v>85</v>
      </c>
      <c r="B694" t="s">
        <v>19</v>
      </c>
      <c r="C694" t="s">
        <v>86</v>
      </c>
      <c r="D694">
        <v>49.7438839</v>
      </c>
    </row>
    <row r="695" spans="1:4" x14ac:dyDescent="0.35">
      <c r="A695" t="s">
        <v>85</v>
      </c>
      <c r="B695" t="s">
        <v>20</v>
      </c>
      <c r="C695" t="s">
        <v>86</v>
      </c>
      <c r="D695">
        <v>22.603483499999999</v>
      </c>
    </row>
    <row r="696" spans="1:4" x14ac:dyDescent="0.35">
      <c r="A696" t="s">
        <v>85</v>
      </c>
      <c r="B696" t="s">
        <v>21</v>
      </c>
      <c r="C696" t="s">
        <v>86</v>
      </c>
      <c r="D696">
        <v>0</v>
      </c>
    </row>
    <row r="697" spans="1:4" x14ac:dyDescent="0.35">
      <c r="A697" t="s">
        <v>85</v>
      </c>
      <c r="B697" t="s">
        <v>22</v>
      </c>
      <c r="C697" t="s">
        <v>86</v>
      </c>
      <c r="D697">
        <v>13.30010689</v>
      </c>
    </row>
    <row r="698" spans="1:4" x14ac:dyDescent="0.35">
      <c r="A698" t="s">
        <v>85</v>
      </c>
      <c r="B698" t="s">
        <v>23</v>
      </c>
      <c r="C698" t="s">
        <v>86</v>
      </c>
      <c r="D698">
        <v>0</v>
      </c>
    </row>
    <row r="699" spans="1:4" x14ac:dyDescent="0.35">
      <c r="A699" t="s">
        <v>85</v>
      </c>
      <c r="B699" t="s">
        <v>24</v>
      </c>
      <c r="C699" t="s">
        <v>86</v>
      </c>
      <c r="D699">
        <v>2.236710253</v>
      </c>
    </row>
    <row r="700" spans="1:4" x14ac:dyDescent="0.35">
      <c r="A700" t="s">
        <v>85</v>
      </c>
      <c r="B700" t="s">
        <v>25</v>
      </c>
      <c r="C700" t="s">
        <v>86</v>
      </c>
      <c r="D700">
        <v>0</v>
      </c>
    </row>
    <row r="701" spans="1:4" x14ac:dyDescent="0.35">
      <c r="A701" t="s">
        <v>85</v>
      </c>
      <c r="B701" t="s">
        <v>26</v>
      </c>
      <c r="C701" t="s">
        <v>86</v>
      </c>
      <c r="D701">
        <v>1.764485396</v>
      </c>
    </row>
    <row r="702" spans="1:4" x14ac:dyDescent="0.35">
      <c r="A702" t="s">
        <v>85</v>
      </c>
      <c r="B702" t="s">
        <v>27</v>
      </c>
      <c r="C702" t="s">
        <v>86</v>
      </c>
      <c r="D702">
        <v>2.8913194899999999</v>
      </c>
    </row>
    <row r="703" spans="1:4" x14ac:dyDescent="0.35">
      <c r="A703" t="s">
        <v>85</v>
      </c>
      <c r="B703" t="s">
        <v>28</v>
      </c>
      <c r="C703" t="s">
        <v>86</v>
      </c>
      <c r="D703">
        <v>4.3585741389999999</v>
      </c>
    </row>
    <row r="704" spans="1:4" x14ac:dyDescent="0.35">
      <c r="A704" t="s">
        <v>85</v>
      </c>
      <c r="B704" t="s">
        <v>29</v>
      </c>
      <c r="C704" t="s">
        <v>86</v>
      </c>
      <c r="D704">
        <v>1.2968314249999999</v>
      </c>
    </row>
    <row r="705" spans="1:4" x14ac:dyDescent="0.35">
      <c r="A705" t="s">
        <v>85</v>
      </c>
      <c r="B705" t="s">
        <v>30</v>
      </c>
      <c r="C705" t="s">
        <v>86</v>
      </c>
      <c r="D705">
        <v>14.12104983</v>
      </c>
    </row>
    <row r="706" spans="1:4" x14ac:dyDescent="0.35">
      <c r="A706" t="s">
        <v>85</v>
      </c>
      <c r="B706" t="s">
        <v>31</v>
      </c>
      <c r="C706" t="s">
        <v>86</v>
      </c>
      <c r="D706">
        <v>0</v>
      </c>
    </row>
    <row r="707" spans="1:4" x14ac:dyDescent="0.35">
      <c r="A707" t="s">
        <v>85</v>
      </c>
      <c r="B707" t="s">
        <v>32</v>
      </c>
      <c r="C707" t="s">
        <v>86</v>
      </c>
      <c r="D707">
        <v>0</v>
      </c>
    </row>
    <row r="708" spans="1:4" x14ac:dyDescent="0.35">
      <c r="A708" t="s">
        <v>85</v>
      </c>
      <c r="B708" t="s">
        <v>33</v>
      </c>
      <c r="C708" t="s">
        <v>86</v>
      </c>
      <c r="D708">
        <v>12.82124069</v>
      </c>
    </row>
    <row r="709" spans="1:4" x14ac:dyDescent="0.35">
      <c r="A709" t="s">
        <v>85</v>
      </c>
      <c r="B709" t="s">
        <v>34</v>
      </c>
      <c r="C709" t="s">
        <v>86</v>
      </c>
      <c r="D709">
        <v>0</v>
      </c>
    </row>
    <row r="710" spans="1:4" x14ac:dyDescent="0.35">
      <c r="A710" t="s">
        <v>85</v>
      </c>
      <c r="B710" t="s">
        <v>35</v>
      </c>
      <c r="C710" t="s">
        <v>86</v>
      </c>
      <c r="D710">
        <v>14.28246717</v>
      </c>
    </row>
    <row r="711" spans="1:4" x14ac:dyDescent="0.35">
      <c r="A711" t="s">
        <v>85</v>
      </c>
      <c r="B711" t="s">
        <v>36</v>
      </c>
      <c r="C711" t="s">
        <v>86</v>
      </c>
      <c r="D711">
        <v>0</v>
      </c>
    </row>
    <row r="712" spans="1:4" x14ac:dyDescent="0.35">
      <c r="A712" t="s">
        <v>85</v>
      </c>
      <c r="B712" t="s">
        <v>37</v>
      </c>
      <c r="C712" t="s">
        <v>86</v>
      </c>
      <c r="D712">
        <v>2.6534412060000001</v>
      </c>
    </row>
    <row r="713" spans="1:4" x14ac:dyDescent="0.35">
      <c r="A713" t="s">
        <v>85</v>
      </c>
      <c r="B713" t="s">
        <v>38</v>
      </c>
      <c r="C713" t="s">
        <v>86</v>
      </c>
      <c r="D713">
        <v>1.2724823540000001</v>
      </c>
    </row>
    <row r="714" spans="1:4" x14ac:dyDescent="0.35">
      <c r="A714" t="s">
        <v>85</v>
      </c>
      <c r="B714" t="s">
        <v>39</v>
      </c>
      <c r="C714" t="s">
        <v>86</v>
      </c>
      <c r="D714">
        <v>0</v>
      </c>
    </row>
    <row r="715" spans="1:4" x14ac:dyDescent="0.35">
      <c r="A715" t="s">
        <v>85</v>
      </c>
      <c r="B715" t="s">
        <v>40</v>
      </c>
      <c r="C715" t="s">
        <v>86</v>
      </c>
      <c r="D715">
        <v>0</v>
      </c>
    </row>
    <row r="716" spans="1:4" x14ac:dyDescent="0.35">
      <c r="A716" t="s">
        <v>88</v>
      </c>
      <c r="B716" t="s">
        <v>6</v>
      </c>
      <c r="C716" t="s">
        <v>86</v>
      </c>
      <c r="D716">
        <v>0</v>
      </c>
    </row>
    <row r="717" spans="1:4" x14ac:dyDescent="0.35">
      <c r="A717" t="s">
        <v>88</v>
      </c>
      <c r="B717" t="s">
        <v>7</v>
      </c>
      <c r="C717" t="s">
        <v>86</v>
      </c>
      <c r="D717">
        <v>0</v>
      </c>
    </row>
    <row r="718" spans="1:4" x14ac:dyDescent="0.35">
      <c r="A718" t="s">
        <v>88</v>
      </c>
      <c r="B718" t="s">
        <v>8</v>
      </c>
      <c r="C718" t="s">
        <v>86</v>
      </c>
      <c r="D718">
        <v>0</v>
      </c>
    </row>
    <row r="719" spans="1:4" x14ac:dyDescent="0.35">
      <c r="A719" t="s">
        <v>88</v>
      </c>
      <c r="B719" t="s">
        <v>9</v>
      </c>
      <c r="C719" t="s">
        <v>86</v>
      </c>
      <c r="D719">
        <v>0</v>
      </c>
    </row>
    <row r="720" spans="1:4" x14ac:dyDescent="0.35">
      <c r="A720" t="s">
        <v>88</v>
      </c>
      <c r="B720" t="s">
        <v>10</v>
      </c>
      <c r="C720" t="s">
        <v>86</v>
      </c>
      <c r="D720">
        <v>0</v>
      </c>
    </row>
    <row r="721" spans="1:4" x14ac:dyDescent="0.35">
      <c r="A721" t="s">
        <v>88</v>
      </c>
      <c r="B721" t="s">
        <v>11</v>
      </c>
      <c r="C721" t="s">
        <v>86</v>
      </c>
      <c r="D721">
        <v>31.827689899999999</v>
      </c>
    </row>
    <row r="722" spans="1:4" x14ac:dyDescent="0.35">
      <c r="A722" t="s">
        <v>88</v>
      </c>
      <c r="B722" t="s">
        <v>12</v>
      </c>
      <c r="C722" t="s">
        <v>86</v>
      </c>
      <c r="D722">
        <v>0</v>
      </c>
    </row>
    <row r="723" spans="1:4" x14ac:dyDescent="0.35">
      <c r="A723" t="s">
        <v>88</v>
      </c>
      <c r="B723" t="s">
        <v>13</v>
      </c>
      <c r="C723" t="s">
        <v>86</v>
      </c>
      <c r="D723">
        <v>0</v>
      </c>
    </row>
    <row r="724" spans="1:4" x14ac:dyDescent="0.35">
      <c r="A724" t="s">
        <v>88</v>
      </c>
      <c r="B724" t="s">
        <v>14</v>
      </c>
      <c r="C724" t="s">
        <v>86</v>
      </c>
      <c r="D724">
        <v>0</v>
      </c>
    </row>
    <row r="725" spans="1:4" x14ac:dyDescent="0.35">
      <c r="A725" t="s">
        <v>88</v>
      </c>
      <c r="B725" t="s">
        <v>15</v>
      </c>
      <c r="C725" t="s">
        <v>86</v>
      </c>
      <c r="D725">
        <v>85.985678340000007</v>
      </c>
    </row>
    <row r="726" spans="1:4" x14ac:dyDescent="0.35">
      <c r="A726" t="s">
        <v>88</v>
      </c>
      <c r="B726" t="s">
        <v>16</v>
      </c>
      <c r="C726" t="s">
        <v>86</v>
      </c>
      <c r="D726">
        <v>45.331056169999997</v>
      </c>
    </row>
    <row r="727" spans="1:4" x14ac:dyDescent="0.35">
      <c r="A727" t="s">
        <v>88</v>
      </c>
      <c r="B727" t="s">
        <v>18</v>
      </c>
      <c r="C727" t="s">
        <v>86</v>
      </c>
      <c r="D727">
        <v>0</v>
      </c>
    </row>
    <row r="728" spans="1:4" x14ac:dyDescent="0.35">
      <c r="A728" t="s">
        <v>88</v>
      </c>
      <c r="B728" t="s">
        <v>19</v>
      </c>
      <c r="C728" t="s">
        <v>86</v>
      </c>
      <c r="D728">
        <v>59.407550200000003</v>
      </c>
    </row>
    <row r="729" spans="1:4" x14ac:dyDescent="0.35">
      <c r="A729" t="s">
        <v>88</v>
      </c>
      <c r="B729" t="s">
        <v>20</v>
      </c>
      <c r="C729" t="s">
        <v>86</v>
      </c>
      <c r="D729">
        <v>3.9833023280000002</v>
      </c>
    </row>
    <row r="730" spans="1:4" x14ac:dyDescent="0.35">
      <c r="A730" t="s">
        <v>88</v>
      </c>
      <c r="B730" t="s">
        <v>21</v>
      </c>
      <c r="C730" t="s">
        <v>86</v>
      </c>
      <c r="D730">
        <v>0</v>
      </c>
    </row>
    <row r="731" spans="1:4" x14ac:dyDescent="0.35">
      <c r="A731" t="s">
        <v>88</v>
      </c>
      <c r="B731" t="s">
        <v>22</v>
      </c>
      <c r="C731" t="s">
        <v>86</v>
      </c>
      <c r="D731">
        <v>22.88752229</v>
      </c>
    </row>
    <row r="732" spans="1:4" x14ac:dyDescent="0.35">
      <c r="A732" t="s">
        <v>88</v>
      </c>
      <c r="B732" t="s">
        <v>23</v>
      </c>
      <c r="C732" t="s">
        <v>86</v>
      </c>
      <c r="D732">
        <v>0.84285737699999996</v>
      </c>
    </row>
    <row r="733" spans="1:4" x14ac:dyDescent="0.35">
      <c r="A733" t="s">
        <v>88</v>
      </c>
      <c r="B733" t="s">
        <v>24</v>
      </c>
      <c r="C733" t="s">
        <v>86</v>
      </c>
      <c r="D733">
        <v>5.2051699180000002</v>
      </c>
    </row>
    <row r="734" spans="1:4" x14ac:dyDescent="0.35">
      <c r="A734" t="s">
        <v>88</v>
      </c>
      <c r="B734" t="s">
        <v>25</v>
      </c>
      <c r="C734" t="s">
        <v>86</v>
      </c>
      <c r="D734">
        <v>1.2300963620000001</v>
      </c>
    </row>
    <row r="735" spans="1:4" x14ac:dyDescent="0.35">
      <c r="A735" t="s">
        <v>88</v>
      </c>
      <c r="B735" t="s">
        <v>26</v>
      </c>
      <c r="C735" t="s">
        <v>86</v>
      </c>
      <c r="D735">
        <v>2.1850405500000001</v>
      </c>
    </row>
    <row r="736" spans="1:4" x14ac:dyDescent="0.35">
      <c r="A736" t="s">
        <v>88</v>
      </c>
      <c r="B736" t="s">
        <v>27</v>
      </c>
      <c r="C736" t="s">
        <v>86</v>
      </c>
      <c r="D736">
        <v>5.0778941489999996</v>
      </c>
    </row>
    <row r="737" spans="1:4" x14ac:dyDescent="0.35">
      <c r="A737" t="s">
        <v>88</v>
      </c>
      <c r="B737" t="s">
        <v>28</v>
      </c>
      <c r="C737" t="s">
        <v>86</v>
      </c>
      <c r="D737">
        <v>5.7606502470000001</v>
      </c>
    </row>
    <row r="738" spans="1:4" x14ac:dyDescent="0.35">
      <c r="A738" t="s">
        <v>88</v>
      </c>
      <c r="B738" t="s">
        <v>29</v>
      </c>
      <c r="C738" t="s">
        <v>86</v>
      </c>
      <c r="D738">
        <v>0.56788119100000001</v>
      </c>
    </row>
    <row r="739" spans="1:4" x14ac:dyDescent="0.35">
      <c r="A739" t="s">
        <v>88</v>
      </c>
      <c r="B739" t="s">
        <v>30</v>
      </c>
      <c r="C739" t="s">
        <v>86</v>
      </c>
      <c r="D739">
        <v>13.91452874</v>
      </c>
    </row>
    <row r="740" spans="1:4" x14ac:dyDescent="0.35">
      <c r="A740" t="s">
        <v>88</v>
      </c>
      <c r="B740" t="s">
        <v>31</v>
      </c>
      <c r="C740" t="s">
        <v>86</v>
      </c>
      <c r="D740">
        <v>0</v>
      </c>
    </row>
    <row r="741" spans="1:4" x14ac:dyDescent="0.35">
      <c r="A741" t="s">
        <v>88</v>
      </c>
      <c r="B741" t="s">
        <v>32</v>
      </c>
      <c r="C741" t="s">
        <v>86</v>
      </c>
      <c r="D741">
        <v>0</v>
      </c>
    </row>
    <row r="742" spans="1:4" x14ac:dyDescent="0.35">
      <c r="A742" t="s">
        <v>88</v>
      </c>
      <c r="B742" t="s">
        <v>33</v>
      </c>
      <c r="C742" t="s">
        <v>86</v>
      </c>
      <c r="D742">
        <v>15.651258049999999</v>
      </c>
    </row>
    <row r="743" spans="1:4" x14ac:dyDescent="0.35">
      <c r="A743" t="s">
        <v>88</v>
      </c>
      <c r="B743" t="s">
        <v>34</v>
      </c>
      <c r="C743" t="s">
        <v>86</v>
      </c>
      <c r="D743">
        <v>0</v>
      </c>
    </row>
    <row r="744" spans="1:4" x14ac:dyDescent="0.35">
      <c r="A744" t="s">
        <v>88</v>
      </c>
      <c r="B744" t="s">
        <v>35</v>
      </c>
      <c r="C744" t="s">
        <v>86</v>
      </c>
      <c r="D744">
        <v>14.4315715</v>
      </c>
    </row>
    <row r="745" spans="1:4" x14ac:dyDescent="0.35">
      <c r="A745" t="s">
        <v>88</v>
      </c>
      <c r="B745" t="s">
        <v>36</v>
      </c>
      <c r="C745" t="s">
        <v>86</v>
      </c>
      <c r="D745">
        <v>0</v>
      </c>
    </row>
    <row r="746" spans="1:4" x14ac:dyDescent="0.35">
      <c r="A746" t="s">
        <v>88</v>
      </c>
      <c r="B746" t="s">
        <v>37</v>
      </c>
      <c r="C746" t="s">
        <v>86</v>
      </c>
      <c r="D746">
        <v>2.9127299999999998</v>
      </c>
    </row>
    <row r="747" spans="1:4" x14ac:dyDescent="0.35">
      <c r="A747" t="s">
        <v>88</v>
      </c>
      <c r="B747" t="s">
        <v>38</v>
      </c>
      <c r="C747" t="s">
        <v>86</v>
      </c>
      <c r="D747">
        <v>0.63222414500000002</v>
      </c>
    </row>
    <row r="748" spans="1:4" x14ac:dyDescent="0.35">
      <c r="A748" t="s">
        <v>88</v>
      </c>
      <c r="B748" t="s">
        <v>39</v>
      </c>
      <c r="C748" t="s">
        <v>86</v>
      </c>
      <c r="D748">
        <v>0</v>
      </c>
    </row>
    <row r="749" spans="1:4" x14ac:dyDescent="0.35">
      <c r="A749" t="s">
        <v>88</v>
      </c>
      <c r="B749" t="s">
        <v>40</v>
      </c>
      <c r="C749" t="s">
        <v>86</v>
      </c>
      <c r="D749">
        <v>0</v>
      </c>
    </row>
    <row r="750" spans="1:4" x14ac:dyDescent="0.35">
      <c r="A750" t="s">
        <v>90</v>
      </c>
      <c r="B750" t="s">
        <v>6</v>
      </c>
      <c r="C750" t="s">
        <v>86</v>
      </c>
      <c r="D750">
        <v>0</v>
      </c>
    </row>
    <row r="751" spans="1:4" x14ac:dyDescent="0.35">
      <c r="A751" t="s">
        <v>90</v>
      </c>
      <c r="B751" t="s">
        <v>7</v>
      </c>
      <c r="C751" t="s">
        <v>86</v>
      </c>
      <c r="D751">
        <v>0</v>
      </c>
    </row>
    <row r="752" spans="1:4" x14ac:dyDescent="0.35">
      <c r="A752" t="s">
        <v>90</v>
      </c>
      <c r="B752" t="s">
        <v>8</v>
      </c>
      <c r="C752" t="s">
        <v>86</v>
      </c>
      <c r="D752">
        <v>0</v>
      </c>
    </row>
    <row r="753" spans="1:4" x14ac:dyDescent="0.35">
      <c r="A753" t="s">
        <v>90</v>
      </c>
      <c r="B753" t="s">
        <v>9</v>
      </c>
      <c r="C753" t="s">
        <v>86</v>
      </c>
      <c r="D753">
        <v>0</v>
      </c>
    </row>
    <row r="754" spans="1:4" x14ac:dyDescent="0.35">
      <c r="A754" t="s">
        <v>90</v>
      </c>
      <c r="B754" t="s">
        <v>10</v>
      </c>
      <c r="C754" t="s">
        <v>86</v>
      </c>
      <c r="D754">
        <v>0</v>
      </c>
    </row>
    <row r="755" spans="1:4" x14ac:dyDescent="0.35">
      <c r="A755" t="s">
        <v>90</v>
      </c>
      <c r="B755" t="s">
        <v>11</v>
      </c>
      <c r="C755" t="s">
        <v>86</v>
      </c>
      <c r="D755">
        <v>0</v>
      </c>
    </row>
    <row r="756" spans="1:4" x14ac:dyDescent="0.35">
      <c r="A756" t="s">
        <v>90</v>
      </c>
      <c r="B756" t="s">
        <v>12</v>
      </c>
      <c r="C756" t="s">
        <v>86</v>
      </c>
      <c r="D756">
        <v>0</v>
      </c>
    </row>
    <row r="757" spans="1:4" x14ac:dyDescent="0.35">
      <c r="A757" t="s">
        <v>90</v>
      </c>
      <c r="B757" t="s">
        <v>13</v>
      </c>
      <c r="C757" t="s">
        <v>86</v>
      </c>
      <c r="D757">
        <v>0</v>
      </c>
    </row>
    <row r="758" spans="1:4" x14ac:dyDescent="0.35">
      <c r="A758" t="s">
        <v>90</v>
      </c>
      <c r="B758" t="s">
        <v>14</v>
      </c>
      <c r="C758" t="s">
        <v>86</v>
      </c>
      <c r="D758">
        <v>0</v>
      </c>
    </row>
    <row r="759" spans="1:4" x14ac:dyDescent="0.35">
      <c r="A759" t="s">
        <v>90</v>
      </c>
      <c r="B759" t="s">
        <v>15</v>
      </c>
      <c r="C759" t="s">
        <v>86</v>
      </c>
      <c r="D759">
        <v>53.213854550000001</v>
      </c>
    </row>
    <row r="760" spans="1:4" x14ac:dyDescent="0.35">
      <c r="A760" t="s">
        <v>90</v>
      </c>
      <c r="B760" t="s">
        <v>16</v>
      </c>
      <c r="C760" t="s">
        <v>86</v>
      </c>
      <c r="D760">
        <v>16.750748739999999</v>
      </c>
    </row>
    <row r="761" spans="1:4" x14ac:dyDescent="0.35">
      <c r="A761" t="s">
        <v>90</v>
      </c>
      <c r="B761" t="s">
        <v>18</v>
      </c>
      <c r="C761" t="s">
        <v>86</v>
      </c>
      <c r="D761">
        <v>0</v>
      </c>
    </row>
    <row r="762" spans="1:4" x14ac:dyDescent="0.35">
      <c r="A762" t="s">
        <v>90</v>
      </c>
      <c r="B762" t="s">
        <v>19</v>
      </c>
      <c r="C762" t="s">
        <v>86</v>
      </c>
      <c r="D762">
        <v>47.065770749999999</v>
      </c>
    </row>
    <row r="763" spans="1:4" x14ac:dyDescent="0.35">
      <c r="A763" t="s">
        <v>90</v>
      </c>
      <c r="B763" t="s">
        <v>20</v>
      </c>
      <c r="C763" t="s">
        <v>86</v>
      </c>
      <c r="D763">
        <v>32.790528459999997</v>
      </c>
    </row>
    <row r="764" spans="1:4" x14ac:dyDescent="0.35">
      <c r="A764" t="s">
        <v>90</v>
      </c>
      <c r="B764" t="s">
        <v>21</v>
      </c>
      <c r="C764" t="s">
        <v>86</v>
      </c>
      <c r="D764">
        <v>0</v>
      </c>
    </row>
    <row r="765" spans="1:4" x14ac:dyDescent="0.35">
      <c r="A765" t="s">
        <v>90</v>
      </c>
      <c r="B765" t="s">
        <v>22</v>
      </c>
      <c r="C765" t="s">
        <v>86</v>
      </c>
      <c r="D765">
        <v>9.3445833109999992</v>
      </c>
    </row>
    <row r="766" spans="1:4" x14ac:dyDescent="0.35">
      <c r="A766" t="s">
        <v>90</v>
      </c>
      <c r="B766" t="s">
        <v>23</v>
      </c>
      <c r="C766" t="s">
        <v>86</v>
      </c>
      <c r="D766">
        <v>0</v>
      </c>
    </row>
    <row r="767" spans="1:4" x14ac:dyDescent="0.35">
      <c r="A767" t="s">
        <v>90</v>
      </c>
      <c r="B767" t="s">
        <v>24</v>
      </c>
      <c r="C767" t="s">
        <v>86</v>
      </c>
      <c r="D767">
        <v>2.1393292860000002</v>
      </c>
    </row>
    <row r="768" spans="1:4" x14ac:dyDescent="0.35">
      <c r="A768" t="s">
        <v>90</v>
      </c>
      <c r="B768" t="s">
        <v>25</v>
      </c>
      <c r="C768" t="s">
        <v>86</v>
      </c>
      <c r="D768">
        <v>0</v>
      </c>
    </row>
    <row r="769" spans="1:4" x14ac:dyDescent="0.35">
      <c r="A769" t="s">
        <v>90</v>
      </c>
      <c r="B769" t="s">
        <v>26</v>
      </c>
      <c r="C769" t="s">
        <v>86</v>
      </c>
      <c r="D769">
        <v>1.1837901980000001</v>
      </c>
    </row>
    <row r="770" spans="1:4" x14ac:dyDescent="0.35">
      <c r="A770" t="s">
        <v>90</v>
      </c>
      <c r="B770" t="s">
        <v>27</v>
      </c>
      <c r="C770" t="s">
        <v>86</v>
      </c>
      <c r="D770">
        <v>1.972296544</v>
      </c>
    </row>
    <row r="771" spans="1:4" x14ac:dyDescent="0.35">
      <c r="A771" t="s">
        <v>90</v>
      </c>
      <c r="B771" t="s">
        <v>28</v>
      </c>
      <c r="C771" t="s">
        <v>86</v>
      </c>
      <c r="D771">
        <v>1.666877613</v>
      </c>
    </row>
    <row r="772" spans="1:4" x14ac:dyDescent="0.35">
      <c r="A772" t="s">
        <v>90</v>
      </c>
      <c r="B772" t="s">
        <v>29</v>
      </c>
      <c r="C772" t="s">
        <v>86</v>
      </c>
      <c r="D772">
        <v>0</v>
      </c>
    </row>
    <row r="773" spans="1:4" x14ac:dyDescent="0.35">
      <c r="A773" t="s">
        <v>90</v>
      </c>
      <c r="B773" t="s">
        <v>30</v>
      </c>
      <c r="C773" t="s">
        <v>86</v>
      </c>
      <c r="D773">
        <v>8.3148913279999999</v>
      </c>
    </row>
    <row r="774" spans="1:4" x14ac:dyDescent="0.35">
      <c r="A774" t="s">
        <v>90</v>
      </c>
      <c r="B774" t="s">
        <v>31</v>
      </c>
      <c r="C774" t="s">
        <v>86</v>
      </c>
      <c r="D774">
        <v>0</v>
      </c>
    </row>
    <row r="775" spans="1:4" x14ac:dyDescent="0.35">
      <c r="A775" t="s">
        <v>90</v>
      </c>
      <c r="B775" t="s">
        <v>32</v>
      </c>
      <c r="C775" t="s">
        <v>86</v>
      </c>
      <c r="D775">
        <v>0</v>
      </c>
    </row>
    <row r="776" spans="1:4" x14ac:dyDescent="0.35">
      <c r="A776" t="s">
        <v>90</v>
      </c>
      <c r="B776" t="s">
        <v>33</v>
      </c>
      <c r="C776" t="s">
        <v>86</v>
      </c>
      <c r="D776">
        <v>7.5737464709999998</v>
      </c>
    </row>
    <row r="777" spans="1:4" x14ac:dyDescent="0.35">
      <c r="A777" t="s">
        <v>90</v>
      </c>
      <c r="B777" t="s">
        <v>34</v>
      </c>
      <c r="C777" t="s">
        <v>86</v>
      </c>
      <c r="D777">
        <v>0</v>
      </c>
    </row>
    <row r="778" spans="1:4" x14ac:dyDescent="0.35">
      <c r="A778" t="s">
        <v>90</v>
      </c>
      <c r="B778" t="s">
        <v>35</v>
      </c>
      <c r="C778" t="s">
        <v>86</v>
      </c>
      <c r="D778">
        <v>10.030989910000001</v>
      </c>
    </row>
    <row r="779" spans="1:4" x14ac:dyDescent="0.35">
      <c r="A779" t="s">
        <v>90</v>
      </c>
      <c r="B779" t="s">
        <v>36</v>
      </c>
      <c r="C779" t="s">
        <v>86</v>
      </c>
      <c r="D779">
        <v>0</v>
      </c>
    </row>
    <row r="780" spans="1:4" x14ac:dyDescent="0.35">
      <c r="A780" t="s">
        <v>90</v>
      </c>
      <c r="B780" t="s">
        <v>37</v>
      </c>
      <c r="C780" t="s">
        <v>86</v>
      </c>
      <c r="D780">
        <v>1.786763208</v>
      </c>
    </row>
    <row r="781" spans="1:4" x14ac:dyDescent="0.35">
      <c r="A781" t="s">
        <v>90</v>
      </c>
      <c r="B781" t="s">
        <v>38</v>
      </c>
      <c r="C781" t="s">
        <v>86</v>
      </c>
      <c r="D781">
        <v>0.52292755800000001</v>
      </c>
    </row>
    <row r="782" spans="1:4" x14ac:dyDescent="0.35">
      <c r="A782" t="s">
        <v>90</v>
      </c>
      <c r="B782" t="s">
        <v>39</v>
      </c>
      <c r="C782" t="s">
        <v>86</v>
      </c>
      <c r="D782">
        <v>0</v>
      </c>
    </row>
    <row r="783" spans="1:4" x14ac:dyDescent="0.35">
      <c r="A783" t="s">
        <v>90</v>
      </c>
      <c r="B783" t="s">
        <v>40</v>
      </c>
      <c r="C783" t="s">
        <v>86</v>
      </c>
      <c r="D783">
        <v>0</v>
      </c>
    </row>
    <row r="784" spans="1:4" x14ac:dyDescent="0.35">
      <c r="A784" t="s">
        <v>92</v>
      </c>
      <c r="B784" t="s">
        <v>6</v>
      </c>
      <c r="C784" t="s">
        <v>86</v>
      </c>
      <c r="D784">
        <v>0</v>
      </c>
    </row>
    <row r="785" spans="1:4" x14ac:dyDescent="0.35">
      <c r="A785" t="s">
        <v>92</v>
      </c>
      <c r="B785" t="s">
        <v>7</v>
      </c>
      <c r="C785" t="s">
        <v>86</v>
      </c>
      <c r="D785">
        <v>0</v>
      </c>
    </row>
    <row r="786" spans="1:4" x14ac:dyDescent="0.35">
      <c r="A786" t="s">
        <v>92</v>
      </c>
      <c r="B786" t="s">
        <v>8</v>
      </c>
      <c r="C786" t="s">
        <v>86</v>
      </c>
      <c r="D786">
        <v>0</v>
      </c>
    </row>
    <row r="787" spans="1:4" x14ac:dyDescent="0.35">
      <c r="A787" t="s">
        <v>92</v>
      </c>
      <c r="B787" t="s">
        <v>9</v>
      </c>
      <c r="C787" t="s">
        <v>86</v>
      </c>
      <c r="D787">
        <v>0</v>
      </c>
    </row>
    <row r="788" spans="1:4" x14ac:dyDescent="0.35">
      <c r="A788" t="s">
        <v>92</v>
      </c>
      <c r="B788" t="s">
        <v>10</v>
      </c>
      <c r="C788" t="s">
        <v>86</v>
      </c>
      <c r="D788">
        <v>0</v>
      </c>
    </row>
    <row r="789" spans="1:4" x14ac:dyDescent="0.35">
      <c r="A789" t="s">
        <v>92</v>
      </c>
      <c r="B789" t="s">
        <v>11</v>
      </c>
      <c r="C789" t="s">
        <v>86</v>
      </c>
      <c r="D789">
        <v>0</v>
      </c>
    </row>
    <row r="790" spans="1:4" x14ac:dyDescent="0.35">
      <c r="A790" t="s">
        <v>92</v>
      </c>
      <c r="B790" t="s">
        <v>12</v>
      </c>
      <c r="C790" t="s">
        <v>86</v>
      </c>
      <c r="D790">
        <v>0</v>
      </c>
    </row>
    <row r="791" spans="1:4" x14ac:dyDescent="0.35">
      <c r="A791" t="s">
        <v>92</v>
      </c>
      <c r="B791" t="s">
        <v>13</v>
      </c>
      <c r="C791" t="s">
        <v>86</v>
      </c>
      <c r="D791">
        <v>0</v>
      </c>
    </row>
    <row r="792" spans="1:4" x14ac:dyDescent="0.35">
      <c r="A792" t="s">
        <v>92</v>
      </c>
      <c r="B792" t="s">
        <v>14</v>
      </c>
      <c r="C792" t="s">
        <v>86</v>
      </c>
      <c r="D792">
        <v>0</v>
      </c>
    </row>
    <row r="793" spans="1:4" x14ac:dyDescent="0.35">
      <c r="A793" t="s">
        <v>92</v>
      </c>
      <c r="B793" t="s">
        <v>15</v>
      </c>
      <c r="C793" t="s">
        <v>86</v>
      </c>
      <c r="D793">
        <v>40.746089750000003</v>
      </c>
    </row>
    <row r="794" spans="1:4" x14ac:dyDescent="0.35">
      <c r="A794" t="s">
        <v>92</v>
      </c>
      <c r="B794" t="s">
        <v>16</v>
      </c>
      <c r="C794" t="s">
        <v>86</v>
      </c>
      <c r="D794">
        <v>12.279133979999999</v>
      </c>
    </row>
    <row r="795" spans="1:4" x14ac:dyDescent="0.35">
      <c r="A795" t="s">
        <v>92</v>
      </c>
      <c r="B795" t="s">
        <v>18</v>
      </c>
      <c r="C795" t="s">
        <v>86</v>
      </c>
      <c r="D795">
        <v>0</v>
      </c>
    </row>
    <row r="796" spans="1:4" x14ac:dyDescent="0.35">
      <c r="A796" t="s">
        <v>92</v>
      </c>
      <c r="B796" t="s">
        <v>19</v>
      </c>
      <c r="C796" t="s">
        <v>86</v>
      </c>
      <c r="D796">
        <v>39.208863579999999</v>
      </c>
    </row>
    <row r="797" spans="1:4" x14ac:dyDescent="0.35">
      <c r="A797" t="s">
        <v>92</v>
      </c>
      <c r="B797" t="s">
        <v>20</v>
      </c>
      <c r="C797" t="s">
        <v>86</v>
      </c>
      <c r="D797">
        <v>27.068036920000001</v>
      </c>
    </row>
    <row r="798" spans="1:4" x14ac:dyDescent="0.35">
      <c r="A798" t="s">
        <v>92</v>
      </c>
      <c r="B798" t="s">
        <v>21</v>
      </c>
      <c r="C798" t="s">
        <v>86</v>
      </c>
      <c r="D798">
        <v>0</v>
      </c>
    </row>
    <row r="799" spans="1:4" x14ac:dyDescent="0.35">
      <c r="A799" t="s">
        <v>92</v>
      </c>
      <c r="B799" t="s">
        <v>22</v>
      </c>
      <c r="C799" t="s">
        <v>86</v>
      </c>
      <c r="D799">
        <v>1.1359318730000001</v>
      </c>
    </row>
    <row r="800" spans="1:4" x14ac:dyDescent="0.35">
      <c r="A800" t="s">
        <v>92</v>
      </c>
      <c r="B800" t="s">
        <v>23</v>
      </c>
      <c r="C800" t="s">
        <v>86</v>
      </c>
      <c r="D800">
        <v>0</v>
      </c>
    </row>
    <row r="801" spans="1:4" x14ac:dyDescent="0.35">
      <c r="A801" t="s">
        <v>92</v>
      </c>
      <c r="B801" t="s">
        <v>24</v>
      </c>
      <c r="C801" t="s">
        <v>86</v>
      </c>
      <c r="D801">
        <v>2.0766143640000001</v>
      </c>
    </row>
    <row r="802" spans="1:4" x14ac:dyDescent="0.35">
      <c r="A802" t="s">
        <v>92</v>
      </c>
      <c r="B802" t="s">
        <v>25</v>
      </c>
      <c r="C802" t="s">
        <v>86</v>
      </c>
      <c r="D802">
        <v>0</v>
      </c>
    </row>
    <row r="803" spans="1:4" x14ac:dyDescent="0.35">
      <c r="A803" t="s">
        <v>92</v>
      </c>
      <c r="B803" t="s">
        <v>26</v>
      </c>
      <c r="C803" t="s">
        <v>86</v>
      </c>
      <c r="D803">
        <v>1.200939939</v>
      </c>
    </row>
    <row r="804" spans="1:4" x14ac:dyDescent="0.35">
      <c r="A804" t="s">
        <v>92</v>
      </c>
      <c r="B804" t="s">
        <v>27</v>
      </c>
      <c r="C804" t="s">
        <v>86</v>
      </c>
      <c r="D804">
        <v>3.565400474</v>
      </c>
    </row>
    <row r="805" spans="1:4" x14ac:dyDescent="0.35">
      <c r="A805" t="s">
        <v>92</v>
      </c>
      <c r="B805" t="s">
        <v>28</v>
      </c>
      <c r="C805" t="s">
        <v>86</v>
      </c>
      <c r="D805">
        <v>3.4552417050000002</v>
      </c>
    </row>
    <row r="806" spans="1:4" x14ac:dyDescent="0.35">
      <c r="A806" t="s">
        <v>92</v>
      </c>
      <c r="B806" t="s">
        <v>29</v>
      </c>
      <c r="C806" t="s">
        <v>86</v>
      </c>
      <c r="D806">
        <v>0.24506771099999999</v>
      </c>
    </row>
    <row r="807" spans="1:4" x14ac:dyDescent="0.35">
      <c r="A807" t="s">
        <v>92</v>
      </c>
      <c r="B807" t="s">
        <v>30</v>
      </c>
      <c r="C807" t="s">
        <v>86</v>
      </c>
      <c r="D807">
        <v>8.5342472629999993</v>
      </c>
    </row>
    <row r="808" spans="1:4" x14ac:dyDescent="0.35">
      <c r="A808" t="s">
        <v>92</v>
      </c>
      <c r="B808" t="s">
        <v>31</v>
      </c>
      <c r="C808" t="s">
        <v>86</v>
      </c>
      <c r="D808">
        <v>0</v>
      </c>
    </row>
    <row r="809" spans="1:4" x14ac:dyDescent="0.35">
      <c r="A809" t="s">
        <v>92</v>
      </c>
      <c r="B809" t="s">
        <v>32</v>
      </c>
      <c r="C809" t="s">
        <v>86</v>
      </c>
      <c r="D809">
        <v>0</v>
      </c>
    </row>
    <row r="810" spans="1:4" x14ac:dyDescent="0.35">
      <c r="A810" t="s">
        <v>92</v>
      </c>
      <c r="B810" t="s">
        <v>33</v>
      </c>
      <c r="C810" t="s">
        <v>86</v>
      </c>
      <c r="D810">
        <v>9.0117544190000007</v>
      </c>
    </row>
    <row r="811" spans="1:4" x14ac:dyDescent="0.35">
      <c r="A811" t="s">
        <v>92</v>
      </c>
      <c r="B811" t="s">
        <v>34</v>
      </c>
      <c r="C811" t="s">
        <v>86</v>
      </c>
      <c r="D811">
        <v>0</v>
      </c>
    </row>
    <row r="812" spans="1:4" x14ac:dyDescent="0.35">
      <c r="A812" t="s">
        <v>92</v>
      </c>
      <c r="B812" t="s">
        <v>35</v>
      </c>
      <c r="C812" t="s">
        <v>86</v>
      </c>
      <c r="D812">
        <v>10.117781709999999</v>
      </c>
    </row>
    <row r="813" spans="1:4" x14ac:dyDescent="0.35">
      <c r="A813" t="s">
        <v>92</v>
      </c>
      <c r="B813" t="s">
        <v>36</v>
      </c>
      <c r="C813" t="s">
        <v>86</v>
      </c>
      <c r="D813">
        <v>0</v>
      </c>
    </row>
    <row r="814" spans="1:4" x14ac:dyDescent="0.35">
      <c r="A814" t="s">
        <v>92</v>
      </c>
      <c r="B814" t="s">
        <v>37</v>
      </c>
      <c r="C814" t="s">
        <v>86</v>
      </c>
      <c r="D814">
        <v>2.001407231</v>
      </c>
    </row>
    <row r="815" spans="1:4" x14ac:dyDescent="0.35">
      <c r="A815" t="s">
        <v>92</v>
      </c>
      <c r="B815" t="s">
        <v>38</v>
      </c>
      <c r="C815" t="s">
        <v>86</v>
      </c>
      <c r="D815">
        <v>0.53756052799999998</v>
      </c>
    </row>
    <row r="816" spans="1:4" x14ac:dyDescent="0.35">
      <c r="A816" t="s">
        <v>92</v>
      </c>
      <c r="B816" t="s">
        <v>39</v>
      </c>
      <c r="C816" t="s">
        <v>86</v>
      </c>
      <c r="D816">
        <v>0</v>
      </c>
    </row>
    <row r="817" spans="1:4" x14ac:dyDescent="0.35">
      <c r="A817" t="s">
        <v>92</v>
      </c>
      <c r="B817" t="s">
        <v>40</v>
      </c>
      <c r="C817" t="s">
        <v>86</v>
      </c>
      <c r="D817">
        <v>0</v>
      </c>
    </row>
    <row r="818" spans="1:4" x14ac:dyDescent="0.35">
      <c r="A818" t="s">
        <v>94</v>
      </c>
      <c r="B818" t="s">
        <v>6</v>
      </c>
      <c r="C818" t="s">
        <v>86</v>
      </c>
      <c r="D818">
        <v>0</v>
      </c>
    </row>
    <row r="819" spans="1:4" x14ac:dyDescent="0.35">
      <c r="A819" t="s">
        <v>94</v>
      </c>
      <c r="B819" t="s">
        <v>7</v>
      </c>
      <c r="C819" t="s">
        <v>86</v>
      </c>
      <c r="D819">
        <v>0</v>
      </c>
    </row>
    <row r="820" spans="1:4" x14ac:dyDescent="0.35">
      <c r="A820" t="s">
        <v>94</v>
      </c>
      <c r="B820" t="s">
        <v>8</v>
      </c>
      <c r="C820" t="s">
        <v>86</v>
      </c>
      <c r="D820">
        <v>0</v>
      </c>
    </row>
    <row r="821" spans="1:4" x14ac:dyDescent="0.35">
      <c r="A821" t="s">
        <v>94</v>
      </c>
      <c r="B821" t="s">
        <v>9</v>
      </c>
      <c r="C821" t="s">
        <v>86</v>
      </c>
      <c r="D821">
        <v>0</v>
      </c>
    </row>
    <row r="822" spans="1:4" x14ac:dyDescent="0.35">
      <c r="A822" t="s">
        <v>94</v>
      </c>
      <c r="B822" t="s">
        <v>10</v>
      </c>
      <c r="C822" t="s">
        <v>86</v>
      </c>
      <c r="D822">
        <v>0</v>
      </c>
    </row>
    <row r="823" spans="1:4" x14ac:dyDescent="0.35">
      <c r="A823" t="s">
        <v>94</v>
      </c>
      <c r="B823" t="s">
        <v>11</v>
      </c>
      <c r="C823" t="s">
        <v>86</v>
      </c>
      <c r="D823">
        <v>0</v>
      </c>
    </row>
    <row r="824" spans="1:4" x14ac:dyDescent="0.35">
      <c r="A824" t="s">
        <v>94</v>
      </c>
      <c r="B824" t="s">
        <v>12</v>
      </c>
      <c r="C824" t="s">
        <v>86</v>
      </c>
      <c r="D824">
        <v>0</v>
      </c>
    </row>
    <row r="825" spans="1:4" x14ac:dyDescent="0.35">
      <c r="A825" t="s">
        <v>94</v>
      </c>
      <c r="B825" t="s">
        <v>13</v>
      </c>
      <c r="C825" t="s">
        <v>86</v>
      </c>
      <c r="D825">
        <v>0</v>
      </c>
    </row>
    <row r="826" spans="1:4" x14ac:dyDescent="0.35">
      <c r="A826" t="s">
        <v>94</v>
      </c>
      <c r="B826" t="s">
        <v>14</v>
      </c>
      <c r="C826" t="s">
        <v>86</v>
      </c>
      <c r="D826">
        <v>0</v>
      </c>
    </row>
    <row r="827" spans="1:4" x14ac:dyDescent="0.35">
      <c r="A827" t="s">
        <v>94</v>
      </c>
      <c r="B827" t="s">
        <v>15</v>
      </c>
      <c r="C827" t="s">
        <v>86</v>
      </c>
      <c r="D827">
        <v>102.8419502</v>
      </c>
    </row>
    <row r="828" spans="1:4" x14ac:dyDescent="0.35">
      <c r="A828" t="s">
        <v>94</v>
      </c>
      <c r="B828" t="s">
        <v>16</v>
      </c>
      <c r="C828" t="s">
        <v>86</v>
      </c>
      <c r="D828">
        <v>54.619123199999997</v>
      </c>
    </row>
    <row r="829" spans="1:4" x14ac:dyDescent="0.35">
      <c r="A829" t="s">
        <v>94</v>
      </c>
      <c r="B829" t="s">
        <v>18</v>
      </c>
      <c r="C829" t="s">
        <v>86</v>
      </c>
      <c r="D829">
        <v>0</v>
      </c>
    </row>
    <row r="830" spans="1:4" x14ac:dyDescent="0.35">
      <c r="A830" t="s">
        <v>94</v>
      </c>
      <c r="B830" t="s">
        <v>19</v>
      </c>
      <c r="C830" t="s">
        <v>86</v>
      </c>
      <c r="D830">
        <v>65.318104700000006</v>
      </c>
    </row>
    <row r="831" spans="1:4" x14ac:dyDescent="0.35">
      <c r="A831" t="s">
        <v>94</v>
      </c>
      <c r="B831" t="s">
        <v>20</v>
      </c>
      <c r="C831" t="s">
        <v>86</v>
      </c>
      <c r="D831">
        <v>76.086563830000003</v>
      </c>
    </row>
    <row r="832" spans="1:4" x14ac:dyDescent="0.35">
      <c r="A832" t="s">
        <v>94</v>
      </c>
      <c r="B832" t="s">
        <v>21</v>
      </c>
      <c r="C832" t="s">
        <v>86</v>
      </c>
      <c r="D832">
        <v>0</v>
      </c>
    </row>
    <row r="833" spans="1:4" x14ac:dyDescent="0.35">
      <c r="A833" t="s">
        <v>94</v>
      </c>
      <c r="B833" t="s">
        <v>22</v>
      </c>
      <c r="C833" t="s">
        <v>86</v>
      </c>
      <c r="D833">
        <v>27.88692301</v>
      </c>
    </row>
    <row r="834" spans="1:4" x14ac:dyDescent="0.35">
      <c r="A834" t="s">
        <v>94</v>
      </c>
      <c r="B834" t="s">
        <v>23</v>
      </c>
      <c r="C834" t="s">
        <v>86</v>
      </c>
      <c r="D834">
        <v>0</v>
      </c>
    </row>
    <row r="835" spans="1:4" x14ac:dyDescent="0.35">
      <c r="A835" t="s">
        <v>94</v>
      </c>
      <c r="B835" t="s">
        <v>24</v>
      </c>
      <c r="C835" t="s">
        <v>86</v>
      </c>
      <c r="D835">
        <v>5.7738537130000003</v>
      </c>
    </row>
    <row r="836" spans="1:4" x14ac:dyDescent="0.35">
      <c r="A836" t="s">
        <v>94</v>
      </c>
      <c r="B836" t="s">
        <v>25</v>
      </c>
      <c r="C836" t="s">
        <v>86</v>
      </c>
      <c r="D836">
        <v>0.13327724299999999</v>
      </c>
    </row>
    <row r="837" spans="1:4" x14ac:dyDescent="0.35">
      <c r="A837" t="s">
        <v>94</v>
      </c>
      <c r="B837" t="s">
        <v>26</v>
      </c>
      <c r="C837" t="s">
        <v>86</v>
      </c>
      <c r="D837">
        <v>1.7836645719999999</v>
      </c>
    </row>
    <row r="838" spans="1:4" x14ac:dyDescent="0.35">
      <c r="A838" t="s">
        <v>94</v>
      </c>
      <c r="B838" t="s">
        <v>27</v>
      </c>
      <c r="C838" t="s">
        <v>86</v>
      </c>
      <c r="D838">
        <v>6.5290340279999999</v>
      </c>
    </row>
    <row r="839" spans="1:4" x14ac:dyDescent="0.35">
      <c r="A839" t="s">
        <v>94</v>
      </c>
      <c r="B839" t="s">
        <v>28</v>
      </c>
      <c r="C839" t="s">
        <v>86</v>
      </c>
      <c r="D839">
        <v>4.4235241299999997</v>
      </c>
    </row>
    <row r="840" spans="1:4" x14ac:dyDescent="0.35">
      <c r="A840" t="s">
        <v>94</v>
      </c>
      <c r="B840" t="s">
        <v>29</v>
      </c>
      <c r="C840" t="s">
        <v>86</v>
      </c>
      <c r="D840">
        <v>0</v>
      </c>
    </row>
    <row r="841" spans="1:4" x14ac:dyDescent="0.35">
      <c r="A841" t="s">
        <v>94</v>
      </c>
      <c r="B841" t="s">
        <v>30</v>
      </c>
      <c r="C841" t="s">
        <v>86</v>
      </c>
      <c r="D841">
        <v>12.03124925</v>
      </c>
    </row>
    <row r="842" spans="1:4" x14ac:dyDescent="0.35">
      <c r="A842" t="s">
        <v>94</v>
      </c>
      <c r="B842" t="s">
        <v>31</v>
      </c>
      <c r="C842" t="s">
        <v>86</v>
      </c>
      <c r="D842">
        <v>0</v>
      </c>
    </row>
    <row r="843" spans="1:4" x14ac:dyDescent="0.35">
      <c r="A843" t="s">
        <v>94</v>
      </c>
      <c r="B843" t="s">
        <v>32</v>
      </c>
      <c r="C843" t="s">
        <v>86</v>
      </c>
      <c r="D843">
        <v>0</v>
      </c>
    </row>
    <row r="844" spans="1:4" x14ac:dyDescent="0.35">
      <c r="A844" t="s">
        <v>94</v>
      </c>
      <c r="B844" t="s">
        <v>33</v>
      </c>
      <c r="C844" t="s">
        <v>86</v>
      </c>
      <c r="D844">
        <v>14.016844430000001</v>
      </c>
    </row>
    <row r="845" spans="1:4" x14ac:dyDescent="0.35">
      <c r="A845" t="s">
        <v>94</v>
      </c>
      <c r="B845" t="s">
        <v>34</v>
      </c>
      <c r="C845" t="s">
        <v>86</v>
      </c>
      <c r="D845">
        <v>0</v>
      </c>
    </row>
    <row r="846" spans="1:4" x14ac:dyDescent="0.35">
      <c r="A846" t="s">
        <v>94</v>
      </c>
      <c r="B846" t="s">
        <v>35</v>
      </c>
      <c r="C846" t="s">
        <v>86</v>
      </c>
      <c r="D846">
        <v>19.154527059999999</v>
      </c>
    </row>
    <row r="847" spans="1:4" x14ac:dyDescent="0.35">
      <c r="A847" t="s">
        <v>94</v>
      </c>
      <c r="B847" t="s">
        <v>36</v>
      </c>
      <c r="C847" t="s">
        <v>86</v>
      </c>
      <c r="D847">
        <v>7.8927208999999998E-2</v>
      </c>
    </row>
    <row r="848" spans="1:4" x14ac:dyDescent="0.35">
      <c r="A848" t="s">
        <v>94</v>
      </c>
      <c r="B848" t="s">
        <v>37</v>
      </c>
      <c r="C848" t="s">
        <v>86</v>
      </c>
      <c r="D848">
        <v>2.143571412</v>
      </c>
    </row>
    <row r="849" spans="1:4" x14ac:dyDescent="0.35">
      <c r="A849" t="s">
        <v>94</v>
      </c>
      <c r="B849" t="s">
        <v>38</v>
      </c>
      <c r="C849" t="s">
        <v>86</v>
      </c>
      <c r="D849">
        <v>0.57202321499999997</v>
      </c>
    </row>
    <row r="850" spans="1:4" x14ac:dyDescent="0.35">
      <c r="A850" t="s">
        <v>94</v>
      </c>
      <c r="B850" t="s">
        <v>39</v>
      </c>
      <c r="C850" t="s">
        <v>86</v>
      </c>
      <c r="D850">
        <v>0</v>
      </c>
    </row>
    <row r="851" spans="1:4" x14ac:dyDescent="0.35">
      <c r="A851" t="s">
        <v>94</v>
      </c>
      <c r="B851" t="s">
        <v>40</v>
      </c>
      <c r="C851" t="s">
        <v>86</v>
      </c>
      <c r="D851">
        <v>0</v>
      </c>
    </row>
    <row r="852" spans="1:4" x14ac:dyDescent="0.35">
      <c r="A852" t="s">
        <v>96</v>
      </c>
      <c r="B852" t="s">
        <v>6</v>
      </c>
      <c r="C852" t="s">
        <v>86</v>
      </c>
      <c r="D852">
        <v>0</v>
      </c>
    </row>
    <row r="853" spans="1:4" x14ac:dyDescent="0.35">
      <c r="A853" t="s">
        <v>96</v>
      </c>
      <c r="B853" t="s">
        <v>7</v>
      </c>
      <c r="C853" t="s">
        <v>86</v>
      </c>
      <c r="D853">
        <v>0</v>
      </c>
    </row>
    <row r="854" spans="1:4" x14ac:dyDescent="0.35">
      <c r="A854" t="s">
        <v>96</v>
      </c>
      <c r="B854" t="s">
        <v>8</v>
      </c>
      <c r="C854" t="s">
        <v>86</v>
      </c>
      <c r="D854">
        <v>0</v>
      </c>
    </row>
    <row r="855" spans="1:4" x14ac:dyDescent="0.35">
      <c r="A855" t="s">
        <v>96</v>
      </c>
      <c r="B855" t="s">
        <v>9</v>
      </c>
      <c r="C855" t="s">
        <v>86</v>
      </c>
      <c r="D855">
        <v>0</v>
      </c>
    </row>
    <row r="856" spans="1:4" x14ac:dyDescent="0.35">
      <c r="A856" t="s">
        <v>96</v>
      </c>
      <c r="B856" t="s">
        <v>10</v>
      </c>
      <c r="C856" t="s">
        <v>86</v>
      </c>
      <c r="D856">
        <v>0</v>
      </c>
    </row>
    <row r="857" spans="1:4" x14ac:dyDescent="0.35">
      <c r="A857" t="s">
        <v>96</v>
      </c>
      <c r="B857" t="s">
        <v>11</v>
      </c>
      <c r="C857" t="s">
        <v>86</v>
      </c>
      <c r="D857">
        <v>0</v>
      </c>
    </row>
    <row r="858" spans="1:4" x14ac:dyDescent="0.35">
      <c r="A858" t="s">
        <v>96</v>
      </c>
      <c r="B858" t="s">
        <v>12</v>
      </c>
      <c r="C858" t="s">
        <v>86</v>
      </c>
      <c r="D858">
        <v>0</v>
      </c>
    </row>
    <row r="859" spans="1:4" x14ac:dyDescent="0.35">
      <c r="A859" t="s">
        <v>96</v>
      </c>
      <c r="B859" t="s">
        <v>13</v>
      </c>
      <c r="C859" t="s">
        <v>86</v>
      </c>
      <c r="D859">
        <v>0.81964377799999999</v>
      </c>
    </row>
    <row r="860" spans="1:4" x14ac:dyDescent="0.35">
      <c r="A860" t="s">
        <v>96</v>
      </c>
      <c r="B860" t="s">
        <v>14</v>
      </c>
      <c r="C860" t="s">
        <v>86</v>
      </c>
      <c r="D860">
        <v>0</v>
      </c>
    </row>
    <row r="861" spans="1:4" x14ac:dyDescent="0.35">
      <c r="A861" t="s">
        <v>96</v>
      </c>
      <c r="B861" t="s">
        <v>15</v>
      </c>
      <c r="C861" t="s">
        <v>86</v>
      </c>
      <c r="D861">
        <v>97.670699099999993</v>
      </c>
    </row>
    <row r="862" spans="1:4" x14ac:dyDescent="0.35">
      <c r="A862" t="s">
        <v>96</v>
      </c>
      <c r="B862" t="s">
        <v>16</v>
      </c>
      <c r="C862" t="s">
        <v>86</v>
      </c>
      <c r="D862">
        <v>40.37307019</v>
      </c>
    </row>
    <row r="863" spans="1:4" x14ac:dyDescent="0.35">
      <c r="A863" t="s">
        <v>96</v>
      </c>
      <c r="B863" t="s">
        <v>18</v>
      </c>
      <c r="C863" t="s">
        <v>86</v>
      </c>
      <c r="D863">
        <v>1.685318713</v>
      </c>
    </row>
    <row r="864" spans="1:4" x14ac:dyDescent="0.35">
      <c r="A864" t="s">
        <v>96</v>
      </c>
      <c r="B864" t="s">
        <v>19</v>
      </c>
      <c r="C864" t="s">
        <v>86</v>
      </c>
      <c r="D864">
        <v>70.96800125</v>
      </c>
    </row>
    <row r="865" spans="1:4" x14ac:dyDescent="0.35">
      <c r="A865" t="s">
        <v>96</v>
      </c>
      <c r="B865" t="s">
        <v>20</v>
      </c>
      <c r="C865" t="s">
        <v>86</v>
      </c>
      <c r="D865">
        <v>52.877214610000003</v>
      </c>
    </row>
    <row r="866" spans="1:4" x14ac:dyDescent="0.35">
      <c r="A866" t="s">
        <v>96</v>
      </c>
      <c r="B866" t="s">
        <v>21</v>
      </c>
      <c r="C866" t="s">
        <v>86</v>
      </c>
      <c r="D866">
        <v>0</v>
      </c>
    </row>
    <row r="867" spans="1:4" x14ac:dyDescent="0.35">
      <c r="A867" t="s">
        <v>96</v>
      </c>
      <c r="B867" t="s">
        <v>22</v>
      </c>
      <c r="C867" t="s">
        <v>86</v>
      </c>
      <c r="D867">
        <v>24.152123530000001</v>
      </c>
    </row>
    <row r="868" spans="1:4" x14ac:dyDescent="0.35">
      <c r="A868" t="s">
        <v>96</v>
      </c>
      <c r="B868" t="s">
        <v>23</v>
      </c>
      <c r="C868" t="s">
        <v>86</v>
      </c>
      <c r="D868">
        <v>0.70814566300000004</v>
      </c>
    </row>
    <row r="869" spans="1:4" x14ac:dyDescent="0.35">
      <c r="A869" t="s">
        <v>96</v>
      </c>
      <c r="B869" t="s">
        <v>24</v>
      </c>
      <c r="C869" t="s">
        <v>86</v>
      </c>
      <c r="D869">
        <v>4.4849747720000002</v>
      </c>
    </row>
    <row r="870" spans="1:4" x14ac:dyDescent="0.35">
      <c r="A870" t="s">
        <v>96</v>
      </c>
      <c r="B870" t="s">
        <v>25</v>
      </c>
      <c r="C870" t="s">
        <v>86</v>
      </c>
      <c r="D870">
        <v>1.6918279000000001E-2</v>
      </c>
    </row>
    <row r="871" spans="1:4" x14ac:dyDescent="0.35">
      <c r="A871" t="s">
        <v>96</v>
      </c>
      <c r="B871" t="s">
        <v>26</v>
      </c>
      <c r="C871" t="s">
        <v>86</v>
      </c>
      <c r="D871">
        <v>2.4281029379999999</v>
      </c>
    </row>
    <row r="872" spans="1:4" x14ac:dyDescent="0.35">
      <c r="A872" t="s">
        <v>96</v>
      </c>
      <c r="B872" t="s">
        <v>27</v>
      </c>
      <c r="C872" t="s">
        <v>86</v>
      </c>
      <c r="D872">
        <v>3.8455482490000001</v>
      </c>
    </row>
    <row r="873" spans="1:4" x14ac:dyDescent="0.35">
      <c r="A873" t="s">
        <v>96</v>
      </c>
      <c r="B873" t="s">
        <v>28</v>
      </c>
      <c r="C873" t="s">
        <v>86</v>
      </c>
      <c r="D873">
        <v>4.2955516029999998</v>
      </c>
    </row>
    <row r="874" spans="1:4" x14ac:dyDescent="0.35">
      <c r="A874" t="s">
        <v>96</v>
      </c>
      <c r="B874" t="s">
        <v>29</v>
      </c>
      <c r="C874" t="s">
        <v>86</v>
      </c>
      <c r="D874">
        <v>0</v>
      </c>
    </row>
    <row r="875" spans="1:4" x14ac:dyDescent="0.35">
      <c r="A875" t="s">
        <v>96</v>
      </c>
      <c r="B875" t="s">
        <v>30</v>
      </c>
      <c r="C875" t="s">
        <v>86</v>
      </c>
      <c r="D875">
        <v>15.84507142</v>
      </c>
    </row>
    <row r="876" spans="1:4" x14ac:dyDescent="0.35">
      <c r="A876" t="s">
        <v>96</v>
      </c>
      <c r="B876" t="s">
        <v>31</v>
      </c>
      <c r="C876" t="s">
        <v>86</v>
      </c>
      <c r="D876">
        <v>0</v>
      </c>
    </row>
    <row r="877" spans="1:4" x14ac:dyDescent="0.35">
      <c r="A877" t="s">
        <v>96</v>
      </c>
      <c r="B877" t="s">
        <v>32</v>
      </c>
      <c r="C877" t="s">
        <v>86</v>
      </c>
      <c r="D877">
        <v>0</v>
      </c>
    </row>
    <row r="878" spans="1:4" x14ac:dyDescent="0.35">
      <c r="A878" t="s">
        <v>96</v>
      </c>
      <c r="B878" t="s">
        <v>33</v>
      </c>
      <c r="C878" t="s">
        <v>86</v>
      </c>
      <c r="D878">
        <v>16.612182610000001</v>
      </c>
    </row>
    <row r="879" spans="1:4" x14ac:dyDescent="0.35">
      <c r="A879" t="s">
        <v>96</v>
      </c>
      <c r="B879" t="s">
        <v>34</v>
      </c>
      <c r="C879" t="s">
        <v>86</v>
      </c>
      <c r="D879">
        <v>0</v>
      </c>
    </row>
    <row r="880" spans="1:4" x14ac:dyDescent="0.35">
      <c r="A880" t="s">
        <v>96</v>
      </c>
      <c r="B880" t="s">
        <v>35</v>
      </c>
      <c r="C880" t="s">
        <v>86</v>
      </c>
      <c r="D880">
        <v>22.531505299999999</v>
      </c>
    </row>
    <row r="881" spans="1:4" x14ac:dyDescent="0.35">
      <c r="A881" t="s">
        <v>96</v>
      </c>
      <c r="B881" t="s">
        <v>36</v>
      </c>
      <c r="C881" t="s">
        <v>86</v>
      </c>
      <c r="D881">
        <v>0</v>
      </c>
    </row>
    <row r="882" spans="1:4" x14ac:dyDescent="0.35">
      <c r="A882" t="s">
        <v>96</v>
      </c>
      <c r="B882" t="s">
        <v>37</v>
      </c>
      <c r="C882" t="s">
        <v>86</v>
      </c>
      <c r="D882">
        <v>2.7549915349999998</v>
      </c>
    </row>
    <row r="883" spans="1:4" x14ac:dyDescent="0.35">
      <c r="A883" t="s">
        <v>96</v>
      </c>
      <c r="B883" t="s">
        <v>38</v>
      </c>
      <c r="C883" t="s">
        <v>86</v>
      </c>
      <c r="D883">
        <v>0.85809327300000005</v>
      </c>
    </row>
    <row r="884" spans="1:4" x14ac:dyDescent="0.35">
      <c r="A884" t="s">
        <v>96</v>
      </c>
      <c r="B884" t="s">
        <v>39</v>
      </c>
      <c r="C884" t="s">
        <v>86</v>
      </c>
      <c r="D884">
        <v>0</v>
      </c>
    </row>
    <row r="885" spans="1:4" x14ac:dyDescent="0.35">
      <c r="A885" t="s">
        <v>96</v>
      </c>
      <c r="B885" t="s">
        <v>40</v>
      </c>
      <c r="C885" t="s">
        <v>86</v>
      </c>
      <c r="D885">
        <v>0</v>
      </c>
    </row>
    <row r="886" spans="1:4" x14ac:dyDescent="0.35">
      <c r="A886" t="s">
        <v>97</v>
      </c>
      <c r="B886" t="s">
        <v>6</v>
      </c>
      <c r="C886" t="s">
        <v>86</v>
      </c>
      <c r="D886">
        <v>0</v>
      </c>
    </row>
    <row r="887" spans="1:4" x14ac:dyDescent="0.35">
      <c r="A887" t="s">
        <v>97</v>
      </c>
      <c r="B887" t="s">
        <v>7</v>
      </c>
      <c r="C887" t="s">
        <v>86</v>
      </c>
      <c r="D887">
        <v>0</v>
      </c>
    </row>
    <row r="888" spans="1:4" x14ac:dyDescent="0.35">
      <c r="A888" t="s">
        <v>97</v>
      </c>
      <c r="B888" t="s">
        <v>8</v>
      </c>
      <c r="C888" t="s">
        <v>86</v>
      </c>
      <c r="D888">
        <v>0</v>
      </c>
    </row>
    <row r="889" spans="1:4" x14ac:dyDescent="0.35">
      <c r="A889" t="s">
        <v>97</v>
      </c>
      <c r="B889" t="s">
        <v>9</v>
      </c>
      <c r="C889" t="s">
        <v>86</v>
      </c>
      <c r="D889">
        <v>0</v>
      </c>
    </row>
    <row r="890" spans="1:4" x14ac:dyDescent="0.35">
      <c r="A890" t="s">
        <v>97</v>
      </c>
      <c r="B890" t="s">
        <v>10</v>
      </c>
      <c r="C890" t="s">
        <v>86</v>
      </c>
      <c r="D890">
        <v>0</v>
      </c>
    </row>
    <row r="891" spans="1:4" x14ac:dyDescent="0.35">
      <c r="A891" t="s">
        <v>97</v>
      </c>
      <c r="B891" t="s">
        <v>11</v>
      </c>
      <c r="C891" t="s">
        <v>86</v>
      </c>
      <c r="D891">
        <v>0</v>
      </c>
    </row>
    <row r="892" spans="1:4" x14ac:dyDescent="0.35">
      <c r="A892" t="s">
        <v>97</v>
      </c>
      <c r="B892" t="s">
        <v>12</v>
      </c>
      <c r="C892" t="s">
        <v>86</v>
      </c>
      <c r="D892">
        <v>0</v>
      </c>
    </row>
    <row r="893" spans="1:4" x14ac:dyDescent="0.35">
      <c r="A893" t="s">
        <v>97</v>
      </c>
      <c r="B893" t="s">
        <v>13</v>
      </c>
      <c r="C893" t="s">
        <v>86</v>
      </c>
      <c r="D893">
        <v>0.69546013500000003</v>
      </c>
    </row>
    <row r="894" spans="1:4" x14ac:dyDescent="0.35">
      <c r="A894" t="s">
        <v>97</v>
      </c>
      <c r="B894" t="s">
        <v>14</v>
      </c>
      <c r="C894" t="s">
        <v>86</v>
      </c>
      <c r="D894">
        <v>0</v>
      </c>
    </row>
    <row r="895" spans="1:4" x14ac:dyDescent="0.35">
      <c r="A895" t="s">
        <v>97</v>
      </c>
      <c r="B895" t="s">
        <v>15</v>
      </c>
      <c r="C895" t="s">
        <v>86</v>
      </c>
      <c r="D895">
        <v>94.785619800000006</v>
      </c>
    </row>
    <row r="896" spans="1:4" x14ac:dyDescent="0.35">
      <c r="A896" t="s">
        <v>97</v>
      </c>
      <c r="B896" t="s">
        <v>16</v>
      </c>
      <c r="C896" t="s">
        <v>86</v>
      </c>
      <c r="D896">
        <v>2.9091264020000001</v>
      </c>
    </row>
    <row r="897" spans="1:4" x14ac:dyDescent="0.35">
      <c r="A897" t="s">
        <v>97</v>
      </c>
      <c r="B897" t="s">
        <v>18</v>
      </c>
      <c r="C897" t="s">
        <v>86</v>
      </c>
      <c r="D897">
        <v>0</v>
      </c>
    </row>
    <row r="898" spans="1:4" x14ac:dyDescent="0.35">
      <c r="A898" t="s">
        <v>97</v>
      </c>
      <c r="B898" t="s">
        <v>19</v>
      </c>
      <c r="C898" t="s">
        <v>86</v>
      </c>
      <c r="D898">
        <v>87.696522259999995</v>
      </c>
    </row>
    <row r="899" spans="1:4" x14ac:dyDescent="0.35">
      <c r="A899" t="s">
        <v>97</v>
      </c>
      <c r="B899" t="s">
        <v>20</v>
      </c>
      <c r="C899" t="s">
        <v>86</v>
      </c>
      <c r="D899">
        <v>24.143936440000001</v>
      </c>
    </row>
    <row r="900" spans="1:4" x14ac:dyDescent="0.35">
      <c r="A900" t="s">
        <v>97</v>
      </c>
      <c r="B900" t="s">
        <v>21</v>
      </c>
      <c r="C900" t="s">
        <v>86</v>
      </c>
      <c r="D900">
        <v>0</v>
      </c>
    </row>
    <row r="901" spans="1:4" x14ac:dyDescent="0.35">
      <c r="A901" t="s">
        <v>97</v>
      </c>
      <c r="B901" t="s">
        <v>22</v>
      </c>
      <c r="C901" t="s">
        <v>86</v>
      </c>
      <c r="D901">
        <v>1.6140317239999999</v>
      </c>
    </row>
    <row r="902" spans="1:4" x14ac:dyDescent="0.35">
      <c r="A902" t="s">
        <v>97</v>
      </c>
      <c r="B902" t="s">
        <v>23</v>
      </c>
      <c r="C902" t="s">
        <v>86</v>
      </c>
      <c r="D902">
        <v>0</v>
      </c>
    </row>
    <row r="903" spans="1:4" x14ac:dyDescent="0.35">
      <c r="A903" t="s">
        <v>97</v>
      </c>
      <c r="B903" t="s">
        <v>24</v>
      </c>
      <c r="C903" t="s">
        <v>86</v>
      </c>
      <c r="D903">
        <v>3.1926702900000001</v>
      </c>
    </row>
    <row r="904" spans="1:4" x14ac:dyDescent="0.35">
      <c r="A904" t="s">
        <v>97</v>
      </c>
      <c r="B904" t="s">
        <v>25</v>
      </c>
      <c r="C904" t="s">
        <v>86</v>
      </c>
      <c r="D904">
        <v>0</v>
      </c>
    </row>
    <row r="905" spans="1:4" x14ac:dyDescent="0.35">
      <c r="A905" t="s">
        <v>97</v>
      </c>
      <c r="B905" t="s">
        <v>26</v>
      </c>
      <c r="C905" t="s">
        <v>86</v>
      </c>
      <c r="D905">
        <v>1.9024494199999999</v>
      </c>
    </row>
    <row r="906" spans="1:4" x14ac:dyDescent="0.35">
      <c r="A906" t="s">
        <v>97</v>
      </c>
      <c r="B906" t="s">
        <v>27</v>
      </c>
      <c r="C906" t="s">
        <v>86</v>
      </c>
      <c r="D906">
        <v>1.444145099</v>
      </c>
    </row>
    <row r="907" spans="1:4" x14ac:dyDescent="0.35">
      <c r="A907" t="s">
        <v>97</v>
      </c>
      <c r="B907" t="s">
        <v>28</v>
      </c>
      <c r="C907" t="s">
        <v>86</v>
      </c>
      <c r="D907">
        <v>3.9010669980000001</v>
      </c>
    </row>
    <row r="908" spans="1:4" x14ac:dyDescent="0.35">
      <c r="A908" t="s">
        <v>97</v>
      </c>
      <c r="B908" t="s">
        <v>29</v>
      </c>
      <c r="C908" t="s">
        <v>86</v>
      </c>
      <c r="D908">
        <v>0</v>
      </c>
    </row>
    <row r="909" spans="1:4" x14ac:dyDescent="0.35">
      <c r="A909" t="s">
        <v>97</v>
      </c>
      <c r="B909" t="s">
        <v>30</v>
      </c>
      <c r="C909" t="s">
        <v>86</v>
      </c>
      <c r="D909">
        <v>18.807036350000001</v>
      </c>
    </row>
    <row r="910" spans="1:4" x14ac:dyDescent="0.35">
      <c r="A910" t="s">
        <v>97</v>
      </c>
      <c r="B910" t="s">
        <v>31</v>
      </c>
      <c r="C910" t="s">
        <v>86</v>
      </c>
      <c r="D910">
        <v>0</v>
      </c>
    </row>
    <row r="911" spans="1:4" x14ac:dyDescent="0.35">
      <c r="A911" t="s">
        <v>97</v>
      </c>
      <c r="B911" t="s">
        <v>32</v>
      </c>
      <c r="C911" t="s">
        <v>86</v>
      </c>
      <c r="D911">
        <v>0</v>
      </c>
    </row>
    <row r="912" spans="1:4" x14ac:dyDescent="0.35">
      <c r="A912" t="s">
        <v>97</v>
      </c>
      <c r="B912" t="s">
        <v>33</v>
      </c>
      <c r="C912" t="s">
        <v>86</v>
      </c>
      <c r="D912">
        <v>14.874058570000001</v>
      </c>
    </row>
    <row r="913" spans="1:4" x14ac:dyDescent="0.35">
      <c r="A913" t="s">
        <v>97</v>
      </c>
      <c r="B913" t="s">
        <v>34</v>
      </c>
      <c r="C913" t="s">
        <v>86</v>
      </c>
      <c r="D913">
        <v>0</v>
      </c>
    </row>
    <row r="914" spans="1:4" x14ac:dyDescent="0.35">
      <c r="A914" t="s">
        <v>97</v>
      </c>
      <c r="B914" t="s">
        <v>35</v>
      </c>
      <c r="C914" t="s">
        <v>86</v>
      </c>
      <c r="D914">
        <v>14.40901631</v>
      </c>
    </row>
    <row r="915" spans="1:4" x14ac:dyDescent="0.35">
      <c r="A915" t="s">
        <v>97</v>
      </c>
      <c r="B915" t="s">
        <v>36</v>
      </c>
      <c r="C915" t="s">
        <v>86</v>
      </c>
      <c r="D915">
        <v>0</v>
      </c>
    </row>
    <row r="916" spans="1:4" x14ac:dyDescent="0.35">
      <c r="A916" t="s">
        <v>97</v>
      </c>
      <c r="B916" t="s">
        <v>37</v>
      </c>
      <c r="C916" t="s">
        <v>86</v>
      </c>
      <c r="D916">
        <v>3.4877444369999999</v>
      </c>
    </row>
    <row r="917" spans="1:4" x14ac:dyDescent="0.35">
      <c r="A917" t="s">
        <v>97</v>
      </c>
      <c r="B917" t="s">
        <v>38</v>
      </c>
      <c r="C917" t="s">
        <v>86</v>
      </c>
      <c r="D917">
        <v>1.3936769010000001</v>
      </c>
    </row>
    <row r="918" spans="1:4" x14ac:dyDescent="0.35">
      <c r="A918" t="s">
        <v>97</v>
      </c>
      <c r="B918" t="s">
        <v>39</v>
      </c>
      <c r="C918" t="s">
        <v>86</v>
      </c>
      <c r="D918">
        <v>0</v>
      </c>
    </row>
    <row r="919" spans="1:4" x14ac:dyDescent="0.35">
      <c r="A919" t="s">
        <v>97</v>
      </c>
      <c r="B919" t="s">
        <v>40</v>
      </c>
      <c r="C919" t="s">
        <v>86</v>
      </c>
      <c r="D919">
        <v>0</v>
      </c>
    </row>
    <row r="920" spans="1:4" x14ac:dyDescent="0.35">
      <c r="A920" t="s">
        <v>100</v>
      </c>
      <c r="B920" t="s">
        <v>6</v>
      </c>
      <c r="C920" t="s">
        <v>86</v>
      </c>
      <c r="D920">
        <v>0</v>
      </c>
    </row>
    <row r="921" spans="1:4" x14ac:dyDescent="0.35">
      <c r="A921" t="s">
        <v>100</v>
      </c>
      <c r="B921" t="s">
        <v>7</v>
      </c>
      <c r="C921" t="s">
        <v>86</v>
      </c>
      <c r="D921">
        <v>0</v>
      </c>
    </row>
    <row r="922" spans="1:4" x14ac:dyDescent="0.35">
      <c r="A922" t="s">
        <v>100</v>
      </c>
      <c r="B922" t="s">
        <v>8</v>
      </c>
      <c r="C922" t="s">
        <v>86</v>
      </c>
      <c r="D922">
        <v>0</v>
      </c>
    </row>
    <row r="923" spans="1:4" x14ac:dyDescent="0.35">
      <c r="A923" t="s">
        <v>100</v>
      </c>
      <c r="B923" t="s">
        <v>9</v>
      </c>
      <c r="C923" t="s">
        <v>86</v>
      </c>
      <c r="D923">
        <v>0</v>
      </c>
    </row>
    <row r="924" spans="1:4" x14ac:dyDescent="0.35">
      <c r="A924" t="s">
        <v>100</v>
      </c>
      <c r="B924" t="s">
        <v>10</v>
      </c>
      <c r="C924" t="s">
        <v>86</v>
      </c>
      <c r="D924">
        <v>0</v>
      </c>
    </row>
    <row r="925" spans="1:4" x14ac:dyDescent="0.35">
      <c r="A925" t="s">
        <v>100</v>
      </c>
      <c r="B925" t="s">
        <v>11</v>
      </c>
      <c r="C925" t="s">
        <v>86</v>
      </c>
      <c r="D925">
        <v>0</v>
      </c>
    </row>
    <row r="926" spans="1:4" x14ac:dyDescent="0.35">
      <c r="A926" t="s">
        <v>100</v>
      </c>
      <c r="B926" t="s">
        <v>12</v>
      </c>
      <c r="C926" t="s">
        <v>86</v>
      </c>
      <c r="D926">
        <v>0</v>
      </c>
    </row>
    <row r="927" spans="1:4" x14ac:dyDescent="0.35">
      <c r="A927" t="s">
        <v>100</v>
      </c>
      <c r="B927" t="s">
        <v>13</v>
      </c>
      <c r="C927" t="s">
        <v>86</v>
      </c>
      <c r="D927">
        <v>0.65355427700000002</v>
      </c>
    </row>
    <row r="928" spans="1:4" x14ac:dyDescent="0.35">
      <c r="A928" t="s">
        <v>100</v>
      </c>
      <c r="B928" t="s">
        <v>14</v>
      </c>
      <c r="C928" t="s">
        <v>86</v>
      </c>
      <c r="D928">
        <v>0</v>
      </c>
    </row>
    <row r="929" spans="1:4" x14ac:dyDescent="0.35">
      <c r="A929" t="s">
        <v>100</v>
      </c>
      <c r="B929" t="s">
        <v>15</v>
      </c>
      <c r="C929" t="s">
        <v>86</v>
      </c>
      <c r="D929">
        <v>72.499986480000004</v>
      </c>
    </row>
    <row r="930" spans="1:4" x14ac:dyDescent="0.35">
      <c r="A930" t="s">
        <v>100</v>
      </c>
      <c r="B930" t="s">
        <v>16</v>
      </c>
      <c r="C930" t="s">
        <v>86</v>
      </c>
      <c r="D930">
        <v>31.205236110000001</v>
      </c>
    </row>
    <row r="931" spans="1:4" x14ac:dyDescent="0.35">
      <c r="A931" t="s">
        <v>100</v>
      </c>
      <c r="B931" t="s">
        <v>18</v>
      </c>
      <c r="C931" t="s">
        <v>86</v>
      </c>
      <c r="D931">
        <v>1.33197253</v>
      </c>
    </row>
    <row r="932" spans="1:4" x14ac:dyDescent="0.35">
      <c r="A932" t="s">
        <v>100</v>
      </c>
      <c r="B932" t="s">
        <v>19</v>
      </c>
      <c r="C932" t="s">
        <v>86</v>
      </c>
      <c r="D932">
        <v>57.99647788</v>
      </c>
    </row>
    <row r="933" spans="1:4" x14ac:dyDescent="0.35">
      <c r="A933" t="s">
        <v>100</v>
      </c>
      <c r="B933" t="s">
        <v>20</v>
      </c>
      <c r="C933" t="s">
        <v>86</v>
      </c>
      <c r="D933">
        <v>37.759715880000002</v>
      </c>
    </row>
    <row r="934" spans="1:4" x14ac:dyDescent="0.35">
      <c r="A934" t="s">
        <v>100</v>
      </c>
      <c r="B934" t="s">
        <v>21</v>
      </c>
      <c r="C934" t="s">
        <v>86</v>
      </c>
      <c r="D934">
        <v>0</v>
      </c>
    </row>
    <row r="935" spans="1:4" x14ac:dyDescent="0.35">
      <c r="A935" t="s">
        <v>100</v>
      </c>
      <c r="B935" t="s">
        <v>22</v>
      </c>
      <c r="C935" t="s">
        <v>86</v>
      </c>
      <c r="D935">
        <v>17.132143939999999</v>
      </c>
    </row>
    <row r="936" spans="1:4" x14ac:dyDescent="0.35">
      <c r="A936" t="s">
        <v>100</v>
      </c>
      <c r="B936" t="s">
        <v>23</v>
      </c>
      <c r="C936" t="s">
        <v>86</v>
      </c>
      <c r="D936">
        <v>0</v>
      </c>
    </row>
    <row r="937" spans="1:4" x14ac:dyDescent="0.35">
      <c r="A937" t="s">
        <v>100</v>
      </c>
      <c r="B937" t="s">
        <v>24</v>
      </c>
      <c r="C937" t="s">
        <v>86</v>
      </c>
      <c r="D937">
        <v>3.0597275009999998</v>
      </c>
    </row>
    <row r="938" spans="1:4" x14ac:dyDescent="0.35">
      <c r="A938" t="s">
        <v>100</v>
      </c>
      <c r="B938" t="s">
        <v>25</v>
      </c>
      <c r="C938" t="s">
        <v>86</v>
      </c>
      <c r="D938">
        <v>0</v>
      </c>
    </row>
    <row r="939" spans="1:4" x14ac:dyDescent="0.35">
      <c r="A939" t="s">
        <v>100</v>
      </c>
      <c r="B939" t="s">
        <v>26</v>
      </c>
      <c r="C939" t="s">
        <v>86</v>
      </c>
      <c r="D939">
        <v>0</v>
      </c>
    </row>
    <row r="940" spans="1:4" x14ac:dyDescent="0.35">
      <c r="A940" t="s">
        <v>100</v>
      </c>
      <c r="B940" t="s">
        <v>27</v>
      </c>
      <c r="C940" t="s">
        <v>86</v>
      </c>
      <c r="D940">
        <v>1.5977512700000001</v>
      </c>
    </row>
    <row r="941" spans="1:4" x14ac:dyDescent="0.35">
      <c r="A941" t="s">
        <v>100</v>
      </c>
      <c r="B941" t="s">
        <v>28</v>
      </c>
      <c r="C941" t="s">
        <v>86</v>
      </c>
      <c r="D941">
        <v>3.237294581</v>
      </c>
    </row>
    <row r="942" spans="1:4" x14ac:dyDescent="0.35">
      <c r="A942" t="s">
        <v>100</v>
      </c>
      <c r="B942" t="s">
        <v>29</v>
      </c>
      <c r="C942" t="s">
        <v>86</v>
      </c>
      <c r="D942">
        <v>0</v>
      </c>
    </row>
    <row r="943" spans="1:4" x14ac:dyDescent="0.35">
      <c r="A943" t="s">
        <v>100</v>
      </c>
      <c r="B943" t="s">
        <v>30</v>
      </c>
      <c r="C943" t="s">
        <v>86</v>
      </c>
      <c r="D943">
        <v>12.66795179</v>
      </c>
    </row>
    <row r="944" spans="1:4" x14ac:dyDescent="0.35">
      <c r="A944" t="s">
        <v>100</v>
      </c>
      <c r="B944" t="s">
        <v>31</v>
      </c>
      <c r="C944" t="s">
        <v>86</v>
      </c>
      <c r="D944">
        <v>0</v>
      </c>
    </row>
    <row r="945" spans="1:4" x14ac:dyDescent="0.35">
      <c r="A945" t="s">
        <v>100</v>
      </c>
      <c r="B945" t="s">
        <v>32</v>
      </c>
      <c r="C945" t="s">
        <v>86</v>
      </c>
      <c r="D945">
        <v>0</v>
      </c>
    </row>
    <row r="946" spans="1:4" x14ac:dyDescent="0.35">
      <c r="A946" t="s">
        <v>100</v>
      </c>
      <c r="B946" t="s">
        <v>33</v>
      </c>
      <c r="C946" t="s">
        <v>86</v>
      </c>
      <c r="D946">
        <v>11.719487429999999</v>
      </c>
    </row>
    <row r="947" spans="1:4" x14ac:dyDescent="0.35">
      <c r="A947" t="s">
        <v>100</v>
      </c>
      <c r="B947" t="s">
        <v>34</v>
      </c>
      <c r="C947" t="s">
        <v>86</v>
      </c>
      <c r="D947">
        <v>0</v>
      </c>
    </row>
    <row r="948" spans="1:4" x14ac:dyDescent="0.35">
      <c r="A948" t="s">
        <v>100</v>
      </c>
      <c r="B948" t="s">
        <v>35</v>
      </c>
      <c r="C948" t="s">
        <v>86</v>
      </c>
      <c r="D948">
        <v>21.457229250000001</v>
      </c>
    </row>
    <row r="949" spans="1:4" x14ac:dyDescent="0.35">
      <c r="A949" t="s">
        <v>100</v>
      </c>
      <c r="B949" t="s">
        <v>36</v>
      </c>
      <c r="C949" t="s">
        <v>86</v>
      </c>
      <c r="D949">
        <v>0</v>
      </c>
    </row>
    <row r="950" spans="1:4" x14ac:dyDescent="0.35">
      <c r="A950" t="s">
        <v>100</v>
      </c>
      <c r="B950" t="s">
        <v>37</v>
      </c>
      <c r="C950" t="s">
        <v>86</v>
      </c>
      <c r="D950">
        <v>2.0637628549999998</v>
      </c>
    </row>
    <row r="951" spans="1:4" x14ac:dyDescent="0.35">
      <c r="A951" t="s">
        <v>100</v>
      </c>
      <c r="B951" t="s">
        <v>38</v>
      </c>
      <c r="C951" t="s">
        <v>86</v>
      </c>
      <c r="D951">
        <v>0.48205546399999999</v>
      </c>
    </row>
    <row r="952" spans="1:4" x14ac:dyDescent="0.35">
      <c r="A952" t="s">
        <v>100</v>
      </c>
      <c r="B952" t="s">
        <v>39</v>
      </c>
      <c r="C952" t="s">
        <v>86</v>
      </c>
      <c r="D952">
        <v>0</v>
      </c>
    </row>
    <row r="953" spans="1:4" x14ac:dyDescent="0.35">
      <c r="A953" t="s">
        <v>100</v>
      </c>
      <c r="B953" t="s">
        <v>40</v>
      </c>
      <c r="C953" t="s">
        <v>86</v>
      </c>
      <c r="D953">
        <v>0</v>
      </c>
    </row>
    <row r="954" spans="1:4" x14ac:dyDescent="0.35">
      <c r="A954" t="s">
        <v>104</v>
      </c>
      <c r="B954" t="s">
        <v>6</v>
      </c>
      <c r="C954" t="s">
        <v>86</v>
      </c>
      <c r="D954">
        <v>0</v>
      </c>
    </row>
    <row r="955" spans="1:4" x14ac:dyDescent="0.35">
      <c r="A955" t="s">
        <v>104</v>
      </c>
      <c r="B955" t="s">
        <v>7</v>
      </c>
      <c r="C955" t="s">
        <v>86</v>
      </c>
      <c r="D955">
        <v>0</v>
      </c>
    </row>
    <row r="956" spans="1:4" x14ac:dyDescent="0.35">
      <c r="A956" t="s">
        <v>104</v>
      </c>
      <c r="B956" t="s">
        <v>8</v>
      </c>
      <c r="C956" t="s">
        <v>86</v>
      </c>
      <c r="D956">
        <v>0</v>
      </c>
    </row>
    <row r="957" spans="1:4" x14ac:dyDescent="0.35">
      <c r="A957" t="s">
        <v>104</v>
      </c>
      <c r="B957" t="s">
        <v>9</v>
      </c>
      <c r="C957" t="s">
        <v>86</v>
      </c>
      <c r="D957">
        <v>0</v>
      </c>
    </row>
    <row r="958" spans="1:4" x14ac:dyDescent="0.35">
      <c r="A958" t="s">
        <v>104</v>
      </c>
      <c r="B958" t="s">
        <v>10</v>
      </c>
      <c r="C958" t="s">
        <v>86</v>
      </c>
      <c r="D958">
        <v>0</v>
      </c>
    </row>
    <row r="959" spans="1:4" x14ac:dyDescent="0.35">
      <c r="A959" t="s">
        <v>104</v>
      </c>
      <c r="B959" t="s">
        <v>11</v>
      </c>
      <c r="C959" t="s">
        <v>86</v>
      </c>
      <c r="D959">
        <v>0</v>
      </c>
    </row>
    <row r="960" spans="1:4" x14ac:dyDescent="0.35">
      <c r="A960" t="s">
        <v>104</v>
      </c>
      <c r="B960" t="s">
        <v>12</v>
      </c>
      <c r="C960" t="s">
        <v>86</v>
      </c>
      <c r="D960">
        <v>0</v>
      </c>
    </row>
    <row r="961" spans="1:4" x14ac:dyDescent="0.35">
      <c r="A961" t="s">
        <v>104</v>
      </c>
      <c r="B961" t="s">
        <v>13</v>
      </c>
      <c r="C961" t="s">
        <v>86</v>
      </c>
      <c r="D961">
        <v>0.57108220099999996</v>
      </c>
    </row>
    <row r="962" spans="1:4" x14ac:dyDescent="0.35">
      <c r="A962" t="s">
        <v>104</v>
      </c>
      <c r="B962" t="s">
        <v>14</v>
      </c>
      <c r="C962" t="s">
        <v>86</v>
      </c>
      <c r="D962">
        <v>0</v>
      </c>
    </row>
    <row r="963" spans="1:4" x14ac:dyDescent="0.35">
      <c r="A963" t="s">
        <v>104</v>
      </c>
      <c r="B963" t="s">
        <v>15</v>
      </c>
      <c r="C963" t="s">
        <v>86</v>
      </c>
      <c r="D963">
        <v>72.338353679999997</v>
      </c>
    </row>
    <row r="964" spans="1:4" x14ac:dyDescent="0.35">
      <c r="A964" t="s">
        <v>104</v>
      </c>
      <c r="B964" t="s">
        <v>16</v>
      </c>
      <c r="C964" t="s">
        <v>86</v>
      </c>
      <c r="D964">
        <v>7.5042246170000002</v>
      </c>
    </row>
    <row r="965" spans="1:4" x14ac:dyDescent="0.35">
      <c r="A965" t="s">
        <v>104</v>
      </c>
      <c r="B965" t="s">
        <v>18</v>
      </c>
      <c r="C965" t="s">
        <v>86</v>
      </c>
      <c r="D965">
        <v>0</v>
      </c>
    </row>
    <row r="966" spans="1:4" x14ac:dyDescent="0.35">
      <c r="A966" t="s">
        <v>104</v>
      </c>
      <c r="B966" t="s">
        <v>19</v>
      </c>
      <c r="C966" t="s">
        <v>86</v>
      </c>
      <c r="D966">
        <v>63.087049190000002</v>
      </c>
    </row>
    <row r="967" spans="1:4" x14ac:dyDescent="0.35">
      <c r="A967" t="s">
        <v>104</v>
      </c>
      <c r="B967" t="s">
        <v>20</v>
      </c>
      <c r="C967" t="s">
        <v>86</v>
      </c>
      <c r="D967">
        <v>22.911753879999999</v>
      </c>
    </row>
    <row r="968" spans="1:4" x14ac:dyDescent="0.35">
      <c r="A968" t="s">
        <v>104</v>
      </c>
      <c r="B968" t="s">
        <v>21</v>
      </c>
      <c r="C968" t="s">
        <v>86</v>
      </c>
      <c r="D968">
        <v>0</v>
      </c>
    </row>
    <row r="969" spans="1:4" x14ac:dyDescent="0.35">
      <c r="A969" t="s">
        <v>104</v>
      </c>
      <c r="B969" t="s">
        <v>22</v>
      </c>
      <c r="C969" t="s">
        <v>86</v>
      </c>
      <c r="D969">
        <v>6.5732216640000001</v>
      </c>
    </row>
    <row r="970" spans="1:4" x14ac:dyDescent="0.35">
      <c r="A970" t="s">
        <v>104</v>
      </c>
      <c r="B970" t="s">
        <v>23</v>
      </c>
      <c r="C970" t="s">
        <v>86</v>
      </c>
      <c r="D970">
        <v>0</v>
      </c>
    </row>
    <row r="971" spans="1:4" x14ac:dyDescent="0.35">
      <c r="A971" t="s">
        <v>104</v>
      </c>
      <c r="B971" t="s">
        <v>24</v>
      </c>
      <c r="C971" t="s">
        <v>86</v>
      </c>
      <c r="D971">
        <v>3.5401556780000001</v>
      </c>
    </row>
    <row r="972" spans="1:4" x14ac:dyDescent="0.35">
      <c r="A972" t="s">
        <v>104</v>
      </c>
      <c r="B972" t="s">
        <v>25</v>
      </c>
      <c r="C972" t="s">
        <v>86</v>
      </c>
      <c r="D972">
        <v>0</v>
      </c>
    </row>
    <row r="973" spans="1:4" x14ac:dyDescent="0.35">
      <c r="A973" t="s">
        <v>104</v>
      </c>
      <c r="B973" t="s">
        <v>26</v>
      </c>
      <c r="C973" t="s">
        <v>86</v>
      </c>
      <c r="D973">
        <v>1.9381496949999999</v>
      </c>
    </row>
    <row r="974" spans="1:4" x14ac:dyDescent="0.35">
      <c r="A974" t="s">
        <v>104</v>
      </c>
      <c r="B974" t="s">
        <v>27</v>
      </c>
      <c r="C974" t="s">
        <v>86</v>
      </c>
      <c r="D974">
        <v>2.1297469360000001</v>
      </c>
    </row>
    <row r="975" spans="1:4" x14ac:dyDescent="0.35">
      <c r="A975" t="s">
        <v>104</v>
      </c>
      <c r="B975" t="s">
        <v>28</v>
      </c>
      <c r="C975" t="s">
        <v>86</v>
      </c>
      <c r="D975">
        <v>1.349260694</v>
      </c>
    </row>
    <row r="976" spans="1:4" x14ac:dyDescent="0.35">
      <c r="A976" t="s">
        <v>104</v>
      </c>
      <c r="B976" t="s">
        <v>29</v>
      </c>
      <c r="C976" t="s">
        <v>86</v>
      </c>
      <c r="D976">
        <v>0</v>
      </c>
    </row>
    <row r="977" spans="1:4" x14ac:dyDescent="0.35">
      <c r="A977" t="s">
        <v>104</v>
      </c>
      <c r="B977" t="s">
        <v>30</v>
      </c>
      <c r="C977" t="s">
        <v>86</v>
      </c>
      <c r="D977">
        <v>19.110884980000002</v>
      </c>
    </row>
    <row r="978" spans="1:4" x14ac:dyDescent="0.35">
      <c r="A978" t="s">
        <v>104</v>
      </c>
      <c r="B978" t="s">
        <v>31</v>
      </c>
      <c r="C978" t="s">
        <v>86</v>
      </c>
      <c r="D978">
        <v>0</v>
      </c>
    </row>
    <row r="979" spans="1:4" x14ac:dyDescent="0.35">
      <c r="A979" t="s">
        <v>104</v>
      </c>
      <c r="B979" t="s">
        <v>32</v>
      </c>
      <c r="C979" t="s">
        <v>86</v>
      </c>
      <c r="D979">
        <v>0</v>
      </c>
    </row>
    <row r="980" spans="1:4" x14ac:dyDescent="0.35">
      <c r="A980" t="s">
        <v>104</v>
      </c>
      <c r="B980" t="s">
        <v>33</v>
      </c>
      <c r="C980" t="s">
        <v>86</v>
      </c>
      <c r="D980">
        <v>15.405881859999999</v>
      </c>
    </row>
    <row r="981" spans="1:4" x14ac:dyDescent="0.35">
      <c r="A981" t="s">
        <v>104</v>
      </c>
      <c r="B981" t="s">
        <v>34</v>
      </c>
      <c r="C981" t="s">
        <v>86</v>
      </c>
      <c r="D981">
        <v>0</v>
      </c>
    </row>
    <row r="982" spans="1:4" x14ac:dyDescent="0.35">
      <c r="A982" t="s">
        <v>104</v>
      </c>
      <c r="B982" t="s">
        <v>35</v>
      </c>
      <c r="C982" t="s">
        <v>86</v>
      </c>
      <c r="D982">
        <v>20.513397090000002</v>
      </c>
    </row>
    <row r="983" spans="1:4" x14ac:dyDescent="0.35">
      <c r="A983" t="s">
        <v>104</v>
      </c>
      <c r="B983" t="s">
        <v>36</v>
      </c>
      <c r="C983" t="s">
        <v>86</v>
      </c>
      <c r="D983">
        <v>0</v>
      </c>
    </row>
    <row r="984" spans="1:4" x14ac:dyDescent="0.35">
      <c r="A984" t="s">
        <v>104</v>
      </c>
      <c r="B984" t="s">
        <v>37</v>
      </c>
      <c r="C984" t="s">
        <v>86</v>
      </c>
      <c r="D984">
        <v>3.3539386740000001</v>
      </c>
    </row>
    <row r="985" spans="1:4" x14ac:dyDescent="0.35">
      <c r="A985" t="s">
        <v>104</v>
      </c>
      <c r="B985" t="s">
        <v>38</v>
      </c>
      <c r="C985" t="s">
        <v>86</v>
      </c>
      <c r="D985">
        <v>1.3103382320000001</v>
      </c>
    </row>
    <row r="986" spans="1:4" x14ac:dyDescent="0.35">
      <c r="A986" t="s">
        <v>104</v>
      </c>
      <c r="B986" t="s">
        <v>39</v>
      </c>
      <c r="C986" t="s">
        <v>86</v>
      </c>
      <c r="D986">
        <v>0</v>
      </c>
    </row>
    <row r="987" spans="1:4" x14ac:dyDescent="0.35">
      <c r="A987" t="s">
        <v>104</v>
      </c>
      <c r="B987" t="s">
        <v>40</v>
      </c>
      <c r="C987" t="s">
        <v>86</v>
      </c>
      <c r="D987">
        <v>0</v>
      </c>
    </row>
    <row r="988" spans="1:4" x14ac:dyDescent="0.35">
      <c r="A988" t="s">
        <v>114</v>
      </c>
      <c r="B988" t="s">
        <v>6</v>
      </c>
      <c r="C988" t="s">
        <v>126</v>
      </c>
      <c r="D988">
        <v>0</v>
      </c>
    </row>
    <row r="989" spans="1:4" x14ac:dyDescent="0.35">
      <c r="A989" t="s">
        <v>114</v>
      </c>
      <c r="B989" t="s">
        <v>7</v>
      </c>
      <c r="C989" t="s">
        <v>126</v>
      </c>
      <c r="D989">
        <v>0</v>
      </c>
    </row>
    <row r="990" spans="1:4" x14ac:dyDescent="0.35">
      <c r="A990" t="s">
        <v>114</v>
      </c>
      <c r="B990" t="s">
        <v>8</v>
      </c>
      <c r="C990" t="s">
        <v>126</v>
      </c>
      <c r="D990">
        <v>0</v>
      </c>
    </row>
    <row r="991" spans="1:4" x14ac:dyDescent="0.35">
      <c r="A991" t="s">
        <v>114</v>
      </c>
      <c r="B991" t="s">
        <v>9</v>
      </c>
      <c r="C991" t="s">
        <v>126</v>
      </c>
      <c r="D991">
        <v>1.4161794780000001</v>
      </c>
    </row>
    <row r="992" spans="1:4" x14ac:dyDescent="0.35">
      <c r="A992" t="s">
        <v>114</v>
      </c>
      <c r="B992" t="s">
        <v>10</v>
      </c>
      <c r="C992" t="s">
        <v>126</v>
      </c>
      <c r="D992">
        <v>12.8880587</v>
      </c>
    </row>
    <row r="993" spans="1:4" x14ac:dyDescent="0.35">
      <c r="A993" t="s">
        <v>114</v>
      </c>
      <c r="B993" t="s">
        <v>11</v>
      </c>
      <c r="C993" t="s">
        <v>126</v>
      </c>
      <c r="D993">
        <v>14.75085421</v>
      </c>
    </row>
    <row r="994" spans="1:4" x14ac:dyDescent="0.35">
      <c r="A994" t="s">
        <v>114</v>
      </c>
      <c r="B994" t="s">
        <v>12</v>
      </c>
      <c r="C994" t="s">
        <v>126</v>
      </c>
      <c r="D994">
        <v>0</v>
      </c>
    </row>
    <row r="995" spans="1:4" x14ac:dyDescent="0.35">
      <c r="A995" t="s">
        <v>114</v>
      </c>
      <c r="B995" t="s">
        <v>13</v>
      </c>
      <c r="C995" t="s">
        <v>126</v>
      </c>
      <c r="D995">
        <v>3.1703371069999999</v>
      </c>
    </row>
    <row r="996" spans="1:4" x14ac:dyDescent="0.35">
      <c r="A996" t="s">
        <v>114</v>
      </c>
      <c r="B996" t="s">
        <v>14</v>
      </c>
      <c r="C996" t="s">
        <v>126</v>
      </c>
      <c r="D996">
        <v>0</v>
      </c>
    </row>
    <row r="997" spans="1:4" x14ac:dyDescent="0.35">
      <c r="A997" t="s">
        <v>114</v>
      </c>
      <c r="B997" t="s">
        <v>15</v>
      </c>
      <c r="C997" t="s">
        <v>126</v>
      </c>
      <c r="D997">
        <v>91.227886209999994</v>
      </c>
    </row>
    <row r="998" spans="1:4" x14ac:dyDescent="0.35">
      <c r="A998" t="s">
        <v>114</v>
      </c>
      <c r="B998" t="s">
        <v>16</v>
      </c>
      <c r="C998" t="s">
        <v>126</v>
      </c>
      <c r="D998">
        <v>40.200577719999998</v>
      </c>
    </row>
    <row r="999" spans="1:4" x14ac:dyDescent="0.35">
      <c r="A999" t="s">
        <v>114</v>
      </c>
      <c r="B999" t="s">
        <v>18</v>
      </c>
      <c r="C999" t="s">
        <v>126</v>
      </c>
      <c r="D999">
        <v>0</v>
      </c>
    </row>
    <row r="1000" spans="1:4" x14ac:dyDescent="0.35">
      <c r="A1000" t="s">
        <v>114</v>
      </c>
      <c r="B1000" t="s">
        <v>19</v>
      </c>
      <c r="C1000" t="s">
        <v>126</v>
      </c>
      <c r="D1000">
        <v>59.96336264</v>
      </c>
    </row>
    <row r="1001" spans="1:4" x14ac:dyDescent="0.35">
      <c r="A1001" t="s">
        <v>114</v>
      </c>
      <c r="B1001" t="s">
        <v>20</v>
      </c>
      <c r="C1001" t="s">
        <v>126</v>
      </c>
      <c r="D1001">
        <v>66.536977739999998</v>
      </c>
    </row>
    <row r="1002" spans="1:4" x14ac:dyDescent="0.35">
      <c r="A1002" t="s">
        <v>114</v>
      </c>
      <c r="B1002" t="s">
        <v>21</v>
      </c>
      <c r="C1002" t="s">
        <v>126</v>
      </c>
      <c r="D1002">
        <v>0</v>
      </c>
    </row>
    <row r="1003" spans="1:4" x14ac:dyDescent="0.35">
      <c r="A1003" t="s">
        <v>114</v>
      </c>
      <c r="B1003" t="s">
        <v>22</v>
      </c>
      <c r="C1003" t="s">
        <v>126</v>
      </c>
      <c r="D1003">
        <v>24.563374230000001</v>
      </c>
    </row>
    <row r="1004" spans="1:4" x14ac:dyDescent="0.35">
      <c r="A1004" t="s">
        <v>114</v>
      </c>
      <c r="B1004" t="s">
        <v>23</v>
      </c>
      <c r="C1004" t="s">
        <v>126</v>
      </c>
      <c r="D1004">
        <v>0.78070686</v>
      </c>
    </row>
    <row r="1005" spans="1:4" x14ac:dyDescent="0.35">
      <c r="A1005" t="s">
        <v>114</v>
      </c>
      <c r="B1005" t="s">
        <v>24</v>
      </c>
      <c r="C1005" t="s">
        <v>126</v>
      </c>
      <c r="D1005">
        <v>6.2234210210000001</v>
      </c>
    </row>
    <row r="1006" spans="1:4" x14ac:dyDescent="0.35">
      <c r="A1006" t="s">
        <v>114</v>
      </c>
      <c r="B1006" t="s">
        <v>25</v>
      </c>
      <c r="C1006" t="s">
        <v>126</v>
      </c>
      <c r="D1006">
        <v>1.119786186</v>
      </c>
    </row>
    <row r="1007" spans="1:4" x14ac:dyDescent="0.35">
      <c r="A1007" t="s">
        <v>114</v>
      </c>
      <c r="B1007" t="s">
        <v>26</v>
      </c>
      <c r="C1007" t="s">
        <v>126</v>
      </c>
      <c r="D1007">
        <v>1.0734140839999999</v>
      </c>
    </row>
    <row r="1008" spans="1:4" x14ac:dyDescent="0.35">
      <c r="A1008" t="s">
        <v>114</v>
      </c>
      <c r="B1008" t="s">
        <v>27</v>
      </c>
      <c r="C1008" t="s">
        <v>126</v>
      </c>
      <c r="D1008">
        <v>6.9245173400000004</v>
      </c>
    </row>
    <row r="1009" spans="1:4" x14ac:dyDescent="0.35">
      <c r="A1009" t="s">
        <v>114</v>
      </c>
      <c r="B1009" t="s">
        <v>28</v>
      </c>
      <c r="C1009" t="s">
        <v>126</v>
      </c>
      <c r="D1009">
        <v>5.6526129249999997</v>
      </c>
    </row>
    <row r="1010" spans="1:4" x14ac:dyDescent="0.35">
      <c r="A1010" t="s">
        <v>114</v>
      </c>
      <c r="B1010" t="s">
        <v>29</v>
      </c>
      <c r="C1010" t="s">
        <v>126</v>
      </c>
      <c r="D1010">
        <v>0</v>
      </c>
    </row>
    <row r="1011" spans="1:4" x14ac:dyDescent="0.35">
      <c r="A1011" t="s">
        <v>114</v>
      </c>
      <c r="B1011" t="s">
        <v>30</v>
      </c>
      <c r="C1011" t="s">
        <v>126</v>
      </c>
      <c r="D1011">
        <v>0.410323771</v>
      </c>
    </row>
    <row r="1012" spans="1:4" x14ac:dyDescent="0.35">
      <c r="A1012" t="s">
        <v>114</v>
      </c>
      <c r="B1012" t="s">
        <v>31</v>
      </c>
      <c r="C1012" t="s">
        <v>126</v>
      </c>
      <c r="D1012">
        <v>0</v>
      </c>
    </row>
    <row r="1013" spans="1:4" x14ac:dyDescent="0.35">
      <c r="A1013" t="s">
        <v>114</v>
      </c>
      <c r="B1013" t="s">
        <v>32</v>
      </c>
      <c r="C1013" t="s">
        <v>126</v>
      </c>
      <c r="D1013">
        <v>0</v>
      </c>
    </row>
    <row r="1014" spans="1:4" x14ac:dyDescent="0.35">
      <c r="A1014" t="s">
        <v>114</v>
      </c>
      <c r="B1014" t="s">
        <v>33</v>
      </c>
      <c r="C1014" t="s">
        <v>126</v>
      </c>
      <c r="D1014">
        <v>16.370517849999999</v>
      </c>
    </row>
    <row r="1015" spans="1:4" x14ac:dyDescent="0.35">
      <c r="A1015" t="s">
        <v>114</v>
      </c>
      <c r="B1015" t="s">
        <v>34</v>
      </c>
      <c r="C1015" t="s">
        <v>126</v>
      </c>
      <c r="D1015">
        <v>0</v>
      </c>
    </row>
    <row r="1016" spans="1:4" x14ac:dyDescent="0.35">
      <c r="A1016" t="s">
        <v>114</v>
      </c>
      <c r="B1016" t="s">
        <v>35</v>
      </c>
      <c r="C1016" t="s">
        <v>126</v>
      </c>
      <c r="D1016">
        <v>20.152670090000001</v>
      </c>
    </row>
    <row r="1017" spans="1:4" x14ac:dyDescent="0.35">
      <c r="A1017" t="s">
        <v>114</v>
      </c>
      <c r="B1017" t="s">
        <v>36</v>
      </c>
      <c r="C1017" t="s">
        <v>126</v>
      </c>
      <c r="D1017">
        <v>0</v>
      </c>
    </row>
    <row r="1018" spans="1:4" x14ac:dyDescent="0.35">
      <c r="A1018" t="s">
        <v>114</v>
      </c>
      <c r="B1018" t="s">
        <v>37</v>
      </c>
      <c r="C1018" t="s">
        <v>126</v>
      </c>
      <c r="D1018">
        <v>3.6102043039999998</v>
      </c>
    </row>
    <row r="1019" spans="1:4" x14ac:dyDescent="0.35">
      <c r="A1019" t="s">
        <v>114</v>
      </c>
      <c r="B1019" t="s">
        <v>38</v>
      </c>
      <c r="C1019" t="s">
        <v>126</v>
      </c>
      <c r="D1019">
        <v>1.352653426</v>
      </c>
    </row>
    <row r="1020" spans="1:4" x14ac:dyDescent="0.35">
      <c r="A1020" t="s">
        <v>114</v>
      </c>
      <c r="B1020" t="s">
        <v>39</v>
      </c>
      <c r="C1020" t="s">
        <v>126</v>
      </c>
      <c r="D1020">
        <v>0</v>
      </c>
    </row>
    <row r="1021" spans="1:4" x14ac:dyDescent="0.35">
      <c r="A1021" t="s">
        <v>114</v>
      </c>
      <c r="B1021" t="s">
        <v>40</v>
      </c>
      <c r="C1021" t="s">
        <v>126</v>
      </c>
      <c r="D1021">
        <v>0</v>
      </c>
    </row>
    <row r="1022" spans="1:4" x14ac:dyDescent="0.35">
      <c r="A1022" t="s">
        <v>117</v>
      </c>
      <c r="B1022" t="s">
        <v>6</v>
      </c>
      <c r="C1022" t="s">
        <v>126</v>
      </c>
      <c r="D1022">
        <v>0</v>
      </c>
    </row>
    <row r="1023" spans="1:4" x14ac:dyDescent="0.35">
      <c r="A1023" t="s">
        <v>117</v>
      </c>
      <c r="B1023" t="s">
        <v>7</v>
      </c>
      <c r="C1023" t="s">
        <v>126</v>
      </c>
      <c r="D1023">
        <v>0</v>
      </c>
    </row>
    <row r="1024" spans="1:4" x14ac:dyDescent="0.35">
      <c r="A1024" t="s">
        <v>117</v>
      </c>
      <c r="B1024" t="s">
        <v>8</v>
      </c>
      <c r="C1024" t="s">
        <v>126</v>
      </c>
      <c r="D1024">
        <v>0</v>
      </c>
    </row>
    <row r="1025" spans="1:4" x14ac:dyDescent="0.35">
      <c r="A1025" t="s">
        <v>117</v>
      </c>
      <c r="B1025" t="s">
        <v>9</v>
      </c>
      <c r="C1025" t="s">
        <v>126</v>
      </c>
      <c r="D1025">
        <v>1.5584281440000001</v>
      </c>
    </row>
    <row r="1026" spans="1:4" x14ac:dyDescent="0.35">
      <c r="A1026" t="s">
        <v>117</v>
      </c>
      <c r="B1026" t="s">
        <v>10</v>
      </c>
      <c r="C1026" t="s">
        <v>126</v>
      </c>
      <c r="D1026">
        <v>18.633905299999999</v>
      </c>
    </row>
    <row r="1027" spans="1:4" x14ac:dyDescent="0.35">
      <c r="A1027" t="s">
        <v>117</v>
      </c>
      <c r="B1027" t="s">
        <v>11</v>
      </c>
      <c r="C1027" t="s">
        <v>126</v>
      </c>
      <c r="D1027">
        <v>13.99894671</v>
      </c>
    </row>
    <row r="1028" spans="1:4" x14ac:dyDescent="0.35">
      <c r="A1028" t="s">
        <v>117</v>
      </c>
      <c r="B1028" t="s">
        <v>12</v>
      </c>
      <c r="C1028" t="s">
        <v>126</v>
      </c>
      <c r="D1028">
        <v>0</v>
      </c>
    </row>
    <row r="1029" spans="1:4" x14ac:dyDescent="0.35">
      <c r="A1029" t="s">
        <v>117</v>
      </c>
      <c r="B1029" t="s">
        <v>13</v>
      </c>
      <c r="C1029" t="s">
        <v>126</v>
      </c>
      <c r="D1029">
        <v>4.2277542739999996</v>
      </c>
    </row>
    <row r="1030" spans="1:4" x14ac:dyDescent="0.35">
      <c r="A1030" t="s">
        <v>117</v>
      </c>
      <c r="B1030" t="s">
        <v>14</v>
      </c>
      <c r="C1030" t="s">
        <v>126</v>
      </c>
      <c r="D1030">
        <v>0</v>
      </c>
    </row>
    <row r="1031" spans="1:4" x14ac:dyDescent="0.35">
      <c r="A1031" t="s">
        <v>117</v>
      </c>
      <c r="B1031" t="s">
        <v>15</v>
      </c>
      <c r="C1031" t="s">
        <v>126</v>
      </c>
      <c r="D1031">
        <v>111.78356309999999</v>
      </c>
    </row>
    <row r="1032" spans="1:4" x14ac:dyDescent="0.35">
      <c r="A1032" t="s">
        <v>117</v>
      </c>
      <c r="B1032" t="s">
        <v>16</v>
      </c>
      <c r="C1032" t="s">
        <v>126</v>
      </c>
      <c r="D1032">
        <v>18.743427740000001</v>
      </c>
    </row>
    <row r="1033" spans="1:4" x14ac:dyDescent="0.35">
      <c r="A1033" t="s">
        <v>117</v>
      </c>
      <c r="B1033" t="s">
        <v>18</v>
      </c>
      <c r="C1033" t="s">
        <v>126</v>
      </c>
      <c r="D1033">
        <v>0</v>
      </c>
    </row>
    <row r="1034" spans="1:4" x14ac:dyDescent="0.35">
      <c r="A1034" t="s">
        <v>117</v>
      </c>
      <c r="B1034" t="s">
        <v>19</v>
      </c>
      <c r="C1034" t="s">
        <v>126</v>
      </c>
      <c r="D1034">
        <v>81.076751720000004</v>
      </c>
    </row>
    <row r="1035" spans="1:4" x14ac:dyDescent="0.35">
      <c r="A1035" t="s">
        <v>117</v>
      </c>
      <c r="B1035" t="s">
        <v>20</v>
      </c>
      <c r="C1035" t="s">
        <v>126</v>
      </c>
      <c r="D1035">
        <v>68.067390860000003</v>
      </c>
    </row>
    <row r="1036" spans="1:4" x14ac:dyDescent="0.35">
      <c r="A1036" t="s">
        <v>117</v>
      </c>
      <c r="B1036" t="s">
        <v>21</v>
      </c>
      <c r="C1036" t="s">
        <v>126</v>
      </c>
      <c r="D1036">
        <v>0</v>
      </c>
    </row>
    <row r="1037" spans="1:4" x14ac:dyDescent="0.35">
      <c r="A1037" t="s">
        <v>117</v>
      </c>
      <c r="B1037" t="s">
        <v>22</v>
      </c>
      <c r="C1037" t="s">
        <v>126</v>
      </c>
      <c r="D1037">
        <v>21.293731690000001</v>
      </c>
    </row>
    <row r="1038" spans="1:4" x14ac:dyDescent="0.35">
      <c r="A1038" t="s">
        <v>117</v>
      </c>
      <c r="B1038" t="s">
        <v>23</v>
      </c>
      <c r="C1038" t="s">
        <v>126</v>
      </c>
      <c r="D1038">
        <v>0.205743068</v>
      </c>
    </row>
    <row r="1039" spans="1:4" x14ac:dyDescent="0.35">
      <c r="A1039" t="s">
        <v>117</v>
      </c>
      <c r="B1039" t="s">
        <v>24</v>
      </c>
      <c r="C1039" t="s">
        <v>126</v>
      </c>
      <c r="D1039">
        <v>4.3708282540000001</v>
      </c>
    </row>
    <row r="1040" spans="1:4" x14ac:dyDescent="0.35">
      <c r="A1040" t="s">
        <v>117</v>
      </c>
      <c r="B1040" t="s">
        <v>25</v>
      </c>
      <c r="C1040" t="s">
        <v>126</v>
      </c>
      <c r="D1040">
        <v>0.28921010800000002</v>
      </c>
    </row>
    <row r="1041" spans="1:4" x14ac:dyDescent="0.35">
      <c r="A1041" t="s">
        <v>117</v>
      </c>
      <c r="B1041" t="s">
        <v>26</v>
      </c>
      <c r="C1041" t="s">
        <v>126</v>
      </c>
      <c r="D1041">
        <v>1.2920883809999999</v>
      </c>
    </row>
    <row r="1042" spans="1:4" x14ac:dyDescent="0.35">
      <c r="A1042" t="s">
        <v>117</v>
      </c>
      <c r="B1042" t="s">
        <v>27</v>
      </c>
      <c r="C1042" t="s">
        <v>126</v>
      </c>
      <c r="D1042">
        <v>5.0055845269999999</v>
      </c>
    </row>
    <row r="1043" spans="1:4" x14ac:dyDescent="0.35">
      <c r="A1043" t="s">
        <v>117</v>
      </c>
      <c r="B1043" t="s">
        <v>28</v>
      </c>
      <c r="C1043" t="s">
        <v>126</v>
      </c>
      <c r="D1043">
        <v>4.0388617780000002</v>
      </c>
    </row>
    <row r="1044" spans="1:4" x14ac:dyDescent="0.35">
      <c r="A1044" t="s">
        <v>117</v>
      </c>
      <c r="B1044" t="s">
        <v>29</v>
      </c>
      <c r="C1044" t="s">
        <v>126</v>
      </c>
      <c r="D1044">
        <v>0</v>
      </c>
    </row>
    <row r="1045" spans="1:4" x14ac:dyDescent="0.35">
      <c r="A1045" t="s">
        <v>117</v>
      </c>
      <c r="B1045" t="s">
        <v>30</v>
      </c>
      <c r="C1045" t="s">
        <v>126</v>
      </c>
      <c r="D1045">
        <v>11.368188119999999</v>
      </c>
    </row>
    <row r="1046" spans="1:4" x14ac:dyDescent="0.35">
      <c r="A1046" t="s">
        <v>117</v>
      </c>
      <c r="B1046" t="s">
        <v>31</v>
      </c>
      <c r="C1046" t="s">
        <v>126</v>
      </c>
      <c r="D1046">
        <v>0</v>
      </c>
    </row>
    <row r="1047" spans="1:4" x14ac:dyDescent="0.35">
      <c r="A1047" t="s">
        <v>117</v>
      </c>
      <c r="B1047" t="s">
        <v>32</v>
      </c>
      <c r="C1047" t="s">
        <v>126</v>
      </c>
      <c r="D1047">
        <v>0</v>
      </c>
    </row>
    <row r="1048" spans="1:4" x14ac:dyDescent="0.35">
      <c r="A1048" t="s">
        <v>117</v>
      </c>
      <c r="B1048" t="s">
        <v>33</v>
      </c>
      <c r="C1048" t="s">
        <v>126</v>
      </c>
      <c r="D1048">
        <v>10.482610729999999</v>
      </c>
    </row>
    <row r="1049" spans="1:4" x14ac:dyDescent="0.35">
      <c r="A1049" t="s">
        <v>117</v>
      </c>
      <c r="B1049" t="s">
        <v>34</v>
      </c>
      <c r="C1049" t="s">
        <v>126</v>
      </c>
      <c r="D1049">
        <v>0</v>
      </c>
    </row>
    <row r="1050" spans="1:4" x14ac:dyDescent="0.35">
      <c r="A1050" t="s">
        <v>117</v>
      </c>
      <c r="B1050" t="s">
        <v>35</v>
      </c>
      <c r="C1050" t="s">
        <v>126</v>
      </c>
      <c r="D1050">
        <v>27.4788584</v>
      </c>
    </row>
    <row r="1051" spans="1:4" x14ac:dyDescent="0.35">
      <c r="A1051" t="s">
        <v>117</v>
      </c>
      <c r="B1051" t="s">
        <v>36</v>
      </c>
      <c r="C1051" t="s">
        <v>126</v>
      </c>
      <c r="D1051">
        <v>0</v>
      </c>
    </row>
    <row r="1052" spans="1:4" x14ac:dyDescent="0.35">
      <c r="A1052" t="s">
        <v>117</v>
      </c>
      <c r="B1052" t="s">
        <v>37</v>
      </c>
      <c r="C1052" t="s">
        <v>126</v>
      </c>
      <c r="D1052">
        <v>2.0445003389999998</v>
      </c>
    </row>
    <row r="1053" spans="1:4" x14ac:dyDescent="0.35">
      <c r="A1053" t="s">
        <v>117</v>
      </c>
      <c r="B1053" t="s">
        <v>38</v>
      </c>
      <c r="C1053" t="s">
        <v>126</v>
      </c>
      <c r="D1053">
        <v>0.54965594699999998</v>
      </c>
    </row>
    <row r="1054" spans="1:4" x14ac:dyDescent="0.35">
      <c r="A1054" t="s">
        <v>117</v>
      </c>
      <c r="B1054" t="s">
        <v>39</v>
      </c>
      <c r="C1054" t="s">
        <v>126</v>
      </c>
      <c r="D1054">
        <v>0</v>
      </c>
    </row>
    <row r="1055" spans="1:4" x14ac:dyDescent="0.35">
      <c r="A1055" t="s">
        <v>117</v>
      </c>
      <c r="B1055" t="s">
        <v>40</v>
      </c>
      <c r="C1055" t="s">
        <v>126</v>
      </c>
      <c r="D1055">
        <v>0</v>
      </c>
    </row>
    <row r="1056" spans="1:4" x14ac:dyDescent="0.35">
      <c r="A1056" t="s">
        <v>120</v>
      </c>
      <c r="B1056" t="s">
        <v>6</v>
      </c>
      <c r="C1056" t="s">
        <v>126</v>
      </c>
      <c r="D1056">
        <v>0</v>
      </c>
    </row>
    <row r="1057" spans="1:4" x14ac:dyDescent="0.35">
      <c r="A1057" t="s">
        <v>120</v>
      </c>
      <c r="B1057" t="s">
        <v>7</v>
      </c>
      <c r="C1057" t="s">
        <v>126</v>
      </c>
      <c r="D1057">
        <v>0</v>
      </c>
    </row>
    <row r="1058" spans="1:4" x14ac:dyDescent="0.35">
      <c r="A1058" t="s">
        <v>120</v>
      </c>
      <c r="B1058" t="s">
        <v>8</v>
      </c>
      <c r="C1058" t="s">
        <v>126</v>
      </c>
      <c r="D1058">
        <v>0</v>
      </c>
    </row>
    <row r="1059" spans="1:4" x14ac:dyDescent="0.35">
      <c r="A1059" t="s">
        <v>120</v>
      </c>
      <c r="B1059" t="s">
        <v>9</v>
      </c>
      <c r="C1059" t="s">
        <v>126</v>
      </c>
      <c r="D1059">
        <v>0</v>
      </c>
    </row>
    <row r="1060" spans="1:4" x14ac:dyDescent="0.35">
      <c r="A1060" t="s">
        <v>120</v>
      </c>
      <c r="B1060" t="s">
        <v>10</v>
      </c>
      <c r="C1060" t="s">
        <v>126</v>
      </c>
      <c r="D1060">
        <v>9.8708894980000004</v>
      </c>
    </row>
    <row r="1061" spans="1:4" x14ac:dyDescent="0.35">
      <c r="A1061" t="s">
        <v>120</v>
      </c>
      <c r="B1061" t="s">
        <v>11</v>
      </c>
      <c r="C1061" t="s">
        <v>126</v>
      </c>
      <c r="D1061">
        <v>12.594335109999999</v>
      </c>
    </row>
    <row r="1062" spans="1:4" x14ac:dyDescent="0.35">
      <c r="A1062" t="s">
        <v>120</v>
      </c>
      <c r="B1062" t="s">
        <v>12</v>
      </c>
      <c r="C1062" t="s">
        <v>126</v>
      </c>
      <c r="D1062">
        <v>0</v>
      </c>
    </row>
    <row r="1063" spans="1:4" x14ac:dyDescent="0.35">
      <c r="A1063" t="s">
        <v>120</v>
      </c>
      <c r="B1063" t="s">
        <v>13</v>
      </c>
      <c r="C1063" t="s">
        <v>126</v>
      </c>
      <c r="D1063">
        <v>3.0340468180000002</v>
      </c>
    </row>
    <row r="1064" spans="1:4" x14ac:dyDescent="0.35">
      <c r="A1064" t="s">
        <v>120</v>
      </c>
      <c r="B1064" t="s">
        <v>14</v>
      </c>
      <c r="C1064" t="s">
        <v>126</v>
      </c>
      <c r="D1064">
        <v>0</v>
      </c>
    </row>
    <row r="1065" spans="1:4" x14ac:dyDescent="0.35">
      <c r="A1065" t="s">
        <v>120</v>
      </c>
      <c r="B1065" t="s">
        <v>15</v>
      </c>
      <c r="C1065" t="s">
        <v>126</v>
      </c>
      <c r="D1065">
        <v>92.977678190000006</v>
      </c>
    </row>
    <row r="1066" spans="1:4" x14ac:dyDescent="0.35">
      <c r="A1066" t="s">
        <v>120</v>
      </c>
      <c r="B1066" t="s">
        <v>16</v>
      </c>
      <c r="C1066" t="s">
        <v>126</v>
      </c>
      <c r="D1066">
        <v>35.425757820000001</v>
      </c>
    </row>
    <row r="1067" spans="1:4" x14ac:dyDescent="0.35">
      <c r="A1067" t="s">
        <v>120</v>
      </c>
      <c r="B1067" t="s">
        <v>18</v>
      </c>
      <c r="C1067" t="s">
        <v>126</v>
      </c>
      <c r="D1067">
        <v>0</v>
      </c>
    </row>
    <row r="1068" spans="1:4" x14ac:dyDescent="0.35">
      <c r="A1068" t="s">
        <v>120</v>
      </c>
      <c r="B1068" t="s">
        <v>19</v>
      </c>
      <c r="C1068" t="s">
        <v>126</v>
      </c>
      <c r="D1068">
        <v>62.59544331</v>
      </c>
    </row>
    <row r="1069" spans="1:4" x14ac:dyDescent="0.35">
      <c r="A1069" t="s">
        <v>120</v>
      </c>
      <c r="B1069" t="s">
        <v>20</v>
      </c>
      <c r="C1069" t="s">
        <v>126</v>
      </c>
      <c r="D1069">
        <v>60.884594149999998</v>
      </c>
    </row>
    <row r="1070" spans="1:4" x14ac:dyDescent="0.35">
      <c r="A1070" t="s">
        <v>120</v>
      </c>
      <c r="B1070" t="s">
        <v>21</v>
      </c>
      <c r="C1070" t="s">
        <v>126</v>
      </c>
      <c r="D1070">
        <v>0</v>
      </c>
    </row>
    <row r="1071" spans="1:4" x14ac:dyDescent="0.35">
      <c r="A1071" t="s">
        <v>120</v>
      </c>
      <c r="B1071" t="s">
        <v>22</v>
      </c>
      <c r="C1071" t="s">
        <v>126</v>
      </c>
      <c r="D1071">
        <v>24.79755669</v>
      </c>
    </row>
    <row r="1072" spans="1:4" x14ac:dyDescent="0.35">
      <c r="A1072" t="s">
        <v>120</v>
      </c>
      <c r="B1072" t="s">
        <v>23</v>
      </c>
      <c r="C1072" t="s">
        <v>126</v>
      </c>
      <c r="D1072">
        <v>0</v>
      </c>
    </row>
    <row r="1073" spans="1:4" x14ac:dyDescent="0.35">
      <c r="A1073" t="s">
        <v>120</v>
      </c>
      <c r="B1073" t="s">
        <v>24</v>
      </c>
      <c r="C1073" t="s">
        <v>126</v>
      </c>
      <c r="D1073">
        <v>6.2040793660000002</v>
      </c>
    </row>
    <row r="1074" spans="1:4" x14ac:dyDescent="0.35">
      <c r="A1074" t="s">
        <v>120</v>
      </c>
      <c r="B1074" t="s">
        <v>25</v>
      </c>
      <c r="C1074" t="s">
        <v>126</v>
      </c>
      <c r="D1074">
        <v>1.2469413</v>
      </c>
    </row>
    <row r="1075" spans="1:4" x14ac:dyDescent="0.35">
      <c r="A1075" t="s">
        <v>120</v>
      </c>
      <c r="B1075" t="s">
        <v>26</v>
      </c>
      <c r="C1075" t="s">
        <v>126</v>
      </c>
      <c r="D1075">
        <v>1.7806503039999999</v>
      </c>
    </row>
    <row r="1076" spans="1:4" x14ac:dyDescent="0.35">
      <c r="A1076" t="s">
        <v>120</v>
      </c>
      <c r="B1076" t="s">
        <v>27</v>
      </c>
      <c r="C1076" t="s">
        <v>126</v>
      </c>
      <c r="D1076">
        <v>4.7865177540000001</v>
      </c>
    </row>
    <row r="1077" spans="1:4" x14ac:dyDescent="0.35">
      <c r="A1077" t="s">
        <v>120</v>
      </c>
      <c r="B1077" t="s">
        <v>28</v>
      </c>
      <c r="C1077" t="s">
        <v>126</v>
      </c>
      <c r="D1077">
        <v>4.1260176849999999</v>
      </c>
    </row>
    <row r="1078" spans="1:4" x14ac:dyDescent="0.35">
      <c r="A1078" t="s">
        <v>120</v>
      </c>
      <c r="B1078" t="s">
        <v>29</v>
      </c>
      <c r="C1078" t="s">
        <v>126</v>
      </c>
      <c r="D1078">
        <v>0</v>
      </c>
    </row>
    <row r="1079" spans="1:4" x14ac:dyDescent="0.35">
      <c r="A1079" t="s">
        <v>120</v>
      </c>
      <c r="B1079" t="s">
        <v>30</v>
      </c>
      <c r="C1079" t="s">
        <v>126</v>
      </c>
      <c r="D1079">
        <v>13.17204956</v>
      </c>
    </row>
    <row r="1080" spans="1:4" x14ac:dyDescent="0.35">
      <c r="A1080" t="s">
        <v>120</v>
      </c>
      <c r="B1080" t="s">
        <v>31</v>
      </c>
      <c r="C1080" t="s">
        <v>126</v>
      </c>
      <c r="D1080">
        <v>0</v>
      </c>
    </row>
    <row r="1081" spans="1:4" x14ac:dyDescent="0.35">
      <c r="A1081" t="s">
        <v>120</v>
      </c>
      <c r="B1081" t="s">
        <v>32</v>
      </c>
      <c r="C1081" t="s">
        <v>126</v>
      </c>
      <c r="D1081">
        <v>0</v>
      </c>
    </row>
    <row r="1082" spans="1:4" x14ac:dyDescent="0.35">
      <c r="A1082" t="s">
        <v>120</v>
      </c>
      <c r="B1082" t="s">
        <v>33</v>
      </c>
      <c r="C1082" t="s">
        <v>126</v>
      </c>
      <c r="D1082">
        <v>16.354123919999999</v>
      </c>
    </row>
    <row r="1083" spans="1:4" x14ac:dyDescent="0.35">
      <c r="A1083" t="s">
        <v>120</v>
      </c>
      <c r="B1083" t="s">
        <v>34</v>
      </c>
      <c r="C1083" t="s">
        <v>126</v>
      </c>
      <c r="D1083">
        <v>0</v>
      </c>
    </row>
    <row r="1084" spans="1:4" x14ac:dyDescent="0.35">
      <c r="A1084" t="s">
        <v>120</v>
      </c>
      <c r="B1084" t="s">
        <v>35</v>
      </c>
      <c r="C1084" t="s">
        <v>126</v>
      </c>
      <c r="D1084">
        <v>19.7015514</v>
      </c>
    </row>
    <row r="1085" spans="1:4" x14ac:dyDescent="0.35">
      <c r="A1085" t="s">
        <v>120</v>
      </c>
      <c r="B1085" t="s">
        <v>36</v>
      </c>
      <c r="C1085" t="s">
        <v>126</v>
      </c>
      <c r="D1085">
        <v>0</v>
      </c>
    </row>
    <row r="1086" spans="1:4" x14ac:dyDescent="0.35">
      <c r="A1086" t="s">
        <v>120</v>
      </c>
      <c r="B1086" t="s">
        <v>37</v>
      </c>
      <c r="C1086" t="s">
        <v>126</v>
      </c>
      <c r="D1086">
        <v>0</v>
      </c>
    </row>
    <row r="1087" spans="1:4" x14ac:dyDescent="0.35">
      <c r="A1087" t="s">
        <v>120</v>
      </c>
      <c r="B1087" t="s">
        <v>38</v>
      </c>
      <c r="C1087" t="s">
        <v>126</v>
      </c>
      <c r="D1087">
        <v>0</v>
      </c>
    </row>
    <row r="1088" spans="1:4" x14ac:dyDescent="0.35">
      <c r="A1088" t="s">
        <v>120</v>
      </c>
      <c r="B1088" t="s">
        <v>39</v>
      </c>
      <c r="C1088" t="s">
        <v>126</v>
      </c>
      <c r="D1088">
        <v>0</v>
      </c>
    </row>
    <row r="1089" spans="1:4" x14ac:dyDescent="0.35">
      <c r="A1089" t="s">
        <v>120</v>
      </c>
      <c r="B1089" t="s">
        <v>40</v>
      </c>
      <c r="C1089" t="s">
        <v>126</v>
      </c>
      <c r="D1089">
        <v>0</v>
      </c>
    </row>
    <row r="1090" spans="1:4" x14ac:dyDescent="0.35">
      <c r="A1090" t="s">
        <v>123</v>
      </c>
      <c r="B1090" t="s">
        <v>6</v>
      </c>
      <c r="C1090" t="s">
        <v>126</v>
      </c>
      <c r="D1090">
        <v>0</v>
      </c>
    </row>
    <row r="1091" spans="1:4" x14ac:dyDescent="0.35">
      <c r="A1091" t="s">
        <v>123</v>
      </c>
      <c r="B1091" t="s">
        <v>7</v>
      </c>
      <c r="C1091" t="s">
        <v>126</v>
      </c>
      <c r="D1091">
        <v>0</v>
      </c>
    </row>
    <row r="1092" spans="1:4" x14ac:dyDescent="0.35">
      <c r="A1092" t="s">
        <v>123</v>
      </c>
      <c r="B1092" t="s">
        <v>8</v>
      </c>
      <c r="C1092" t="s">
        <v>126</v>
      </c>
      <c r="D1092">
        <v>0</v>
      </c>
    </row>
    <row r="1093" spans="1:4" x14ac:dyDescent="0.35">
      <c r="A1093" t="s">
        <v>123</v>
      </c>
      <c r="B1093" t="s">
        <v>9</v>
      </c>
      <c r="C1093" t="s">
        <v>126</v>
      </c>
      <c r="D1093">
        <v>1.3253752059999999</v>
      </c>
    </row>
    <row r="1094" spans="1:4" x14ac:dyDescent="0.35">
      <c r="A1094" t="s">
        <v>123</v>
      </c>
      <c r="B1094" t="s">
        <v>10</v>
      </c>
      <c r="C1094" t="s">
        <v>126</v>
      </c>
      <c r="D1094">
        <v>14.79426911</v>
      </c>
    </row>
    <row r="1095" spans="1:4" x14ac:dyDescent="0.35">
      <c r="A1095" t="s">
        <v>123</v>
      </c>
      <c r="B1095" t="s">
        <v>11</v>
      </c>
      <c r="C1095" t="s">
        <v>126</v>
      </c>
      <c r="D1095">
        <v>12.302733099999999</v>
      </c>
    </row>
    <row r="1096" spans="1:4" x14ac:dyDescent="0.35">
      <c r="A1096" t="s">
        <v>123</v>
      </c>
      <c r="B1096" t="s">
        <v>12</v>
      </c>
      <c r="C1096" t="s">
        <v>126</v>
      </c>
      <c r="D1096">
        <v>0</v>
      </c>
    </row>
    <row r="1097" spans="1:4" x14ac:dyDescent="0.35">
      <c r="A1097" t="s">
        <v>123</v>
      </c>
      <c r="B1097" t="s">
        <v>13</v>
      </c>
      <c r="C1097" t="s">
        <v>126</v>
      </c>
      <c r="D1097">
        <v>1.9812306790000001</v>
      </c>
    </row>
    <row r="1098" spans="1:4" x14ac:dyDescent="0.35">
      <c r="A1098" t="s">
        <v>123</v>
      </c>
      <c r="B1098" t="s">
        <v>14</v>
      </c>
      <c r="C1098" t="s">
        <v>126</v>
      </c>
      <c r="D1098">
        <v>0</v>
      </c>
    </row>
    <row r="1099" spans="1:4" x14ac:dyDescent="0.35">
      <c r="A1099" t="s">
        <v>123</v>
      </c>
      <c r="B1099" t="s">
        <v>15</v>
      </c>
      <c r="C1099" t="s">
        <v>126</v>
      </c>
      <c r="D1099">
        <v>103.976085</v>
      </c>
    </row>
    <row r="1100" spans="1:4" x14ac:dyDescent="0.35">
      <c r="A1100" t="s">
        <v>123</v>
      </c>
      <c r="B1100" t="s">
        <v>16</v>
      </c>
      <c r="C1100" t="s">
        <v>126</v>
      </c>
      <c r="D1100">
        <v>46.696171059999998</v>
      </c>
    </row>
    <row r="1101" spans="1:4" x14ac:dyDescent="0.35">
      <c r="A1101" t="s">
        <v>123</v>
      </c>
      <c r="B1101" t="s">
        <v>18</v>
      </c>
      <c r="C1101" t="s">
        <v>126</v>
      </c>
      <c r="D1101">
        <v>0</v>
      </c>
    </row>
    <row r="1102" spans="1:4" x14ac:dyDescent="0.35">
      <c r="A1102" t="s">
        <v>123</v>
      </c>
      <c r="B1102" t="s">
        <v>19</v>
      </c>
      <c r="C1102" t="s">
        <v>126</v>
      </c>
      <c r="D1102">
        <v>68.743503520000004</v>
      </c>
    </row>
    <row r="1103" spans="1:4" x14ac:dyDescent="0.35">
      <c r="A1103" t="s">
        <v>123</v>
      </c>
      <c r="B1103" t="s">
        <v>20</v>
      </c>
      <c r="C1103" t="s">
        <v>126</v>
      </c>
      <c r="D1103">
        <v>57.94238884</v>
      </c>
    </row>
    <row r="1104" spans="1:4" x14ac:dyDescent="0.35">
      <c r="A1104" t="s">
        <v>123</v>
      </c>
      <c r="B1104" t="s">
        <v>21</v>
      </c>
      <c r="C1104" t="s">
        <v>126</v>
      </c>
      <c r="D1104">
        <v>0</v>
      </c>
    </row>
    <row r="1105" spans="1:4" x14ac:dyDescent="0.35">
      <c r="A1105" t="s">
        <v>123</v>
      </c>
      <c r="B1105" t="s">
        <v>22</v>
      </c>
      <c r="C1105" t="s">
        <v>126</v>
      </c>
      <c r="D1105">
        <v>25.508752789999999</v>
      </c>
    </row>
    <row r="1106" spans="1:4" x14ac:dyDescent="0.35">
      <c r="A1106" t="s">
        <v>123</v>
      </c>
      <c r="B1106" t="s">
        <v>23</v>
      </c>
      <c r="C1106" t="s">
        <v>126</v>
      </c>
      <c r="D1106">
        <v>0</v>
      </c>
    </row>
    <row r="1107" spans="1:4" x14ac:dyDescent="0.35">
      <c r="A1107" t="s">
        <v>123</v>
      </c>
      <c r="B1107" t="s">
        <v>24</v>
      </c>
      <c r="C1107" t="s">
        <v>126</v>
      </c>
      <c r="D1107">
        <v>4.3929542819999998</v>
      </c>
    </row>
    <row r="1108" spans="1:4" x14ac:dyDescent="0.35">
      <c r="A1108" t="s">
        <v>123</v>
      </c>
      <c r="B1108" t="s">
        <v>25</v>
      </c>
      <c r="C1108" t="s">
        <v>126</v>
      </c>
      <c r="D1108">
        <v>0</v>
      </c>
    </row>
    <row r="1109" spans="1:4" x14ac:dyDescent="0.35">
      <c r="A1109" t="s">
        <v>123</v>
      </c>
      <c r="B1109" t="s">
        <v>26</v>
      </c>
      <c r="C1109" t="s">
        <v>126</v>
      </c>
      <c r="D1109">
        <v>0.91691654899999997</v>
      </c>
    </row>
    <row r="1110" spans="1:4" x14ac:dyDescent="0.35">
      <c r="A1110" t="s">
        <v>123</v>
      </c>
      <c r="B1110" t="s">
        <v>27</v>
      </c>
      <c r="C1110" t="s">
        <v>126</v>
      </c>
      <c r="D1110">
        <v>8.3240003199999997</v>
      </c>
    </row>
    <row r="1111" spans="1:4" x14ac:dyDescent="0.35">
      <c r="A1111" t="s">
        <v>123</v>
      </c>
      <c r="B1111" t="s">
        <v>28</v>
      </c>
      <c r="C1111" t="s">
        <v>126</v>
      </c>
      <c r="D1111">
        <v>4.8770125340000003</v>
      </c>
    </row>
    <row r="1112" spans="1:4" x14ac:dyDescent="0.35">
      <c r="A1112" t="s">
        <v>123</v>
      </c>
      <c r="B1112" t="s">
        <v>29</v>
      </c>
      <c r="C1112" t="s">
        <v>126</v>
      </c>
      <c r="D1112">
        <v>0</v>
      </c>
    </row>
    <row r="1113" spans="1:4" x14ac:dyDescent="0.35">
      <c r="A1113" t="s">
        <v>123</v>
      </c>
      <c r="B1113" t="s">
        <v>30</v>
      </c>
      <c r="C1113" t="s">
        <v>126</v>
      </c>
      <c r="D1113">
        <v>16.30701174</v>
      </c>
    </row>
    <row r="1114" spans="1:4" x14ac:dyDescent="0.35">
      <c r="A1114" t="s">
        <v>123</v>
      </c>
      <c r="B1114" t="s">
        <v>31</v>
      </c>
      <c r="C1114" t="s">
        <v>126</v>
      </c>
      <c r="D1114">
        <v>0</v>
      </c>
    </row>
    <row r="1115" spans="1:4" x14ac:dyDescent="0.35">
      <c r="A1115" t="s">
        <v>123</v>
      </c>
      <c r="B1115" t="s">
        <v>32</v>
      </c>
      <c r="C1115" t="s">
        <v>126</v>
      </c>
      <c r="D1115">
        <v>0</v>
      </c>
    </row>
    <row r="1116" spans="1:4" x14ac:dyDescent="0.35">
      <c r="A1116" t="s">
        <v>123</v>
      </c>
      <c r="B1116" t="s">
        <v>33</v>
      </c>
      <c r="C1116" t="s">
        <v>126</v>
      </c>
      <c r="D1116">
        <v>18.718030259999999</v>
      </c>
    </row>
    <row r="1117" spans="1:4" x14ac:dyDescent="0.35">
      <c r="A1117" t="s">
        <v>123</v>
      </c>
      <c r="B1117" t="s">
        <v>34</v>
      </c>
      <c r="C1117" t="s">
        <v>126</v>
      </c>
      <c r="D1117">
        <v>0</v>
      </c>
    </row>
    <row r="1118" spans="1:4" x14ac:dyDescent="0.35">
      <c r="A1118" t="s">
        <v>123</v>
      </c>
      <c r="B1118" t="s">
        <v>35</v>
      </c>
      <c r="C1118" t="s">
        <v>126</v>
      </c>
      <c r="D1118">
        <v>18.632006870000001</v>
      </c>
    </row>
    <row r="1119" spans="1:4" x14ac:dyDescent="0.35">
      <c r="A1119" t="s">
        <v>123</v>
      </c>
      <c r="B1119" t="s">
        <v>36</v>
      </c>
      <c r="C1119" t="s">
        <v>126</v>
      </c>
      <c r="D1119">
        <v>0</v>
      </c>
    </row>
    <row r="1120" spans="1:4" x14ac:dyDescent="0.35">
      <c r="A1120" t="s">
        <v>123</v>
      </c>
      <c r="B1120" t="s">
        <v>37</v>
      </c>
      <c r="C1120" t="s">
        <v>126</v>
      </c>
      <c r="D1120">
        <v>3.2314906890000001</v>
      </c>
    </row>
    <row r="1121" spans="1:4" x14ac:dyDescent="0.35">
      <c r="A1121" t="s">
        <v>123</v>
      </c>
      <c r="B1121" t="s">
        <v>38</v>
      </c>
      <c r="C1121" t="s">
        <v>126</v>
      </c>
      <c r="D1121">
        <v>1.1972933349999999</v>
      </c>
    </row>
    <row r="1122" spans="1:4" x14ac:dyDescent="0.35">
      <c r="A1122" t="s">
        <v>123</v>
      </c>
      <c r="B1122" t="s">
        <v>39</v>
      </c>
      <c r="C1122" t="s">
        <v>126</v>
      </c>
      <c r="D1122">
        <v>0</v>
      </c>
    </row>
    <row r="1123" spans="1:4" x14ac:dyDescent="0.35">
      <c r="A1123" t="s">
        <v>123</v>
      </c>
      <c r="B1123" t="s">
        <v>40</v>
      </c>
      <c r="C1123" t="s">
        <v>126</v>
      </c>
      <c r="D1123">
        <v>0</v>
      </c>
    </row>
    <row r="1124" spans="1:4" x14ac:dyDescent="0.35">
      <c r="A1124" t="s">
        <v>125</v>
      </c>
      <c r="B1124" t="s">
        <v>6</v>
      </c>
      <c r="C1124" t="s">
        <v>126</v>
      </c>
      <c r="D1124">
        <v>0</v>
      </c>
    </row>
    <row r="1125" spans="1:4" x14ac:dyDescent="0.35">
      <c r="A1125" t="s">
        <v>125</v>
      </c>
      <c r="B1125" t="s">
        <v>7</v>
      </c>
      <c r="C1125" t="s">
        <v>126</v>
      </c>
      <c r="D1125">
        <v>0</v>
      </c>
    </row>
    <row r="1126" spans="1:4" x14ac:dyDescent="0.35">
      <c r="A1126" t="s">
        <v>125</v>
      </c>
      <c r="B1126" t="s">
        <v>8</v>
      </c>
      <c r="C1126" t="s">
        <v>126</v>
      </c>
      <c r="D1126">
        <v>0</v>
      </c>
    </row>
    <row r="1127" spans="1:4" x14ac:dyDescent="0.35">
      <c r="A1127" t="s">
        <v>125</v>
      </c>
      <c r="B1127" t="s">
        <v>9</v>
      </c>
      <c r="C1127" t="s">
        <v>126</v>
      </c>
      <c r="D1127">
        <v>1.0721244670000001</v>
      </c>
    </row>
    <row r="1128" spans="1:4" x14ac:dyDescent="0.35">
      <c r="A1128" t="s">
        <v>125</v>
      </c>
      <c r="B1128" t="s">
        <v>10</v>
      </c>
      <c r="C1128" t="s">
        <v>126</v>
      </c>
      <c r="D1128">
        <v>13.914111589999999</v>
      </c>
    </row>
    <row r="1129" spans="1:4" x14ac:dyDescent="0.35">
      <c r="A1129" t="s">
        <v>125</v>
      </c>
      <c r="B1129" t="s">
        <v>11</v>
      </c>
      <c r="C1129" t="s">
        <v>126</v>
      </c>
      <c r="D1129">
        <v>14.20491597</v>
      </c>
    </row>
    <row r="1130" spans="1:4" x14ac:dyDescent="0.35">
      <c r="A1130" t="s">
        <v>125</v>
      </c>
      <c r="B1130" t="s">
        <v>12</v>
      </c>
      <c r="C1130" t="s">
        <v>126</v>
      </c>
      <c r="D1130">
        <v>0</v>
      </c>
    </row>
    <row r="1131" spans="1:4" x14ac:dyDescent="0.35">
      <c r="A1131" t="s">
        <v>125</v>
      </c>
      <c r="B1131" t="s">
        <v>13</v>
      </c>
      <c r="C1131" t="s">
        <v>126</v>
      </c>
      <c r="D1131">
        <v>2.8710904660000001</v>
      </c>
    </row>
    <row r="1132" spans="1:4" x14ac:dyDescent="0.35">
      <c r="A1132" t="s">
        <v>125</v>
      </c>
      <c r="B1132" t="s">
        <v>14</v>
      </c>
      <c r="C1132" t="s">
        <v>126</v>
      </c>
      <c r="D1132">
        <v>0</v>
      </c>
    </row>
    <row r="1133" spans="1:4" x14ac:dyDescent="0.35">
      <c r="A1133" t="s">
        <v>125</v>
      </c>
      <c r="B1133" t="s">
        <v>15</v>
      </c>
      <c r="C1133" t="s">
        <v>126</v>
      </c>
      <c r="D1133">
        <v>98.356368259999996</v>
      </c>
    </row>
    <row r="1134" spans="1:4" x14ac:dyDescent="0.35">
      <c r="A1134" t="s">
        <v>125</v>
      </c>
      <c r="B1134" t="s">
        <v>16</v>
      </c>
      <c r="C1134" t="s">
        <v>126</v>
      </c>
      <c r="D1134">
        <v>36.344257059999997</v>
      </c>
    </row>
    <row r="1135" spans="1:4" x14ac:dyDescent="0.35">
      <c r="A1135" t="s">
        <v>125</v>
      </c>
      <c r="B1135" t="s">
        <v>18</v>
      </c>
      <c r="C1135" t="s">
        <v>126</v>
      </c>
      <c r="D1135">
        <v>0</v>
      </c>
    </row>
    <row r="1136" spans="1:4" x14ac:dyDescent="0.35">
      <c r="A1136" t="s">
        <v>125</v>
      </c>
      <c r="B1136" t="s">
        <v>19</v>
      </c>
      <c r="C1136" t="s">
        <v>126</v>
      </c>
      <c r="D1136">
        <v>67.251874279999996</v>
      </c>
    </row>
    <row r="1137" spans="1:4" x14ac:dyDescent="0.35">
      <c r="A1137" t="s">
        <v>125</v>
      </c>
      <c r="B1137" t="s">
        <v>20</v>
      </c>
      <c r="C1137" t="s">
        <v>126</v>
      </c>
      <c r="D1137">
        <v>70.746335639999998</v>
      </c>
    </row>
    <row r="1138" spans="1:4" x14ac:dyDescent="0.35">
      <c r="A1138" t="s">
        <v>125</v>
      </c>
      <c r="B1138" t="s">
        <v>21</v>
      </c>
      <c r="C1138" t="s">
        <v>126</v>
      </c>
      <c r="D1138">
        <v>0</v>
      </c>
    </row>
    <row r="1139" spans="1:4" x14ac:dyDescent="0.35">
      <c r="A1139" t="s">
        <v>125</v>
      </c>
      <c r="B1139" t="s">
        <v>22</v>
      </c>
      <c r="C1139" t="s">
        <v>126</v>
      </c>
      <c r="D1139">
        <v>21.18370264</v>
      </c>
    </row>
    <row r="1140" spans="1:4" x14ac:dyDescent="0.35">
      <c r="A1140" t="s">
        <v>125</v>
      </c>
      <c r="B1140" t="s">
        <v>23</v>
      </c>
      <c r="C1140" t="s">
        <v>126</v>
      </c>
      <c r="D1140">
        <v>0</v>
      </c>
    </row>
    <row r="1141" spans="1:4" x14ac:dyDescent="0.35">
      <c r="A1141" t="s">
        <v>125</v>
      </c>
      <c r="B1141" t="s">
        <v>24</v>
      </c>
      <c r="C1141" t="s">
        <v>126</v>
      </c>
      <c r="D1141">
        <v>4.4657384369999997</v>
      </c>
    </row>
    <row r="1142" spans="1:4" x14ac:dyDescent="0.35">
      <c r="A1142" t="s">
        <v>125</v>
      </c>
      <c r="B1142" t="s">
        <v>25</v>
      </c>
      <c r="C1142" t="s">
        <v>126</v>
      </c>
      <c r="D1142">
        <v>0</v>
      </c>
    </row>
    <row r="1143" spans="1:4" x14ac:dyDescent="0.35">
      <c r="A1143" t="s">
        <v>125</v>
      </c>
      <c r="B1143" t="s">
        <v>26</v>
      </c>
      <c r="C1143" t="s">
        <v>126</v>
      </c>
      <c r="D1143">
        <v>1.6249572619999999</v>
      </c>
    </row>
    <row r="1144" spans="1:4" x14ac:dyDescent="0.35">
      <c r="A1144" t="s">
        <v>125</v>
      </c>
      <c r="B1144" t="s">
        <v>27</v>
      </c>
      <c r="C1144" t="s">
        <v>126</v>
      </c>
      <c r="D1144">
        <v>4.5820418070000004</v>
      </c>
    </row>
    <row r="1145" spans="1:4" x14ac:dyDescent="0.35">
      <c r="A1145" t="s">
        <v>125</v>
      </c>
      <c r="B1145" t="s">
        <v>28</v>
      </c>
      <c r="C1145" t="s">
        <v>126</v>
      </c>
      <c r="D1145">
        <v>3.0995124459999999</v>
      </c>
    </row>
    <row r="1146" spans="1:4" x14ac:dyDescent="0.35">
      <c r="A1146" t="s">
        <v>125</v>
      </c>
      <c r="B1146" t="s">
        <v>29</v>
      </c>
      <c r="C1146" t="s">
        <v>126</v>
      </c>
      <c r="D1146">
        <v>0</v>
      </c>
    </row>
    <row r="1147" spans="1:4" x14ac:dyDescent="0.35">
      <c r="A1147" t="s">
        <v>125</v>
      </c>
      <c r="B1147" t="s">
        <v>30</v>
      </c>
      <c r="C1147" t="s">
        <v>126</v>
      </c>
      <c r="D1147">
        <v>7.6933362479999996</v>
      </c>
    </row>
    <row r="1148" spans="1:4" x14ac:dyDescent="0.35">
      <c r="A1148" t="s">
        <v>125</v>
      </c>
      <c r="B1148" t="s">
        <v>31</v>
      </c>
      <c r="C1148" t="s">
        <v>126</v>
      </c>
      <c r="D1148">
        <v>0</v>
      </c>
    </row>
    <row r="1149" spans="1:4" x14ac:dyDescent="0.35">
      <c r="A1149" t="s">
        <v>125</v>
      </c>
      <c r="B1149" t="s">
        <v>32</v>
      </c>
      <c r="C1149" t="s">
        <v>126</v>
      </c>
      <c r="D1149">
        <v>0</v>
      </c>
    </row>
    <row r="1150" spans="1:4" x14ac:dyDescent="0.35">
      <c r="A1150" t="s">
        <v>125</v>
      </c>
      <c r="B1150" t="s">
        <v>33</v>
      </c>
      <c r="C1150" t="s">
        <v>126</v>
      </c>
      <c r="D1150">
        <v>8.8438242420000002</v>
      </c>
    </row>
    <row r="1151" spans="1:4" x14ac:dyDescent="0.35">
      <c r="A1151" t="s">
        <v>125</v>
      </c>
      <c r="B1151" t="s">
        <v>34</v>
      </c>
      <c r="C1151" t="s">
        <v>126</v>
      </c>
      <c r="D1151">
        <v>0</v>
      </c>
    </row>
    <row r="1152" spans="1:4" x14ac:dyDescent="0.35">
      <c r="A1152" t="s">
        <v>125</v>
      </c>
      <c r="B1152" t="s">
        <v>35</v>
      </c>
      <c r="C1152" t="s">
        <v>126</v>
      </c>
      <c r="D1152">
        <v>21.720548109999999</v>
      </c>
    </row>
    <row r="1153" spans="1:4" x14ac:dyDescent="0.35">
      <c r="A1153" t="s">
        <v>125</v>
      </c>
      <c r="B1153" t="s">
        <v>36</v>
      </c>
      <c r="C1153" t="s">
        <v>126</v>
      </c>
      <c r="D1153">
        <v>0</v>
      </c>
    </row>
    <row r="1154" spans="1:4" x14ac:dyDescent="0.35">
      <c r="A1154" t="s">
        <v>125</v>
      </c>
      <c r="B1154" t="s">
        <v>37</v>
      </c>
      <c r="C1154" t="s">
        <v>126</v>
      </c>
      <c r="D1154">
        <v>0.87930254600000002</v>
      </c>
    </row>
    <row r="1155" spans="1:4" x14ac:dyDescent="0.35">
      <c r="A1155" t="s">
        <v>125</v>
      </c>
      <c r="B1155" t="s">
        <v>38</v>
      </c>
      <c r="C1155" t="s">
        <v>126</v>
      </c>
      <c r="D1155">
        <v>0.40802357</v>
      </c>
    </row>
    <row r="1156" spans="1:4" x14ac:dyDescent="0.35">
      <c r="A1156" t="s">
        <v>125</v>
      </c>
      <c r="B1156" t="s">
        <v>39</v>
      </c>
      <c r="C1156" t="s">
        <v>126</v>
      </c>
      <c r="D1156">
        <v>0</v>
      </c>
    </row>
    <row r="1157" spans="1:4" x14ac:dyDescent="0.35">
      <c r="A1157" t="s">
        <v>125</v>
      </c>
      <c r="B1157" t="s">
        <v>40</v>
      </c>
      <c r="C1157" t="s">
        <v>126</v>
      </c>
      <c r="D1157">
        <v>0</v>
      </c>
    </row>
    <row r="1158" spans="1:4" x14ac:dyDescent="0.35">
      <c r="A1158" t="s">
        <v>128</v>
      </c>
      <c r="B1158" t="s">
        <v>6</v>
      </c>
      <c r="C1158" t="s">
        <v>126</v>
      </c>
      <c r="D1158">
        <v>0</v>
      </c>
    </row>
    <row r="1159" spans="1:4" x14ac:dyDescent="0.35">
      <c r="A1159" t="s">
        <v>128</v>
      </c>
      <c r="B1159" t="s">
        <v>7</v>
      </c>
      <c r="C1159" t="s">
        <v>126</v>
      </c>
      <c r="D1159">
        <v>0</v>
      </c>
    </row>
    <row r="1160" spans="1:4" x14ac:dyDescent="0.35">
      <c r="A1160" t="s">
        <v>128</v>
      </c>
      <c r="B1160" t="s">
        <v>8</v>
      </c>
      <c r="C1160" t="s">
        <v>126</v>
      </c>
      <c r="D1160">
        <v>0</v>
      </c>
    </row>
    <row r="1161" spans="1:4" x14ac:dyDescent="0.35">
      <c r="A1161" t="s">
        <v>128</v>
      </c>
      <c r="B1161" t="s">
        <v>9</v>
      </c>
      <c r="C1161" t="s">
        <v>126</v>
      </c>
      <c r="D1161">
        <v>3.0649437690000001</v>
      </c>
    </row>
    <row r="1162" spans="1:4" x14ac:dyDescent="0.35">
      <c r="A1162" t="s">
        <v>128</v>
      </c>
      <c r="B1162" t="s">
        <v>10</v>
      </c>
      <c r="C1162" t="s">
        <v>126</v>
      </c>
      <c r="D1162">
        <v>13.88661424</v>
      </c>
    </row>
    <row r="1163" spans="1:4" x14ac:dyDescent="0.35">
      <c r="A1163" t="s">
        <v>128</v>
      </c>
      <c r="B1163" t="s">
        <v>11</v>
      </c>
      <c r="C1163" t="s">
        <v>126</v>
      </c>
      <c r="D1163">
        <v>17.166845739999999</v>
      </c>
    </row>
    <row r="1164" spans="1:4" x14ac:dyDescent="0.35">
      <c r="A1164" t="s">
        <v>128</v>
      </c>
      <c r="B1164" t="s">
        <v>12</v>
      </c>
      <c r="C1164" t="s">
        <v>126</v>
      </c>
      <c r="D1164">
        <v>0</v>
      </c>
    </row>
    <row r="1165" spans="1:4" x14ac:dyDescent="0.35">
      <c r="A1165" t="s">
        <v>128</v>
      </c>
      <c r="B1165" t="s">
        <v>13</v>
      </c>
      <c r="C1165" t="s">
        <v>126</v>
      </c>
      <c r="D1165">
        <v>3.7075108110000001</v>
      </c>
    </row>
    <row r="1166" spans="1:4" x14ac:dyDescent="0.35">
      <c r="A1166" t="s">
        <v>128</v>
      </c>
      <c r="B1166" t="s">
        <v>14</v>
      </c>
      <c r="C1166" t="s">
        <v>126</v>
      </c>
      <c r="D1166">
        <v>0</v>
      </c>
    </row>
    <row r="1167" spans="1:4" x14ac:dyDescent="0.35">
      <c r="A1167" t="s">
        <v>128</v>
      </c>
      <c r="B1167" t="s">
        <v>15</v>
      </c>
      <c r="C1167" t="s">
        <v>126</v>
      </c>
      <c r="D1167">
        <v>91.63984791</v>
      </c>
    </row>
    <row r="1168" spans="1:4" x14ac:dyDescent="0.35">
      <c r="A1168" t="s">
        <v>128</v>
      </c>
      <c r="B1168" t="s">
        <v>16</v>
      </c>
      <c r="C1168" t="s">
        <v>126</v>
      </c>
      <c r="D1168">
        <v>43.15053692</v>
      </c>
    </row>
    <row r="1169" spans="1:4" x14ac:dyDescent="0.35">
      <c r="A1169" t="s">
        <v>128</v>
      </c>
      <c r="B1169" t="s">
        <v>18</v>
      </c>
      <c r="C1169" t="s">
        <v>126</v>
      </c>
      <c r="D1169">
        <v>0</v>
      </c>
    </row>
    <row r="1170" spans="1:4" x14ac:dyDescent="0.35">
      <c r="A1170" t="s">
        <v>128</v>
      </c>
      <c r="B1170" t="s">
        <v>19</v>
      </c>
      <c r="C1170" t="s">
        <v>126</v>
      </c>
      <c r="D1170">
        <v>58.380297290000001</v>
      </c>
    </row>
    <row r="1171" spans="1:4" x14ac:dyDescent="0.35">
      <c r="A1171" t="s">
        <v>128</v>
      </c>
      <c r="B1171" t="s">
        <v>20</v>
      </c>
      <c r="C1171" t="s">
        <v>126</v>
      </c>
      <c r="D1171">
        <v>64.237757290000005</v>
      </c>
    </row>
    <row r="1172" spans="1:4" x14ac:dyDescent="0.35">
      <c r="A1172" t="s">
        <v>128</v>
      </c>
      <c r="B1172" t="s">
        <v>21</v>
      </c>
      <c r="C1172" t="s">
        <v>126</v>
      </c>
      <c r="D1172">
        <v>0</v>
      </c>
    </row>
    <row r="1173" spans="1:4" x14ac:dyDescent="0.35">
      <c r="A1173" t="s">
        <v>128</v>
      </c>
      <c r="B1173" t="s">
        <v>22</v>
      </c>
      <c r="C1173" t="s">
        <v>126</v>
      </c>
      <c r="D1173">
        <v>30.228920460000001</v>
      </c>
    </row>
    <row r="1174" spans="1:4" x14ac:dyDescent="0.35">
      <c r="A1174" t="s">
        <v>128</v>
      </c>
      <c r="B1174" t="s">
        <v>23</v>
      </c>
      <c r="C1174" t="s">
        <v>126</v>
      </c>
      <c r="D1174">
        <v>0</v>
      </c>
    </row>
    <row r="1175" spans="1:4" x14ac:dyDescent="0.35">
      <c r="A1175" t="s">
        <v>128</v>
      </c>
      <c r="B1175" t="s">
        <v>24</v>
      </c>
      <c r="C1175" t="s">
        <v>126</v>
      </c>
      <c r="D1175">
        <v>8.3722134700000002</v>
      </c>
    </row>
    <row r="1176" spans="1:4" x14ac:dyDescent="0.35">
      <c r="A1176" t="s">
        <v>128</v>
      </c>
      <c r="B1176" t="s">
        <v>25</v>
      </c>
      <c r="C1176" t="s">
        <v>126</v>
      </c>
      <c r="D1176">
        <v>1.1351953349999999</v>
      </c>
    </row>
    <row r="1177" spans="1:4" x14ac:dyDescent="0.35">
      <c r="A1177" t="s">
        <v>128</v>
      </c>
      <c r="B1177" t="s">
        <v>26</v>
      </c>
      <c r="C1177" t="s">
        <v>126</v>
      </c>
      <c r="D1177">
        <v>1.9906047140000001</v>
      </c>
    </row>
    <row r="1178" spans="1:4" x14ac:dyDescent="0.35">
      <c r="A1178" t="s">
        <v>128</v>
      </c>
      <c r="B1178" t="s">
        <v>27</v>
      </c>
      <c r="C1178" t="s">
        <v>126</v>
      </c>
      <c r="D1178">
        <v>7.2077817079999997</v>
      </c>
    </row>
    <row r="1179" spans="1:4" x14ac:dyDescent="0.35">
      <c r="A1179" t="s">
        <v>128</v>
      </c>
      <c r="B1179" t="s">
        <v>28</v>
      </c>
      <c r="C1179" t="s">
        <v>126</v>
      </c>
      <c r="D1179">
        <v>5.9767185830000003</v>
      </c>
    </row>
    <row r="1180" spans="1:4" x14ac:dyDescent="0.35">
      <c r="A1180" t="s">
        <v>128</v>
      </c>
      <c r="B1180" t="s">
        <v>29</v>
      </c>
      <c r="C1180" t="s">
        <v>126</v>
      </c>
      <c r="D1180">
        <v>0</v>
      </c>
    </row>
    <row r="1181" spans="1:4" x14ac:dyDescent="0.35">
      <c r="A1181" t="s">
        <v>128</v>
      </c>
      <c r="B1181" t="s">
        <v>30</v>
      </c>
      <c r="C1181" t="s">
        <v>126</v>
      </c>
      <c r="D1181">
        <v>14.95314999</v>
      </c>
    </row>
    <row r="1182" spans="1:4" x14ac:dyDescent="0.35">
      <c r="A1182" t="s">
        <v>128</v>
      </c>
      <c r="B1182" t="s">
        <v>31</v>
      </c>
      <c r="C1182" t="s">
        <v>126</v>
      </c>
      <c r="D1182">
        <v>0</v>
      </c>
    </row>
    <row r="1183" spans="1:4" x14ac:dyDescent="0.35">
      <c r="A1183" t="s">
        <v>128</v>
      </c>
      <c r="B1183" t="s">
        <v>32</v>
      </c>
      <c r="C1183" t="s">
        <v>126</v>
      </c>
      <c r="D1183">
        <v>0</v>
      </c>
    </row>
    <row r="1184" spans="1:4" x14ac:dyDescent="0.35">
      <c r="A1184" t="s">
        <v>128</v>
      </c>
      <c r="B1184" t="s">
        <v>33</v>
      </c>
      <c r="C1184" t="s">
        <v>126</v>
      </c>
      <c r="D1184">
        <v>18.810414189999999</v>
      </c>
    </row>
    <row r="1185" spans="1:4" x14ac:dyDescent="0.35">
      <c r="A1185" t="s">
        <v>128</v>
      </c>
      <c r="B1185" t="s">
        <v>34</v>
      </c>
      <c r="C1185" t="s">
        <v>126</v>
      </c>
      <c r="D1185">
        <v>0</v>
      </c>
    </row>
    <row r="1186" spans="1:4" x14ac:dyDescent="0.35">
      <c r="A1186" t="s">
        <v>128</v>
      </c>
      <c r="B1186" t="s">
        <v>35</v>
      </c>
      <c r="C1186" t="s">
        <v>126</v>
      </c>
      <c r="D1186">
        <v>16.328249809999999</v>
      </c>
    </row>
    <row r="1187" spans="1:4" x14ac:dyDescent="0.35">
      <c r="A1187" t="s">
        <v>128</v>
      </c>
      <c r="B1187" t="s">
        <v>36</v>
      </c>
      <c r="C1187" t="s">
        <v>126</v>
      </c>
      <c r="D1187">
        <v>0</v>
      </c>
    </row>
    <row r="1188" spans="1:4" x14ac:dyDescent="0.35">
      <c r="A1188" t="s">
        <v>128</v>
      </c>
      <c r="B1188" t="s">
        <v>37</v>
      </c>
      <c r="C1188" t="s">
        <v>126</v>
      </c>
      <c r="D1188">
        <v>3.300454352</v>
      </c>
    </row>
    <row r="1189" spans="1:4" x14ac:dyDescent="0.35">
      <c r="A1189" t="s">
        <v>128</v>
      </c>
      <c r="B1189" t="s">
        <v>38</v>
      </c>
      <c r="C1189" t="s">
        <v>126</v>
      </c>
      <c r="D1189">
        <v>0</v>
      </c>
    </row>
    <row r="1190" spans="1:4" x14ac:dyDescent="0.35">
      <c r="A1190" t="s">
        <v>128</v>
      </c>
      <c r="B1190" t="s">
        <v>39</v>
      </c>
      <c r="C1190" t="s">
        <v>126</v>
      </c>
      <c r="D1190">
        <v>0</v>
      </c>
    </row>
    <row r="1191" spans="1:4" x14ac:dyDescent="0.35">
      <c r="A1191" t="s">
        <v>128</v>
      </c>
      <c r="B1191" t="s">
        <v>40</v>
      </c>
      <c r="C1191" t="s">
        <v>126</v>
      </c>
      <c r="D1191">
        <v>0</v>
      </c>
    </row>
    <row r="1192" spans="1:4" x14ac:dyDescent="0.35">
      <c r="A1192" t="s">
        <v>130</v>
      </c>
      <c r="B1192" t="s">
        <v>6</v>
      </c>
      <c r="C1192" t="s">
        <v>126</v>
      </c>
      <c r="D1192">
        <v>0</v>
      </c>
    </row>
    <row r="1193" spans="1:4" x14ac:dyDescent="0.35">
      <c r="A1193" t="s">
        <v>130</v>
      </c>
      <c r="B1193" t="s">
        <v>7</v>
      </c>
      <c r="C1193" t="s">
        <v>126</v>
      </c>
      <c r="D1193">
        <v>0</v>
      </c>
    </row>
    <row r="1194" spans="1:4" x14ac:dyDescent="0.35">
      <c r="A1194" t="s">
        <v>130</v>
      </c>
      <c r="B1194" t="s">
        <v>8</v>
      </c>
      <c r="C1194" t="s">
        <v>126</v>
      </c>
      <c r="D1194">
        <v>0</v>
      </c>
    </row>
    <row r="1195" spans="1:4" x14ac:dyDescent="0.35">
      <c r="A1195" t="s">
        <v>130</v>
      </c>
      <c r="B1195" t="s">
        <v>9</v>
      </c>
      <c r="C1195" t="s">
        <v>126</v>
      </c>
      <c r="D1195">
        <v>2.8999488769999999</v>
      </c>
    </row>
    <row r="1196" spans="1:4" x14ac:dyDescent="0.35">
      <c r="A1196" t="s">
        <v>130</v>
      </c>
      <c r="B1196" t="s">
        <v>10</v>
      </c>
      <c r="C1196" t="s">
        <v>126</v>
      </c>
      <c r="D1196">
        <v>21.962536270000001</v>
      </c>
    </row>
    <row r="1197" spans="1:4" x14ac:dyDescent="0.35">
      <c r="A1197" t="s">
        <v>130</v>
      </c>
      <c r="B1197" t="s">
        <v>11</v>
      </c>
      <c r="C1197" t="s">
        <v>126</v>
      </c>
      <c r="D1197">
        <v>16.191048980000001</v>
      </c>
    </row>
    <row r="1198" spans="1:4" x14ac:dyDescent="0.35">
      <c r="A1198" t="s">
        <v>130</v>
      </c>
      <c r="B1198" t="s">
        <v>12</v>
      </c>
      <c r="C1198" t="s">
        <v>126</v>
      </c>
      <c r="D1198">
        <v>0</v>
      </c>
    </row>
    <row r="1199" spans="1:4" x14ac:dyDescent="0.35">
      <c r="A1199" t="s">
        <v>130</v>
      </c>
      <c r="B1199" t="s">
        <v>13</v>
      </c>
      <c r="C1199" t="s">
        <v>126</v>
      </c>
      <c r="D1199">
        <v>3.1131763989999999</v>
      </c>
    </row>
    <row r="1200" spans="1:4" x14ac:dyDescent="0.35">
      <c r="A1200" t="s">
        <v>130</v>
      </c>
      <c r="B1200" t="s">
        <v>14</v>
      </c>
      <c r="C1200" t="s">
        <v>126</v>
      </c>
      <c r="D1200">
        <v>0</v>
      </c>
    </row>
    <row r="1201" spans="1:4" x14ac:dyDescent="0.35">
      <c r="A1201" t="s">
        <v>130</v>
      </c>
      <c r="B1201" t="s">
        <v>15</v>
      </c>
      <c r="C1201" t="s">
        <v>126</v>
      </c>
      <c r="D1201">
        <v>113.1977541</v>
      </c>
    </row>
    <row r="1202" spans="1:4" x14ac:dyDescent="0.35">
      <c r="A1202" t="s">
        <v>130</v>
      </c>
      <c r="B1202" t="s">
        <v>16</v>
      </c>
      <c r="C1202" t="s">
        <v>126</v>
      </c>
      <c r="D1202">
        <v>36.522147859999997</v>
      </c>
    </row>
    <row r="1203" spans="1:4" x14ac:dyDescent="0.35">
      <c r="A1203" t="s">
        <v>130</v>
      </c>
      <c r="B1203" t="s">
        <v>18</v>
      </c>
      <c r="C1203" t="s">
        <v>126</v>
      </c>
      <c r="D1203">
        <v>0</v>
      </c>
    </row>
    <row r="1204" spans="1:4" x14ac:dyDescent="0.35">
      <c r="A1204" t="s">
        <v>130</v>
      </c>
      <c r="B1204" t="s">
        <v>19</v>
      </c>
      <c r="C1204" t="s">
        <v>126</v>
      </c>
      <c r="D1204">
        <v>82.403040570000002</v>
      </c>
    </row>
    <row r="1205" spans="1:4" x14ac:dyDescent="0.35">
      <c r="A1205" t="s">
        <v>130</v>
      </c>
      <c r="B1205" t="s">
        <v>20</v>
      </c>
      <c r="C1205" t="s">
        <v>126</v>
      </c>
      <c r="D1205">
        <v>77.808465650000002</v>
      </c>
    </row>
    <row r="1206" spans="1:4" x14ac:dyDescent="0.35">
      <c r="A1206" t="s">
        <v>130</v>
      </c>
      <c r="B1206" t="s">
        <v>21</v>
      </c>
      <c r="C1206" t="s">
        <v>126</v>
      </c>
      <c r="D1206">
        <v>0</v>
      </c>
    </row>
    <row r="1207" spans="1:4" x14ac:dyDescent="0.35">
      <c r="A1207" t="s">
        <v>130</v>
      </c>
      <c r="B1207" t="s">
        <v>22</v>
      </c>
      <c r="C1207" t="s">
        <v>126</v>
      </c>
      <c r="D1207">
        <v>22.048687730000001</v>
      </c>
    </row>
    <row r="1208" spans="1:4" x14ac:dyDescent="0.35">
      <c r="A1208" t="s">
        <v>130</v>
      </c>
      <c r="B1208" t="s">
        <v>23</v>
      </c>
      <c r="C1208" t="s">
        <v>126</v>
      </c>
      <c r="D1208">
        <v>0</v>
      </c>
    </row>
    <row r="1209" spans="1:4" x14ac:dyDescent="0.35">
      <c r="A1209" t="s">
        <v>130</v>
      </c>
      <c r="B1209" t="s">
        <v>24</v>
      </c>
      <c r="C1209" t="s">
        <v>126</v>
      </c>
      <c r="D1209">
        <v>4.5780452440000001</v>
      </c>
    </row>
    <row r="1210" spans="1:4" x14ac:dyDescent="0.35">
      <c r="A1210" t="s">
        <v>130</v>
      </c>
      <c r="B1210" t="s">
        <v>25</v>
      </c>
      <c r="C1210" t="s">
        <v>126</v>
      </c>
      <c r="D1210">
        <v>0</v>
      </c>
    </row>
    <row r="1211" spans="1:4" x14ac:dyDescent="0.35">
      <c r="A1211" t="s">
        <v>130</v>
      </c>
      <c r="B1211" t="s">
        <v>26</v>
      </c>
      <c r="C1211" t="s">
        <v>126</v>
      </c>
      <c r="D1211">
        <v>1.2477998029999999</v>
      </c>
    </row>
    <row r="1212" spans="1:4" x14ac:dyDescent="0.35">
      <c r="A1212" t="s">
        <v>130</v>
      </c>
      <c r="B1212" t="s">
        <v>27</v>
      </c>
      <c r="C1212" t="s">
        <v>126</v>
      </c>
      <c r="D1212">
        <v>7.5324707000000002</v>
      </c>
    </row>
    <row r="1213" spans="1:4" x14ac:dyDescent="0.35">
      <c r="A1213" t="s">
        <v>130</v>
      </c>
      <c r="B1213" t="s">
        <v>28</v>
      </c>
      <c r="C1213" t="s">
        <v>126</v>
      </c>
      <c r="D1213">
        <v>3.1603840650000001</v>
      </c>
    </row>
    <row r="1214" spans="1:4" x14ac:dyDescent="0.35">
      <c r="A1214" t="s">
        <v>130</v>
      </c>
      <c r="B1214" t="s">
        <v>29</v>
      </c>
      <c r="C1214" t="s">
        <v>126</v>
      </c>
      <c r="D1214">
        <v>0</v>
      </c>
    </row>
    <row r="1215" spans="1:4" x14ac:dyDescent="0.35">
      <c r="A1215" t="s">
        <v>130</v>
      </c>
      <c r="B1215" t="s">
        <v>30</v>
      </c>
      <c r="C1215" t="s">
        <v>126</v>
      </c>
      <c r="D1215">
        <v>8.9989127549999992</v>
      </c>
    </row>
    <row r="1216" spans="1:4" x14ac:dyDescent="0.35">
      <c r="A1216" t="s">
        <v>130</v>
      </c>
      <c r="B1216" t="s">
        <v>31</v>
      </c>
      <c r="C1216" t="s">
        <v>126</v>
      </c>
      <c r="D1216">
        <v>0</v>
      </c>
    </row>
    <row r="1217" spans="1:4" x14ac:dyDescent="0.35">
      <c r="A1217" t="s">
        <v>130</v>
      </c>
      <c r="B1217" t="s">
        <v>32</v>
      </c>
      <c r="C1217" t="s">
        <v>126</v>
      </c>
      <c r="D1217">
        <v>0</v>
      </c>
    </row>
    <row r="1218" spans="1:4" x14ac:dyDescent="0.35">
      <c r="A1218" t="s">
        <v>130</v>
      </c>
      <c r="B1218" t="s">
        <v>33</v>
      </c>
      <c r="C1218" t="s">
        <v>126</v>
      </c>
      <c r="D1218">
        <v>9.5176997560000007</v>
      </c>
    </row>
    <row r="1219" spans="1:4" x14ac:dyDescent="0.35">
      <c r="A1219" t="s">
        <v>130</v>
      </c>
      <c r="B1219" t="s">
        <v>34</v>
      </c>
      <c r="C1219" t="s">
        <v>126</v>
      </c>
      <c r="D1219">
        <v>0</v>
      </c>
    </row>
    <row r="1220" spans="1:4" x14ac:dyDescent="0.35">
      <c r="A1220" t="s">
        <v>130</v>
      </c>
      <c r="B1220" t="s">
        <v>35</v>
      </c>
      <c r="C1220" t="s">
        <v>126</v>
      </c>
      <c r="D1220">
        <v>26.967028169999999</v>
      </c>
    </row>
    <row r="1221" spans="1:4" x14ac:dyDescent="0.35">
      <c r="A1221" t="s">
        <v>130</v>
      </c>
      <c r="B1221" t="s">
        <v>36</v>
      </c>
      <c r="C1221" t="s">
        <v>126</v>
      </c>
      <c r="D1221">
        <v>0</v>
      </c>
    </row>
    <row r="1222" spans="1:4" x14ac:dyDescent="0.35">
      <c r="A1222" t="s">
        <v>130</v>
      </c>
      <c r="B1222" t="s">
        <v>37</v>
      </c>
      <c r="C1222" t="s">
        <v>126</v>
      </c>
      <c r="D1222">
        <v>2.2827864560000002</v>
      </c>
    </row>
    <row r="1223" spans="1:4" x14ac:dyDescent="0.35">
      <c r="A1223" t="s">
        <v>130</v>
      </c>
      <c r="B1223" t="s">
        <v>38</v>
      </c>
      <c r="C1223" t="s">
        <v>126</v>
      </c>
      <c r="D1223">
        <v>2.0838243580000002</v>
      </c>
    </row>
    <row r="1224" spans="1:4" x14ac:dyDescent="0.35">
      <c r="A1224" t="s">
        <v>130</v>
      </c>
      <c r="B1224" t="s">
        <v>39</v>
      </c>
      <c r="C1224" t="s">
        <v>126</v>
      </c>
      <c r="D1224">
        <v>0</v>
      </c>
    </row>
    <row r="1225" spans="1:4" x14ac:dyDescent="0.35">
      <c r="A1225" t="s">
        <v>130</v>
      </c>
      <c r="B1225" t="s">
        <v>40</v>
      </c>
      <c r="C1225" t="s">
        <v>126</v>
      </c>
      <c r="D1225">
        <v>0</v>
      </c>
    </row>
    <row r="1226" spans="1:4" x14ac:dyDescent="0.35">
      <c r="A1226" t="s">
        <v>132</v>
      </c>
      <c r="B1226" t="s">
        <v>6</v>
      </c>
      <c r="C1226" t="s">
        <v>126</v>
      </c>
      <c r="D1226">
        <v>0</v>
      </c>
    </row>
    <row r="1227" spans="1:4" x14ac:dyDescent="0.35">
      <c r="A1227" t="s">
        <v>132</v>
      </c>
      <c r="B1227" t="s">
        <v>7</v>
      </c>
      <c r="C1227" t="s">
        <v>126</v>
      </c>
      <c r="D1227">
        <v>0</v>
      </c>
    </row>
    <row r="1228" spans="1:4" x14ac:dyDescent="0.35">
      <c r="A1228" t="s">
        <v>132</v>
      </c>
      <c r="B1228" t="s">
        <v>8</v>
      </c>
      <c r="C1228" t="s">
        <v>126</v>
      </c>
      <c r="D1228">
        <v>0</v>
      </c>
    </row>
    <row r="1229" spans="1:4" x14ac:dyDescent="0.35">
      <c r="A1229" t="s">
        <v>132</v>
      </c>
      <c r="B1229" t="s">
        <v>9</v>
      </c>
      <c r="C1229" t="s">
        <v>126</v>
      </c>
      <c r="D1229">
        <v>2.2892122079999999</v>
      </c>
    </row>
    <row r="1230" spans="1:4" x14ac:dyDescent="0.35">
      <c r="A1230" t="s">
        <v>132</v>
      </c>
      <c r="B1230" t="s">
        <v>10</v>
      </c>
      <c r="C1230" t="s">
        <v>126</v>
      </c>
      <c r="D1230">
        <v>18.332457380000001</v>
      </c>
    </row>
    <row r="1231" spans="1:4" x14ac:dyDescent="0.35">
      <c r="A1231" t="s">
        <v>132</v>
      </c>
      <c r="B1231" t="s">
        <v>11</v>
      </c>
      <c r="C1231" t="s">
        <v>126</v>
      </c>
      <c r="D1231">
        <v>19.275508110000001</v>
      </c>
    </row>
    <row r="1232" spans="1:4" x14ac:dyDescent="0.35">
      <c r="A1232" t="s">
        <v>132</v>
      </c>
      <c r="B1232" t="s">
        <v>12</v>
      </c>
      <c r="C1232" t="s">
        <v>126</v>
      </c>
      <c r="D1232">
        <v>0</v>
      </c>
    </row>
    <row r="1233" spans="1:4" x14ac:dyDescent="0.35">
      <c r="A1233" t="s">
        <v>132</v>
      </c>
      <c r="B1233" t="s">
        <v>13</v>
      </c>
      <c r="C1233" t="s">
        <v>126</v>
      </c>
      <c r="D1233">
        <v>3.9493789760000002</v>
      </c>
    </row>
    <row r="1234" spans="1:4" x14ac:dyDescent="0.35">
      <c r="A1234" t="s">
        <v>132</v>
      </c>
      <c r="B1234" t="s">
        <v>14</v>
      </c>
      <c r="C1234" t="s">
        <v>126</v>
      </c>
      <c r="D1234">
        <v>0</v>
      </c>
    </row>
    <row r="1235" spans="1:4" x14ac:dyDescent="0.35">
      <c r="A1235" t="s">
        <v>132</v>
      </c>
      <c r="B1235" t="s">
        <v>15</v>
      </c>
      <c r="C1235" t="s">
        <v>126</v>
      </c>
      <c r="D1235">
        <v>119.3748823</v>
      </c>
    </row>
    <row r="1236" spans="1:4" x14ac:dyDescent="0.35">
      <c r="A1236" t="s">
        <v>132</v>
      </c>
      <c r="B1236" t="s">
        <v>16</v>
      </c>
      <c r="C1236" t="s">
        <v>126</v>
      </c>
      <c r="D1236">
        <v>58.736806280000003</v>
      </c>
    </row>
    <row r="1237" spans="1:4" x14ac:dyDescent="0.35">
      <c r="A1237" t="s">
        <v>132</v>
      </c>
      <c r="B1237" t="s">
        <v>18</v>
      </c>
      <c r="C1237" t="s">
        <v>126</v>
      </c>
      <c r="D1237">
        <v>0</v>
      </c>
    </row>
    <row r="1238" spans="1:4" x14ac:dyDescent="0.35">
      <c r="A1238" t="s">
        <v>132</v>
      </c>
      <c r="B1238" t="s">
        <v>19</v>
      </c>
      <c r="C1238" t="s">
        <v>126</v>
      </c>
      <c r="D1238">
        <v>78.632097439999995</v>
      </c>
    </row>
    <row r="1239" spans="1:4" x14ac:dyDescent="0.35">
      <c r="A1239" t="s">
        <v>132</v>
      </c>
      <c r="B1239" t="s">
        <v>20</v>
      </c>
      <c r="C1239" t="s">
        <v>126</v>
      </c>
      <c r="D1239">
        <v>70.641929779999998</v>
      </c>
    </row>
    <row r="1240" spans="1:4" x14ac:dyDescent="0.35">
      <c r="A1240" t="s">
        <v>132</v>
      </c>
      <c r="B1240" t="s">
        <v>21</v>
      </c>
      <c r="C1240" t="s">
        <v>126</v>
      </c>
      <c r="D1240">
        <v>0</v>
      </c>
    </row>
    <row r="1241" spans="1:4" x14ac:dyDescent="0.35">
      <c r="A1241" t="s">
        <v>132</v>
      </c>
      <c r="B1241" t="s">
        <v>22</v>
      </c>
      <c r="C1241" t="s">
        <v>126</v>
      </c>
      <c r="D1241">
        <v>25.956855610000002</v>
      </c>
    </row>
    <row r="1242" spans="1:4" x14ac:dyDescent="0.35">
      <c r="A1242" t="s">
        <v>132</v>
      </c>
      <c r="B1242" t="s">
        <v>23</v>
      </c>
      <c r="C1242" t="s">
        <v>126</v>
      </c>
      <c r="D1242">
        <v>1.321117289</v>
      </c>
    </row>
    <row r="1243" spans="1:4" x14ac:dyDescent="0.35">
      <c r="A1243" t="s">
        <v>132</v>
      </c>
      <c r="B1243" t="s">
        <v>24</v>
      </c>
      <c r="C1243" t="s">
        <v>126</v>
      </c>
      <c r="D1243">
        <v>5.6565577730000003</v>
      </c>
    </row>
    <row r="1244" spans="1:4" x14ac:dyDescent="0.35">
      <c r="A1244" t="s">
        <v>132</v>
      </c>
      <c r="B1244" t="s">
        <v>25</v>
      </c>
      <c r="C1244" t="s">
        <v>126</v>
      </c>
      <c r="D1244">
        <v>2.3266963899999999</v>
      </c>
    </row>
    <row r="1245" spans="1:4" x14ac:dyDescent="0.35">
      <c r="A1245" t="s">
        <v>132</v>
      </c>
      <c r="B1245" t="s">
        <v>26</v>
      </c>
      <c r="C1245" t="s">
        <v>126</v>
      </c>
      <c r="D1245">
        <v>2.0673027780000002</v>
      </c>
    </row>
    <row r="1246" spans="1:4" x14ac:dyDescent="0.35">
      <c r="A1246" t="s">
        <v>132</v>
      </c>
      <c r="B1246" t="s">
        <v>27</v>
      </c>
      <c r="C1246" t="s">
        <v>126</v>
      </c>
      <c r="D1246">
        <v>7.4458705350000001</v>
      </c>
    </row>
    <row r="1247" spans="1:4" x14ac:dyDescent="0.35">
      <c r="A1247" t="s">
        <v>132</v>
      </c>
      <c r="B1247" t="s">
        <v>28</v>
      </c>
      <c r="C1247" t="s">
        <v>126</v>
      </c>
      <c r="D1247">
        <v>4.3756483429999999</v>
      </c>
    </row>
    <row r="1248" spans="1:4" x14ac:dyDescent="0.35">
      <c r="A1248" t="s">
        <v>132</v>
      </c>
      <c r="B1248" t="s">
        <v>29</v>
      </c>
      <c r="C1248" t="s">
        <v>126</v>
      </c>
      <c r="D1248">
        <v>0</v>
      </c>
    </row>
    <row r="1249" spans="1:4" x14ac:dyDescent="0.35">
      <c r="A1249" t="s">
        <v>132</v>
      </c>
      <c r="B1249" t="s">
        <v>30</v>
      </c>
      <c r="C1249" t="s">
        <v>126</v>
      </c>
      <c r="D1249">
        <v>12.42632822</v>
      </c>
    </row>
    <row r="1250" spans="1:4" x14ac:dyDescent="0.35">
      <c r="A1250" t="s">
        <v>132</v>
      </c>
      <c r="B1250" t="s">
        <v>31</v>
      </c>
      <c r="C1250" t="s">
        <v>126</v>
      </c>
      <c r="D1250">
        <v>0</v>
      </c>
    </row>
    <row r="1251" spans="1:4" x14ac:dyDescent="0.35">
      <c r="A1251" t="s">
        <v>132</v>
      </c>
      <c r="B1251" t="s">
        <v>32</v>
      </c>
      <c r="C1251" t="s">
        <v>126</v>
      </c>
      <c r="D1251">
        <v>0</v>
      </c>
    </row>
    <row r="1252" spans="1:4" x14ac:dyDescent="0.35">
      <c r="A1252" t="s">
        <v>132</v>
      </c>
      <c r="B1252" t="s">
        <v>33</v>
      </c>
      <c r="C1252" t="s">
        <v>126</v>
      </c>
      <c r="D1252">
        <v>17.53255077</v>
      </c>
    </row>
    <row r="1253" spans="1:4" x14ac:dyDescent="0.35">
      <c r="A1253" t="s">
        <v>132</v>
      </c>
      <c r="B1253" t="s">
        <v>34</v>
      </c>
      <c r="C1253" t="s">
        <v>126</v>
      </c>
      <c r="D1253">
        <v>0</v>
      </c>
    </row>
    <row r="1254" spans="1:4" x14ac:dyDescent="0.35">
      <c r="A1254" t="s">
        <v>132</v>
      </c>
      <c r="B1254" t="s">
        <v>35</v>
      </c>
      <c r="C1254" t="s">
        <v>126</v>
      </c>
      <c r="D1254">
        <v>25.253897510000002</v>
      </c>
    </row>
    <row r="1255" spans="1:4" x14ac:dyDescent="0.35">
      <c r="A1255" t="s">
        <v>132</v>
      </c>
      <c r="B1255" t="s">
        <v>36</v>
      </c>
      <c r="C1255" t="s">
        <v>126</v>
      </c>
      <c r="D1255">
        <v>0</v>
      </c>
    </row>
    <row r="1256" spans="1:4" x14ac:dyDescent="0.35">
      <c r="A1256" t="s">
        <v>132</v>
      </c>
      <c r="B1256" t="s">
        <v>37</v>
      </c>
      <c r="C1256" t="s">
        <v>126</v>
      </c>
      <c r="D1256">
        <v>3.1649660499999999</v>
      </c>
    </row>
    <row r="1257" spans="1:4" x14ac:dyDescent="0.35">
      <c r="A1257" t="s">
        <v>132</v>
      </c>
      <c r="B1257" t="s">
        <v>38</v>
      </c>
      <c r="C1257" t="s">
        <v>126</v>
      </c>
      <c r="D1257">
        <v>0.89142786799999996</v>
      </c>
    </row>
    <row r="1258" spans="1:4" x14ac:dyDescent="0.35">
      <c r="A1258" t="s">
        <v>132</v>
      </c>
      <c r="B1258" t="s">
        <v>39</v>
      </c>
      <c r="C1258" t="s">
        <v>126</v>
      </c>
      <c r="D1258">
        <v>0</v>
      </c>
    </row>
    <row r="1259" spans="1:4" x14ac:dyDescent="0.35">
      <c r="A1259" t="s">
        <v>132</v>
      </c>
      <c r="B1259" t="s">
        <v>40</v>
      </c>
      <c r="C1259" t="s">
        <v>126</v>
      </c>
      <c r="D1259">
        <v>0</v>
      </c>
    </row>
    <row r="1260" spans="1:4" x14ac:dyDescent="0.35">
      <c r="A1260" t="s">
        <v>134</v>
      </c>
      <c r="B1260" t="s">
        <v>6</v>
      </c>
      <c r="C1260" t="s">
        <v>126</v>
      </c>
      <c r="D1260">
        <v>0</v>
      </c>
    </row>
    <row r="1261" spans="1:4" x14ac:dyDescent="0.35">
      <c r="A1261" t="s">
        <v>134</v>
      </c>
      <c r="B1261" t="s">
        <v>7</v>
      </c>
      <c r="C1261" t="s">
        <v>126</v>
      </c>
      <c r="D1261">
        <v>0</v>
      </c>
    </row>
    <row r="1262" spans="1:4" x14ac:dyDescent="0.35">
      <c r="A1262" t="s">
        <v>134</v>
      </c>
      <c r="B1262" t="s">
        <v>8</v>
      </c>
      <c r="C1262" t="s">
        <v>126</v>
      </c>
      <c r="D1262">
        <v>0</v>
      </c>
    </row>
    <row r="1263" spans="1:4" x14ac:dyDescent="0.35">
      <c r="A1263" t="s">
        <v>134</v>
      </c>
      <c r="B1263" t="s">
        <v>9</v>
      </c>
      <c r="C1263" t="s">
        <v>126</v>
      </c>
      <c r="D1263">
        <v>3.533070215</v>
      </c>
    </row>
    <row r="1264" spans="1:4" x14ac:dyDescent="0.35">
      <c r="A1264" t="s">
        <v>134</v>
      </c>
      <c r="B1264" t="s">
        <v>10</v>
      </c>
      <c r="C1264" t="s">
        <v>126</v>
      </c>
      <c r="D1264">
        <v>17.731810729999999</v>
      </c>
    </row>
    <row r="1265" spans="1:4" x14ac:dyDescent="0.35">
      <c r="A1265" t="s">
        <v>134</v>
      </c>
      <c r="B1265" t="s">
        <v>11</v>
      </c>
      <c r="C1265" t="s">
        <v>126</v>
      </c>
      <c r="D1265">
        <v>18.301620310000001</v>
      </c>
    </row>
    <row r="1266" spans="1:4" x14ac:dyDescent="0.35">
      <c r="A1266" t="s">
        <v>134</v>
      </c>
      <c r="B1266" t="s">
        <v>12</v>
      </c>
      <c r="C1266" t="s">
        <v>126</v>
      </c>
      <c r="D1266">
        <v>0</v>
      </c>
    </row>
    <row r="1267" spans="1:4" x14ac:dyDescent="0.35">
      <c r="A1267" t="s">
        <v>134</v>
      </c>
      <c r="B1267" t="s">
        <v>13</v>
      </c>
      <c r="C1267" t="s">
        <v>126</v>
      </c>
      <c r="D1267">
        <v>2.8454802450000001</v>
      </c>
    </row>
    <row r="1268" spans="1:4" x14ac:dyDescent="0.35">
      <c r="A1268" t="s">
        <v>134</v>
      </c>
      <c r="B1268" t="s">
        <v>14</v>
      </c>
      <c r="C1268" t="s">
        <v>126</v>
      </c>
      <c r="D1268">
        <v>0</v>
      </c>
    </row>
    <row r="1269" spans="1:4" x14ac:dyDescent="0.35">
      <c r="A1269" t="s">
        <v>134</v>
      </c>
      <c r="B1269" t="s">
        <v>15</v>
      </c>
      <c r="C1269" t="s">
        <v>126</v>
      </c>
      <c r="D1269">
        <v>113.06012339999999</v>
      </c>
    </row>
    <row r="1270" spans="1:4" x14ac:dyDescent="0.35">
      <c r="A1270" t="s">
        <v>134</v>
      </c>
      <c r="B1270" t="s">
        <v>16</v>
      </c>
      <c r="C1270" t="s">
        <v>126</v>
      </c>
      <c r="D1270">
        <v>66.766255670000007</v>
      </c>
    </row>
    <row r="1271" spans="1:4" x14ac:dyDescent="0.35">
      <c r="A1271" t="s">
        <v>134</v>
      </c>
      <c r="B1271" t="s">
        <v>18</v>
      </c>
      <c r="C1271" t="s">
        <v>126</v>
      </c>
      <c r="D1271">
        <v>0</v>
      </c>
    </row>
    <row r="1272" spans="1:4" x14ac:dyDescent="0.35">
      <c r="A1272" t="s">
        <v>134</v>
      </c>
      <c r="B1272" t="s">
        <v>19</v>
      </c>
      <c r="C1272" t="s">
        <v>126</v>
      </c>
      <c r="D1272">
        <v>69.589536870000003</v>
      </c>
    </row>
    <row r="1273" spans="1:4" x14ac:dyDescent="0.35">
      <c r="A1273" t="s">
        <v>134</v>
      </c>
      <c r="B1273" t="s">
        <v>20</v>
      </c>
      <c r="C1273" t="s">
        <v>126</v>
      </c>
      <c r="D1273">
        <v>71.244200190000001</v>
      </c>
    </row>
    <row r="1274" spans="1:4" x14ac:dyDescent="0.35">
      <c r="A1274" t="s">
        <v>134</v>
      </c>
      <c r="B1274" t="s">
        <v>21</v>
      </c>
      <c r="C1274" t="s">
        <v>126</v>
      </c>
      <c r="D1274">
        <v>0</v>
      </c>
    </row>
    <row r="1275" spans="1:4" x14ac:dyDescent="0.35">
      <c r="A1275" t="s">
        <v>134</v>
      </c>
      <c r="B1275" t="s">
        <v>22</v>
      </c>
      <c r="C1275" t="s">
        <v>126</v>
      </c>
      <c r="D1275">
        <v>31.088711719999999</v>
      </c>
    </row>
    <row r="1276" spans="1:4" x14ac:dyDescent="0.35">
      <c r="A1276" t="s">
        <v>134</v>
      </c>
      <c r="B1276" t="s">
        <v>23</v>
      </c>
      <c r="C1276" t="s">
        <v>126</v>
      </c>
      <c r="D1276">
        <v>2.7506487580000001</v>
      </c>
    </row>
    <row r="1277" spans="1:4" x14ac:dyDescent="0.35">
      <c r="A1277" t="s">
        <v>134</v>
      </c>
      <c r="B1277" t="s">
        <v>24</v>
      </c>
      <c r="C1277" t="s">
        <v>126</v>
      </c>
      <c r="D1277">
        <v>8.6428428159999999</v>
      </c>
    </row>
    <row r="1278" spans="1:4" x14ac:dyDescent="0.35">
      <c r="A1278" t="s">
        <v>134</v>
      </c>
      <c r="B1278" t="s">
        <v>25</v>
      </c>
      <c r="C1278" t="s">
        <v>126</v>
      </c>
      <c r="D1278">
        <v>1.3479435099999999</v>
      </c>
    </row>
    <row r="1279" spans="1:4" x14ac:dyDescent="0.35">
      <c r="A1279" t="s">
        <v>134</v>
      </c>
      <c r="B1279" t="s">
        <v>26</v>
      </c>
      <c r="C1279" t="s">
        <v>126</v>
      </c>
      <c r="D1279">
        <v>0</v>
      </c>
    </row>
    <row r="1280" spans="1:4" x14ac:dyDescent="0.35">
      <c r="A1280" t="s">
        <v>134</v>
      </c>
      <c r="B1280" t="s">
        <v>27</v>
      </c>
      <c r="C1280" t="s">
        <v>126</v>
      </c>
      <c r="D1280">
        <v>4.0537502959999996</v>
      </c>
    </row>
    <row r="1281" spans="1:4" x14ac:dyDescent="0.35">
      <c r="A1281" t="s">
        <v>134</v>
      </c>
      <c r="B1281" t="s">
        <v>28</v>
      </c>
      <c r="C1281" t="s">
        <v>126</v>
      </c>
      <c r="D1281">
        <v>4.4112294839999997</v>
      </c>
    </row>
    <row r="1282" spans="1:4" x14ac:dyDescent="0.35">
      <c r="A1282" t="s">
        <v>134</v>
      </c>
      <c r="B1282" t="s">
        <v>29</v>
      </c>
      <c r="C1282" t="s">
        <v>126</v>
      </c>
      <c r="D1282">
        <v>1.0331077019999999</v>
      </c>
    </row>
    <row r="1283" spans="1:4" x14ac:dyDescent="0.35">
      <c r="A1283" t="s">
        <v>134</v>
      </c>
      <c r="B1283" t="s">
        <v>30</v>
      </c>
      <c r="C1283" t="s">
        <v>126</v>
      </c>
      <c r="D1283">
        <v>18.112082619999999</v>
      </c>
    </row>
    <row r="1284" spans="1:4" x14ac:dyDescent="0.35">
      <c r="A1284" t="s">
        <v>134</v>
      </c>
      <c r="B1284" t="s">
        <v>31</v>
      </c>
      <c r="C1284" t="s">
        <v>126</v>
      </c>
      <c r="D1284">
        <v>0</v>
      </c>
    </row>
    <row r="1285" spans="1:4" x14ac:dyDescent="0.35">
      <c r="A1285" t="s">
        <v>134</v>
      </c>
      <c r="B1285" t="s">
        <v>32</v>
      </c>
      <c r="C1285" t="s">
        <v>126</v>
      </c>
      <c r="D1285">
        <v>0</v>
      </c>
    </row>
    <row r="1286" spans="1:4" x14ac:dyDescent="0.35">
      <c r="A1286" t="s">
        <v>134</v>
      </c>
      <c r="B1286" t="s">
        <v>33</v>
      </c>
      <c r="C1286" t="s">
        <v>126</v>
      </c>
      <c r="D1286">
        <v>28.812330230000001</v>
      </c>
    </row>
    <row r="1287" spans="1:4" x14ac:dyDescent="0.35">
      <c r="A1287" t="s">
        <v>134</v>
      </c>
      <c r="B1287" t="s">
        <v>34</v>
      </c>
      <c r="C1287" t="s">
        <v>126</v>
      </c>
      <c r="D1287">
        <v>0</v>
      </c>
    </row>
    <row r="1288" spans="1:4" x14ac:dyDescent="0.35">
      <c r="A1288" t="s">
        <v>134</v>
      </c>
      <c r="B1288" t="s">
        <v>35</v>
      </c>
      <c r="C1288" t="s">
        <v>126</v>
      </c>
      <c r="D1288">
        <v>18.798019069999999</v>
      </c>
    </row>
    <row r="1289" spans="1:4" x14ac:dyDescent="0.35">
      <c r="A1289" t="s">
        <v>134</v>
      </c>
      <c r="B1289" t="s">
        <v>36</v>
      </c>
      <c r="C1289" t="s">
        <v>126</v>
      </c>
      <c r="D1289">
        <v>0</v>
      </c>
    </row>
    <row r="1290" spans="1:4" x14ac:dyDescent="0.35">
      <c r="A1290" t="s">
        <v>134</v>
      </c>
      <c r="B1290" t="s">
        <v>37</v>
      </c>
      <c r="C1290" t="s">
        <v>126</v>
      </c>
      <c r="D1290">
        <v>3.8043697459999999</v>
      </c>
    </row>
    <row r="1291" spans="1:4" x14ac:dyDescent="0.35">
      <c r="A1291" t="s">
        <v>134</v>
      </c>
      <c r="B1291" t="s">
        <v>38</v>
      </c>
      <c r="C1291" t="s">
        <v>126</v>
      </c>
      <c r="D1291">
        <v>1.468654243</v>
      </c>
    </row>
    <row r="1292" spans="1:4" x14ac:dyDescent="0.35">
      <c r="A1292" t="s">
        <v>134</v>
      </c>
      <c r="B1292" t="s">
        <v>39</v>
      </c>
      <c r="C1292" t="s">
        <v>126</v>
      </c>
      <c r="D1292">
        <v>0</v>
      </c>
    </row>
    <row r="1293" spans="1:4" x14ac:dyDescent="0.35">
      <c r="A1293" t="s">
        <v>134</v>
      </c>
      <c r="B1293" t="s">
        <v>40</v>
      </c>
      <c r="C1293" t="s">
        <v>126</v>
      </c>
      <c r="D1293">
        <v>0</v>
      </c>
    </row>
    <row r="1294" spans="1:4" x14ac:dyDescent="0.35">
      <c r="A1294" t="s">
        <v>136</v>
      </c>
      <c r="B1294" t="s">
        <v>6</v>
      </c>
      <c r="C1294" t="s">
        <v>126</v>
      </c>
      <c r="D1294">
        <v>0</v>
      </c>
    </row>
    <row r="1295" spans="1:4" x14ac:dyDescent="0.35">
      <c r="A1295" t="s">
        <v>136</v>
      </c>
      <c r="B1295" t="s">
        <v>7</v>
      </c>
      <c r="C1295" t="s">
        <v>126</v>
      </c>
      <c r="D1295">
        <v>0</v>
      </c>
    </row>
    <row r="1296" spans="1:4" x14ac:dyDescent="0.35">
      <c r="A1296" t="s">
        <v>136</v>
      </c>
      <c r="B1296" t="s">
        <v>8</v>
      </c>
      <c r="C1296" t="s">
        <v>126</v>
      </c>
      <c r="D1296">
        <v>0</v>
      </c>
    </row>
    <row r="1297" spans="1:4" x14ac:dyDescent="0.35">
      <c r="A1297" t="s">
        <v>136</v>
      </c>
      <c r="B1297" t="s">
        <v>9</v>
      </c>
      <c r="C1297" t="s">
        <v>126</v>
      </c>
      <c r="D1297">
        <v>4.3272053570000004</v>
      </c>
    </row>
    <row r="1298" spans="1:4" x14ac:dyDescent="0.35">
      <c r="A1298" t="s">
        <v>136</v>
      </c>
      <c r="B1298" t="s">
        <v>10</v>
      </c>
      <c r="C1298" t="s">
        <v>126</v>
      </c>
      <c r="D1298">
        <v>20.5715203</v>
      </c>
    </row>
    <row r="1299" spans="1:4" x14ac:dyDescent="0.35">
      <c r="A1299" t="s">
        <v>136</v>
      </c>
      <c r="B1299" t="s">
        <v>11</v>
      </c>
      <c r="C1299" t="s">
        <v>126</v>
      </c>
      <c r="D1299">
        <v>19.134695820000001</v>
      </c>
    </row>
    <row r="1300" spans="1:4" x14ac:dyDescent="0.35">
      <c r="A1300" t="s">
        <v>136</v>
      </c>
      <c r="B1300" t="s">
        <v>12</v>
      </c>
      <c r="C1300" t="s">
        <v>126</v>
      </c>
      <c r="D1300">
        <v>0</v>
      </c>
    </row>
    <row r="1301" spans="1:4" x14ac:dyDescent="0.35">
      <c r="A1301" t="s">
        <v>136</v>
      </c>
      <c r="B1301" t="s">
        <v>13</v>
      </c>
      <c r="C1301" t="s">
        <v>126</v>
      </c>
      <c r="D1301">
        <v>3.9765058519999998</v>
      </c>
    </row>
    <row r="1302" spans="1:4" x14ac:dyDescent="0.35">
      <c r="A1302" t="s">
        <v>136</v>
      </c>
      <c r="B1302" t="s">
        <v>14</v>
      </c>
      <c r="C1302" t="s">
        <v>126</v>
      </c>
      <c r="D1302">
        <v>0</v>
      </c>
    </row>
    <row r="1303" spans="1:4" x14ac:dyDescent="0.35">
      <c r="A1303" t="s">
        <v>136</v>
      </c>
      <c r="B1303" t="s">
        <v>15</v>
      </c>
      <c r="C1303" t="s">
        <v>126</v>
      </c>
      <c r="D1303">
        <v>117.7186787</v>
      </c>
    </row>
    <row r="1304" spans="1:4" x14ac:dyDescent="0.35">
      <c r="A1304" t="s">
        <v>136</v>
      </c>
      <c r="B1304" t="s">
        <v>16</v>
      </c>
      <c r="C1304" t="s">
        <v>126</v>
      </c>
      <c r="D1304">
        <v>58.779207370000002</v>
      </c>
    </row>
    <row r="1305" spans="1:4" x14ac:dyDescent="0.35">
      <c r="A1305" t="s">
        <v>136</v>
      </c>
      <c r="B1305" t="s">
        <v>18</v>
      </c>
      <c r="C1305" t="s">
        <v>126</v>
      </c>
      <c r="D1305">
        <v>0</v>
      </c>
    </row>
    <row r="1306" spans="1:4" x14ac:dyDescent="0.35">
      <c r="A1306" t="s">
        <v>136</v>
      </c>
      <c r="B1306" t="s">
        <v>19</v>
      </c>
      <c r="C1306" t="s">
        <v>126</v>
      </c>
      <c r="D1306">
        <v>77.127217799999997</v>
      </c>
    </row>
    <row r="1307" spans="1:4" x14ac:dyDescent="0.35">
      <c r="A1307" t="s">
        <v>136</v>
      </c>
      <c r="B1307" t="s">
        <v>20</v>
      </c>
      <c r="C1307" t="s">
        <v>126</v>
      </c>
      <c r="D1307">
        <v>94.19544123</v>
      </c>
    </row>
    <row r="1308" spans="1:4" x14ac:dyDescent="0.35">
      <c r="A1308" t="s">
        <v>136</v>
      </c>
      <c r="B1308" t="s">
        <v>21</v>
      </c>
      <c r="C1308" t="s">
        <v>126</v>
      </c>
      <c r="D1308">
        <v>0</v>
      </c>
    </row>
    <row r="1309" spans="1:4" x14ac:dyDescent="0.35">
      <c r="A1309" t="s">
        <v>136</v>
      </c>
      <c r="B1309" t="s">
        <v>22</v>
      </c>
      <c r="C1309" t="s">
        <v>126</v>
      </c>
      <c r="D1309">
        <v>39.650128539999997</v>
      </c>
    </row>
    <row r="1310" spans="1:4" x14ac:dyDescent="0.35">
      <c r="A1310" t="s">
        <v>136</v>
      </c>
      <c r="B1310" t="s">
        <v>23</v>
      </c>
      <c r="C1310" t="s">
        <v>126</v>
      </c>
      <c r="D1310">
        <v>0</v>
      </c>
    </row>
    <row r="1311" spans="1:4" x14ac:dyDescent="0.35">
      <c r="A1311" t="s">
        <v>136</v>
      </c>
      <c r="B1311" t="s">
        <v>24</v>
      </c>
      <c r="C1311" t="s">
        <v>126</v>
      </c>
      <c r="D1311">
        <v>11.566861340000001</v>
      </c>
    </row>
    <row r="1312" spans="1:4" x14ac:dyDescent="0.35">
      <c r="A1312" t="s">
        <v>136</v>
      </c>
      <c r="B1312" t="s">
        <v>25</v>
      </c>
      <c r="C1312" t="s">
        <v>126</v>
      </c>
      <c r="D1312">
        <v>2.4863177169999999</v>
      </c>
    </row>
    <row r="1313" spans="1:4" x14ac:dyDescent="0.35">
      <c r="A1313" t="s">
        <v>136</v>
      </c>
      <c r="B1313" t="s">
        <v>26</v>
      </c>
      <c r="C1313" t="s">
        <v>126</v>
      </c>
      <c r="D1313">
        <v>1.418567079</v>
      </c>
    </row>
    <row r="1314" spans="1:4" x14ac:dyDescent="0.35">
      <c r="A1314" t="s">
        <v>136</v>
      </c>
      <c r="B1314" t="s">
        <v>27</v>
      </c>
      <c r="C1314" t="s">
        <v>126</v>
      </c>
      <c r="D1314">
        <v>10.3524856</v>
      </c>
    </row>
    <row r="1315" spans="1:4" x14ac:dyDescent="0.35">
      <c r="A1315" t="s">
        <v>136</v>
      </c>
      <c r="B1315" t="s">
        <v>28</v>
      </c>
      <c r="C1315" t="s">
        <v>126</v>
      </c>
      <c r="D1315">
        <v>8.2368245449999993</v>
      </c>
    </row>
    <row r="1316" spans="1:4" x14ac:dyDescent="0.35">
      <c r="A1316" t="s">
        <v>136</v>
      </c>
      <c r="B1316" t="s">
        <v>29</v>
      </c>
      <c r="C1316" t="s">
        <v>126</v>
      </c>
      <c r="D1316">
        <v>1.0645695740000001</v>
      </c>
    </row>
    <row r="1317" spans="1:4" x14ac:dyDescent="0.35">
      <c r="A1317" t="s">
        <v>136</v>
      </c>
      <c r="B1317" t="s">
        <v>30</v>
      </c>
      <c r="C1317" t="s">
        <v>126</v>
      </c>
      <c r="D1317">
        <v>17.240572060000002</v>
      </c>
    </row>
    <row r="1318" spans="1:4" x14ac:dyDescent="0.35">
      <c r="A1318" t="s">
        <v>136</v>
      </c>
      <c r="B1318" t="s">
        <v>31</v>
      </c>
      <c r="C1318" t="s">
        <v>126</v>
      </c>
      <c r="D1318">
        <v>0</v>
      </c>
    </row>
    <row r="1319" spans="1:4" x14ac:dyDescent="0.35">
      <c r="A1319" t="s">
        <v>136</v>
      </c>
      <c r="B1319" t="s">
        <v>32</v>
      </c>
      <c r="C1319" t="s">
        <v>126</v>
      </c>
      <c r="D1319">
        <v>0</v>
      </c>
    </row>
    <row r="1320" spans="1:4" x14ac:dyDescent="0.35">
      <c r="A1320" t="s">
        <v>136</v>
      </c>
      <c r="B1320" t="s">
        <v>33</v>
      </c>
      <c r="C1320" t="s">
        <v>126</v>
      </c>
      <c r="D1320">
        <v>22.530671770000001</v>
      </c>
    </row>
    <row r="1321" spans="1:4" x14ac:dyDescent="0.35">
      <c r="A1321" t="s">
        <v>136</v>
      </c>
      <c r="B1321" t="s">
        <v>34</v>
      </c>
      <c r="C1321" t="s">
        <v>126</v>
      </c>
      <c r="D1321">
        <v>0</v>
      </c>
    </row>
    <row r="1322" spans="1:4" x14ac:dyDescent="0.35">
      <c r="A1322" t="s">
        <v>136</v>
      </c>
      <c r="B1322" t="s">
        <v>35</v>
      </c>
      <c r="C1322" t="s">
        <v>126</v>
      </c>
      <c r="D1322">
        <v>23.6143301</v>
      </c>
    </row>
    <row r="1323" spans="1:4" x14ac:dyDescent="0.35">
      <c r="A1323" t="s">
        <v>136</v>
      </c>
      <c r="B1323" t="s">
        <v>36</v>
      </c>
      <c r="C1323" t="s">
        <v>126</v>
      </c>
      <c r="D1323">
        <v>0</v>
      </c>
    </row>
    <row r="1324" spans="1:4" x14ac:dyDescent="0.35">
      <c r="A1324" t="s">
        <v>136</v>
      </c>
      <c r="B1324" t="s">
        <v>37</v>
      </c>
      <c r="C1324" t="s">
        <v>126</v>
      </c>
      <c r="D1324">
        <v>3.7126575220000002</v>
      </c>
    </row>
    <row r="1325" spans="1:4" x14ac:dyDescent="0.35">
      <c r="A1325" t="s">
        <v>136</v>
      </c>
      <c r="B1325" t="s">
        <v>38</v>
      </c>
      <c r="C1325" t="s">
        <v>126</v>
      </c>
      <c r="D1325">
        <v>1.175346233</v>
      </c>
    </row>
    <row r="1326" spans="1:4" x14ac:dyDescent="0.35">
      <c r="A1326" t="s">
        <v>136</v>
      </c>
      <c r="B1326" t="s">
        <v>39</v>
      </c>
      <c r="C1326" t="s">
        <v>126</v>
      </c>
      <c r="D1326">
        <v>0</v>
      </c>
    </row>
    <row r="1327" spans="1:4" x14ac:dyDescent="0.35">
      <c r="A1327" t="s">
        <v>136</v>
      </c>
      <c r="B1327" t="s">
        <v>40</v>
      </c>
      <c r="C1327" t="s">
        <v>126</v>
      </c>
      <c r="D1327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!alt_all FA</vt:lpstr>
      <vt:lpstr>from culture Day 0_baseline</vt:lpstr>
      <vt:lpstr>alt_Blanks</vt:lpstr>
      <vt:lpstr>Neu_all FA</vt:lpstr>
      <vt:lpstr>Tabelle2</vt:lpstr>
    </vt:vector>
  </TitlesOfParts>
  <Company>TU KL RHRK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ms007247@mslic.uni-kl.de</dc:creator>
  <cp:lastModifiedBy>Sophie Oster</cp:lastModifiedBy>
  <dcterms:created xsi:type="dcterms:W3CDTF">2023-11-17T09:15:43Z</dcterms:created>
  <dcterms:modified xsi:type="dcterms:W3CDTF">2025-06-19T13:02:40Z</dcterms:modified>
</cp:coreProperties>
</file>