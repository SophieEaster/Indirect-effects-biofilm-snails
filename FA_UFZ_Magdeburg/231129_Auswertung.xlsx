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ker\Desktop\GC-MS_Qant Daten\excel\"/>
    </mc:Choice>
  </mc:AlternateContent>
  <bookViews>
    <workbookView xWindow="0" yWindow="0" windowWidth="28800" windowHeight="12225" activeTab="1"/>
  </bookViews>
  <sheets>
    <sheet name="Diagramm" sheetId="7" r:id="rId1"/>
    <sheet name="aufgeräumt" sheetId="5" r:id="rId2"/>
    <sheet name="µg statt ng" sheetId="4" r:id="rId3"/>
    <sheet name="data processing" sheetId="3" r:id="rId4"/>
    <sheet name="raw data" sheetId="2" r:id="rId5"/>
    <sheet name="231129_FA-Quant-Report_ISTD" sheetId="1" r:id="rId6"/>
  </sheets>
  <calcPr calcId="152511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2" i="4"/>
</calcChain>
</file>

<file path=xl/sharedStrings.xml><?xml version="1.0" encoding="utf-8"?>
<sst xmlns="http://schemas.openxmlformats.org/spreadsheetml/2006/main" count="1801" uniqueCount="109">
  <si>
    <t>Batch Data Path</t>
  </si>
  <si>
    <t>Analysis Time</t>
  </si>
  <si>
    <t>Analyst Name</t>
  </si>
  <si>
    <t>FLOEK026\install</t>
  </si>
  <si>
    <t>Report Generator Name</t>
  </si>
  <si>
    <t>Calibration Last Update</t>
  </si>
  <si>
    <t>Analyze Quant Version</t>
  </si>
  <si>
    <t>Report Quant Version</t>
  </si>
  <si>
    <t>Sequence Table</t>
  </si>
  <si>
    <t>Data File</t>
  </si>
  <si>
    <t>Name</t>
  </si>
  <si>
    <t>Type</t>
  </si>
  <si>
    <t>Vial</t>
  </si>
  <si>
    <t>Vol.</t>
  </si>
  <si>
    <t>Level</t>
  </si>
  <si>
    <t>Acq. Method File</t>
  </si>
  <si>
    <t>blank</t>
  </si>
  <si>
    <t>Blank</t>
  </si>
  <si>
    <t>FAME_02_Insert</t>
  </si>
  <si>
    <t xml:space="preserve">MEGA-Mix </t>
  </si>
  <si>
    <t>Sample</t>
  </si>
  <si>
    <t>Octansäure</t>
  </si>
  <si>
    <t>ISTD</t>
  </si>
  <si>
    <t>RT</t>
  </si>
  <si>
    <t>Resp.</t>
  </si>
  <si>
    <t>ISTD Resp</t>
  </si>
  <si>
    <t>RR</t>
  </si>
  <si>
    <t>Final Conc.</t>
  </si>
  <si>
    <t>Exp. Conc.</t>
  </si>
  <si>
    <t>Accuracy</t>
  </si>
  <si>
    <t>Nonadecansäure</t>
  </si>
  <si>
    <t>Decansäure</t>
  </si>
  <si>
    <t>Undecansäure</t>
  </si>
  <si>
    <t>Dodecansäure</t>
  </si>
  <si>
    <t>Tridecansäure</t>
  </si>
  <si>
    <t>Tetradecansäure</t>
  </si>
  <si>
    <t>9-Tetradecensäure</t>
  </si>
  <si>
    <t>Pentadecansäure</t>
  </si>
  <si>
    <t>Cis-10-Pentadecensäure</t>
  </si>
  <si>
    <t>Hexadecansäure</t>
  </si>
  <si>
    <t>Cis-9-Hexadecensäure</t>
  </si>
  <si>
    <t>Heptadecansäure</t>
  </si>
  <si>
    <t>Cis-10-Heptadecensäure</t>
  </si>
  <si>
    <t>Octadecansäure</t>
  </si>
  <si>
    <t>Cis-9-Octadecensäure</t>
  </si>
  <si>
    <t>Octadeca-9,12-diensäure (trans)</t>
  </si>
  <si>
    <t>Octadeca-9,12-diensäure (cis)</t>
  </si>
  <si>
    <t>Gamma-Octadecatriensäure</t>
  </si>
  <si>
    <t>Alpha-Octadecatriensäure</t>
  </si>
  <si>
    <t>6,9,12,15-Octadecatetraensäure</t>
  </si>
  <si>
    <t>Eicosansäure</t>
  </si>
  <si>
    <t>Cis-11-Eicosensäure</t>
  </si>
  <si>
    <t>Cis-11,14-Eicosadiensäure</t>
  </si>
  <si>
    <t>Cis-8,11,14-Eisocatriensäure</t>
  </si>
  <si>
    <t>Cis-5,8,11,14-Eicosatetraensäure</t>
  </si>
  <si>
    <t>Cis-11,14,17-Eicosatriensäure</t>
  </si>
  <si>
    <t>Heneicosansäure</t>
  </si>
  <si>
    <t>Cis-5,8,11,14,17-Eicosapentaensäure</t>
  </si>
  <si>
    <t>Docosansäure</t>
  </si>
  <si>
    <t>13-Docosensäure</t>
  </si>
  <si>
    <t>Cis-13,16-Docosadiensäure</t>
  </si>
  <si>
    <t>Cis-7,10,13,16,19-Docosapentaensäure</t>
  </si>
  <si>
    <t>Cis-4,7,10,13,16,19-Docosahexaensäure</t>
  </si>
  <si>
    <t>Tetracosansäure</t>
  </si>
  <si>
    <t>Cis-15-Tetracosensäure</t>
  </si>
  <si>
    <t>FAME</t>
  </si>
  <si>
    <t>ISD( µ/ml)</t>
  </si>
  <si>
    <t>FAME (µg/sample)</t>
  </si>
  <si>
    <t>C10:0</t>
  </si>
  <si>
    <t>C08:0</t>
  </si>
  <si>
    <t>C11:0</t>
  </si>
  <si>
    <t>C13:0</t>
  </si>
  <si>
    <t>C12:0</t>
  </si>
  <si>
    <t>C14:0</t>
  </si>
  <si>
    <t>C14:1</t>
  </si>
  <si>
    <t>C15:0</t>
  </si>
  <si>
    <t>C16:0</t>
  </si>
  <si>
    <t>C17:0</t>
  </si>
  <si>
    <t>C15:1</t>
  </si>
  <si>
    <t>C16:1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</si>
  <si>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</si>
  <si>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</si>
  <si>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</si>
  <si>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</si>
  <si>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</si>
  <si>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</si>
  <si>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</si>
  <si>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</si>
  <si>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</si>
  <si>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</si>
  <si>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</si>
  <si>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</si>
  <si>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</si>
  <si>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</si>
  <si>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</si>
  <si>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</si>
  <si>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</si>
  <si>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</si>
  <si>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</si>
  <si>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</si>
  <si>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</si>
  <si>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</si>
  <si>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</si>
  <si>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D:\MassHunter\GCMS\1\data\Sophie_Landau\231129\QuantResults\231129.batch.bin</t>
  </si>
  <si>
    <t>blank231129.D</t>
  </si>
  <si>
    <t>MEGA-Mix_231129.D</t>
  </si>
  <si>
    <t>WB3Pro.D</t>
  </si>
  <si>
    <t>WB3Pro</t>
  </si>
  <si>
    <t>blank231129b.D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</si>
</sst>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18" fillId="0" borderId="0" xfId="0" applyFont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16" fillId="33" borderId="0" xfId="0" applyFon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aufgeräumt!$C$1</c:f>
              <c:strCache>
                <c:ptCount val="1"/>
                <c:pt idx="0">
                  <c:v>WB3Pro.D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aufgeräumt!$C$2:$C$36</c:f>
              <c:numCache>
                <c:formatCode>0.0</c:formatCode>
                <c:ptCount val="35"/>
                <c:pt idx="0">
                  <c:v>7.0501939</c:v>
                </c:pt>
                <c:pt idx="1">
                  <c:v>4.0526834999999997</c:v>
                </c:pt>
                <c:pt idx="2">
                  <c:v>0</c:v>
                </c:pt>
                <c:pt idx="3">
                  <c:v>21.264584200000002</c:v>
                </c:pt>
                <c:pt idx="4">
                  <c:v>131.61412440000001</c:v>
                </c:pt>
                <c:pt idx="5">
                  <c:v>398.01737939999998</c:v>
                </c:pt>
                <c:pt idx="6">
                  <c:v>0</c:v>
                </c:pt>
                <c:pt idx="7">
                  <c:v>25.339976400000001</c:v>
                </c:pt>
                <c:pt idx="8">
                  <c:v>0</c:v>
                </c:pt>
                <c:pt idx="9">
                  <c:v>7138.6245861999996</c:v>
                </c:pt>
                <c:pt idx="10">
                  <c:v>1252.4399317</c:v>
                </c:pt>
                <c:pt idx="11">
                  <c:v>21.1405952</c:v>
                </c:pt>
                <c:pt idx="12">
                  <c:v>0</c:v>
                </c:pt>
                <c:pt idx="13">
                  <c:v>469.2919971</c:v>
                </c:pt>
                <c:pt idx="14">
                  <c:v>2685.9495817000002</c:v>
                </c:pt>
                <c:pt idx="15">
                  <c:v>0</c:v>
                </c:pt>
                <c:pt idx="16">
                  <c:v>0</c:v>
                </c:pt>
                <c:pt idx="17">
                  <c:v>204.0390471</c:v>
                </c:pt>
                <c:pt idx="18">
                  <c:v>4129.4039155999999</c:v>
                </c:pt>
                <c:pt idx="19">
                  <c:v>381.21438460000002</c:v>
                </c:pt>
                <c:pt idx="20">
                  <c:v>23.186992999999998</c:v>
                </c:pt>
                <c:pt idx="21">
                  <c:v>38.964142899999999</c:v>
                </c:pt>
                <c:pt idx="22">
                  <c:v>24.454633000000001</c:v>
                </c:pt>
                <c:pt idx="23">
                  <c:v>5.5145530999999997</c:v>
                </c:pt>
                <c:pt idx="24">
                  <c:v>144.3378194</c:v>
                </c:pt>
                <c:pt idx="25">
                  <c:v>3.5786523000000003</c:v>
                </c:pt>
                <c:pt idx="26">
                  <c:v>0</c:v>
                </c:pt>
                <c:pt idx="27">
                  <c:v>318.05391889999999</c:v>
                </c:pt>
                <c:pt idx="28">
                  <c:v>12.035405300000001</c:v>
                </c:pt>
                <c:pt idx="29">
                  <c:v>117.986463</c:v>
                </c:pt>
                <c:pt idx="30">
                  <c:v>1.9374971999999999</c:v>
                </c:pt>
                <c:pt idx="31">
                  <c:v>0.83717489999999994</c:v>
                </c:pt>
                <c:pt idx="32">
                  <c:v>18.683948700000002</c:v>
                </c:pt>
                <c:pt idx="33">
                  <c:v>136.32512590000002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aufgeräumt!$D$1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aufgeräumt!$D$2:$D$36</c:f>
              <c:numCache>
                <c:formatCode>0.0</c:formatCode>
                <c:ptCount val="35"/>
              </c:numCache>
            </c:numRef>
          </c:val>
        </c:ser>
        <c:ser>
          <c:idx val="2"/>
          <c:order val="2"/>
          <c:tx>
            <c:strRef>
              <c:f>aufgeräumt!$E$1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aufgeräumt!$E$2:$E$36</c:f>
              <c:numCache>
                <c:formatCode>0.0</c:formatCode>
                <c:ptCount val="35"/>
              </c:numCache>
            </c:numRef>
          </c:val>
        </c:ser>
        <c:ser>
          <c:idx val="3"/>
          <c:order val="3"/>
          <c:tx>
            <c:strRef>
              <c:f>aufgeräumt!$F$1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aufgeräumt!$F$2:$F$36</c:f>
              <c:numCache>
                <c:formatCode>0.0</c:formatCode>
                <c:ptCount val="35"/>
              </c:numCache>
            </c:numRef>
          </c:val>
        </c:ser>
        <c:ser>
          <c:idx val="4"/>
          <c:order val="4"/>
          <c:tx>
            <c:strRef>
              <c:f>aufgeräumt!$G$1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aufgeräumt!$G$2:$G$36</c:f>
              <c:numCache>
                <c:formatCode>0.0</c:formatCode>
                <c:ptCount val="35"/>
              </c:numCache>
            </c:numRef>
          </c:val>
        </c:ser>
        <c:ser>
          <c:idx val="5"/>
          <c:order val="5"/>
          <c:tx>
            <c:strRef>
              <c:f>aufgeräumt!$H$1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aufgeräumt!$H$2:$H$36</c:f>
              <c:numCache>
                <c:formatCode>0.0</c:formatCode>
                <c:ptCount val="35"/>
              </c:numCache>
            </c:numRef>
          </c:val>
        </c:ser>
        <c:ser>
          <c:idx val="6"/>
          <c:order val="6"/>
          <c:tx>
            <c:strRef>
              <c:f>aufgeräumt!$I$1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aufgeräumt!$I$2:$I$36</c:f>
              <c:numCache>
                <c:formatCode>0.0</c:formatCode>
                <c:ptCount val="35"/>
              </c:numCache>
            </c:numRef>
          </c:val>
        </c:ser>
        <c:ser>
          <c:idx val="7"/>
          <c:order val="7"/>
          <c:tx>
            <c:strRef>
              <c:f>aufgeräumt!$J$1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aufgeräumt!$J$2:$J$36</c:f>
              <c:numCache>
                <c:formatCode>0.0</c:formatCode>
                <c:ptCount val="35"/>
              </c:numCache>
            </c:numRef>
          </c:val>
        </c:ser>
        <c:ser>
          <c:idx val="8"/>
          <c:order val="8"/>
          <c:tx>
            <c:strRef>
              <c:f>aufgeräumt!$K$1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aufgeräumt!$K$2:$K$36</c:f>
              <c:numCache>
                <c:formatCode>0.0</c:formatCode>
                <c:ptCount val="35"/>
              </c:numCache>
            </c:numRef>
          </c:val>
        </c:ser>
        <c:ser>
          <c:idx val="9"/>
          <c:order val="9"/>
          <c:tx>
            <c:strRef>
              <c:f>aufgeräumt!$L$1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aufgeräumt!$L$2:$L$36</c:f>
              <c:numCache>
                <c:formatCode>0.0</c:formatCode>
                <c:ptCount val="35"/>
              </c:numCache>
            </c:numRef>
          </c:val>
        </c:ser>
        <c:ser>
          <c:idx val="10"/>
          <c:order val="10"/>
          <c:tx>
            <c:strRef>
              <c:f>aufgeräumt!$M$1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aufgeräumt!$M$2:$M$36</c:f>
              <c:numCache>
                <c:formatCode>0.0</c:formatCode>
                <c:ptCount val="35"/>
              </c:numCache>
            </c:numRef>
          </c:val>
        </c:ser>
        <c:ser>
          <c:idx val="11"/>
          <c:order val="11"/>
          <c:tx>
            <c:strRef>
              <c:f>aufgeräumt!$N$1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aufgeräumt!$N$2:$N$36</c:f>
              <c:numCache>
                <c:formatCode>0.0</c:formatCode>
                <c:ptCount val="35"/>
              </c:numCache>
            </c:numRef>
          </c:val>
        </c:ser>
        <c:ser>
          <c:idx val="12"/>
          <c:order val="12"/>
          <c:tx>
            <c:strRef>
              <c:f>aufgeräumt!$O$1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aufgeräumt!$O$2:$O$36</c:f>
              <c:numCache>
                <c:formatCode>0.0</c:formatCode>
                <c:ptCount val="3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7667232"/>
        <c:axId val="337669672"/>
      </c:barChart>
      <c:catAx>
        <c:axId val="3376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7669672"/>
        <c:crosses val="autoZero"/>
        <c:auto val="1"/>
        <c:lblAlgn val="ctr"/>
        <c:lblOffset val="100"/>
        <c:noMultiLvlLbl val="0"/>
      </c:catAx>
      <c:valAx>
        <c:axId val="33766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766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3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14738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0.27332</cdr:x>
      <cdr:y>0.15443</cdr:y>
    </cdr:from>
    <cdr:to>
      <cdr:x>0.32406</cdr:x>
      <cdr:y>0.87595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2545080" y="929640"/>
          <a:ext cx="472440" cy="43434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0.512</cdr:x>
      <cdr:y>0.37089</cdr:y>
    </cdr:from>
    <cdr:to>
      <cdr:x>0.56274</cdr:x>
      <cdr:y>0.86329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4767580" y="2232660"/>
          <a:ext cx="472440" cy="296418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0.75586</cdr:x>
      <cdr:y>0.80127</cdr:y>
    </cdr:from>
    <cdr:to>
      <cdr:x>0.8066</cdr:x>
      <cdr:y>0.86203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7038340" y="4823460"/>
          <a:ext cx="472440" cy="36576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0.37698</cdr:x>
      <cdr:y>0.76329</cdr:y>
    </cdr:from>
    <cdr:to>
      <cdr:x>0.42771</cdr:x>
      <cdr:y>0.85654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3510280" y="4594860"/>
          <a:ext cx="472440" cy="56134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G13" sqref="G13"/>
    </sheetView>
  </sheetViews>
  <sheetFormatPr baseColWidth="10" defaultRowHeight="15" x14ac:dyDescent="0.25"/>
  <cols>
    <col min="1" max="1" width="36.140625" bestFit="1" customWidth="1"/>
    <col min="2" max="2" width="19.42578125" customWidth="1"/>
    <col min="3" max="15" width="11.42578125" style="8"/>
  </cols>
  <sheetData>
    <row r="1" spans="1:15" ht="15.75" x14ac:dyDescent="0.25">
      <c r="A1" s="2" t="s">
        <v>67</v>
      </c>
      <c r="B1" s="2" t="s">
        <v>67</v>
      </c>
      <c r="C1" s="6" t="s">
        <v>106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t="s">
        <v>21</v>
      </c>
      <c r="B2" t="s">
        <v>69</v>
      </c>
      <c r="C2" s="7">
        <v>7.0501939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t="s">
        <v>31</v>
      </c>
      <c r="B3" t="s">
        <v>68</v>
      </c>
      <c r="C3" s="7">
        <v>4.0526834999999997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5">
      <c r="A4" t="s">
        <v>32</v>
      </c>
      <c r="B4" t="s">
        <v>70</v>
      </c>
      <c r="C4" s="7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t="s">
        <v>33</v>
      </c>
      <c r="B5" t="s">
        <v>72</v>
      </c>
      <c r="C5" s="7">
        <v>21.264584200000002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t="s">
        <v>34</v>
      </c>
      <c r="B6" t="s">
        <v>71</v>
      </c>
      <c r="C6" s="7">
        <v>131.61412440000001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t="s">
        <v>35</v>
      </c>
      <c r="B7" t="s">
        <v>73</v>
      </c>
      <c r="C7" s="7">
        <v>398.01737939999998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t="s">
        <v>36</v>
      </c>
      <c r="B8" t="s">
        <v>74</v>
      </c>
      <c r="C8" s="7"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t="s">
        <v>37</v>
      </c>
      <c r="B9" t="s">
        <v>75</v>
      </c>
      <c r="C9" s="7">
        <v>25.339976400000001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t="s">
        <v>38</v>
      </c>
      <c r="B10" t="s">
        <v>78</v>
      </c>
      <c r="C10" s="7"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t="s">
        <v>39</v>
      </c>
      <c r="B11" t="s">
        <v>76</v>
      </c>
      <c r="C11" s="7">
        <v>7138.6245861999996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t="s">
        <v>40</v>
      </c>
      <c r="B12" t="s">
        <v>79</v>
      </c>
      <c r="C12" s="7">
        <v>1252.4399317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t="s">
        <v>41</v>
      </c>
      <c r="B13" t="s">
        <v>77</v>
      </c>
      <c r="C13" s="7">
        <v>21.1405952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t="s">
        <v>42</v>
      </c>
      <c r="B14" t="s">
        <v>80</v>
      </c>
      <c r="C14" s="7"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t="s">
        <v>43</v>
      </c>
      <c r="B15" t="s">
        <v>81</v>
      </c>
      <c r="C15" s="7">
        <v>469.2919971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t="s">
        <v>44</v>
      </c>
      <c r="B16" t="s">
        <v>82</v>
      </c>
      <c r="C16" s="7">
        <v>2685.9495817000002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t="s">
        <v>45</v>
      </c>
      <c r="B17" t="s">
        <v>83</v>
      </c>
      <c r="C17" s="7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t="s">
        <v>46</v>
      </c>
      <c r="B18" t="s">
        <v>84</v>
      </c>
      <c r="C18" s="7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t="s">
        <v>47</v>
      </c>
      <c r="B19" t="s">
        <v>85</v>
      </c>
      <c r="C19" s="7">
        <v>204.0390471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t="s">
        <v>48</v>
      </c>
      <c r="B20" t="s">
        <v>86</v>
      </c>
      <c r="C20" s="7">
        <v>4129.4039155999999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t="s">
        <v>49</v>
      </c>
      <c r="B21" t="s">
        <v>87</v>
      </c>
      <c r="C21" s="7">
        <v>381.21438460000002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t="s">
        <v>50</v>
      </c>
      <c r="B22" t="s">
        <v>88</v>
      </c>
      <c r="C22" s="7">
        <v>23.186992999999998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t="s">
        <v>51</v>
      </c>
      <c r="B23" t="s">
        <v>89</v>
      </c>
      <c r="C23" s="7">
        <v>38.964142899999999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t="s">
        <v>52</v>
      </c>
      <c r="B24" t="s">
        <v>90</v>
      </c>
      <c r="C24" s="7">
        <v>24.454633000000001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t="s">
        <v>53</v>
      </c>
      <c r="B25" t="s">
        <v>91</v>
      </c>
      <c r="C25" s="7">
        <v>5.5145530999999997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t="s">
        <v>54</v>
      </c>
      <c r="B26" t="s">
        <v>92</v>
      </c>
      <c r="C26" s="7">
        <v>144.3378194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t="s">
        <v>55</v>
      </c>
      <c r="B27" t="s">
        <v>93</v>
      </c>
      <c r="C27" s="7">
        <v>3.5786523000000003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t="s">
        <v>56</v>
      </c>
      <c r="B28" t="s">
        <v>94</v>
      </c>
      <c r="C28" s="7">
        <v>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t="s">
        <v>57</v>
      </c>
      <c r="B29" t="s">
        <v>95</v>
      </c>
      <c r="C29" s="7">
        <v>318.05391889999999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t="s">
        <v>58</v>
      </c>
      <c r="B30" t="s">
        <v>96</v>
      </c>
      <c r="C30" s="7">
        <v>12.035405300000001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t="s">
        <v>59</v>
      </c>
      <c r="B31" t="s">
        <v>97</v>
      </c>
      <c r="C31" s="7">
        <v>117.986463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t="s">
        <v>60</v>
      </c>
      <c r="B32" t="s">
        <v>98</v>
      </c>
      <c r="C32" s="7">
        <v>1.9374971999999999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t="s">
        <v>61</v>
      </c>
      <c r="B33" t="s">
        <v>99</v>
      </c>
      <c r="C33" s="7">
        <v>0.83717489999999994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t="s">
        <v>62</v>
      </c>
      <c r="B34" t="s">
        <v>100</v>
      </c>
      <c r="C34" s="7">
        <v>18.683948700000002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t="s">
        <v>63</v>
      </c>
      <c r="B35" t="s">
        <v>101</v>
      </c>
      <c r="C35" s="7">
        <v>136.32512590000002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t="s">
        <v>64</v>
      </c>
      <c r="B36" t="s">
        <v>102</v>
      </c>
      <c r="C36" s="7"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E1" sqref="E1:E1048576"/>
    </sheetView>
  </sheetViews>
  <sheetFormatPr baseColWidth="10" defaultRowHeight="15" x14ac:dyDescent="0.25"/>
  <cols>
    <col min="1" max="1" width="36.140625" bestFit="1" customWidth="1"/>
    <col min="3" max="3" width="15.28515625" style="4" bestFit="1" customWidth="1"/>
    <col min="4" max="4" width="21.5703125" bestFit="1" customWidth="1"/>
    <col min="5" max="5" width="12" bestFit="1" customWidth="1"/>
    <col min="6" max="6" width="16.7109375" bestFit="1" customWidth="1"/>
  </cols>
  <sheetData>
    <row r="1" spans="1:8" ht="15.75" x14ac:dyDescent="0.25">
      <c r="A1" s="2" t="s">
        <v>65</v>
      </c>
      <c r="B1" s="2" t="s">
        <v>9</v>
      </c>
      <c r="C1" s="3" t="s">
        <v>104</v>
      </c>
      <c r="D1" s="2" t="s">
        <v>105</v>
      </c>
      <c r="E1" s="2" t="s">
        <v>106</v>
      </c>
      <c r="F1" s="2" t="s">
        <v>108</v>
      </c>
      <c r="H1" s="5" t="s">
        <v>66</v>
      </c>
    </row>
    <row r="2" spans="1:8" x14ac:dyDescent="0.25">
      <c r="A2" t="s">
        <v>21</v>
      </c>
      <c r="B2" t="s">
        <v>27</v>
      </c>
      <c r="C2" s="4">
        <f>'data processing'!C2/1000</f>
        <v>5629.9029890000002</v>
      </c>
      <c r="D2">
        <f>'data processing'!D2/1000</f>
        <v>506.76565730000004</v>
      </c>
      <c r="E2">
        <f>'data processing'!E2/1000</f>
        <v>7.0501939</v>
      </c>
      <c r="F2">
        <f>'data processing'!F2/1000</f>
        <v>899.79472799999996</v>
      </c>
      <c r="H2">
        <v>400</v>
      </c>
    </row>
    <row r="3" spans="1:8" x14ac:dyDescent="0.25">
      <c r="A3" t="s">
        <v>31</v>
      </c>
      <c r="B3" t="s">
        <v>27</v>
      </c>
      <c r="C3" s="4">
        <f>'data processing'!C3/1000</f>
        <v>2613.0714926000001</v>
      </c>
      <c r="D3">
        <f>'data processing'!D3/1000</f>
        <v>506.7661086</v>
      </c>
      <c r="E3">
        <f>'data processing'!E3/1000</f>
        <v>4.0526834999999997</v>
      </c>
      <c r="F3">
        <f>'data processing'!F3/1000</f>
        <v>133.61283570000001</v>
      </c>
      <c r="H3">
        <v>400</v>
      </c>
    </row>
    <row r="4" spans="1:8" x14ac:dyDescent="0.25">
      <c r="A4" t="s">
        <v>32</v>
      </c>
      <c r="B4" t="s">
        <v>27</v>
      </c>
      <c r="C4" s="4">
        <f>'data processing'!C4/1000</f>
        <v>759.65153150000003</v>
      </c>
      <c r="D4">
        <f>'data processing'!D4/1000</f>
        <v>243.7653876</v>
      </c>
      <c r="E4">
        <f>'data processing'!E4/1000</f>
        <v>0</v>
      </c>
      <c r="F4">
        <f>'data processing'!F4/1000</f>
        <v>188.310484</v>
      </c>
      <c r="H4">
        <v>200</v>
      </c>
    </row>
    <row r="5" spans="1:8" x14ac:dyDescent="0.25">
      <c r="A5" t="s">
        <v>33</v>
      </c>
      <c r="B5" t="s">
        <v>27</v>
      </c>
      <c r="C5" s="4">
        <f>'data processing'!C5/1000</f>
        <v>256.5192189</v>
      </c>
      <c r="D5">
        <f>'data processing'!D5/1000</f>
        <v>332.74727360000003</v>
      </c>
      <c r="E5">
        <f>'data processing'!E5/1000</f>
        <v>21.264584200000002</v>
      </c>
      <c r="F5">
        <f>'data processing'!F5/1000</f>
        <v>27.872243999999998</v>
      </c>
      <c r="H5">
        <v>400</v>
      </c>
    </row>
    <row r="6" spans="1:8" x14ac:dyDescent="0.25">
      <c r="A6" t="s">
        <v>34</v>
      </c>
      <c r="B6" t="s">
        <v>27</v>
      </c>
      <c r="C6" s="4">
        <f>'data processing'!C6/1000</f>
        <v>541.96100660000002</v>
      </c>
      <c r="D6">
        <f>'data processing'!D6/1000</f>
        <v>161.13565370000001</v>
      </c>
      <c r="E6">
        <f>'data processing'!E6/1000</f>
        <v>131.61412440000001</v>
      </c>
      <c r="F6">
        <f>'data processing'!F6/1000</f>
        <v>22.232500399999999</v>
      </c>
      <c r="H6">
        <v>200</v>
      </c>
    </row>
    <row r="7" spans="1:8" x14ac:dyDescent="0.25">
      <c r="A7" t="s">
        <v>35</v>
      </c>
      <c r="B7" t="s">
        <v>27</v>
      </c>
      <c r="C7" s="4">
        <f>'data processing'!C7/1000</f>
        <v>235.30463020000002</v>
      </c>
      <c r="D7">
        <f>'data processing'!D7/1000</f>
        <v>384.07963549999999</v>
      </c>
      <c r="E7">
        <f>'data processing'!E7/1000</f>
        <v>398.01737939999998</v>
      </c>
      <c r="F7">
        <f>'data processing'!F7/1000</f>
        <v>20.5969561</v>
      </c>
      <c r="H7">
        <v>400</v>
      </c>
    </row>
    <row r="8" spans="1:8" x14ac:dyDescent="0.25">
      <c r="A8" t="s">
        <v>36</v>
      </c>
      <c r="B8" t="s">
        <v>27</v>
      </c>
      <c r="C8" s="4">
        <f>'data processing'!C8/1000</f>
        <v>2917.1072429000001</v>
      </c>
      <c r="D8">
        <f>'data processing'!D8/1000</f>
        <v>223.302953</v>
      </c>
      <c r="E8">
        <f>'data processing'!E8/1000</f>
        <v>0</v>
      </c>
      <c r="F8">
        <f>'data processing'!F8/1000</f>
        <v>122.0773603</v>
      </c>
      <c r="H8">
        <v>200</v>
      </c>
    </row>
    <row r="9" spans="1:8" x14ac:dyDescent="0.25">
      <c r="A9" t="s">
        <v>37</v>
      </c>
      <c r="B9" t="s">
        <v>27</v>
      </c>
      <c r="C9" s="4">
        <f>'data processing'!C9/1000</f>
        <v>1069.7124568000002</v>
      </c>
      <c r="D9">
        <f>'data processing'!D9/1000</f>
        <v>205.37113859999999</v>
      </c>
      <c r="E9">
        <f>'data processing'!E9/1000</f>
        <v>25.339976400000001</v>
      </c>
      <c r="F9">
        <f>'data processing'!F9/1000</f>
        <v>336.46612490000001</v>
      </c>
      <c r="H9">
        <v>200</v>
      </c>
    </row>
    <row r="10" spans="1:8" x14ac:dyDescent="0.25">
      <c r="A10" t="s">
        <v>38</v>
      </c>
      <c r="B10" t="s">
        <v>27</v>
      </c>
      <c r="C10" s="4">
        <f>'data processing'!C10/1000</f>
        <v>939.25172010000006</v>
      </c>
      <c r="D10">
        <f>'data processing'!D10/1000</f>
        <v>220.6295427</v>
      </c>
      <c r="E10">
        <f>'data processing'!E10/1000</f>
        <v>0</v>
      </c>
      <c r="F10">
        <f>'data processing'!F10/1000</f>
        <v>129.11750359999999</v>
      </c>
      <c r="H10">
        <v>200</v>
      </c>
    </row>
    <row r="11" spans="1:8" x14ac:dyDescent="0.25">
      <c r="A11" t="s">
        <v>39</v>
      </c>
      <c r="B11" t="s">
        <v>27</v>
      </c>
      <c r="C11" s="4">
        <f>'data processing'!C11/1000</f>
        <v>309.83037689999998</v>
      </c>
      <c r="D11">
        <f>'data processing'!D11/1000</f>
        <v>2534.2269446999999</v>
      </c>
      <c r="E11">
        <f>'data processing'!E11/1000</f>
        <v>7138.6245861999996</v>
      </c>
      <c r="F11">
        <f>'data processing'!F11/1000</f>
        <v>120.20106440000001</v>
      </c>
      <c r="H11">
        <v>600</v>
      </c>
    </row>
    <row r="12" spans="1:8" x14ac:dyDescent="0.25">
      <c r="A12" t="s">
        <v>40</v>
      </c>
      <c r="B12" t="s">
        <v>27</v>
      </c>
      <c r="C12" s="4">
        <f>'data processing'!C12/1000</f>
        <v>142.9987093</v>
      </c>
      <c r="D12">
        <f>'data processing'!D12/1000</f>
        <v>223.1069632</v>
      </c>
      <c r="E12">
        <f>'data processing'!E12/1000</f>
        <v>1252.4399317</v>
      </c>
      <c r="F12">
        <f>'data processing'!F12/1000</f>
        <v>28.1159301</v>
      </c>
      <c r="H12">
        <v>200</v>
      </c>
    </row>
    <row r="13" spans="1:8" x14ac:dyDescent="0.25">
      <c r="A13" t="s">
        <v>41</v>
      </c>
      <c r="B13" t="s">
        <v>27</v>
      </c>
      <c r="C13" s="4">
        <f>'data processing'!C13/1000</f>
        <v>68.505445100000003</v>
      </c>
      <c r="D13">
        <f>'data processing'!D13/1000</f>
        <v>193.919917</v>
      </c>
      <c r="E13">
        <f>'data processing'!E13/1000</f>
        <v>21.1405952</v>
      </c>
      <c r="F13">
        <f>'data processing'!F13/1000</f>
        <v>14.793908999999999</v>
      </c>
      <c r="H13">
        <v>200</v>
      </c>
    </row>
    <row r="14" spans="1:8" x14ac:dyDescent="0.25">
      <c r="A14" t="s">
        <v>42</v>
      </c>
      <c r="B14" t="s">
        <v>27</v>
      </c>
      <c r="C14" s="4">
        <f>'data processing'!C14/1000</f>
        <v>585.4075256000001</v>
      </c>
      <c r="D14">
        <f>'data processing'!D14/1000</f>
        <v>332.647356</v>
      </c>
      <c r="E14">
        <f>'data processing'!E14/1000</f>
        <v>0</v>
      </c>
      <c r="F14">
        <f>'data processing'!F14/1000</f>
        <v>695.92295339999998</v>
      </c>
      <c r="H14">
        <v>200</v>
      </c>
    </row>
    <row r="15" spans="1:8" x14ac:dyDescent="0.25">
      <c r="A15" t="s">
        <v>43</v>
      </c>
      <c r="B15" t="s">
        <v>27</v>
      </c>
      <c r="C15" s="4">
        <f>'data processing'!C15/1000</f>
        <v>183.10270540000002</v>
      </c>
      <c r="D15">
        <f>'data processing'!D15/1000</f>
        <v>504.43060200000002</v>
      </c>
      <c r="E15">
        <f>'data processing'!E15/1000</f>
        <v>469.2919971</v>
      </c>
      <c r="F15">
        <f>'data processing'!F15/1000</f>
        <v>75.379358400000001</v>
      </c>
      <c r="H15">
        <v>400</v>
      </c>
    </row>
    <row r="16" spans="1:8" x14ac:dyDescent="0.25">
      <c r="A16" t="s">
        <v>44</v>
      </c>
      <c r="B16" t="s">
        <v>27</v>
      </c>
      <c r="C16" s="4">
        <f>'data processing'!C16/1000</f>
        <v>912.63212620000002</v>
      </c>
      <c r="D16">
        <f>'data processing'!D16/1000</f>
        <v>690.18050529999994</v>
      </c>
      <c r="E16">
        <f>'data processing'!E16/1000</f>
        <v>2685.9495817000002</v>
      </c>
      <c r="F16">
        <f>'data processing'!F16/1000</f>
        <v>99.566081999999994</v>
      </c>
      <c r="H16">
        <v>400</v>
      </c>
    </row>
    <row r="17" spans="1:8" x14ac:dyDescent="0.25">
      <c r="A17" t="s">
        <v>45</v>
      </c>
      <c r="B17" t="s">
        <v>27</v>
      </c>
      <c r="C17" s="4">
        <f>'data processing'!C17/1000</f>
        <v>258.81000599999999</v>
      </c>
      <c r="D17">
        <f>'data processing'!D17/1000</f>
        <v>70.113213799999997</v>
      </c>
      <c r="E17">
        <f>'data processing'!E17/1000</f>
        <v>0</v>
      </c>
      <c r="F17">
        <f>'data processing'!F17/1000</f>
        <v>327.2609453</v>
      </c>
      <c r="H17">
        <v>200</v>
      </c>
    </row>
    <row r="18" spans="1:8" x14ac:dyDescent="0.25">
      <c r="A18" t="s">
        <v>46</v>
      </c>
      <c r="B18" t="s">
        <v>27</v>
      </c>
      <c r="C18" s="4">
        <f>'data processing'!C18/1000</f>
        <v>823.59733239999991</v>
      </c>
      <c r="D18">
        <f>'data processing'!D18/1000</f>
        <v>238.94308720000001</v>
      </c>
      <c r="E18">
        <f>'data processing'!E18/1000</f>
        <v>0</v>
      </c>
      <c r="F18">
        <f>'data processing'!F18/1000</f>
        <v>31.215144899999999</v>
      </c>
      <c r="H18">
        <v>200</v>
      </c>
    </row>
    <row r="19" spans="1:8" x14ac:dyDescent="0.25">
      <c r="A19" t="s">
        <v>47</v>
      </c>
      <c r="B19" t="s">
        <v>27</v>
      </c>
      <c r="C19" s="4">
        <f>'data processing'!C19/1000</f>
        <v>1506.0658296000001</v>
      </c>
      <c r="D19">
        <f>'data processing'!D19/1000</f>
        <v>248.2315566</v>
      </c>
      <c r="E19">
        <f>'data processing'!E19/1000</f>
        <v>204.0390471</v>
      </c>
      <c r="F19">
        <f>'data processing'!F19/1000</f>
        <v>82.562433900000002</v>
      </c>
      <c r="H19">
        <v>200</v>
      </c>
    </row>
    <row r="20" spans="1:8" x14ac:dyDescent="0.25">
      <c r="A20" t="s">
        <v>48</v>
      </c>
      <c r="B20" t="s">
        <v>27</v>
      </c>
      <c r="C20" s="4">
        <f>'data processing'!C20/1000</f>
        <v>1470.9157235999999</v>
      </c>
      <c r="D20">
        <f>'data processing'!D20/1000</f>
        <v>710.45204449999994</v>
      </c>
      <c r="E20">
        <f>'data processing'!E20/1000</f>
        <v>4129.4039155999999</v>
      </c>
      <c r="F20">
        <f>'data processing'!F20/1000</f>
        <v>266.07676750000002</v>
      </c>
      <c r="H20">
        <v>200</v>
      </c>
    </row>
    <row r="21" spans="1:8" x14ac:dyDescent="0.25">
      <c r="A21" t="s">
        <v>49</v>
      </c>
      <c r="B21" t="s">
        <v>27</v>
      </c>
      <c r="C21" s="4">
        <f>'data processing'!C21/1000</f>
        <v>1492.4096024</v>
      </c>
      <c r="D21">
        <f>'data processing'!D21/1000</f>
        <v>137.22617099999999</v>
      </c>
      <c r="E21">
        <f>'data processing'!E21/1000</f>
        <v>381.21438460000002</v>
      </c>
      <c r="F21">
        <f>'data processing'!F21/1000</f>
        <v>140.14681469999999</v>
      </c>
    </row>
    <row r="22" spans="1:8" x14ac:dyDescent="0.25">
      <c r="A22" t="s">
        <v>50</v>
      </c>
      <c r="B22" t="s">
        <v>27</v>
      </c>
      <c r="C22" s="4">
        <f>'data processing'!C22/1000</f>
        <v>735.96799559999999</v>
      </c>
      <c r="D22">
        <f>'data processing'!D22/1000</f>
        <v>327.55410669999998</v>
      </c>
      <c r="E22">
        <f>'data processing'!E22/1000</f>
        <v>23.186992999999998</v>
      </c>
      <c r="F22">
        <f>'data processing'!F22/1000</f>
        <v>368.76417529999998</v>
      </c>
      <c r="H22">
        <v>400</v>
      </c>
    </row>
    <row r="23" spans="1:8" x14ac:dyDescent="0.25">
      <c r="A23" t="s">
        <v>51</v>
      </c>
      <c r="B23" t="s">
        <v>27</v>
      </c>
      <c r="C23" s="4">
        <f>'data processing'!C23/1000</f>
        <v>507.40416759999999</v>
      </c>
      <c r="D23">
        <f>'data processing'!D23/1000</f>
        <v>62.352751900000001</v>
      </c>
      <c r="E23">
        <f>'data processing'!E23/1000</f>
        <v>38.964142899999999</v>
      </c>
      <c r="F23">
        <f>'data processing'!F23/1000</f>
        <v>187.7149268</v>
      </c>
      <c r="H23">
        <v>200</v>
      </c>
    </row>
    <row r="24" spans="1:8" x14ac:dyDescent="0.25">
      <c r="A24" t="s">
        <v>52</v>
      </c>
      <c r="B24" t="s">
        <v>27</v>
      </c>
      <c r="C24" s="4">
        <f>'data processing'!C24/1000</f>
        <v>111.6336902</v>
      </c>
      <c r="D24">
        <f>'data processing'!D24/1000</f>
        <v>143.1716567</v>
      </c>
      <c r="E24">
        <f>'data processing'!E24/1000</f>
        <v>24.454633000000001</v>
      </c>
      <c r="F24">
        <f>'data processing'!F24/1000</f>
        <v>137.93710999999999</v>
      </c>
      <c r="H24">
        <v>200</v>
      </c>
    </row>
    <row r="25" spans="1:8" x14ac:dyDescent="0.25">
      <c r="A25" t="s">
        <v>53</v>
      </c>
      <c r="B25" t="s">
        <v>27</v>
      </c>
      <c r="C25" s="4">
        <f>'data processing'!C25/1000</f>
        <v>71.683300099999997</v>
      </c>
      <c r="D25">
        <f>'data processing'!D25/1000</f>
        <v>90.050366699999998</v>
      </c>
      <c r="E25">
        <f>'data processing'!E25/1000</f>
        <v>5.5145530999999997</v>
      </c>
      <c r="F25">
        <f>'data processing'!F25/1000</f>
        <v>15.485610300000001</v>
      </c>
      <c r="H25">
        <v>200</v>
      </c>
    </row>
    <row r="26" spans="1:8" x14ac:dyDescent="0.25">
      <c r="A26" t="s">
        <v>54</v>
      </c>
      <c r="B26" t="s">
        <v>27</v>
      </c>
      <c r="C26" s="4">
        <f>'data processing'!C26/1000</f>
        <v>2413.0366581000003</v>
      </c>
      <c r="D26">
        <f>'data processing'!D26/1000</f>
        <v>328.23371550000002</v>
      </c>
      <c r="E26">
        <f>'data processing'!E26/1000</f>
        <v>144.3378194</v>
      </c>
      <c r="F26">
        <f>'data processing'!F26/1000</f>
        <v>231.14043479999998</v>
      </c>
      <c r="H26">
        <v>200</v>
      </c>
    </row>
    <row r="27" spans="1:8" x14ac:dyDescent="0.25">
      <c r="A27" t="s">
        <v>55</v>
      </c>
      <c r="B27" t="s">
        <v>27</v>
      </c>
      <c r="C27" s="4">
        <f>'data processing'!C27/1000</f>
        <v>149.5976599</v>
      </c>
      <c r="D27">
        <f>'data processing'!D27/1000</f>
        <v>88.575540200000006</v>
      </c>
      <c r="E27">
        <f>'data processing'!E27/1000</f>
        <v>3.5786523000000003</v>
      </c>
      <c r="F27">
        <f>'data processing'!F27/1000</f>
        <v>91.419675799999993</v>
      </c>
      <c r="H27">
        <v>200</v>
      </c>
    </row>
    <row r="28" spans="1:8" x14ac:dyDescent="0.25">
      <c r="A28" t="s">
        <v>56</v>
      </c>
      <c r="B28" t="s">
        <v>27</v>
      </c>
      <c r="C28" s="4">
        <f>'data processing'!C28/1000</f>
        <v>105.54759010000001</v>
      </c>
      <c r="D28">
        <f>'data processing'!D28/1000</f>
        <v>155.9707176</v>
      </c>
      <c r="E28">
        <f>'data processing'!E28/1000</f>
        <v>0</v>
      </c>
      <c r="F28">
        <f>'data processing'!F28/1000</f>
        <v>30.5606419</v>
      </c>
      <c r="H28">
        <v>200</v>
      </c>
    </row>
    <row r="29" spans="1:8" x14ac:dyDescent="0.25">
      <c r="A29" t="s">
        <v>57</v>
      </c>
      <c r="B29" t="s">
        <v>27</v>
      </c>
      <c r="C29" s="4">
        <f>'data processing'!C29/1000</f>
        <v>370.1934134</v>
      </c>
      <c r="D29">
        <f>'data processing'!D29/1000</f>
        <v>195.23362030000001</v>
      </c>
      <c r="E29">
        <f>'data processing'!E29/1000</f>
        <v>318.05391889999999</v>
      </c>
      <c r="F29">
        <f>'data processing'!F29/1000</f>
        <v>172.85498680000001</v>
      </c>
      <c r="H29">
        <v>200</v>
      </c>
    </row>
    <row r="30" spans="1:8" x14ac:dyDescent="0.25">
      <c r="A30" t="s">
        <v>58</v>
      </c>
      <c r="B30" t="s">
        <v>27</v>
      </c>
      <c r="C30" s="4">
        <f>'data processing'!C30/1000</f>
        <v>3428.4964380000001</v>
      </c>
      <c r="D30">
        <f>'data processing'!D30/1000</f>
        <v>275.54442440000003</v>
      </c>
      <c r="E30">
        <f>'data processing'!E30/1000</f>
        <v>12.035405300000001</v>
      </c>
      <c r="F30">
        <f>'data processing'!F30/1000</f>
        <v>1429.6962341000001</v>
      </c>
      <c r="H30">
        <v>200</v>
      </c>
    </row>
    <row r="31" spans="1:8" x14ac:dyDescent="0.25">
      <c r="A31" t="s">
        <v>59</v>
      </c>
      <c r="B31" t="s">
        <v>27</v>
      </c>
      <c r="C31" s="4">
        <f>'data processing'!C31/1000</f>
        <v>896.31799710000007</v>
      </c>
      <c r="D31">
        <f>'data processing'!D31/1000</f>
        <v>140.67657199999999</v>
      </c>
      <c r="E31">
        <f>'data processing'!E31/1000</f>
        <v>117.986463</v>
      </c>
      <c r="F31">
        <f>'data processing'!F31/1000</f>
        <v>161.2056686</v>
      </c>
      <c r="H31">
        <v>400</v>
      </c>
    </row>
    <row r="32" spans="1:8" x14ac:dyDescent="0.25">
      <c r="A32" t="s">
        <v>60</v>
      </c>
      <c r="B32" t="s">
        <v>27</v>
      </c>
      <c r="C32" s="4">
        <f>'data processing'!C32/1000</f>
        <v>128.7994061</v>
      </c>
      <c r="D32">
        <f>'data processing'!D32/1000</f>
        <v>114.94898020000001</v>
      </c>
      <c r="E32">
        <f>'data processing'!E32/1000</f>
        <v>1.9374971999999999</v>
      </c>
      <c r="F32">
        <f>'data processing'!F32/1000</f>
        <v>90.054534899999993</v>
      </c>
      <c r="H32">
        <v>200</v>
      </c>
    </row>
    <row r="33" spans="1:8" x14ac:dyDescent="0.25">
      <c r="A33" t="s">
        <v>61</v>
      </c>
      <c r="B33" t="s">
        <v>27</v>
      </c>
      <c r="C33" s="4">
        <f>'data processing'!C33/1000</f>
        <v>579.8138768</v>
      </c>
      <c r="D33">
        <f>'data processing'!D33/1000</f>
        <v>36.8472723</v>
      </c>
      <c r="E33">
        <f>'data processing'!E33/1000</f>
        <v>0.83717489999999994</v>
      </c>
      <c r="F33">
        <f>'data processing'!F33/1000</f>
        <v>167.66513130000001</v>
      </c>
    </row>
    <row r="34" spans="1:8" x14ac:dyDescent="0.25">
      <c r="A34" t="s">
        <v>62</v>
      </c>
      <c r="B34" t="s">
        <v>27</v>
      </c>
      <c r="C34" s="4">
        <f>'data processing'!C34/1000</f>
        <v>4429.8286799999996</v>
      </c>
      <c r="D34">
        <f>'data processing'!D34/1000</f>
        <v>98.995627999999996</v>
      </c>
      <c r="E34">
        <f>'data processing'!E34/1000</f>
        <v>18.683948700000002</v>
      </c>
      <c r="F34">
        <f>'data processing'!F34/1000</f>
        <v>537.72969449999994</v>
      </c>
      <c r="H34">
        <v>200</v>
      </c>
    </row>
    <row r="35" spans="1:8" x14ac:dyDescent="0.25">
      <c r="A35" t="s">
        <v>63</v>
      </c>
      <c r="B35" t="s">
        <v>27</v>
      </c>
      <c r="C35" s="4">
        <f>'data processing'!C35/1000</f>
        <v>5911.5634254999995</v>
      </c>
      <c r="D35">
        <f>'data processing'!D35/1000</f>
        <v>23.629413400000001</v>
      </c>
      <c r="E35">
        <f>'data processing'!E35/1000</f>
        <v>136.32512590000002</v>
      </c>
      <c r="F35">
        <f>'data processing'!F35/1000</f>
        <v>174.94108970000002</v>
      </c>
      <c r="H35">
        <v>400</v>
      </c>
    </row>
    <row r="36" spans="1:8" x14ac:dyDescent="0.25">
      <c r="A36" t="s">
        <v>64</v>
      </c>
      <c r="B36" t="s">
        <v>27</v>
      </c>
      <c r="C36" s="4">
        <f>'data processing'!C36/1000</f>
        <v>270.3714276</v>
      </c>
      <c r="D36">
        <f>'data processing'!D36/1000</f>
        <v>17.920515099999999</v>
      </c>
      <c r="E36">
        <f>'data processing'!E36/1000</f>
        <v>0</v>
      </c>
      <c r="F36">
        <f>'data processing'!F36/1000</f>
        <v>60.148751499999996</v>
      </c>
      <c r="H36">
        <v>200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C2" sqref="C2"/>
    </sheetView>
  </sheetViews>
  <sheetFormatPr baseColWidth="10" defaultRowHeight="15" x14ac:dyDescent="0.25"/>
  <cols>
    <col min="1" max="1" width="36.140625" bestFit="1" customWidth="1"/>
    <col min="3" max="3" width="11.42578125" style="4"/>
    <col min="5" max="5" width="12" bestFit="1" customWidth="1"/>
    <col min="6" max="6" width="14.85546875" bestFit="1" customWidth="1"/>
  </cols>
  <sheetData>
    <row r="1" spans="1:8" s="5" customFormat="1" x14ac:dyDescent="0.25">
      <c r="A1" s="5" t="s">
        <v>65</v>
      </c>
      <c r="B1" s="5" t="s">
        <v>9</v>
      </c>
      <c r="C1" s="9" t="s">
        <v>104</v>
      </c>
      <c r="D1" s="5" t="s">
        <v>105</v>
      </c>
      <c r="E1" s="5" t="s">
        <v>106</v>
      </c>
      <c r="F1" s="5" t="s">
        <v>108</v>
      </c>
      <c r="H1" s="5" t="s">
        <v>66</v>
      </c>
    </row>
    <row r="2" spans="1:8" x14ac:dyDescent="0.25">
      <c r="A2" t="s">
        <v>21</v>
      </c>
      <c r="B2" t="s">
        <v>27</v>
      </c>
      <c r="C2" s="4">
        <v>5629902.9890000001</v>
      </c>
      <c r="D2">
        <v>506765.65730000002</v>
      </c>
      <c r="E2">
        <v>7050.1939000000002</v>
      </c>
      <c r="F2">
        <v>899794.728</v>
      </c>
      <c r="H2">
        <v>400</v>
      </c>
    </row>
    <row r="3" spans="1:8" x14ac:dyDescent="0.25">
      <c r="A3" t="s">
        <v>31</v>
      </c>
      <c r="B3" t="s">
        <v>27</v>
      </c>
      <c r="C3" s="4">
        <v>2613071.4926</v>
      </c>
      <c r="D3">
        <v>506766.10859999998</v>
      </c>
      <c r="E3">
        <v>4052.6835000000001</v>
      </c>
      <c r="F3">
        <v>133612.8357</v>
      </c>
      <c r="H3">
        <v>400</v>
      </c>
    </row>
    <row r="4" spans="1:8" x14ac:dyDescent="0.25">
      <c r="A4" t="s">
        <v>32</v>
      </c>
      <c r="B4" t="s">
        <v>27</v>
      </c>
      <c r="C4" s="4">
        <v>759651.53150000004</v>
      </c>
      <c r="D4">
        <v>243765.38759999999</v>
      </c>
      <c r="E4">
        <v>0</v>
      </c>
      <c r="F4">
        <v>188310.484</v>
      </c>
      <c r="H4">
        <v>200</v>
      </c>
    </row>
    <row r="5" spans="1:8" x14ac:dyDescent="0.25">
      <c r="A5" t="s">
        <v>33</v>
      </c>
      <c r="B5" t="s">
        <v>27</v>
      </c>
      <c r="C5" s="4">
        <v>256519.21890000001</v>
      </c>
      <c r="D5">
        <v>332747.27360000001</v>
      </c>
      <c r="E5">
        <v>21264.584200000001</v>
      </c>
      <c r="F5">
        <v>27872.243999999999</v>
      </c>
      <c r="H5">
        <v>400</v>
      </c>
    </row>
    <row r="6" spans="1:8" x14ac:dyDescent="0.25">
      <c r="A6" t="s">
        <v>34</v>
      </c>
      <c r="B6" t="s">
        <v>27</v>
      </c>
      <c r="C6" s="4">
        <v>541961.00659999996</v>
      </c>
      <c r="D6">
        <v>161135.6537</v>
      </c>
      <c r="E6">
        <v>131614.1244</v>
      </c>
      <c r="F6">
        <v>22232.500400000001</v>
      </c>
      <c r="H6">
        <v>200</v>
      </c>
    </row>
    <row r="7" spans="1:8" x14ac:dyDescent="0.25">
      <c r="A7" t="s">
        <v>35</v>
      </c>
      <c r="B7" t="s">
        <v>27</v>
      </c>
      <c r="C7" s="4">
        <v>235304.63020000001</v>
      </c>
      <c r="D7">
        <v>384079.63549999997</v>
      </c>
      <c r="E7">
        <v>398017.37939999998</v>
      </c>
      <c r="F7">
        <v>20596.956099999999</v>
      </c>
      <c r="H7">
        <v>400</v>
      </c>
    </row>
    <row r="8" spans="1:8" x14ac:dyDescent="0.25">
      <c r="A8" t="s">
        <v>36</v>
      </c>
      <c r="B8" t="s">
        <v>27</v>
      </c>
      <c r="C8" s="4">
        <v>2917107.2429</v>
      </c>
      <c r="D8">
        <v>223302.95300000001</v>
      </c>
      <c r="E8">
        <v>0</v>
      </c>
      <c r="F8">
        <v>122077.3603</v>
      </c>
      <c r="H8">
        <v>200</v>
      </c>
    </row>
    <row r="9" spans="1:8" x14ac:dyDescent="0.25">
      <c r="A9" t="s">
        <v>37</v>
      </c>
      <c r="B9" t="s">
        <v>27</v>
      </c>
      <c r="C9" s="4">
        <v>1069712.4568</v>
      </c>
      <c r="D9">
        <v>205371.13860000001</v>
      </c>
      <c r="E9">
        <v>25339.9764</v>
      </c>
      <c r="F9">
        <v>336466.1249</v>
      </c>
      <c r="H9">
        <v>200</v>
      </c>
    </row>
    <row r="10" spans="1:8" x14ac:dyDescent="0.25">
      <c r="A10" t="s">
        <v>38</v>
      </c>
      <c r="B10" t="s">
        <v>27</v>
      </c>
      <c r="C10" s="4">
        <v>939251.72010000004</v>
      </c>
      <c r="D10">
        <v>220629.54269999999</v>
      </c>
      <c r="E10">
        <v>0</v>
      </c>
      <c r="F10">
        <v>129117.5036</v>
      </c>
      <c r="H10">
        <v>200</v>
      </c>
    </row>
    <row r="11" spans="1:8" x14ac:dyDescent="0.25">
      <c r="A11" t="s">
        <v>39</v>
      </c>
      <c r="B11" t="s">
        <v>27</v>
      </c>
      <c r="C11" s="4">
        <v>309830.37689999997</v>
      </c>
      <c r="D11">
        <v>2534226.9446999999</v>
      </c>
      <c r="E11">
        <v>7138624.5861999998</v>
      </c>
      <c r="F11">
        <v>120201.0644</v>
      </c>
      <c r="H11">
        <v>600</v>
      </c>
    </row>
    <row r="12" spans="1:8" x14ac:dyDescent="0.25">
      <c r="A12" t="s">
        <v>40</v>
      </c>
      <c r="B12" t="s">
        <v>27</v>
      </c>
      <c r="C12" s="4">
        <v>142998.70929999999</v>
      </c>
      <c r="D12">
        <v>223106.9632</v>
      </c>
      <c r="E12">
        <v>1252439.9317000001</v>
      </c>
      <c r="F12">
        <v>28115.930100000001</v>
      </c>
      <c r="H12">
        <v>200</v>
      </c>
    </row>
    <row r="13" spans="1:8" x14ac:dyDescent="0.25">
      <c r="A13" t="s">
        <v>41</v>
      </c>
      <c r="B13" t="s">
        <v>27</v>
      </c>
      <c r="C13" s="4">
        <v>68505.445099999997</v>
      </c>
      <c r="D13">
        <v>193919.91699999999</v>
      </c>
      <c r="E13">
        <v>21140.5952</v>
      </c>
      <c r="F13">
        <v>14793.909</v>
      </c>
      <c r="H13">
        <v>200</v>
      </c>
    </row>
    <row r="14" spans="1:8" x14ac:dyDescent="0.25">
      <c r="A14" t="s">
        <v>42</v>
      </c>
      <c r="B14" t="s">
        <v>27</v>
      </c>
      <c r="C14" s="4">
        <v>585407.52560000005</v>
      </c>
      <c r="D14">
        <v>332647.35600000003</v>
      </c>
      <c r="E14">
        <v>0</v>
      </c>
      <c r="F14">
        <v>695922.9534</v>
      </c>
      <c r="H14">
        <v>200</v>
      </c>
    </row>
    <row r="15" spans="1:8" x14ac:dyDescent="0.25">
      <c r="A15" t="s">
        <v>43</v>
      </c>
      <c r="B15" t="s">
        <v>27</v>
      </c>
      <c r="C15" s="4">
        <v>183102.70540000001</v>
      </c>
      <c r="D15">
        <v>504430.60200000001</v>
      </c>
      <c r="E15">
        <v>469291.99709999998</v>
      </c>
      <c r="F15">
        <v>75379.358399999997</v>
      </c>
      <c r="H15">
        <v>400</v>
      </c>
    </row>
    <row r="16" spans="1:8" x14ac:dyDescent="0.25">
      <c r="A16" t="s">
        <v>44</v>
      </c>
      <c r="B16" t="s">
        <v>27</v>
      </c>
      <c r="C16" s="4">
        <v>912632.12620000006</v>
      </c>
      <c r="D16">
        <v>690180.50529999996</v>
      </c>
      <c r="E16">
        <v>2685949.5817</v>
      </c>
      <c r="F16">
        <v>99566.081999999995</v>
      </c>
      <c r="H16">
        <v>400</v>
      </c>
    </row>
    <row r="17" spans="1:8" x14ac:dyDescent="0.25">
      <c r="A17" t="s">
        <v>45</v>
      </c>
      <c r="B17" t="s">
        <v>27</v>
      </c>
      <c r="C17" s="4">
        <v>258810.00599999999</v>
      </c>
      <c r="D17">
        <v>70113.213799999998</v>
      </c>
      <c r="E17">
        <v>0</v>
      </c>
      <c r="F17">
        <v>327260.94530000002</v>
      </c>
      <c r="H17">
        <v>200</v>
      </c>
    </row>
    <row r="18" spans="1:8" x14ac:dyDescent="0.25">
      <c r="A18" t="s">
        <v>46</v>
      </c>
      <c r="B18" t="s">
        <v>27</v>
      </c>
      <c r="C18" s="4">
        <v>823597.33239999996</v>
      </c>
      <c r="D18">
        <v>238943.08720000001</v>
      </c>
      <c r="E18">
        <v>0</v>
      </c>
      <c r="F18">
        <v>31215.144899999999</v>
      </c>
      <c r="H18">
        <v>200</v>
      </c>
    </row>
    <row r="19" spans="1:8" x14ac:dyDescent="0.25">
      <c r="A19" t="s">
        <v>47</v>
      </c>
      <c r="B19" t="s">
        <v>27</v>
      </c>
      <c r="C19" s="4">
        <v>1506065.8296000001</v>
      </c>
      <c r="D19">
        <v>248231.55660000001</v>
      </c>
      <c r="E19">
        <v>204039.0471</v>
      </c>
      <c r="F19">
        <v>82562.433900000004</v>
      </c>
      <c r="H19">
        <v>200</v>
      </c>
    </row>
    <row r="20" spans="1:8" x14ac:dyDescent="0.25">
      <c r="A20" t="s">
        <v>48</v>
      </c>
      <c r="B20" t="s">
        <v>27</v>
      </c>
      <c r="C20" s="4">
        <v>1470915.7235999999</v>
      </c>
      <c r="D20">
        <v>710452.04449999996</v>
      </c>
      <c r="E20">
        <v>4129403.9155999999</v>
      </c>
      <c r="F20">
        <v>266076.76750000002</v>
      </c>
      <c r="H20">
        <v>200</v>
      </c>
    </row>
    <row r="21" spans="1:8" x14ac:dyDescent="0.25">
      <c r="A21" t="s">
        <v>49</v>
      </c>
      <c r="B21" t="s">
        <v>27</v>
      </c>
      <c r="C21" s="4">
        <v>1492409.6024</v>
      </c>
      <c r="D21">
        <v>137226.171</v>
      </c>
      <c r="E21">
        <v>381214.38459999999</v>
      </c>
      <c r="F21">
        <v>140146.81469999999</v>
      </c>
    </row>
    <row r="22" spans="1:8" x14ac:dyDescent="0.25">
      <c r="A22" t="s">
        <v>50</v>
      </c>
      <c r="B22" t="s">
        <v>27</v>
      </c>
      <c r="C22" s="4">
        <v>735967.99560000002</v>
      </c>
      <c r="D22">
        <v>327554.1067</v>
      </c>
      <c r="E22">
        <v>23186.992999999999</v>
      </c>
      <c r="F22">
        <v>368764.1753</v>
      </c>
      <c r="H22">
        <v>400</v>
      </c>
    </row>
    <row r="23" spans="1:8" x14ac:dyDescent="0.25">
      <c r="A23" t="s">
        <v>51</v>
      </c>
      <c r="B23" t="s">
        <v>27</v>
      </c>
      <c r="C23" s="4">
        <v>507404.16759999999</v>
      </c>
      <c r="D23">
        <v>62352.751900000003</v>
      </c>
      <c r="E23">
        <v>38964.142899999999</v>
      </c>
      <c r="F23">
        <v>187714.92679999999</v>
      </c>
      <c r="H23">
        <v>200</v>
      </c>
    </row>
    <row r="24" spans="1:8" x14ac:dyDescent="0.25">
      <c r="A24" t="s">
        <v>52</v>
      </c>
      <c r="B24" t="s">
        <v>27</v>
      </c>
      <c r="C24" s="4">
        <v>111633.6902</v>
      </c>
      <c r="D24">
        <v>143171.65669999999</v>
      </c>
      <c r="E24">
        <v>24454.633000000002</v>
      </c>
      <c r="F24">
        <v>137937.10999999999</v>
      </c>
      <c r="H24">
        <v>200</v>
      </c>
    </row>
    <row r="25" spans="1:8" x14ac:dyDescent="0.25">
      <c r="A25" t="s">
        <v>53</v>
      </c>
      <c r="B25" t="s">
        <v>27</v>
      </c>
      <c r="C25" s="4">
        <v>71683.300099999993</v>
      </c>
      <c r="D25">
        <v>90050.366699999999</v>
      </c>
      <c r="E25">
        <v>5514.5531000000001</v>
      </c>
      <c r="F25">
        <v>15485.6103</v>
      </c>
      <c r="H25">
        <v>200</v>
      </c>
    </row>
    <row r="26" spans="1:8" x14ac:dyDescent="0.25">
      <c r="A26" t="s">
        <v>54</v>
      </c>
      <c r="B26" t="s">
        <v>27</v>
      </c>
      <c r="C26" s="4">
        <v>2413036.6581000001</v>
      </c>
      <c r="D26">
        <v>328233.71549999999</v>
      </c>
      <c r="E26">
        <v>144337.81940000001</v>
      </c>
      <c r="F26">
        <v>231140.43479999999</v>
      </c>
      <c r="H26">
        <v>200</v>
      </c>
    </row>
    <row r="27" spans="1:8" x14ac:dyDescent="0.25">
      <c r="A27" t="s">
        <v>55</v>
      </c>
      <c r="B27" t="s">
        <v>27</v>
      </c>
      <c r="C27" s="4">
        <v>149597.6599</v>
      </c>
      <c r="D27">
        <v>88575.540200000003</v>
      </c>
      <c r="E27">
        <v>3578.6523000000002</v>
      </c>
      <c r="F27">
        <v>91419.675799999997</v>
      </c>
      <c r="H27">
        <v>200</v>
      </c>
    </row>
    <row r="28" spans="1:8" x14ac:dyDescent="0.25">
      <c r="A28" t="s">
        <v>56</v>
      </c>
      <c r="B28" t="s">
        <v>27</v>
      </c>
      <c r="C28" s="4">
        <v>105547.5901</v>
      </c>
      <c r="D28">
        <v>155970.7176</v>
      </c>
      <c r="E28">
        <v>0</v>
      </c>
      <c r="F28">
        <v>30560.641899999999</v>
      </c>
      <c r="H28">
        <v>200</v>
      </c>
    </row>
    <row r="29" spans="1:8" x14ac:dyDescent="0.25">
      <c r="A29" t="s">
        <v>57</v>
      </c>
      <c r="B29" t="s">
        <v>27</v>
      </c>
      <c r="C29" s="4">
        <v>370193.41340000002</v>
      </c>
      <c r="D29">
        <v>195233.62030000001</v>
      </c>
      <c r="E29">
        <v>318053.91889999999</v>
      </c>
      <c r="F29">
        <v>172854.98680000001</v>
      </c>
      <c r="H29">
        <v>200</v>
      </c>
    </row>
    <row r="30" spans="1:8" x14ac:dyDescent="0.25">
      <c r="A30" t="s">
        <v>58</v>
      </c>
      <c r="B30" t="s">
        <v>27</v>
      </c>
      <c r="C30" s="4">
        <v>3428496.4380000001</v>
      </c>
      <c r="D30">
        <v>275544.42440000002</v>
      </c>
      <c r="E30">
        <v>12035.4053</v>
      </c>
      <c r="F30">
        <v>1429696.2341</v>
      </c>
      <c r="H30">
        <v>200</v>
      </c>
    </row>
    <row r="31" spans="1:8" x14ac:dyDescent="0.25">
      <c r="A31" t="s">
        <v>59</v>
      </c>
      <c r="B31" t="s">
        <v>27</v>
      </c>
      <c r="C31" s="4">
        <v>896317.99710000004</v>
      </c>
      <c r="D31">
        <v>140676.57199999999</v>
      </c>
      <c r="E31">
        <v>117986.463</v>
      </c>
      <c r="F31">
        <v>161205.6686</v>
      </c>
      <c r="H31">
        <v>400</v>
      </c>
    </row>
    <row r="32" spans="1:8" x14ac:dyDescent="0.25">
      <c r="A32" t="s">
        <v>60</v>
      </c>
      <c r="B32" t="s">
        <v>27</v>
      </c>
      <c r="C32" s="4">
        <v>128799.40609999999</v>
      </c>
      <c r="D32">
        <v>114948.98020000001</v>
      </c>
      <c r="E32">
        <v>1937.4972</v>
      </c>
      <c r="F32">
        <v>90054.534899999999</v>
      </c>
      <c r="H32">
        <v>200</v>
      </c>
    </row>
    <row r="33" spans="1:8" x14ac:dyDescent="0.25">
      <c r="A33" t="s">
        <v>61</v>
      </c>
      <c r="B33" t="s">
        <v>27</v>
      </c>
      <c r="C33" s="4">
        <v>579813.87679999997</v>
      </c>
      <c r="D33">
        <v>36847.272299999997</v>
      </c>
      <c r="E33">
        <v>837.17489999999998</v>
      </c>
      <c r="F33">
        <v>167665.13130000001</v>
      </c>
    </row>
    <row r="34" spans="1:8" x14ac:dyDescent="0.25">
      <c r="A34" t="s">
        <v>62</v>
      </c>
      <c r="B34" t="s">
        <v>27</v>
      </c>
      <c r="C34" s="4">
        <v>4429828.68</v>
      </c>
      <c r="D34">
        <v>98995.627999999997</v>
      </c>
      <c r="E34">
        <v>18683.948700000001</v>
      </c>
      <c r="F34">
        <v>537729.69449999998</v>
      </c>
      <c r="H34">
        <v>200</v>
      </c>
    </row>
    <row r="35" spans="1:8" x14ac:dyDescent="0.25">
      <c r="A35" t="s">
        <v>63</v>
      </c>
      <c r="B35" t="s">
        <v>27</v>
      </c>
      <c r="C35" s="4">
        <v>5911563.4254999999</v>
      </c>
      <c r="D35">
        <v>23629.413400000001</v>
      </c>
      <c r="E35">
        <v>136325.12590000001</v>
      </c>
      <c r="F35">
        <v>174941.08970000001</v>
      </c>
      <c r="H35">
        <v>400</v>
      </c>
    </row>
    <row r="36" spans="1:8" x14ac:dyDescent="0.25">
      <c r="A36" t="s">
        <v>64</v>
      </c>
      <c r="B36" t="s">
        <v>27</v>
      </c>
      <c r="C36" s="4">
        <v>270371.4276</v>
      </c>
      <c r="D36">
        <v>17920.515100000001</v>
      </c>
      <c r="E36">
        <v>0</v>
      </c>
      <c r="F36">
        <v>60148.751499999998</v>
      </c>
      <c r="H36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284"/>
  <sheetViews>
    <sheetView workbookViewId="0">
      <selection sqref="A1:XFD1048576"/>
    </sheetView>
  </sheetViews>
  <sheetFormatPr baseColWidth="10" defaultRowHeight="15" x14ac:dyDescent="0.25"/>
  <cols>
    <col min="1" max="1" width="36.140625" bestFit="1" customWidth="1"/>
  </cols>
  <sheetData>
    <row r="5" spans="1:6" x14ac:dyDescent="0.25">
      <c r="A5" t="s">
        <v>21</v>
      </c>
      <c r="B5" t="s">
        <v>9</v>
      </c>
      <c r="C5" t="s">
        <v>104</v>
      </c>
      <c r="D5" t="s">
        <v>105</v>
      </c>
      <c r="E5" t="s">
        <v>106</v>
      </c>
      <c r="F5" t="s">
        <v>108</v>
      </c>
    </row>
    <row r="6" spans="1:6" x14ac:dyDescent="0.25">
      <c r="B6" t="s">
        <v>11</v>
      </c>
      <c r="C6" t="s">
        <v>17</v>
      </c>
      <c r="D6" t="s">
        <v>20</v>
      </c>
      <c r="E6" t="s">
        <v>20</v>
      </c>
      <c r="F6" t="s">
        <v>17</v>
      </c>
    </row>
    <row r="7" spans="1:6" x14ac:dyDescent="0.25">
      <c r="B7" t="s">
        <v>22</v>
      </c>
      <c r="C7" t="s">
        <v>30</v>
      </c>
      <c r="D7" t="s">
        <v>30</v>
      </c>
      <c r="E7" t="s">
        <v>30</v>
      </c>
      <c r="F7" t="s">
        <v>30</v>
      </c>
    </row>
    <row r="8" spans="1:6" x14ac:dyDescent="0.25">
      <c r="B8" t="s">
        <v>23</v>
      </c>
      <c r="C8">
        <v>4.2009999999999996</v>
      </c>
      <c r="D8">
        <v>4.1820000000000004</v>
      </c>
      <c r="E8">
        <v>4.38</v>
      </c>
      <c r="F8">
        <v>4.1920000000000002</v>
      </c>
    </row>
    <row r="9" spans="1:6" x14ac:dyDescent="0.25">
      <c r="B9" t="s">
        <v>24</v>
      </c>
      <c r="C9">
        <v>11794</v>
      </c>
      <c r="D9">
        <v>68205443</v>
      </c>
      <c r="E9">
        <v>35393</v>
      </c>
      <c r="F9">
        <v>13286</v>
      </c>
    </row>
    <row r="10" spans="1:6" x14ac:dyDescent="0.25">
      <c r="B10" t="s">
        <v>25</v>
      </c>
      <c r="C10">
        <v>1101</v>
      </c>
      <c r="D10">
        <v>71596977</v>
      </c>
      <c r="E10">
        <v>44601880</v>
      </c>
      <c r="F10">
        <v>7809</v>
      </c>
    </row>
    <row r="11" spans="1:6" x14ac:dyDescent="0.25">
      <c r="B11" t="s">
        <v>26</v>
      </c>
      <c r="C11">
        <v>10.711</v>
      </c>
      <c r="D11">
        <v>0.9526</v>
      </c>
      <c r="E11">
        <v>8.0000000000000004E-4</v>
      </c>
      <c r="F11">
        <v>1.7013</v>
      </c>
    </row>
    <row r="12" spans="1:6" x14ac:dyDescent="0.25">
      <c r="B12" t="s">
        <v>27</v>
      </c>
      <c r="C12">
        <v>5629902.9890000001</v>
      </c>
      <c r="D12">
        <v>506765.65730000002</v>
      </c>
      <c r="E12">
        <v>7050.1939000000002</v>
      </c>
      <c r="F12">
        <v>899794.728</v>
      </c>
    </row>
    <row r="13" spans="1:6" x14ac:dyDescent="0.25">
      <c r="A13" t="s">
        <v>31</v>
      </c>
      <c r="B13" t="s">
        <v>9</v>
      </c>
      <c r="C13" t="s">
        <v>104</v>
      </c>
      <c r="D13" t="s">
        <v>105</v>
      </c>
      <c r="E13" t="s">
        <v>106</v>
      </c>
      <c r="F13" t="s">
        <v>108</v>
      </c>
    </row>
    <row r="14" spans="1:6" x14ac:dyDescent="0.25">
      <c r="B14" t="s">
        <v>11</v>
      </c>
      <c r="C14" t="s">
        <v>17</v>
      </c>
      <c r="D14" t="s">
        <v>20</v>
      </c>
      <c r="E14" t="s">
        <v>20</v>
      </c>
      <c r="F14" t="s">
        <v>17</v>
      </c>
    </row>
    <row r="15" spans="1:6" x14ac:dyDescent="0.25">
      <c r="B15" t="s">
        <v>22</v>
      </c>
      <c r="C15" t="s">
        <v>30</v>
      </c>
      <c r="D15" t="s">
        <v>30</v>
      </c>
      <c r="E15" t="s">
        <v>30</v>
      </c>
      <c r="F15" t="s">
        <v>30</v>
      </c>
    </row>
    <row r="16" spans="1:6" x14ac:dyDescent="0.25">
      <c r="B16" t="s">
        <v>23</v>
      </c>
      <c r="C16">
        <v>5.3369999999999997</v>
      </c>
      <c r="D16">
        <v>5.3470000000000004</v>
      </c>
      <c r="E16">
        <v>5.33</v>
      </c>
      <c r="F16">
        <v>5.3540000000000001</v>
      </c>
    </row>
    <row r="17" spans="1:6" x14ac:dyDescent="0.25">
      <c r="B17" t="s">
        <v>24</v>
      </c>
      <c r="C17">
        <v>4208</v>
      </c>
      <c r="D17">
        <v>53189293</v>
      </c>
      <c r="E17">
        <v>359749</v>
      </c>
      <c r="F17">
        <v>1542</v>
      </c>
    </row>
    <row r="18" spans="1:6" x14ac:dyDescent="0.25">
      <c r="B18" t="s">
        <v>25</v>
      </c>
      <c r="C18">
        <v>1101</v>
      </c>
      <c r="D18">
        <v>71596977</v>
      </c>
      <c r="E18">
        <v>44601880</v>
      </c>
      <c r="F18">
        <v>7809</v>
      </c>
    </row>
    <row r="19" spans="1:6" x14ac:dyDescent="0.25">
      <c r="B19" t="s">
        <v>26</v>
      </c>
      <c r="C19">
        <v>3.8218000000000001</v>
      </c>
      <c r="D19">
        <v>0.7429</v>
      </c>
      <c r="E19">
        <v>8.0999999999999996E-3</v>
      </c>
      <c r="F19">
        <v>0.19739999999999999</v>
      </c>
    </row>
    <row r="20" spans="1:6" x14ac:dyDescent="0.25">
      <c r="B20" t="s">
        <v>27</v>
      </c>
      <c r="C20">
        <v>2613071.4926</v>
      </c>
      <c r="D20">
        <v>506766.10859999998</v>
      </c>
      <c r="E20">
        <v>4052.6835000000001</v>
      </c>
      <c r="F20">
        <v>133612.8357</v>
      </c>
    </row>
    <row r="21" spans="1:6" x14ac:dyDescent="0.25">
      <c r="A21" t="s">
        <v>32</v>
      </c>
      <c r="B21" t="s">
        <v>9</v>
      </c>
      <c r="C21" t="s">
        <v>104</v>
      </c>
      <c r="D21" t="s">
        <v>105</v>
      </c>
      <c r="E21" t="s">
        <v>106</v>
      </c>
      <c r="F21" t="s">
        <v>108</v>
      </c>
    </row>
    <row r="22" spans="1:6" x14ac:dyDescent="0.25">
      <c r="B22" t="s">
        <v>11</v>
      </c>
      <c r="C22" t="s">
        <v>17</v>
      </c>
      <c r="D22" t="s">
        <v>20</v>
      </c>
      <c r="E22" t="s">
        <v>20</v>
      </c>
      <c r="F22" t="s">
        <v>17</v>
      </c>
    </row>
    <row r="23" spans="1:6" x14ac:dyDescent="0.25">
      <c r="B23" t="s">
        <v>22</v>
      </c>
      <c r="C23" t="s">
        <v>30</v>
      </c>
      <c r="D23" t="s">
        <v>30</v>
      </c>
      <c r="E23" t="s">
        <v>30</v>
      </c>
      <c r="F23" t="s">
        <v>30</v>
      </c>
    </row>
    <row r="24" spans="1:6" x14ac:dyDescent="0.25">
      <c r="B24" t="s">
        <v>23</v>
      </c>
      <c r="C24">
        <v>6.1589999999999998</v>
      </c>
      <c r="D24">
        <v>6.1550000000000002</v>
      </c>
      <c r="E24">
        <v>6.1539999999999999</v>
      </c>
      <c r="F24">
        <v>6.1689999999999996</v>
      </c>
    </row>
    <row r="25" spans="1:6" x14ac:dyDescent="0.25">
      <c r="B25" t="s">
        <v>24</v>
      </c>
      <c r="C25">
        <v>2431</v>
      </c>
      <c r="D25">
        <v>50923149</v>
      </c>
      <c r="E25">
        <v>37720</v>
      </c>
      <c r="F25">
        <v>4298</v>
      </c>
    </row>
    <row r="26" spans="1:6" x14ac:dyDescent="0.25">
      <c r="B26" t="s">
        <v>25</v>
      </c>
      <c r="C26">
        <v>1101</v>
      </c>
      <c r="D26">
        <v>71596977</v>
      </c>
      <c r="E26">
        <v>44601880</v>
      </c>
      <c r="F26">
        <v>7809</v>
      </c>
    </row>
    <row r="27" spans="1:6" x14ac:dyDescent="0.25">
      <c r="B27" t="s">
        <v>26</v>
      </c>
      <c r="C27">
        <v>2.2077</v>
      </c>
      <c r="D27">
        <v>0.71120000000000005</v>
      </c>
      <c r="E27">
        <v>8.0000000000000004E-4</v>
      </c>
      <c r="F27">
        <v>0.5504</v>
      </c>
    </row>
    <row r="28" spans="1:6" x14ac:dyDescent="0.25">
      <c r="B28" t="s">
        <v>27</v>
      </c>
      <c r="C28">
        <v>759651.53150000004</v>
      </c>
      <c r="D28">
        <v>243765.38759999999</v>
      </c>
      <c r="E28">
        <v>0</v>
      </c>
      <c r="F28">
        <v>188310.484</v>
      </c>
    </row>
    <row r="29" spans="1:6" x14ac:dyDescent="0.25">
      <c r="A29" t="s">
        <v>33</v>
      </c>
      <c r="B29" t="s">
        <v>9</v>
      </c>
      <c r="C29" t="s">
        <v>104</v>
      </c>
      <c r="D29" t="s">
        <v>105</v>
      </c>
      <c r="E29" t="s">
        <v>106</v>
      </c>
      <c r="F29" t="s">
        <v>108</v>
      </c>
    </row>
    <row r="30" spans="1:6" x14ac:dyDescent="0.25">
      <c r="B30" t="s">
        <v>11</v>
      </c>
      <c r="C30" t="s">
        <v>17</v>
      </c>
      <c r="D30" t="s">
        <v>20</v>
      </c>
      <c r="E30" t="s">
        <v>20</v>
      </c>
      <c r="F30" t="s">
        <v>17</v>
      </c>
    </row>
    <row r="31" spans="1:6" x14ac:dyDescent="0.25">
      <c r="B31" t="s">
        <v>22</v>
      </c>
      <c r="C31" t="s">
        <v>30</v>
      </c>
      <c r="D31" t="s">
        <v>30</v>
      </c>
      <c r="E31" t="s">
        <v>30</v>
      </c>
      <c r="F31" t="s">
        <v>30</v>
      </c>
    </row>
    <row r="32" spans="1:6" x14ac:dyDescent="0.25">
      <c r="B32" t="s">
        <v>23</v>
      </c>
      <c r="C32">
        <v>7.4749999999999996</v>
      </c>
      <c r="D32">
        <v>7.2649999999999997</v>
      </c>
      <c r="E32">
        <v>7.2359999999999998</v>
      </c>
      <c r="F32">
        <v>7.4589999999999996</v>
      </c>
    </row>
    <row r="33" spans="1:6" x14ac:dyDescent="0.25">
      <c r="B33" t="s">
        <v>24</v>
      </c>
      <c r="C33">
        <v>4797</v>
      </c>
      <c r="D33">
        <v>401700846</v>
      </c>
      <c r="E33">
        <v>21580865</v>
      </c>
      <c r="F33">
        <v>4628</v>
      </c>
    </row>
    <row r="34" spans="1:6" x14ac:dyDescent="0.25">
      <c r="B34" t="s">
        <v>25</v>
      </c>
      <c r="C34">
        <v>1101</v>
      </c>
      <c r="D34">
        <v>71596977</v>
      </c>
      <c r="E34">
        <v>44601880</v>
      </c>
      <c r="F34">
        <v>7809</v>
      </c>
    </row>
    <row r="35" spans="1:6" x14ac:dyDescent="0.25">
      <c r="B35" t="s">
        <v>26</v>
      </c>
      <c r="C35">
        <v>4.3559000000000001</v>
      </c>
      <c r="D35">
        <v>5.6105999999999998</v>
      </c>
      <c r="E35">
        <v>0.4839</v>
      </c>
      <c r="F35">
        <v>0.59260000000000002</v>
      </c>
    </row>
    <row r="36" spans="1:6" x14ac:dyDescent="0.25">
      <c r="B36" t="s">
        <v>27</v>
      </c>
      <c r="C36">
        <v>256519.21890000001</v>
      </c>
      <c r="D36">
        <v>332747.27360000001</v>
      </c>
      <c r="E36">
        <v>21264.584200000001</v>
      </c>
      <c r="F36">
        <v>27872.243999999999</v>
      </c>
    </row>
    <row r="37" spans="1:6" x14ac:dyDescent="0.25">
      <c r="A37" t="s">
        <v>34</v>
      </c>
      <c r="B37" t="s">
        <v>9</v>
      </c>
      <c r="C37" t="s">
        <v>104</v>
      </c>
      <c r="D37" t="s">
        <v>105</v>
      </c>
      <c r="E37" t="s">
        <v>106</v>
      </c>
      <c r="F37" t="s">
        <v>108</v>
      </c>
    </row>
    <row r="38" spans="1:6" x14ac:dyDescent="0.25">
      <c r="B38" t="s">
        <v>11</v>
      </c>
      <c r="C38" t="s">
        <v>17</v>
      </c>
      <c r="D38" t="s">
        <v>20</v>
      </c>
      <c r="E38" t="s">
        <v>20</v>
      </c>
      <c r="F38" t="s">
        <v>17</v>
      </c>
    </row>
    <row r="39" spans="1:6" x14ac:dyDescent="0.25">
      <c r="B39" t="s">
        <v>22</v>
      </c>
      <c r="C39" t="s">
        <v>30</v>
      </c>
      <c r="D39" t="s">
        <v>30</v>
      </c>
      <c r="E39" t="s">
        <v>30</v>
      </c>
      <c r="F39" t="s">
        <v>30</v>
      </c>
    </row>
    <row r="40" spans="1:6" x14ac:dyDescent="0.25">
      <c r="B40" t="s">
        <v>23</v>
      </c>
      <c r="C40">
        <v>9.0150000000000006</v>
      </c>
      <c r="D40">
        <v>8.7669999999999995</v>
      </c>
      <c r="E40">
        <v>8.7370000000000001</v>
      </c>
      <c r="F40">
        <v>9.0380000000000003</v>
      </c>
    </row>
    <row r="41" spans="1:6" x14ac:dyDescent="0.25">
      <c r="B41" t="s">
        <v>24</v>
      </c>
      <c r="C41">
        <v>3492</v>
      </c>
      <c r="D41">
        <v>67867534</v>
      </c>
      <c r="E41">
        <v>34591687</v>
      </c>
      <c r="F41">
        <v>1070</v>
      </c>
    </row>
    <row r="42" spans="1:6" x14ac:dyDescent="0.25">
      <c r="B42" t="s">
        <v>25</v>
      </c>
      <c r="C42">
        <v>1101</v>
      </c>
      <c r="D42">
        <v>71596977</v>
      </c>
      <c r="E42">
        <v>44601880</v>
      </c>
      <c r="F42">
        <v>7809</v>
      </c>
    </row>
    <row r="43" spans="1:6" x14ac:dyDescent="0.25">
      <c r="B43" t="s">
        <v>26</v>
      </c>
      <c r="C43">
        <v>3.1711</v>
      </c>
      <c r="D43">
        <v>0.94789999999999996</v>
      </c>
      <c r="E43">
        <v>0.77559999999999996</v>
      </c>
      <c r="F43">
        <v>0.13700000000000001</v>
      </c>
    </row>
    <row r="44" spans="1:6" x14ac:dyDescent="0.25">
      <c r="B44" t="s">
        <v>27</v>
      </c>
      <c r="C44">
        <v>541961.00659999996</v>
      </c>
      <c r="D44">
        <v>161135.6537</v>
      </c>
      <c r="E44">
        <v>131614.1244</v>
      </c>
      <c r="F44">
        <v>22232.500400000001</v>
      </c>
    </row>
    <row r="45" spans="1:6" x14ac:dyDescent="0.25">
      <c r="A45" t="s">
        <v>35</v>
      </c>
      <c r="B45" t="s">
        <v>9</v>
      </c>
      <c r="C45" t="s">
        <v>104</v>
      </c>
      <c r="D45" t="s">
        <v>105</v>
      </c>
      <c r="E45" t="s">
        <v>106</v>
      </c>
      <c r="F45" t="s">
        <v>108</v>
      </c>
    </row>
    <row r="46" spans="1:6" x14ac:dyDescent="0.25">
      <c r="B46" t="s">
        <v>11</v>
      </c>
      <c r="C46" t="s">
        <v>17</v>
      </c>
      <c r="D46" t="s">
        <v>20</v>
      </c>
      <c r="E46" t="s">
        <v>20</v>
      </c>
      <c r="F46" t="s">
        <v>17</v>
      </c>
    </row>
    <row r="47" spans="1:6" x14ac:dyDescent="0.25">
      <c r="B47" t="s">
        <v>22</v>
      </c>
      <c r="C47" t="s">
        <v>30</v>
      </c>
      <c r="D47" t="s">
        <v>30</v>
      </c>
      <c r="E47" t="s">
        <v>30</v>
      </c>
      <c r="F47" t="s">
        <v>30</v>
      </c>
    </row>
    <row r="48" spans="1:6" x14ac:dyDescent="0.25">
      <c r="B48" t="s">
        <v>23</v>
      </c>
      <c r="C48">
        <v>11.147</v>
      </c>
      <c r="D48">
        <v>10.811999999999999</v>
      </c>
      <c r="E48">
        <v>10.776</v>
      </c>
      <c r="F48">
        <v>11.116</v>
      </c>
    </row>
    <row r="49" spans="1:6" x14ac:dyDescent="0.25">
      <c r="B49" t="s">
        <v>24</v>
      </c>
      <c r="C49">
        <v>4517</v>
      </c>
      <c r="D49">
        <v>474223244</v>
      </c>
      <c r="E49">
        <v>305955176</v>
      </c>
      <c r="F49">
        <v>3624</v>
      </c>
    </row>
    <row r="50" spans="1:6" x14ac:dyDescent="0.25">
      <c r="B50" t="s">
        <v>25</v>
      </c>
      <c r="C50">
        <v>1101</v>
      </c>
      <c r="D50">
        <v>71596977</v>
      </c>
      <c r="E50">
        <v>44601880</v>
      </c>
      <c r="F50">
        <v>7809</v>
      </c>
    </row>
    <row r="51" spans="1:6" x14ac:dyDescent="0.25">
      <c r="B51" t="s">
        <v>26</v>
      </c>
      <c r="C51">
        <v>4.1024000000000003</v>
      </c>
      <c r="D51">
        <v>6.6234999999999999</v>
      </c>
      <c r="E51">
        <v>6.8597000000000001</v>
      </c>
      <c r="F51">
        <v>0.46410000000000001</v>
      </c>
    </row>
    <row r="52" spans="1:6" x14ac:dyDescent="0.25">
      <c r="B52" t="s">
        <v>27</v>
      </c>
      <c r="C52">
        <v>235304.63020000001</v>
      </c>
      <c r="D52">
        <v>384079.63549999997</v>
      </c>
      <c r="E52">
        <v>398017.37939999998</v>
      </c>
      <c r="F52">
        <v>20596.956099999999</v>
      </c>
    </row>
    <row r="53" spans="1:6" x14ac:dyDescent="0.25">
      <c r="A53" t="s">
        <v>36</v>
      </c>
      <c r="B53" t="s">
        <v>9</v>
      </c>
      <c r="C53" t="s">
        <v>104</v>
      </c>
      <c r="D53" t="s">
        <v>105</v>
      </c>
      <c r="E53" t="s">
        <v>106</v>
      </c>
      <c r="F53" t="s">
        <v>108</v>
      </c>
    </row>
    <row r="54" spans="1:6" x14ac:dyDescent="0.25">
      <c r="B54" t="s">
        <v>11</v>
      </c>
      <c r="C54" t="s">
        <v>17</v>
      </c>
      <c r="D54" t="s">
        <v>20</v>
      </c>
      <c r="E54" t="s">
        <v>20</v>
      </c>
      <c r="F54" t="s">
        <v>17</v>
      </c>
    </row>
    <row r="55" spans="1:6" x14ac:dyDescent="0.25">
      <c r="B55" t="s">
        <v>22</v>
      </c>
      <c r="C55" t="s">
        <v>30</v>
      </c>
      <c r="D55" t="s">
        <v>30</v>
      </c>
      <c r="E55" t="s">
        <v>30</v>
      </c>
      <c r="F55" t="s">
        <v>30</v>
      </c>
    </row>
    <row r="56" spans="1:6" x14ac:dyDescent="0.25">
      <c r="B56" t="s">
        <v>23</v>
      </c>
      <c r="C56">
        <v>11.875</v>
      </c>
      <c r="D56">
        <v>11.459</v>
      </c>
      <c r="E56">
        <v>12.202</v>
      </c>
      <c r="F56">
        <v>11.851000000000001</v>
      </c>
    </row>
    <row r="57" spans="1:6" x14ac:dyDescent="0.25">
      <c r="B57" t="s">
        <v>24</v>
      </c>
      <c r="C57">
        <v>15867</v>
      </c>
      <c r="D57">
        <v>79304571</v>
      </c>
      <c r="E57">
        <v>45618</v>
      </c>
      <c r="F57">
        <v>4747</v>
      </c>
    </row>
    <row r="58" spans="1:6" x14ac:dyDescent="0.25">
      <c r="B58" t="s">
        <v>25</v>
      </c>
      <c r="C58">
        <v>1101</v>
      </c>
      <c r="D58">
        <v>71596977</v>
      </c>
      <c r="E58">
        <v>44601880</v>
      </c>
      <c r="F58">
        <v>7809</v>
      </c>
    </row>
    <row r="59" spans="1:6" x14ac:dyDescent="0.25">
      <c r="B59" t="s">
        <v>26</v>
      </c>
      <c r="C59">
        <v>14.409599999999999</v>
      </c>
      <c r="D59">
        <v>1.1076999999999999</v>
      </c>
      <c r="E59">
        <v>1E-3</v>
      </c>
      <c r="F59">
        <v>0.60780000000000001</v>
      </c>
    </row>
    <row r="60" spans="1:6" x14ac:dyDescent="0.25">
      <c r="B60" t="s">
        <v>27</v>
      </c>
      <c r="C60">
        <v>2917107.2429</v>
      </c>
      <c r="D60">
        <v>223302.95300000001</v>
      </c>
      <c r="E60">
        <v>0</v>
      </c>
      <c r="F60">
        <v>122077.3603</v>
      </c>
    </row>
    <row r="61" spans="1:6" x14ac:dyDescent="0.25">
      <c r="A61" t="s">
        <v>37</v>
      </c>
      <c r="B61" t="s">
        <v>9</v>
      </c>
      <c r="C61" t="s">
        <v>104</v>
      </c>
      <c r="D61" t="s">
        <v>105</v>
      </c>
      <c r="E61" t="s">
        <v>106</v>
      </c>
      <c r="F61" t="s">
        <v>108</v>
      </c>
    </row>
    <row r="62" spans="1:6" x14ac:dyDescent="0.25">
      <c r="B62" t="s">
        <v>11</v>
      </c>
      <c r="C62" t="s">
        <v>17</v>
      </c>
      <c r="D62" t="s">
        <v>20</v>
      </c>
      <c r="E62" t="s">
        <v>20</v>
      </c>
      <c r="F62" t="s">
        <v>17</v>
      </c>
    </row>
    <row r="63" spans="1:6" x14ac:dyDescent="0.25">
      <c r="B63" t="s">
        <v>22</v>
      </c>
      <c r="C63" t="s">
        <v>30</v>
      </c>
      <c r="D63" t="s">
        <v>30</v>
      </c>
      <c r="E63" t="s">
        <v>30</v>
      </c>
      <c r="F63" t="s">
        <v>30</v>
      </c>
    </row>
    <row r="64" spans="1:6" x14ac:dyDescent="0.25">
      <c r="B64" t="s">
        <v>23</v>
      </c>
      <c r="C64">
        <v>13.871</v>
      </c>
      <c r="D64">
        <v>13.423</v>
      </c>
      <c r="E64">
        <v>13.361000000000001</v>
      </c>
      <c r="F64">
        <v>13.505000000000001</v>
      </c>
    </row>
    <row r="65" spans="1:6" x14ac:dyDescent="0.25">
      <c r="B65" t="s">
        <v>24</v>
      </c>
      <c r="C65">
        <v>4544</v>
      </c>
      <c r="D65">
        <v>57049023</v>
      </c>
      <c r="E65">
        <v>4601133</v>
      </c>
      <c r="F65">
        <v>10167</v>
      </c>
    </row>
    <row r="66" spans="1:6" x14ac:dyDescent="0.25">
      <c r="B66" t="s">
        <v>25</v>
      </c>
      <c r="C66">
        <v>1101</v>
      </c>
      <c r="D66">
        <v>71596977</v>
      </c>
      <c r="E66">
        <v>44601880</v>
      </c>
      <c r="F66">
        <v>7809</v>
      </c>
    </row>
    <row r="67" spans="1:6" x14ac:dyDescent="0.25">
      <c r="B67" t="s">
        <v>26</v>
      </c>
      <c r="C67">
        <v>4.1271000000000004</v>
      </c>
      <c r="D67">
        <v>0.79679999999999995</v>
      </c>
      <c r="E67">
        <v>0.1032</v>
      </c>
      <c r="F67">
        <v>1.3019000000000001</v>
      </c>
    </row>
    <row r="68" spans="1:6" x14ac:dyDescent="0.25">
      <c r="B68" t="s">
        <v>27</v>
      </c>
      <c r="C68">
        <v>1069712.4568</v>
      </c>
      <c r="D68">
        <v>205371.13860000001</v>
      </c>
      <c r="E68">
        <v>25339.9764</v>
      </c>
      <c r="F68">
        <v>336466.1249</v>
      </c>
    </row>
    <row r="69" spans="1:6" x14ac:dyDescent="0.25">
      <c r="A69" t="s">
        <v>38</v>
      </c>
      <c r="B69" t="s">
        <v>9</v>
      </c>
      <c r="C69" t="s">
        <v>104</v>
      </c>
      <c r="D69" t="s">
        <v>105</v>
      </c>
      <c r="E69" t="s">
        <v>106</v>
      </c>
      <c r="F69" t="s">
        <v>108</v>
      </c>
    </row>
    <row r="70" spans="1:6" x14ac:dyDescent="0.25">
      <c r="B70" t="s">
        <v>11</v>
      </c>
      <c r="C70" t="s">
        <v>17</v>
      </c>
      <c r="D70" t="s">
        <v>20</v>
      </c>
      <c r="E70" t="s">
        <v>20</v>
      </c>
      <c r="F70" t="s">
        <v>17</v>
      </c>
    </row>
    <row r="71" spans="1:6" x14ac:dyDescent="0.25">
      <c r="B71" t="s">
        <v>22</v>
      </c>
      <c r="C71" t="s">
        <v>30</v>
      </c>
      <c r="D71" t="s">
        <v>30</v>
      </c>
      <c r="E71" t="s">
        <v>30</v>
      </c>
      <c r="F71" t="s">
        <v>30</v>
      </c>
    </row>
    <row r="72" spans="1:6" x14ac:dyDescent="0.25">
      <c r="B72" t="s">
        <v>23</v>
      </c>
      <c r="C72">
        <v>14.319000000000001</v>
      </c>
      <c r="D72">
        <v>14.276</v>
      </c>
      <c r="E72">
        <v>14.007</v>
      </c>
      <c r="F72">
        <v>14.302</v>
      </c>
    </row>
    <row r="73" spans="1:6" x14ac:dyDescent="0.25">
      <c r="B73" t="s">
        <v>24</v>
      </c>
      <c r="C73">
        <v>4566</v>
      </c>
      <c r="D73">
        <v>69985754</v>
      </c>
      <c r="E73">
        <v>1933</v>
      </c>
      <c r="F73">
        <v>4482</v>
      </c>
    </row>
    <row r="74" spans="1:6" x14ac:dyDescent="0.25">
      <c r="B74" t="s">
        <v>25</v>
      </c>
      <c r="C74">
        <v>1101</v>
      </c>
      <c r="D74">
        <v>71596977</v>
      </c>
      <c r="E74">
        <v>44601880</v>
      </c>
      <c r="F74">
        <v>7809</v>
      </c>
    </row>
    <row r="75" spans="1:6" x14ac:dyDescent="0.25">
      <c r="B75" t="s">
        <v>26</v>
      </c>
      <c r="C75">
        <v>4.1468999999999996</v>
      </c>
      <c r="D75">
        <v>0.97750000000000004</v>
      </c>
      <c r="E75">
        <v>0</v>
      </c>
      <c r="F75">
        <v>0.57389999999999997</v>
      </c>
    </row>
    <row r="76" spans="1:6" x14ac:dyDescent="0.25">
      <c r="B76" t="s">
        <v>27</v>
      </c>
      <c r="C76">
        <v>939251.72010000004</v>
      </c>
      <c r="D76">
        <v>220629.54269999999</v>
      </c>
      <c r="E76">
        <v>0</v>
      </c>
      <c r="F76">
        <v>129117.5036</v>
      </c>
    </row>
    <row r="77" spans="1:6" x14ac:dyDescent="0.25">
      <c r="A77" t="s">
        <v>39</v>
      </c>
      <c r="B77" t="s">
        <v>9</v>
      </c>
      <c r="C77" t="s">
        <v>104</v>
      </c>
      <c r="D77" t="s">
        <v>105</v>
      </c>
      <c r="E77" t="s">
        <v>106</v>
      </c>
      <c r="F77" t="s">
        <v>108</v>
      </c>
    </row>
    <row r="78" spans="1:6" x14ac:dyDescent="0.25">
      <c r="B78" t="s">
        <v>11</v>
      </c>
      <c r="C78" t="s">
        <v>17</v>
      </c>
      <c r="D78" t="s">
        <v>20</v>
      </c>
      <c r="E78" t="s">
        <v>20</v>
      </c>
      <c r="F78" t="s">
        <v>17</v>
      </c>
    </row>
    <row r="79" spans="1:6" x14ac:dyDescent="0.25">
      <c r="B79" t="s">
        <v>22</v>
      </c>
      <c r="C79" t="s">
        <v>30</v>
      </c>
      <c r="D79" t="s">
        <v>30</v>
      </c>
      <c r="E79" t="s">
        <v>30</v>
      </c>
      <c r="F79" t="s">
        <v>30</v>
      </c>
    </row>
    <row r="80" spans="1:6" x14ac:dyDescent="0.25">
      <c r="B80" t="s">
        <v>23</v>
      </c>
      <c r="C80">
        <v>16.821000000000002</v>
      </c>
      <c r="D80">
        <v>16.783000000000001</v>
      </c>
      <c r="E80">
        <v>16.923999999999999</v>
      </c>
      <c r="F80">
        <v>16.817</v>
      </c>
    </row>
    <row r="81" spans="1:6" x14ac:dyDescent="0.25">
      <c r="B81" t="s">
        <v>24</v>
      </c>
      <c r="C81">
        <v>1677</v>
      </c>
      <c r="D81">
        <v>882637945</v>
      </c>
      <c r="E81">
        <v>1547366727</v>
      </c>
      <c r="F81">
        <v>4703</v>
      </c>
    </row>
    <row r="82" spans="1:6" x14ac:dyDescent="0.25">
      <c r="B82" t="s">
        <v>25</v>
      </c>
      <c r="C82">
        <v>1101</v>
      </c>
      <c r="D82">
        <v>71596977</v>
      </c>
      <c r="E82">
        <v>44601880</v>
      </c>
      <c r="F82">
        <v>7809</v>
      </c>
    </row>
    <row r="83" spans="1:6" x14ac:dyDescent="0.25">
      <c r="B83" t="s">
        <v>26</v>
      </c>
      <c r="C83">
        <v>1.5233000000000001</v>
      </c>
      <c r="D83">
        <v>12.3279</v>
      </c>
      <c r="E83">
        <v>34.692900000000002</v>
      </c>
      <c r="F83">
        <v>0.60219999999999996</v>
      </c>
    </row>
    <row r="84" spans="1:6" x14ac:dyDescent="0.25">
      <c r="B84" t="s">
        <v>27</v>
      </c>
      <c r="C84">
        <v>309830.37689999997</v>
      </c>
      <c r="D84">
        <v>2534226.9446999999</v>
      </c>
      <c r="E84">
        <v>7138624.5861999998</v>
      </c>
      <c r="F84">
        <v>120201.0644</v>
      </c>
    </row>
    <row r="85" spans="1:6" x14ac:dyDescent="0.25">
      <c r="A85" t="s">
        <v>40</v>
      </c>
      <c r="B85" t="s">
        <v>9</v>
      </c>
      <c r="C85" t="s">
        <v>104</v>
      </c>
      <c r="D85" t="s">
        <v>105</v>
      </c>
      <c r="E85" t="s">
        <v>106</v>
      </c>
      <c r="F85" t="s">
        <v>108</v>
      </c>
    </row>
    <row r="86" spans="1:6" x14ac:dyDescent="0.25">
      <c r="B86" t="s">
        <v>11</v>
      </c>
      <c r="C86" t="s">
        <v>17</v>
      </c>
      <c r="D86" t="s">
        <v>20</v>
      </c>
      <c r="E86" t="s">
        <v>20</v>
      </c>
      <c r="F86" t="s">
        <v>17</v>
      </c>
    </row>
    <row r="87" spans="1:6" x14ac:dyDescent="0.25">
      <c r="B87" t="s">
        <v>22</v>
      </c>
      <c r="C87" t="s">
        <v>30</v>
      </c>
      <c r="D87" t="s">
        <v>30</v>
      </c>
      <c r="E87" t="s">
        <v>30</v>
      </c>
      <c r="F87" t="s">
        <v>30</v>
      </c>
    </row>
    <row r="88" spans="1:6" x14ac:dyDescent="0.25">
      <c r="B88" t="s">
        <v>23</v>
      </c>
      <c r="C88">
        <v>17.428999999999998</v>
      </c>
      <c r="D88">
        <v>17.350999999999999</v>
      </c>
      <c r="E88">
        <v>17.527000000000001</v>
      </c>
      <c r="F88">
        <v>17.399000000000001</v>
      </c>
    </row>
    <row r="89" spans="1:6" x14ac:dyDescent="0.25">
      <c r="B89" t="s">
        <v>24</v>
      </c>
      <c r="C89">
        <v>741</v>
      </c>
      <c r="D89">
        <v>74764985</v>
      </c>
      <c r="E89">
        <v>259495195</v>
      </c>
      <c r="F89">
        <v>1093</v>
      </c>
    </row>
    <row r="90" spans="1:6" x14ac:dyDescent="0.25">
      <c r="B90" t="s">
        <v>25</v>
      </c>
      <c r="C90">
        <v>1101</v>
      </c>
      <c r="D90">
        <v>71596977</v>
      </c>
      <c r="E90">
        <v>44601880</v>
      </c>
      <c r="F90">
        <v>7809</v>
      </c>
    </row>
    <row r="91" spans="1:6" x14ac:dyDescent="0.25">
      <c r="B91" t="s">
        <v>26</v>
      </c>
      <c r="C91">
        <v>0.67269999999999996</v>
      </c>
      <c r="D91">
        <v>1.0442</v>
      </c>
      <c r="E91">
        <v>5.8179999999999996</v>
      </c>
      <c r="F91">
        <v>0.1399</v>
      </c>
    </row>
    <row r="92" spans="1:6" x14ac:dyDescent="0.25">
      <c r="B92" t="s">
        <v>27</v>
      </c>
      <c r="C92">
        <v>142998.70929999999</v>
      </c>
      <c r="D92">
        <v>223106.9632</v>
      </c>
      <c r="E92">
        <v>1252439.9317000001</v>
      </c>
      <c r="F92">
        <v>28115.930100000001</v>
      </c>
    </row>
    <row r="93" spans="1:6" x14ac:dyDescent="0.25">
      <c r="A93" t="s">
        <v>41</v>
      </c>
      <c r="B93" t="s">
        <v>9</v>
      </c>
      <c r="C93" t="s">
        <v>104</v>
      </c>
      <c r="D93" t="s">
        <v>105</v>
      </c>
      <c r="E93" t="s">
        <v>106</v>
      </c>
      <c r="F93" t="s">
        <v>108</v>
      </c>
    </row>
    <row r="94" spans="1:6" x14ac:dyDescent="0.25">
      <c r="B94" t="s">
        <v>11</v>
      </c>
      <c r="C94" t="s">
        <v>17</v>
      </c>
      <c r="D94" t="s">
        <v>20</v>
      </c>
      <c r="E94" t="s">
        <v>20</v>
      </c>
      <c r="F94" t="s">
        <v>17</v>
      </c>
    </row>
    <row r="95" spans="1:6" x14ac:dyDescent="0.25">
      <c r="B95" t="s">
        <v>22</v>
      </c>
      <c r="C95" t="s">
        <v>30</v>
      </c>
      <c r="D95" t="s">
        <v>30</v>
      </c>
      <c r="E95" t="s">
        <v>30</v>
      </c>
      <c r="F95" t="s">
        <v>30</v>
      </c>
    </row>
    <row r="96" spans="1:6" x14ac:dyDescent="0.25">
      <c r="B96" t="s">
        <v>23</v>
      </c>
      <c r="C96">
        <v>20.61</v>
      </c>
      <c r="D96">
        <v>20.565000000000001</v>
      </c>
      <c r="E96">
        <v>20.527000000000001</v>
      </c>
      <c r="F96">
        <v>20.6</v>
      </c>
    </row>
    <row r="97" spans="1:6" x14ac:dyDescent="0.25">
      <c r="B97" t="s">
        <v>24</v>
      </c>
      <c r="C97">
        <v>1732</v>
      </c>
      <c r="D97">
        <v>316252305</v>
      </c>
      <c r="E97">
        <v>22223228</v>
      </c>
      <c r="F97">
        <v>2767</v>
      </c>
    </row>
    <row r="98" spans="1:6" x14ac:dyDescent="0.25">
      <c r="B98" t="s">
        <v>25</v>
      </c>
      <c r="C98">
        <v>1101</v>
      </c>
      <c r="D98">
        <v>71596977</v>
      </c>
      <c r="E98">
        <v>44601880</v>
      </c>
      <c r="F98">
        <v>7809</v>
      </c>
    </row>
    <row r="99" spans="1:6" x14ac:dyDescent="0.25">
      <c r="B99" t="s">
        <v>26</v>
      </c>
      <c r="C99">
        <v>1.5726</v>
      </c>
      <c r="D99">
        <v>4.4170999999999996</v>
      </c>
      <c r="E99">
        <v>0.49830000000000002</v>
      </c>
      <c r="F99">
        <v>0.3543</v>
      </c>
    </row>
    <row r="100" spans="1:6" x14ac:dyDescent="0.25">
      <c r="B100" t="s">
        <v>27</v>
      </c>
      <c r="C100">
        <v>68505.445099999997</v>
      </c>
      <c r="D100">
        <v>193919.91699999999</v>
      </c>
      <c r="E100">
        <v>21140.5952</v>
      </c>
      <c r="F100">
        <v>14793.909</v>
      </c>
    </row>
    <row r="101" spans="1:6" x14ac:dyDescent="0.25">
      <c r="A101" t="s">
        <v>42</v>
      </c>
      <c r="B101" t="s">
        <v>9</v>
      </c>
      <c r="C101" t="s">
        <v>104</v>
      </c>
      <c r="D101" t="s">
        <v>105</v>
      </c>
      <c r="E101" t="s">
        <v>106</v>
      </c>
      <c r="F101" t="s">
        <v>108</v>
      </c>
    </row>
    <row r="102" spans="1:6" x14ac:dyDescent="0.25">
      <c r="B102" t="s">
        <v>11</v>
      </c>
      <c r="C102" t="s">
        <v>17</v>
      </c>
      <c r="D102" t="s">
        <v>20</v>
      </c>
      <c r="E102" t="s">
        <v>20</v>
      </c>
      <c r="F102" t="s">
        <v>17</v>
      </c>
    </row>
    <row r="103" spans="1:6" x14ac:dyDescent="0.25">
      <c r="B103" t="s">
        <v>22</v>
      </c>
      <c r="C103" t="s">
        <v>30</v>
      </c>
      <c r="D103" t="s">
        <v>30</v>
      </c>
      <c r="E103" t="s">
        <v>30</v>
      </c>
      <c r="F103" t="s">
        <v>30</v>
      </c>
    </row>
    <row r="104" spans="1:6" x14ac:dyDescent="0.25">
      <c r="B104" t="s">
        <v>23</v>
      </c>
      <c r="C104">
        <v>21.350999999999999</v>
      </c>
      <c r="D104">
        <v>21.292000000000002</v>
      </c>
      <c r="E104">
        <v>20.989000000000001</v>
      </c>
      <c r="F104">
        <v>21.344000000000001</v>
      </c>
    </row>
    <row r="105" spans="1:6" x14ac:dyDescent="0.25">
      <c r="B105" t="s">
        <v>24</v>
      </c>
      <c r="C105">
        <v>2705</v>
      </c>
      <c r="D105">
        <v>100051171</v>
      </c>
      <c r="E105">
        <v>77</v>
      </c>
      <c r="F105">
        <v>22797</v>
      </c>
    </row>
    <row r="106" spans="1:6" x14ac:dyDescent="0.25">
      <c r="B106" t="s">
        <v>25</v>
      </c>
      <c r="C106">
        <v>1101</v>
      </c>
      <c r="D106">
        <v>71596977</v>
      </c>
      <c r="E106">
        <v>44601880</v>
      </c>
      <c r="F106">
        <v>7809</v>
      </c>
    </row>
    <row r="107" spans="1:6" x14ac:dyDescent="0.25">
      <c r="B107" t="s">
        <v>26</v>
      </c>
      <c r="C107">
        <v>2.4561999999999999</v>
      </c>
      <c r="D107">
        <v>1.3974</v>
      </c>
      <c r="E107">
        <v>0</v>
      </c>
      <c r="F107">
        <v>2.9192</v>
      </c>
    </row>
    <row r="108" spans="1:6" x14ac:dyDescent="0.25">
      <c r="B108" t="s">
        <v>27</v>
      </c>
      <c r="C108">
        <v>585407.52560000005</v>
      </c>
      <c r="D108">
        <v>332647.35600000003</v>
      </c>
      <c r="E108">
        <v>0</v>
      </c>
      <c r="F108">
        <v>695922.9534</v>
      </c>
    </row>
    <row r="109" spans="1:6" x14ac:dyDescent="0.25">
      <c r="A109" t="s">
        <v>43</v>
      </c>
      <c r="B109" t="s">
        <v>9</v>
      </c>
      <c r="C109" t="s">
        <v>104</v>
      </c>
      <c r="D109" t="s">
        <v>105</v>
      </c>
      <c r="E109" t="s">
        <v>106</v>
      </c>
      <c r="F109" t="s">
        <v>108</v>
      </c>
    </row>
    <row r="110" spans="1:6" x14ac:dyDescent="0.25">
      <c r="B110" t="s">
        <v>11</v>
      </c>
      <c r="C110" t="s">
        <v>17</v>
      </c>
      <c r="D110" t="s">
        <v>20</v>
      </c>
      <c r="E110" t="s">
        <v>20</v>
      </c>
      <c r="F110" t="s">
        <v>17</v>
      </c>
    </row>
    <row r="111" spans="1:6" x14ac:dyDescent="0.25">
      <c r="B111" t="s">
        <v>22</v>
      </c>
      <c r="C111" t="s">
        <v>30</v>
      </c>
      <c r="D111" t="s">
        <v>30</v>
      </c>
      <c r="E111" t="s">
        <v>30</v>
      </c>
      <c r="F111" t="s">
        <v>30</v>
      </c>
    </row>
    <row r="112" spans="1:6" x14ac:dyDescent="0.25">
      <c r="B112" t="s">
        <v>23</v>
      </c>
      <c r="C112">
        <v>25.128</v>
      </c>
      <c r="D112">
        <v>25.015000000000001</v>
      </c>
      <c r="E112">
        <v>25.390999999999998</v>
      </c>
      <c r="F112">
        <v>25.059000000000001</v>
      </c>
    </row>
    <row r="113" spans="1:6" x14ac:dyDescent="0.25">
      <c r="B113" t="s">
        <v>24</v>
      </c>
      <c r="C113">
        <v>1272</v>
      </c>
      <c r="D113">
        <v>223523703</v>
      </c>
      <c r="E113">
        <v>129652456</v>
      </c>
      <c r="F113">
        <v>3871</v>
      </c>
    </row>
    <row r="114" spans="1:6" x14ac:dyDescent="0.25">
      <c r="B114" t="s">
        <v>25</v>
      </c>
      <c r="C114">
        <v>1101</v>
      </c>
      <c r="D114">
        <v>71596977</v>
      </c>
      <c r="E114">
        <v>44601880</v>
      </c>
      <c r="F114">
        <v>7809</v>
      </c>
    </row>
    <row r="115" spans="1:6" x14ac:dyDescent="0.25">
      <c r="B115" t="s">
        <v>26</v>
      </c>
      <c r="C115">
        <v>1.1551</v>
      </c>
      <c r="D115">
        <v>3.1219999999999999</v>
      </c>
      <c r="E115">
        <v>2.9068999999999998</v>
      </c>
      <c r="F115">
        <v>0.49569999999999997</v>
      </c>
    </row>
    <row r="116" spans="1:6" x14ac:dyDescent="0.25">
      <c r="B116" t="s">
        <v>27</v>
      </c>
      <c r="C116">
        <v>183102.70540000001</v>
      </c>
      <c r="D116">
        <v>504430.60200000001</v>
      </c>
      <c r="E116">
        <v>469291.99709999998</v>
      </c>
      <c r="F116">
        <v>75379.358399999997</v>
      </c>
    </row>
    <row r="117" spans="1:6" x14ac:dyDescent="0.25">
      <c r="A117" t="s">
        <v>44</v>
      </c>
      <c r="B117" t="s">
        <v>9</v>
      </c>
      <c r="C117" t="s">
        <v>104</v>
      </c>
      <c r="D117" t="s">
        <v>105</v>
      </c>
      <c r="E117" t="s">
        <v>106</v>
      </c>
      <c r="F117" t="s">
        <v>108</v>
      </c>
    </row>
    <row r="118" spans="1:6" x14ac:dyDescent="0.25">
      <c r="B118" t="s">
        <v>11</v>
      </c>
      <c r="C118" t="s">
        <v>17</v>
      </c>
      <c r="D118" t="s">
        <v>20</v>
      </c>
      <c r="E118" t="s">
        <v>20</v>
      </c>
      <c r="F118" t="s">
        <v>17</v>
      </c>
    </row>
    <row r="119" spans="1:6" x14ac:dyDescent="0.25">
      <c r="B119" t="s">
        <v>22</v>
      </c>
      <c r="C119" t="s">
        <v>30</v>
      </c>
      <c r="D119" t="s">
        <v>30</v>
      </c>
      <c r="E119" t="s">
        <v>30</v>
      </c>
      <c r="F119" t="s">
        <v>30</v>
      </c>
    </row>
    <row r="120" spans="1:6" x14ac:dyDescent="0.25">
      <c r="B120" t="s">
        <v>23</v>
      </c>
      <c r="C120">
        <v>25.545000000000002</v>
      </c>
      <c r="D120">
        <v>25.501000000000001</v>
      </c>
      <c r="E120">
        <v>25.931000000000001</v>
      </c>
      <c r="F120">
        <v>25.535</v>
      </c>
    </row>
    <row r="121" spans="1:6" x14ac:dyDescent="0.25">
      <c r="B121" t="s">
        <v>24</v>
      </c>
      <c r="C121">
        <v>3971</v>
      </c>
      <c r="D121">
        <v>195723223</v>
      </c>
      <c r="E121">
        <v>471054515</v>
      </c>
      <c r="F121">
        <v>3258</v>
      </c>
    </row>
    <row r="122" spans="1:6" x14ac:dyDescent="0.25">
      <c r="B122" t="s">
        <v>25</v>
      </c>
      <c r="C122">
        <v>1101</v>
      </c>
      <c r="D122">
        <v>71596977</v>
      </c>
      <c r="E122">
        <v>44601880</v>
      </c>
      <c r="F122">
        <v>7809</v>
      </c>
    </row>
    <row r="123" spans="1:6" x14ac:dyDescent="0.25">
      <c r="B123" t="s">
        <v>26</v>
      </c>
      <c r="C123">
        <v>3.6061999999999999</v>
      </c>
      <c r="D123">
        <v>2.7336999999999998</v>
      </c>
      <c r="E123">
        <v>10.561299999999999</v>
      </c>
      <c r="F123">
        <v>0.41720000000000002</v>
      </c>
    </row>
    <row r="124" spans="1:6" x14ac:dyDescent="0.25">
      <c r="B124" t="s">
        <v>27</v>
      </c>
      <c r="C124">
        <v>912632.12620000006</v>
      </c>
      <c r="D124">
        <v>690180.50529999996</v>
      </c>
      <c r="E124">
        <v>2685949.5817</v>
      </c>
      <c r="F124">
        <v>99566.081999999995</v>
      </c>
    </row>
    <row r="125" spans="1:6" x14ac:dyDescent="0.25">
      <c r="A125" t="s">
        <v>45</v>
      </c>
      <c r="B125" t="s">
        <v>9</v>
      </c>
      <c r="C125" t="s">
        <v>104</v>
      </c>
      <c r="D125" t="s">
        <v>105</v>
      </c>
      <c r="E125" t="s">
        <v>106</v>
      </c>
      <c r="F125" t="s">
        <v>108</v>
      </c>
    </row>
    <row r="126" spans="1:6" x14ac:dyDescent="0.25">
      <c r="B126" t="s">
        <v>11</v>
      </c>
      <c r="C126" t="s">
        <v>17</v>
      </c>
      <c r="D126" t="s">
        <v>20</v>
      </c>
      <c r="E126" t="s">
        <v>20</v>
      </c>
      <c r="F126" t="s">
        <v>17</v>
      </c>
    </row>
    <row r="127" spans="1:6" x14ac:dyDescent="0.25">
      <c r="B127" t="s">
        <v>22</v>
      </c>
      <c r="C127" t="s">
        <v>30</v>
      </c>
      <c r="D127" t="s">
        <v>30</v>
      </c>
      <c r="E127" t="s">
        <v>30</v>
      </c>
      <c r="F127" t="s">
        <v>30</v>
      </c>
    </row>
    <row r="128" spans="1:6" x14ac:dyDescent="0.25">
      <c r="B128" t="s">
        <v>23</v>
      </c>
      <c r="C128">
        <v>26.728999999999999</v>
      </c>
      <c r="D128">
        <v>26.713999999999999</v>
      </c>
      <c r="E128">
        <v>26.83</v>
      </c>
      <c r="F128">
        <v>26.873999999999999</v>
      </c>
    </row>
    <row r="129" spans="1:6" x14ac:dyDescent="0.25">
      <c r="B129" t="s">
        <v>24</v>
      </c>
      <c r="C129">
        <v>2678</v>
      </c>
      <c r="D129">
        <v>47009171</v>
      </c>
      <c r="E129">
        <v>-201729</v>
      </c>
      <c r="F129">
        <v>24027</v>
      </c>
    </row>
    <row r="130" spans="1:6" x14ac:dyDescent="0.25">
      <c r="B130" t="s">
        <v>25</v>
      </c>
      <c r="C130">
        <v>1101</v>
      </c>
      <c r="D130">
        <v>71596977</v>
      </c>
      <c r="E130">
        <v>44601880</v>
      </c>
      <c r="F130">
        <v>7809</v>
      </c>
    </row>
    <row r="131" spans="1:6" x14ac:dyDescent="0.25">
      <c r="B131" t="s">
        <v>26</v>
      </c>
      <c r="C131">
        <v>2.4323999999999999</v>
      </c>
      <c r="D131">
        <v>0.65659999999999996</v>
      </c>
      <c r="E131">
        <v>-4.4999999999999997E-3</v>
      </c>
      <c r="F131">
        <v>3.0766</v>
      </c>
    </row>
    <row r="132" spans="1:6" x14ac:dyDescent="0.25">
      <c r="B132" t="s">
        <v>27</v>
      </c>
      <c r="C132">
        <v>258810.00599999999</v>
      </c>
      <c r="D132">
        <v>70113.213799999998</v>
      </c>
      <c r="E132">
        <v>0</v>
      </c>
      <c r="F132">
        <v>327260.94530000002</v>
      </c>
    </row>
    <row r="133" spans="1:6" x14ac:dyDescent="0.25">
      <c r="A133" t="s">
        <v>46</v>
      </c>
      <c r="B133" t="s">
        <v>9</v>
      </c>
      <c r="C133" t="s">
        <v>104</v>
      </c>
      <c r="D133" t="s">
        <v>105</v>
      </c>
      <c r="E133" t="s">
        <v>106</v>
      </c>
      <c r="F133" t="s">
        <v>108</v>
      </c>
    </row>
    <row r="134" spans="1:6" x14ac:dyDescent="0.25">
      <c r="B134" t="s">
        <v>11</v>
      </c>
      <c r="C134" t="s">
        <v>17</v>
      </c>
      <c r="D134" t="s">
        <v>20</v>
      </c>
      <c r="E134" t="s">
        <v>20</v>
      </c>
      <c r="F134" t="s">
        <v>17</v>
      </c>
    </row>
    <row r="135" spans="1:6" x14ac:dyDescent="0.25">
      <c r="B135" t="s">
        <v>22</v>
      </c>
      <c r="C135" t="s">
        <v>30</v>
      </c>
      <c r="D135" t="s">
        <v>30</v>
      </c>
      <c r="E135" t="s">
        <v>30</v>
      </c>
      <c r="F135" t="s">
        <v>30</v>
      </c>
    </row>
    <row r="136" spans="1:6" x14ac:dyDescent="0.25">
      <c r="B136" t="s">
        <v>23</v>
      </c>
      <c r="C136">
        <v>26.997</v>
      </c>
      <c r="D136">
        <v>26.939</v>
      </c>
      <c r="E136">
        <v>26.798999999999999</v>
      </c>
      <c r="F136">
        <v>26.975000000000001</v>
      </c>
    </row>
    <row r="137" spans="1:6" x14ac:dyDescent="0.25">
      <c r="B137" t="s">
        <v>24</v>
      </c>
      <c r="C137">
        <v>5768</v>
      </c>
      <c r="D137">
        <v>108835959</v>
      </c>
      <c r="E137">
        <v>-2228969</v>
      </c>
      <c r="F137">
        <v>1555</v>
      </c>
    </row>
    <row r="138" spans="1:6" x14ac:dyDescent="0.25">
      <c r="B138" t="s">
        <v>25</v>
      </c>
      <c r="C138">
        <v>1101</v>
      </c>
      <c r="D138">
        <v>71596977</v>
      </c>
      <c r="E138">
        <v>44601880</v>
      </c>
      <c r="F138">
        <v>7809</v>
      </c>
    </row>
    <row r="139" spans="1:6" x14ac:dyDescent="0.25">
      <c r="B139" t="s">
        <v>26</v>
      </c>
      <c r="C139">
        <v>5.2382</v>
      </c>
      <c r="D139">
        <v>1.5201</v>
      </c>
      <c r="E139">
        <v>-0.05</v>
      </c>
      <c r="F139">
        <v>0.1991</v>
      </c>
    </row>
    <row r="140" spans="1:6" x14ac:dyDescent="0.25">
      <c r="B140" t="s">
        <v>27</v>
      </c>
      <c r="C140">
        <v>823597.33239999996</v>
      </c>
      <c r="D140">
        <v>238943.08720000001</v>
      </c>
      <c r="E140">
        <v>0</v>
      </c>
      <c r="F140">
        <v>31215.144899999999</v>
      </c>
    </row>
    <row r="141" spans="1:6" x14ac:dyDescent="0.25">
      <c r="A141" t="s">
        <v>47</v>
      </c>
      <c r="B141" t="s">
        <v>9</v>
      </c>
      <c r="C141" t="s">
        <v>104</v>
      </c>
      <c r="D141" t="s">
        <v>105</v>
      </c>
      <c r="E141" t="s">
        <v>106</v>
      </c>
      <c r="F141" t="s">
        <v>108</v>
      </c>
    </row>
    <row r="142" spans="1:6" x14ac:dyDescent="0.25">
      <c r="B142" t="s">
        <v>11</v>
      </c>
      <c r="C142" t="s">
        <v>17</v>
      </c>
      <c r="D142" t="s">
        <v>20</v>
      </c>
      <c r="E142" t="s">
        <v>20</v>
      </c>
      <c r="F142" t="s">
        <v>17</v>
      </c>
    </row>
    <row r="143" spans="1:6" x14ac:dyDescent="0.25">
      <c r="B143" t="s">
        <v>22</v>
      </c>
      <c r="C143" t="s">
        <v>30</v>
      </c>
      <c r="D143" t="s">
        <v>30</v>
      </c>
      <c r="E143" t="s">
        <v>30</v>
      </c>
      <c r="F143" t="s">
        <v>30</v>
      </c>
    </row>
    <row r="144" spans="1:6" x14ac:dyDescent="0.25">
      <c r="B144" t="s">
        <v>23</v>
      </c>
      <c r="C144">
        <v>27.683</v>
      </c>
      <c r="D144">
        <v>27.588000000000001</v>
      </c>
      <c r="E144">
        <v>27.722000000000001</v>
      </c>
      <c r="F144">
        <v>27.678999999999998</v>
      </c>
    </row>
    <row r="145" spans="1:6" x14ac:dyDescent="0.25">
      <c r="B145" t="s">
        <v>24</v>
      </c>
      <c r="C145">
        <v>10317</v>
      </c>
      <c r="D145">
        <v>110593085</v>
      </c>
      <c r="E145">
        <v>56633653</v>
      </c>
      <c r="F145">
        <v>4015</v>
      </c>
    </row>
    <row r="146" spans="1:6" x14ac:dyDescent="0.25">
      <c r="B146" t="s">
        <v>25</v>
      </c>
      <c r="C146">
        <v>1101</v>
      </c>
      <c r="D146">
        <v>71596977</v>
      </c>
      <c r="E146">
        <v>44601880</v>
      </c>
      <c r="F146">
        <v>7809</v>
      </c>
    </row>
    <row r="147" spans="1:6" x14ac:dyDescent="0.25">
      <c r="B147" t="s">
        <v>26</v>
      </c>
      <c r="C147">
        <v>9.3690999999999995</v>
      </c>
      <c r="D147">
        <v>1.5447</v>
      </c>
      <c r="E147">
        <v>1.2698</v>
      </c>
      <c r="F147">
        <v>0.5141</v>
      </c>
    </row>
    <row r="148" spans="1:6" x14ac:dyDescent="0.25">
      <c r="B148" t="s">
        <v>27</v>
      </c>
      <c r="C148">
        <v>1506065.8296000001</v>
      </c>
      <c r="D148">
        <v>248231.55660000001</v>
      </c>
      <c r="E148">
        <v>204039.0471</v>
      </c>
      <c r="F148">
        <v>82562.433900000004</v>
      </c>
    </row>
    <row r="149" spans="1:6" x14ac:dyDescent="0.25">
      <c r="A149" t="s">
        <v>48</v>
      </c>
      <c r="B149" t="s">
        <v>9</v>
      </c>
      <c r="C149" t="s">
        <v>104</v>
      </c>
      <c r="D149" t="s">
        <v>105</v>
      </c>
      <c r="E149" t="s">
        <v>106</v>
      </c>
      <c r="F149" t="s">
        <v>108</v>
      </c>
    </row>
    <row r="150" spans="1:6" x14ac:dyDescent="0.25">
      <c r="B150" t="s">
        <v>11</v>
      </c>
      <c r="C150" t="s">
        <v>17</v>
      </c>
      <c r="D150" t="s">
        <v>20</v>
      </c>
      <c r="E150" t="s">
        <v>20</v>
      </c>
      <c r="F150" t="s">
        <v>17</v>
      </c>
    </row>
    <row r="151" spans="1:6" x14ac:dyDescent="0.25">
      <c r="B151" t="s">
        <v>22</v>
      </c>
      <c r="C151" t="s">
        <v>30</v>
      </c>
      <c r="D151" t="s">
        <v>30</v>
      </c>
      <c r="E151" t="s">
        <v>30</v>
      </c>
      <c r="F151" t="s">
        <v>30</v>
      </c>
    </row>
    <row r="152" spans="1:6" x14ac:dyDescent="0.25">
      <c r="B152" t="s">
        <v>23</v>
      </c>
      <c r="C152">
        <v>29.091999999999999</v>
      </c>
      <c r="D152">
        <v>29</v>
      </c>
      <c r="E152">
        <v>29.228999999999999</v>
      </c>
      <c r="F152">
        <v>29.05</v>
      </c>
    </row>
    <row r="153" spans="1:6" x14ac:dyDescent="0.25">
      <c r="B153" t="s">
        <v>24</v>
      </c>
      <c r="C153">
        <v>2500</v>
      </c>
      <c r="D153">
        <v>78406911</v>
      </c>
      <c r="E153">
        <v>284526420</v>
      </c>
      <c r="F153">
        <v>3189</v>
      </c>
    </row>
    <row r="154" spans="1:6" x14ac:dyDescent="0.25">
      <c r="B154" t="s">
        <v>25</v>
      </c>
      <c r="C154">
        <v>1101</v>
      </c>
      <c r="D154">
        <v>71596977</v>
      </c>
      <c r="E154">
        <v>44601880</v>
      </c>
      <c r="F154">
        <v>7809</v>
      </c>
    </row>
    <row r="155" spans="1:6" x14ac:dyDescent="0.25">
      <c r="B155" t="s">
        <v>26</v>
      </c>
      <c r="C155">
        <v>2.2704</v>
      </c>
      <c r="D155">
        <v>1.0951</v>
      </c>
      <c r="E155">
        <v>6.3792</v>
      </c>
      <c r="F155">
        <v>0.4083</v>
      </c>
    </row>
    <row r="156" spans="1:6" x14ac:dyDescent="0.25">
      <c r="B156" t="s">
        <v>27</v>
      </c>
      <c r="C156">
        <v>1470915.7235999999</v>
      </c>
      <c r="D156">
        <v>710452.04449999996</v>
      </c>
      <c r="E156">
        <v>4129403.9155999999</v>
      </c>
      <c r="F156">
        <v>266076.76750000002</v>
      </c>
    </row>
    <row r="157" spans="1:6" x14ac:dyDescent="0.25">
      <c r="A157" t="s">
        <v>49</v>
      </c>
      <c r="B157" t="s">
        <v>9</v>
      </c>
      <c r="C157" t="s">
        <v>104</v>
      </c>
      <c r="D157" t="s">
        <v>105</v>
      </c>
      <c r="E157" t="s">
        <v>106</v>
      </c>
      <c r="F157" t="s">
        <v>108</v>
      </c>
    </row>
    <row r="158" spans="1:6" x14ac:dyDescent="0.25">
      <c r="B158" t="s">
        <v>11</v>
      </c>
      <c r="C158" t="s">
        <v>17</v>
      </c>
      <c r="D158" t="s">
        <v>20</v>
      </c>
      <c r="E158" t="s">
        <v>20</v>
      </c>
      <c r="F158" t="s">
        <v>17</v>
      </c>
    </row>
    <row r="159" spans="1:6" x14ac:dyDescent="0.25">
      <c r="B159" t="s">
        <v>22</v>
      </c>
      <c r="C159" t="s">
        <v>30</v>
      </c>
      <c r="D159" t="s">
        <v>30</v>
      </c>
      <c r="E159" t="s">
        <v>30</v>
      </c>
      <c r="F159" t="s">
        <v>30</v>
      </c>
    </row>
    <row r="160" spans="1:6" x14ac:dyDescent="0.25">
      <c r="B160" t="s">
        <v>23</v>
      </c>
      <c r="C160">
        <v>29.783000000000001</v>
      </c>
      <c r="D160">
        <v>29.690999999999999</v>
      </c>
      <c r="E160">
        <v>29.818000000000001</v>
      </c>
      <c r="F160">
        <v>29.757999999999999</v>
      </c>
    </row>
    <row r="161" spans="1:6" x14ac:dyDescent="0.25">
      <c r="B161" t="s">
        <v>24</v>
      </c>
      <c r="C161">
        <v>5497</v>
      </c>
      <c r="D161">
        <v>32824623</v>
      </c>
      <c r="E161">
        <v>56853230</v>
      </c>
      <c r="F161">
        <v>3657</v>
      </c>
    </row>
    <row r="162" spans="1:6" x14ac:dyDescent="0.25">
      <c r="B162" t="s">
        <v>25</v>
      </c>
      <c r="C162">
        <v>1101</v>
      </c>
      <c r="D162">
        <v>71596977</v>
      </c>
      <c r="E162">
        <v>44601880</v>
      </c>
      <c r="F162">
        <v>7809</v>
      </c>
    </row>
    <row r="163" spans="1:6" x14ac:dyDescent="0.25">
      <c r="B163" t="s">
        <v>26</v>
      </c>
      <c r="C163">
        <v>4.992</v>
      </c>
      <c r="D163">
        <v>0.45850000000000002</v>
      </c>
      <c r="E163">
        <v>1.2746999999999999</v>
      </c>
      <c r="F163">
        <v>0.46820000000000001</v>
      </c>
    </row>
    <row r="164" spans="1:6" x14ac:dyDescent="0.25">
      <c r="B164" t="s">
        <v>27</v>
      </c>
      <c r="C164">
        <v>1492409.6024</v>
      </c>
      <c r="D164">
        <v>137226.171</v>
      </c>
      <c r="E164">
        <v>381214.38459999999</v>
      </c>
      <c r="F164">
        <v>140146.81469999999</v>
      </c>
    </row>
    <row r="165" spans="1:6" x14ac:dyDescent="0.25">
      <c r="A165" t="s">
        <v>50</v>
      </c>
      <c r="B165" t="s">
        <v>9</v>
      </c>
      <c r="C165" t="s">
        <v>104</v>
      </c>
      <c r="D165" t="s">
        <v>105</v>
      </c>
      <c r="E165" t="s">
        <v>106</v>
      </c>
      <c r="F165" t="s">
        <v>108</v>
      </c>
    </row>
    <row r="166" spans="1:6" x14ac:dyDescent="0.25">
      <c r="B166" t="s">
        <v>11</v>
      </c>
      <c r="C166" t="s">
        <v>17</v>
      </c>
      <c r="D166" t="s">
        <v>20</v>
      </c>
      <c r="E166" t="s">
        <v>20</v>
      </c>
      <c r="F166" t="s">
        <v>17</v>
      </c>
    </row>
    <row r="167" spans="1:6" x14ac:dyDescent="0.25">
      <c r="B167" t="s">
        <v>22</v>
      </c>
      <c r="C167" t="s">
        <v>30</v>
      </c>
      <c r="D167" t="s">
        <v>30</v>
      </c>
      <c r="E167" t="s">
        <v>30</v>
      </c>
      <c r="F167" t="s">
        <v>30</v>
      </c>
    </row>
    <row r="168" spans="1:6" x14ac:dyDescent="0.25">
      <c r="B168" t="s">
        <v>23</v>
      </c>
      <c r="C168">
        <v>34.585999999999999</v>
      </c>
      <c r="D168">
        <v>34.536999999999999</v>
      </c>
      <c r="E168">
        <v>34.356999999999999</v>
      </c>
      <c r="F168">
        <v>34.610999999999997</v>
      </c>
    </row>
    <row r="169" spans="1:6" x14ac:dyDescent="0.25">
      <c r="B169" t="s">
        <v>24</v>
      </c>
      <c r="C169">
        <v>1757</v>
      </c>
      <c r="D169">
        <v>50717299</v>
      </c>
      <c r="E169">
        <v>2100220</v>
      </c>
      <c r="F169">
        <v>6231</v>
      </c>
    </row>
    <row r="170" spans="1:6" x14ac:dyDescent="0.25">
      <c r="B170" t="s">
        <v>25</v>
      </c>
      <c r="C170">
        <v>1101</v>
      </c>
      <c r="D170">
        <v>71596977</v>
      </c>
      <c r="E170">
        <v>44601880</v>
      </c>
      <c r="F170">
        <v>7809</v>
      </c>
    </row>
    <row r="171" spans="1:6" x14ac:dyDescent="0.25">
      <c r="B171" t="s">
        <v>26</v>
      </c>
      <c r="C171">
        <v>1.5956999999999999</v>
      </c>
      <c r="D171">
        <v>0.70840000000000003</v>
      </c>
      <c r="E171">
        <v>4.7100000000000003E-2</v>
      </c>
      <c r="F171">
        <v>0.79790000000000005</v>
      </c>
    </row>
    <row r="172" spans="1:6" x14ac:dyDescent="0.25">
      <c r="B172" t="s">
        <v>27</v>
      </c>
      <c r="C172">
        <v>735967.99560000002</v>
      </c>
      <c r="D172">
        <v>327554.1067</v>
      </c>
      <c r="E172">
        <v>23186.992999999999</v>
      </c>
      <c r="F172">
        <v>368764.1753</v>
      </c>
    </row>
    <row r="173" spans="1:6" x14ac:dyDescent="0.25">
      <c r="A173" t="s">
        <v>51</v>
      </c>
      <c r="B173" t="s">
        <v>9</v>
      </c>
      <c r="C173" t="s">
        <v>104</v>
      </c>
      <c r="D173" t="s">
        <v>105</v>
      </c>
      <c r="E173" t="s">
        <v>106</v>
      </c>
      <c r="F173" t="s">
        <v>108</v>
      </c>
    </row>
    <row r="174" spans="1:6" x14ac:dyDescent="0.25">
      <c r="B174" t="s">
        <v>11</v>
      </c>
      <c r="C174" t="s">
        <v>17</v>
      </c>
      <c r="D174" t="s">
        <v>20</v>
      </c>
      <c r="E174" t="s">
        <v>20</v>
      </c>
      <c r="F174" t="s">
        <v>17</v>
      </c>
    </row>
    <row r="175" spans="1:6" x14ac:dyDescent="0.25">
      <c r="B175" t="s">
        <v>22</v>
      </c>
      <c r="C175" t="s">
        <v>30</v>
      </c>
      <c r="D175" t="s">
        <v>30</v>
      </c>
      <c r="E175" t="s">
        <v>30</v>
      </c>
      <c r="F175" t="s">
        <v>30</v>
      </c>
    </row>
    <row r="176" spans="1:6" x14ac:dyDescent="0.25">
      <c r="B176" t="s">
        <v>23</v>
      </c>
      <c r="C176">
        <v>35.088999999999999</v>
      </c>
      <c r="D176">
        <v>35.01</v>
      </c>
      <c r="E176">
        <v>34.973999999999997</v>
      </c>
      <c r="F176">
        <v>35.093000000000004</v>
      </c>
    </row>
    <row r="177" spans="1:6" x14ac:dyDescent="0.25">
      <c r="B177" t="s">
        <v>24</v>
      </c>
      <c r="C177">
        <v>3269</v>
      </c>
      <c r="D177">
        <v>26085192</v>
      </c>
      <c r="E177">
        <v>10145266</v>
      </c>
      <c r="F177">
        <v>8574</v>
      </c>
    </row>
    <row r="178" spans="1:6" x14ac:dyDescent="0.25">
      <c r="B178" t="s">
        <v>25</v>
      </c>
      <c r="C178">
        <v>1101</v>
      </c>
      <c r="D178">
        <v>71596977</v>
      </c>
      <c r="E178">
        <v>44601880</v>
      </c>
      <c r="F178">
        <v>7809</v>
      </c>
    </row>
    <row r="179" spans="1:6" x14ac:dyDescent="0.25">
      <c r="B179" t="s">
        <v>26</v>
      </c>
      <c r="C179">
        <v>2.9687999999999999</v>
      </c>
      <c r="D179">
        <v>0.36430000000000001</v>
      </c>
      <c r="E179">
        <v>0.22750000000000001</v>
      </c>
      <c r="F179">
        <v>1.0980000000000001</v>
      </c>
    </row>
    <row r="180" spans="1:6" x14ac:dyDescent="0.25">
      <c r="B180" t="s">
        <v>27</v>
      </c>
      <c r="C180">
        <v>507404.16759999999</v>
      </c>
      <c r="D180">
        <v>62352.751900000003</v>
      </c>
      <c r="E180">
        <v>38964.142899999999</v>
      </c>
      <c r="F180">
        <v>187714.92679999999</v>
      </c>
    </row>
    <row r="181" spans="1:6" x14ac:dyDescent="0.25">
      <c r="A181" t="s">
        <v>52</v>
      </c>
      <c r="B181" t="s">
        <v>9</v>
      </c>
      <c r="C181" t="s">
        <v>104</v>
      </c>
      <c r="D181" t="s">
        <v>105</v>
      </c>
      <c r="E181" t="s">
        <v>106</v>
      </c>
      <c r="F181" t="s">
        <v>108</v>
      </c>
    </row>
    <row r="182" spans="1:6" x14ac:dyDescent="0.25">
      <c r="B182" t="s">
        <v>11</v>
      </c>
      <c r="C182" t="s">
        <v>17</v>
      </c>
      <c r="D182" t="s">
        <v>20</v>
      </c>
      <c r="E182" t="s">
        <v>20</v>
      </c>
      <c r="F182" t="s">
        <v>17</v>
      </c>
    </row>
    <row r="183" spans="1:6" x14ac:dyDescent="0.25">
      <c r="B183" t="s">
        <v>22</v>
      </c>
      <c r="C183" t="s">
        <v>30</v>
      </c>
      <c r="D183" t="s">
        <v>30</v>
      </c>
      <c r="E183" t="s">
        <v>30</v>
      </c>
      <c r="F183" t="s">
        <v>30</v>
      </c>
    </row>
    <row r="184" spans="1:6" x14ac:dyDescent="0.25">
      <c r="B184" t="s">
        <v>23</v>
      </c>
      <c r="C184">
        <v>36.744</v>
      </c>
      <c r="D184">
        <v>36.698</v>
      </c>
      <c r="E184">
        <v>36.642000000000003</v>
      </c>
      <c r="F184">
        <v>36.743000000000002</v>
      </c>
    </row>
    <row r="185" spans="1:6" x14ac:dyDescent="0.25">
      <c r="B185" t="s">
        <v>24</v>
      </c>
      <c r="C185">
        <v>1417</v>
      </c>
      <c r="D185">
        <v>118182226</v>
      </c>
      <c r="E185">
        <v>12473029</v>
      </c>
      <c r="F185">
        <v>12419</v>
      </c>
    </row>
    <row r="186" spans="1:6" x14ac:dyDescent="0.25">
      <c r="B186" t="s">
        <v>25</v>
      </c>
      <c r="C186">
        <v>1101</v>
      </c>
      <c r="D186">
        <v>71596977</v>
      </c>
      <c r="E186">
        <v>44601880</v>
      </c>
      <c r="F186">
        <v>7809</v>
      </c>
    </row>
    <row r="187" spans="1:6" x14ac:dyDescent="0.25">
      <c r="B187" t="s">
        <v>26</v>
      </c>
      <c r="C187">
        <v>1.2864</v>
      </c>
      <c r="D187">
        <v>1.6507000000000001</v>
      </c>
      <c r="E187">
        <v>0.2797</v>
      </c>
      <c r="F187">
        <v>1.5902000000000001</v>
      </c>
    </row>
    <row r="188" spans="1:6" x14ac:dyDescent="0.25">
      <c r="B188" t="s">
        <v>27</v>
      </c>
      <c r="C188">
        <v>111633.6902</v>
      </c>
      <c r="D188">
        <v>143171.65669999999</v>
      </c>
      <c r="E188">
        <v>24454.633000000002</v>
      </c>
      <c r="F188">
        <v>137937.10999999999</v>
      </c>
    </row>
    <row r="189" spans="1:6" x14ac:dyDescent="0.25">
      <c r="A189" t="s">
        <v>53</v>
      </c>
      <c r="B189" t="s">
        <v>9</v>
      </c>
      <c r="C189" t="s">
        <v>104</v>
      </c>
      <c r="D189" t="s">
        <v>105</v>
      </c>
      <c r="E189" t="s">
        <v>106</v>
      </c>
      <c r="F189" t="s">
        <v>108</v>
      </c>
    </row>
    <row r="190" spans="1:6" x14ac:dyDescent="0.25">
      <c r="B190" t="s">
        <v>11</v>
      </c>
      <c r="C190" t="s">
        <v>17</v>
      </c>
      <c r="D190" t="s">
        <v>20</v>
      </c>
      <c r="E190" t="s">
        <v>20</v>
      </c>
      <c r="F190" t="s">
        <v>17</v>
      </c>
    </row>
    <row r="191" spans="1:6" x14ac:dyDescent="0.25">
      <c r="B191" t="s">
        <v>22</v>
      </c>
      <c r="C191" t="s">
        <v>30</v>
      </c>
      <c r="D191" t="s">
        <v>30</v>
      </c>
      <c r="E191" t="s">
        <v>30</v>
      </c>
      <c r="F191" t="s">
        <v>30</v>
      </c>
    </row>
    <row r="192" spans="1:6" x14ac:dyDescent="0.25">
      <c r="B192" t="s">
        <v>23</v>
      </c>
      <c r="C192">
        <v>37.454999999999998</v>
      </c>
      <c r="D192">
        <v>37.374000000000002</v>
      </c>
      <c r="E192">
        <v>37.317</v>
      </c>
      <c r="F192">
        <v>37.442999999999998</v>
      </c>
    </row>
    <row r="193" spans="1:6" x14ac:dyDescent="0.25">
      <c r="B193" t="s">
        <v>24</v>
      </c>
      <c r="C193">
        <v>992</v>
      </c>
      <c r="D193">
        <v>81164464</v>
      </c>
      <c r="E193">
        <v>2874603</v>
      </c>
      <c r="F193">
        <v>1488</v>
      </c>
    </row>
    <row r="194" spans="1:6" x14ac:dyDescent="0.25">
      <c r="B194" t="s">
        <v>25</v>
      </c>
      <c r="C194">
        <v>1101</v>
      </c>
      <c r="D194">
        <v>71596977</v>
      </c>
      <c r="E194">
        <v>44601880</v>
      </c>
      <c r="F194">
        <v>7809</v>
      </c>
    </row>
    <row r="195" spans="1:6" x14ac:dyDescent="0.25">
      <c r="B195" t="s">
        <v>26</v>
      </c>
      <c r="C195">
        <v>0.90129999999999999</v>
      </c>
      <c r="D195">
        <v>1.1335999999999999</v>
      </c>
      <c r="E195">
        <v>6.4500000000000002E-2</v>
      </c>
      <c r="F195">
        <v>0.19059999999999999</v>
      </c>
    </row>
    <row r="196" spans="1:6" x14ac:dyDescent="0.25">
      <c r="B196" t="s">
        <v>27</v>
      </c>
      <c r="C196">
        <v>71683.300099999993</v>
      </c>
      <c r="D196">
        <v>90050.366699999999</v>
      </c>
      <c r="E196">
        <v>5514.5531000000001</v>
      </c>
      <c r="F196">
        <v>15485.6103</v>
      </c>
    </row>
    <row r="197" spans="1:6" x14ac:dyDescent="0.25">
      <c r="A197" t="s">
        <v>54</v>
      </c>
      <c r="B197" t="s">
        <v>9</v>
      </c>
      <c r="C197" t="s">
        <v>104</v>
      </c>
      <c r="D197" t="s">
        <v>105</v>
      </c>
      <c r="E197" t="s">
        <v>106</v>
      </c>
      <c r="F197" t="s">
        <v>108</v>
      </c>
    </row>
    <row r="198" spans="1:6" x14ac:dyDescent="0.25">
      <c r="B198" t="s">
        <v>11</v>
      </c>
      <c r="C198" t="s">
        <v>17</v>
      </c>
      <c r="D198" t="s">
        <v>20</v>
      </c>
      <c r="E198" t="s">
        <v>20</v>
      </c>
      <c r="F198" t="s">
        <v>17</v>
      </c>
    </row>
    <row r="199" spans="1:6" x14ac:dyDescent="0.25">
      <c r="B199" t="s">
        <v>22</v>
      </c>
      <c r="C199" t="s">
        <v>30</v>
      </c>
      <c r="D199" t="s">
        <v>30</v>
      </c>
      <c r="E199" t="s">
        <v>30</v>
      </c>
      <c r="F199" t="s">
        <v>30</v>
      </c>
    </row>
    <row r="200" spans="1:6" x14ac:dyDescent="0.25">
      <c r="B200" t="s">
        <v>23</v>
      </c>
      <c r="C200">
        <v>37.69</v>
      </c>
      <c r="D200">
        <v>37.624000000000002</v>
      </c>
      <c r="E200">
        <v>37.576999999999998</v>
      </c>
      <c r="F200">
        <v>37.704000000000001</v>
      </c>
    </row>
    <row r="201" spans="1:6" x14ac:dyDescent="0.25">
      <c r="B201" t="s">
        <v>24</v>
      </c>
      <c r="C201">
        <v>14168</v>
      </c>
      <c r="D201">
        <v>125130884</v>
      </c>
      <c r="E201">
        <v>34205902</v>
      </c>
      <c r="F201">
        <v>9605</v>
      </c>
    </row>
    <row r="202" spans="1:6" x14ac:dyDescent="0.25">
      <c r="B202" t="s">
        <v>25</v>
      </c>
      <c r="C202">
        <v>1101</v>
      </c>
      <c r="D202">
        <v>71596977</v>
      </c>
      <c r="E202">
        <v>44601880</v>
      </c>
      <c r="F202">
        <v>7809</v>
      </c>
    </row>
    <row r="203" spans="1:6" x14ac:dyDescent="0.25">
      <c r="B203" t="s">
        <v>26</v>
      </c>
      <c r="C203">
        <v>12.866899999999999</v>
      </c>
      <c r="D203">
        <v>1.7477</v>
      </c>
      <c r="E203">
        <v>0.76690000000000003</v>
      </c>
      <c r="F203">
        <v>1.2299</v>
      </c>
    </row>
    <row r="204" spans="1:6" x14ac:dyDescent="0.25">
      <c r="B204" t="s">
        <v>27</v>
      </c>
      <c r="C204">
        <v>2413036.6581000001</v>
      </c>
      <c r="D204">
        <v>328233.71549999999</v>
      </c>
      <c r="E204">
        <v>144337.81940000001</v>
      </c>
      <c r="F204">
        <v>231140.43479999999</v>
      </c>
    </row>
    <row r="205" spans="1:6" x14ac:dyDescent="0.25">
      <c r="A205" t="s">
        <v>55</v>
      </c>
      <c r="B205" t="s">
        <v>9</v>
      </c>
      <c r="C205" t="s">
        <v>104</v>
      </c>
      <c r="D205" t="s">
        <v>105</v>
      </c>
      <c r="E205" t="s">
        <v>106</v>
      </c>
      <c r="F205" t="s">
        <v>108</v>
      </c>
    </row>
    <row r="206" spans="1:6" x14ac:dyDescent="0.25">
      <c r="B206" t="s">
        <v>11</v>
      </c>
      <c r="C206" t="s">
        <v>17</v>
      </c>
      <c r="D206" t="s">
        <v>20</v>
      </c>
      <c r="E206" t="s">
        <v>20</v>
      </c>
      <c r="F206" t="s">
        <v>17</v>
      </c>
    </row>
    <row r="207" spans="1:6" x14ac:dyDescent="0.25">
      <c r="B207" t="s">
        <v>22</v>
      </c>
      <c r="C207" t="s">
        <v>30</v>
      </c>
      <c r="D207" t="s">
        <v>30</v>
      </c>
      <c r="E207" t="s">
        <v>30</v>
      </c>
      <c r="F207" t="s">
        <v>30</v>
      </c>
    </row>
    <row r="208" spans="1:6" x14ac:dyDescent="0.25">
      <c r="B208" t="s">
        <v>23</v>
      </c>
      <c r="C208">
        <v>38.988</v>
      </c>
      <c r="D208">
        <v>38.936</v>
      </c>
      <c r="E208">
        <v>39.741999999999997</v>
      </c>
      <c r="F208">
        <v>39.027999999999999</v>
      </c>
    </row>
    <row r="209" spans="1:6" x14ac:dyDescent="0.25">
      <c r="B209" t="s">
        <v>24</v>
      </c>
      <c r="C209">
        <v>3421</v>
      </c>
      <c r="D209">
        <v>78452357</v>
      </c>
      <c r="E209">
        <v>313459</v>
      </c>
      <c r="F209">
        <v>9111</v>
      </c>
    </row>
    <row r="210" spans="1:6" x14ac:dyDescent="0.25">
      <c r="B210" t="s">
        <v>25</v>
      </c>
      <c r="C210">
        <v>1101</v>
      </c>
      <c r="D210">
        <v>71596977</v>
      </c>
      <c r="E210">
        <v>44601880</v>
      </c>
      <c r="F210">
        <v>7809</v>
      </c>
    </row>
    <row r="211" spans="1:6" x14ac:dyDescent="0.25">
      <c r="B211" t="s">
        <v>26</v>
      </c>
      <c r="C211">
        <v>3.1067</v>
      </c>
      <c r="D211">
        <v>1.0956999999999999</v>
      </c>
      <c r="E211">
        <v>7.0000000000000001E-3</v>
      </c>
      <c r="F211">
        <v>1.1666000000000001</v>
      </c>
    </row>
    <row r="212" spans="1:6" x14ac:dyDescent="0.25">
      <c r="B212" t="s">
        <v>27</v>
      </c>
      <c r="C212">
        <v>149597.6599</v>
      </c>
      <c r="D212">
        <v>88575.540200000003</v>
      </c>
      <c r="E212">
        <v>3578.6523000000002</v>
      </c>
      <c r="F212">
        <v>91419.675799999997</v>
      </c>
    </row>
    <row r="213" spans="1:6" x14ac:dyDescent="0.25">
      <c r="A213" t="s">
        <v>56</v>
      </c>
      <c r="B213" t="s">
        <v>9</v>
      </c>
      <c r="C213" t="s">
        <v>104</v>
      </c>
      <c r="D213" t="s">
        <v>105</v>
      </c>
      <c r="E213" t="s">
        <v>106</v>
      </c>
      <c r="F213" t="s">
        <v>108</v>
      </c>
    </row>
    <row r="214" spans="1:6" x14ac:dyDescent="0.25">
      <c r="B214" t="s">
        <v>11</v>
      </c>
      <c r="C214" t="s">
        <v>17</v>
      </c>
      <c r="D214" t="s">
        <v>20</v>
      </c>
      <c r="E214" t="s">
        <v>20</v>
      </c>
      <c r="F214" t="s">
        <v>17</v>
      </c>
    </row>
    <row r="215" spans="1:6" x14ac:dyDescent="0.25">
      <c r="B215" t="s">
        <v>22</v>
      </c>
      <c r="C215" t="s">
        <v>30</v>
      </c>
      <c r="D215" t="s">
        <v>30</v>
      </c>
      <c r="E215" t="s">
        <v>30</v>
      </c>
      <c r="F215" t="s">
        <v>30</v>
      </c>
    </row>
    <row r="216" spans="1:6" x14ac:dyDescent="0.25">
      <c r="B216" t="s">
        <v>23</v>
      </c>
      <c r="C216">
        <v>39.433</v>
      </c>
      <c r="D216">
        <v>39.395000000000003</v>
      </c>
      <c r="E216">
        <v>39.734999999999999</v>
      </c>
      <c r="F216">
        <v>39.427999999999997</v>
      </c>
    </row>
    <row r="217" spans="1:6" x14ac:dyDescent="0.25">
      <c r="B217" t="s">
        <v>24</v>
      </c>
      <c r="C217">
        <v>2683</v>
      </c>
      <c r="D217">
        <v>257534301</v>
      </c>
      <c r="E217">
        <v>94940</v>
      </c>
      <c r="F217">
        <v>5554</v>
      </c>
    </row>
    <row r="218" spans="1:6" x14ac:dyDescent="0.25">
      <c r="B218" t="s">
        <v>25</v>
      </c>
      <c r="C218">
        <v>1101</v>
      </c>
      <c r="D218">
        <v>71596977</v>
      </c>
      <c r="E218">
        <v>44601880</v>
      </c>
      <c r="F218">
        <v>7809</v>
      </c>
    </row>
    <row r="219" spans="1:6" x14ac:dyDescent="0.25">
      <c r="B219" t="s">
        <v>26</v>
      </c>
      <c r="C219">
        <v>2.4367000000000001</v>
      </c>
      <c r="D219">
        <v>3.597</v>
      </c>
      <c r="E219">
        <v>2.0999999999999999E-3</v>
      </c>
      <c r="F219">
        <v>0.71120000000000005</v>
      </c>
    </row>
    <row r="220" spans="1:6" x14ac:dyDescent="0.25">
      <c r="B220" t="s">
        <v>27</v>
      </c>
      <c r="C220">
        <v>105547.5901</v>
      </c>
      <c r="D220">
        <v>155970.7176</v>
      </c>
      <c r="E220">
        <v>0</v>
      </c>
      <c r="F220">
        <v>30560.641899999999</v>
      </c>
    </row>
    <row r="221" spans="1:6" x14ac:dyDescent="0.25">
      <c r="A221" t="s">
        <v>57</v>
      </c>
      <c r="B221" t="s">
        <v>9</v>
      </c>
      <c r="C221" t="s">
        <v>104</v>
      </c>
      <c r="D221" t="s">
        <v>105</v>
      </c>
      <c r="E221" t="s">
        <v>106</v>
      </c>
      <c r="F221" t="s">
        <v>108</v>
      </c>
    </row>
    <row r="222" spans="1:6" x14ac:dyDescent="0.25">
      <c r="B222" t="s">
        <v>11</v>
      </c>
      <c r="C222" t="s">
        <v>17</v>
      </c>
      <c r="D222" t="s">
        <v>20</v>
      </c>
      <c r="E222" t="s">
        <v>20</v>
      </c>
      <c r="F222" t="s">
        <v>17</v>
      </c>
    </row>
    <row r="223" spans="1:6" x14ac:dyDescent="0.25">
      <c r="B223" t="s">
        <v>22</v>
      </c>
      <c r="C223" t="s">
        <v>30</v>
      </c>
      <c r="D223" t="s">
        <v>30</v>
      </c>
      <c r="E223" t="s">
        <v>30</v>
      </c>
      <c r="F223" t="s">
        <v>30</v>
      </c>
    </row>
    <row r="224" spans="1:6" x14ac:dyDescent="0.25">
      <c r="B224" t="s">
        <v>23</v>
      </c>
      <c r="C224">
        <v>39.963999999999999</v>
      </c>
      <c r="D224">
        <v>39.869</v>
      </c>
      <c r="E224">
        <v>39.889000000000003</v>
      </c>
      <c r="F224">
        <v>39.936999999999998</v>
      </c>
    </row>
    <row r="225" spans="1:6" x14ac:dyDescent="0.25">
      <c r="B225" t="s">
        <v>24</v>
      </c>
      <c r="C225">
        <v>2191</v>
      </c>
      <c r="D225">
        <v>47830743</v>
      </c>
      <c r="E225">
        <v>68001091</v>
      </c>
      <c r="F225">
        <v>4281</v>
      </c>
    </row>
    <row r="226" spans="1:6" x14ac:dyDescent="0.25">
      <c r="B226" t="s">
        <v>25</v>
      </c>
      <c r="C226">
        <v>1101</v>
      </c>
      <c r="D226">
        <v>71596977</v>
      </c>
      <c r="E226">
        <v>44601880</v>
      </c>
      <c r="F226">
        <v>7809</v>
      </c>
    </row>
    <row r="227" spans="1:6" x14ac:dyDescent="0.25">
      <c r="B227" t="s">
        <v>26</v>
      </c>
      <c r="C227">
        <v>1.99</v>
      </c>
      <c r="D227">
        <v>0.66810000000000003</v>
      </c>
      <c r="E227">
        <v>1.5246</v>
      </c>
      <c r="F227">
        <v>0.54820000000000002</v>
      </c>
    </row>
    <row r="228" spans="1:6" x14ac:dyDescent="0.25">
      <c r="B228" t="s">
        <v>27</v>
      </c>
      <c r="C228">
        <v>370193.41340000002</v>
      </c>
      <c r="D228">
        <v>195233.62030000001</v>
      </c>
      <c r="E228">
        <v>318053.91889999999</v>
      </c>
      <c r="F228">
        <v>172854.98680000001</v>
      </c>
    </row>
    <row r="229" spans="1:6" x14ac:dyDescent="0.25">
      <c r="A229" t="s">
        <v>58</v>
      </c>
      <c r="B229" t="s">
        <v>9</v>
      </c>
      <c r="C229" t="s">
        <v>104</v>
      </c>
      <c r="D229" t="s">
        <v>105</v>
      </c>
      <c r="E229" t="s">
        <v>106</v>
      </c>
      <c r="F229" t="s">
        <v>108</v>
      </c>
    </row>
    <row r="230" spans="1:6" x14ac:dyDescent="0.25">
      <c r="B230" t="s">
        <v>11</v>
      </c>
      <c r="C230" t="s">
        <v>17</v>
      </c>
      <c r="D230" t="s">
        <v>20</v>
      </c>
      <c r="E230" t="s">
        <v>20</v>
      </c>
      <c r="F230" t="s">
        <v>17</v>
      </c>
    </row>
    <row r="231" spans="1:6" x14ac:dyDescent="0.25">
      <c r="B231" t="s">
        <v>22</v>
      </c>
      <c r="C231" t="s">
        <v>30</v>
      </c>
      <c r="D231" t="s">
        <v>30</v>
      </c>
      <c r="E231" t="s">
        <v>30</v>
      </c>
      <c r="F231" t="s">
        <v>30</v>
      </c>
    </row>
    <row r="232" spans="1:6" x14ac:dyDescent="0.25">
      <c r="B232" t="s">
        <v>23</v>
      </c>
      <c r="C232">
        <v>44.636000000000003</v>
      </c>
      <c r="D232">
        <v>44.475999999999999</v>
      </c>
      <c r="E232">
        <v>44.302999999999997</v>
      </c>
      <c r="F232">
        <v>43.545000000000002</v>
      </c>
    </row>
    <row r="233" spans="1:6" x14ac:dyDescent="0.25">
      <c r="B233" t="s">
        <v>24</v>
      </c>
      <c r="C233">
        <v>17603</v>
      </c>
      <c r="D233">
        <v>92367860</v>
      </c>
      <c r="E233">
        <v>2759380</v>
      </c>
      <c r="F233">
        <v>52087</v>
      </c>
    </row>
    <row r="234" spans="1:6" x14ac:dyDescent="0.25">
      <c r="B234" t="s">
        <v>25</v>
      </c>
      <c r="C234">
        <v>1101</v>
      </c>
      <c r="D234">
        <v>71596977</v>
      </c>
      <c r="E234">
        <v>44601880</v>
      </c>
      <c r="F234">
        <v>7809</v>
      </c>
    </row>
    <row r="235" spans="1:6" x14ac:dyDescent="0.25">
      <c r="B235" t="s">
        <v>26</v>
      </c>
      <c r="C235">
        <v>15.9863</v>
      </c>
      <c r="D235">
        <v>1.2901</v>
      </c>
      <c r="E235">
        <v>6.1899999999999997E-2</v>
      </c>
      <c r="F235">
        <v>6.6696999999999997</v>
      </c>
    </row>
    <row r="236" spans="1:6" x14ac:dyDescent="0.25">
      <c r="B236" t="s">
        <v>27</v>
      </c>
      <c r="C236">
        <v>3428496.4380000001</v>
      </c>
      <c r="D236">
        <v>275544.42440000002</v>
      </c>
      <c r="E236">
        <v>12035.4053</v>
      </c>
      <c r="F236">
        <v>1429696.2341</v>
      </c>
    </row>
    <row r="237" spans="1:6" x14ac:dyDescent="0.25">
      <c r="A237" t="s">
        <v>59</v>
      </c>
      <c r="B237" t="s">
        <v>9</v>
      </c>
      <c r="C237" t="s">
        <v>104</v>
      </c>
      <c r="D237" t="s">
        <v>105</v>
      </c>
      <c r="E237" t="s">
        <v>106</v>
      </c>
      <c r="F237" t="s">
        <v>108</v>
      </c>
    </row>
    <row r="238" spans="1:6" x14ac:dyDescent="0.25">
      <c r="B238" t="s">
        <v>11</v>
      </c>
      <c r="C238" t="s">
        <v>17</v>
      </c>
      <c r="D238" t="s">
        <v>20</v>
      </c>
      <c r="E238" t="s">
        <v>20</v>
      </c>
      <c r="F238" t="s">
        <v>17</v>
      </c>
    </row>
    <row r="239" spans="1:6" x14ac:dyDescent="0.25">
      <c r="B239" t="s">
        <v>22</v>
      </c>
      <c r="C239" t="s">
        <v>30</v>
      </c>
      <c r="D239" t="s">
        <v>30</v>
      </c>
      <c r="E239" t="s">
        <v>30</v>
      </c>
      <c r="F239" t="s">
        <v>30</v>
      </c>
    </row>
    <row r="240" spans="1:6" x14ac:dyDescent="0.25">
      <c r="B240" t="s">
        <v>23</v>
      </c>
      <c r="C240">
        <v>45.195</v>
      </c>
      <c r="D240">
        <v>45.115000000000002</v>
      </c>
      <c r="E240">
        <v>45.040999999999997</v>
      </c>
      <c r="F240">
        <v>45.173999999999999</v>
      </c>
    </row>
    <row r="241" spans="1:6" x14ac:dyDescent="0.25">
      <c r="B241" t="s">
        <v>24</v>
      </c>
      <c r="C241">
        <v>6830</v>
      </c>
      <c r="D241">
        <v>68673783</v>
      </c>
      <c r="E241">
        <v>35758768</v>
      </c>
      <c r="F241">
        <v>8603</v>
      </c>
    </row>
    <row r="242" spans="1:6" x14ac:dyDescent="0.25">
      <c r="B242" t="s">
        <v>25</v>
      </c>
      <c r="C242">
        <v>1101</v>
      </c>
      <c r="D242">
        <v>71596977</v>
      </c>
      <c r="E242">
        <v>44601880</v>
      </c>
      <c r="F242">
        <v>7809</v>
      </c>
    </row>
    <row r="243" spans="1:6" x14ac:dyDescent="0.25">
      <c r="B243" t="s">
        <v>26</v>
      </c>
      <c r="C243">
        <v>6.2023000000000001</v>
      </c>
      <c r="D243">
        <v>0.95920000000000005</v>
      </c>
      <c r="E243">
        <v>0.80169999999999997</v>
      </c>
      <c r="F243">
        <v>1.1015999999999999</v>
      </c>
    </row>
    <row r="244" spans="1:6" x14ac:dyDescent="0.25">
      <c r="B244" t="s">
        <v>27</v>
      </c>
      <c r="C244">
        <v>896317.99710000004</v>
      </c>
      <c r="D244">
        <v>140676.57199999999</v>
      </c>
      <c r="E244">
        <v>117986.463</v>
      </c>
      <c r="F244">
        <v>161205.6686</v>
      </c>
    </row>
    <row r="245" spans="1:6" x14ac:dyDescent="0.25">
      <c r="A245" t="s">
        <v>60</v>
      </c>
      <c r="B245" t="s">
        <v>9</v>
      </c>
      <c r="C245" t="s">
        <v>104</v>
      </c>
      <c r="D245" t="s">
        <v>105</v>
      </c>
      <c r="E245" t="s">
        <v>106</v>
      </c>
      <c r="F245" t="s">
        <v>108</v>
      </c>
    </row>
    <row r="246" spans="1:6" x14ac:dyDescent="0.25">
      <c r="B246" t="s">
        <v>11</v>
      </c>
      <c r="C246" t="s">
        <v>17</v>
      </c>
      <c r="D246" t="s">
        <v>20</v>
      </c>
      <c r="E246" t="s">
        <v>20</v>
      </c>
      <c r="F246" t="s">
        <v>17</v>
      </c>
    </row>
    <row r="247" spans="1:6" x14ac:dyDescent="0.25">
      <c r="B247" t="s">
        <v>22</v>
      </c>
      <c r="C247" t="s">
        <v>30</v>
      </c>
      <c r="D247" t="s">
        <v>30</v>
      </c>
      <c r="E247" t="s">
        <v>30</v>
      </c>
      <c r="F247" t="s">
        <v>30</v>
      </c>
    </row>
    <row r="248" spans="1:6" x14ac:dyDescent="0.25">
      <c r="B248" t="s">
        <v>23</v>
      </c>
      <c r="C248">
        <v>47.308</v>
      </c>
      <c r="D248">
        <v>47.206000000000003</v>
      </c>
      <c r="E248">
        <v>47.279000000000003</v>
      </c>
      <c r="F248">
        <v>47.292000000000002</v>
      </c>
    </row>
    <row r="249" spans="1:6" x14ac:dyDescent="0.25">
      <c r="B249" t="s">
        <v>24</v>
      </c>
      <c r="C249">
        <v>1446</v>
      </c>
      <c r="D249">
        <v>83782438</v>
      </c>
      <c r="E249">
        <v>9521</v>
      </c>
      <c r="F249">
        <v>7126</v>
      </c>
    </row>
    <row r="250" spans="1:6" x14ac:dyDescent="0.25">
      <c r="B250" t="s">
        <v>25</v>
      </c>
      <c r="C250">
        <v>1101</v>
      </c>
      <c r="D250">
        <v>71596977</v>
      </c>
      <c r="E250">
        <v>44601880</v>
      </c>
      <c r="F250">
        <v>7809</v>
      </c>
    </row>
    <row r="251" spans="1:6" x14ac:dyDescent="0.25">
      <c r="B251" t="s">
        <v>26</v>
      </c>
      <c r="C251">
        <v>1.3136000000000001</v>
      </c>
      <c r="D251">
        <v>1.1701999999999999</v>
      </c>
      <c r="E251">
        <v>2.0000000000000001E-4</v>
      </c>
      <c r="F251">
        <v>0.91249999999999998</v>
      </c>
    </row>
    <row r="252" spans="1:6" x14ac:dyDescent="0.25">
      <c r="B252" t="s">
        <v>27</v>
      </c>
      <c r="C252">
        <v>128799.40609999999</v>
      </c>
      <c r="D252">
        <v>114948.98020000001</v>
      </c>
      <c r="E252">
        <v>1937.4972</v>
      </c>
      <c r="F252">
        <v>90054.534899999999</v>
      </c>
    </row>
    <row r="253" spans="1:6" x14ac:dyDescent="0.25">
      <c r="A253" t="s">
        <v>61</v>
      </c>
      <c r="B253" t="s">
        <v>9</v>
      </c>
      <c r="C253" t="s">
        <v>104</v>
      </c>
      <c r="D253" t="s">
        <v>105</v>
      </c>
      <c r="E253" t="s">
        <v>106</v>
      </c>
      <c r="F253" t="s">
        <v>108</v>
      </c>
    </row>
    <row r="254" spans="1:6" x14ac:dyDescent="0.25">
      <c r="B254" t="s">
        <v>11</v>
      </c>
      <c r="C254" t="s">
        <v>17</v>
      </c>
      <c r="D254" t="s">
        <v>20</v>
      </c>
      <c r="E254" t="s">
        <v>20</v>
      </c>
      <c r="F254" t="s">
        <v>17</v>
      </c>
    </row>
    <row r="255" spans="1:6" x14ac:dyDescent="0.25">
      <c r="B255" t="s">
        <v>22</v>
      </c>
      <c r="C255" t="s">
        <v>30</v>
      </c>
      <c r="D255" t="s">
        <v>30</v>
      </c>
      <c r="E255" t="s">
        <v>30</v>
      </c>
      <c r="F255" t="s">
        <v>30</v>
      </c>
    </row>
    <row r="256" spans="1:6" x14ac:dyDescent="0.25">
      <c r="B256" t="s">
        <v>23</v>
      </c>
      <c r="C256">
        <v>51.445999999999998</v>
      </c>
      <c r="D256">
        <v>51.405999999999999</v>
      </c>
      <c r="E256">
        <v>51.366999999999997</v>
      </c>
      <c r="F256">
        <v>51.423999999999999</v>
      </c>
    </row>
    <row r="257" spans="1:6" x14ac:dyDescent="0.25">
      <c r="B257" t="s">
        <v>24</v>
      </c>
      <c r="C257">
        <v>7498</v>
      </c>
      <c r="D257">
        <v>31585375</v>
      </c>
      <c r="E257">
        <v>838293</v>
      </c>
      <c r="F257">
        <v>15428</v>
      </c>
    </row>
    <row r="258" spans="1:6" x14ac:dyDescent="0.25">
      <c r="B258" t="s">
        <v>25</v>
      </c>
      <c r="C258">
        <v>1101</v>
      </c>
      <c r="D258">
        <v>71596977</v>
      </c>
      <c r="E258">
        <v>44601880</v>
      </c>
      <c r="F258">
        <v>7809</v>
      </c>
    </row>
    <row r="259" spans="1:6" x14ac:dyDescent="0.25">
      <c r="B259" t="s">
        <v>26</v>
      </c>
      <c r="C259">
        <v>6.8095999999999997</v>
      </c>
      <c r="D259">
        <v>0.44119999999999998</v>
      </c>
      <c r="E259">
        <v>1.8800000000000001E-2</v>
      </c>
      <c r="F259">
        <v>1.9755</v>
      </c>
    </row>
    <row r="260" spans="1:6" x14ac:dyDescent="0.25">
      <c r="B260" t="s">
        <v>27</v>
      </c>
      <c r="C260">
        <v>579813.87679999997</v>
      </c>
      <c r="D260">
        <v>36847.272299999997</v>
      </c>
      <c r="E260">
        <v>837.17489999999998</v>
      </c>
      <c r="F260">
        <v>167665.13130000001</v>
      </c>
    </row>
    <row r="261" spans="1:6" x14ac:dyDescent="0.25">
      <c r="A261" t="s">
        <v>62</v>
      </c>
      <c r="B261" t="s">
        <v>9</v>
      </c>
      <c r="C261" t="s">
        <v>104</v>
      </c>
      <c r="D261" t="s">
        <v>105</v>
      </c>
      <c r="E261" t="s">
        <v>106</v>
      </c>
      <c r="F261" t="s">
        <v>108</v>
      </c>
    </row>
    <row r="262" spans="1:6" x14ac:dyDescent="0.25">
      <c r="B262" t="s">
        <v>11</v>
      </c>
      <c r="C262" t="s">
        <v>17</v>
      </c>
      <c r="D262" t="s">
        <v>20</v>
      </c>
      <c r="E262" t="s">
        <v>20</v>
      </c>
      <c r="F262" t="s">
        <v>17</v>
      </c>
    </row>
    <row r="263" spans="1:6" x14ac:dyDescent="0.25">
      <c r="B263" t="s">
        <v>22</v>
      </c>
      <c r="C263" t="s">
        <v>30</v>
      </c>
      <c r="D263" t="s">
        <v>30</v>
      </c>
      <c r="E263" t="s">
        <v>30</v>
      </c>
      <c r="F263" t="s">
        <v>30</v>
      </c>
    </row>
    <row r="264" spans="1:6" x14ac:dyDescent="0.25">
      <c r="B264" t="s">
        <v>23</v>
      </c>
      <c r="C264">
        <v>51.593000000000004</v>
      </c>
      <c r="D264">
        <v>51.545999999999999</v>
      </c>
      <c r="E264">
        <v>51.514000000000003</v>
      </c>
      <c r="F264">
        <v>51.530999999999999</v>
      </c>
    </row>
    <row r="265" spans="1:6" x14ac:dyDescent="0.25">
      <c r="B265" t="s">
        <v>24</v>
      </c>
      <c r="C265">
        <v>21604</v>
      </c>
      <c r="D265">
        <v>31812071</v>
      </c>
      <c r="E265">
        <v>3957611</v>
      </c>
      <c r="F265">
        <v>18640</v>
      </c>
    </row>
    <row r="266" spans="1:6" x14ac:dyDescent="0.25">
      <c r="B266" t="s">
        <v>25</v>
      </c>
      <c r="C266">
        <v>1101</v>
      </c>
      <c r="D266">
        <v>71596977</v>
      </c>
      <c r="E266">
        <v>44601880</v>
      </c>
      <c r="F266">
        <v>7809</v>
      </c>
    </row>
    <row r="267" spans="1:6" x14ac:dyDescent="0.25">
      <c r="B267" t="s">
        <v>26</v>
      </c>
      <c r="C267">
        <v>19.619599999999998</v>
      </c>
      <c r="D267">
        <v>0.44429999999999997</v>
      </c>
      <c r="E267">
        <v>8.8700000000000001E-2</v>
      </c>
      <c r="F267">
        <v>2.3868999999999998</v>
      </c>
    </row>
    <row r="268" spans="1:6" x14ac:dyDescent="0.25">
      <c r="B268" t="s">
        <v>27</v>
      </c>
      <c r="C268">
        <v>4429828.68</v>
      </c>
      <c r="D268">
        <v>98995.627999999997</v>
      </c>
      <c r="E268">
        <v>18683.948700000001</v>
      </c>
      <c r="F268">
        <v>537729.69449999998</v>
      </c>
    </row>
    <row r="269" spans="1:6" x14ac:dyDescent="0.25">
      <c r="A269" t="s">
        <v>63</v>
      </c>
      <c r="B269" t="s">
        <v>9</v>
      </c>
      <c r="C269" t="s">
        <v>104</v>
      </c>
      <c r="D269" t="s">
        <v>105</v>
      </c>
      <c r="E269" t="s">
        <v>106</v>
      </c>
      <c r="F269" t="s">
        <v>108</v>
      </c>
    </row>
    <row r="270" spans="1:6" x14ac:dyDescent="0.25">
      <c r="B270" t="s">
        <v>11</v>
      </c>
      <c r="C270" t="s">
        <v>17</v>
      </c>
      <c r="D270" t="s">
        <v>20</v>
      </c>
      <c r="E270" t="s">
        <v>20</v>
      </c>
      <c r="F270" t="s">
        <v>17</v>
      </c>
    </row>
    <row r="271" spans="1:6" x14ac:dyDescent="0.25">
      <c r="B271" t="s">
        <v>22</v>
      </c>
      <c r="C271" t="s">
        <v>30</v>
      </c>
      <c r="D271" t="s">
        <v>30</v>
      </c>
      <c r="E271" t="s">
        <v>30</v>
      </c>
      <c r="F271" t="s">
        <v>30</v>
      </c>
    </row>
    <row r="272" spans="1:6" x14ac:dyDescent="0.25">
      <c r="B272" t="s">
        <v>23</v>
      </c>
      <c r="C272">
        <v>52.912999999999997</v>
      </c>
      <c r="D272">
        <v>52.926000000000002</v>
      </c>
      <c r="E272">
        <v>52.837000000000003</v>
      </c>
      <c r="F272">
        <v>52.893000000000001</v>
      </c>
    </row>
    <row r="273" spans="1:6" x14ac:dyDescent="0.25">
      <c r="B273" t="s">
        <v>24</v>
      </c>
      <c r="C273">
        <v>12631</v>
      </c>
      <c r="D273">
        <v>3611191</v>
      </c>
      <c r="E273">
        <v>11998696</v>
      </c>
      <c r="F273">
        <v>2686</v>
      </c>
    </row>
    <row r="274" spans="1:6" x14ac:dyDescent="0.25">
      <c r="B274" t="s">
        <v>25</v>
      </c>
      <c r="C274">
        <v>1101</v>
      </c>
      <c r="D274">
        <v>71596977</v>
      </c>
      <c r="E274">
        <v>44601880</v>
      </c>
      <c r="F274">
        <v>7809</v>
      </c>
    </row>
    <row r="275" spans="1:6" x14ac:dyDescent="0.25">
      <c r="B275" t="s">
        <v>26</v>
      </c>
      <c r="C275">
        <v>11.4704</v>
      </c>
      <c r="D275">
        <v>5.04E-2</v>
      </c>
      <c r="E275">
        <v>0.26900000000000002</v>
      </c>
      <c r="F275">
        <v>0.34389999999999998</v>
      </c>
    </row>
    <row r="276" spans="1:6" x14ac:dyDescent="0.25">
      <c r="B276" t="s">
        <v>27</v>
      </c>
      <c r="C276">
        <v>5911563.4254999999</v>
      </c>
      <c r="D276">
        <v>23629.413400000001</v>
      </c>
      <c r="E276">
        <v>136325.12590000001</v>
      </c>
      <c r="F276">
        <v>174941.08970000001</v>
      </c>
    </row>
    <row r="277" spans="1:6" x14ac:dyDescent="0.25">
      <c r="A277" t="s">
        <v>64</v>
      </c>
      <c r="B277" t="s">
        <v>9</v>
      </c>
      <c r="C277" t="s">
        <v>104</v>
      </c>
      <c r="D277" t="s">
        <v>105</v>
      </c>
      <c r="E277" t="s">
        <v>106</v>
      </c>
      <c r="F277" t="s">
        <v>108</v>
      </c>
    </row>
    <row r="278" spans="1:6" x14ac:dyDescent="0.25">
      <c r="B278" t="s">
        <v>11</v>
      </c>
      <c r="C278" t="s">
        <v>17</v>
      </c>
      <c r="D278" t="s">
        <v>20</v>
      </c>
      <c r="E278" t="s">
        <v>20</v>
      </c>
      <c r="F278" t="s">
        <v>17</v>
      </c>
    </row>
    <row r="279" spans="1:6" x14ac:dyDescent="0.25">
      <c r="B279" t="s">
        <v>22</v>
      </c>
      <c r="C279" t="s">
        <v>30</v>
      </c>
      <c r="D279" t="s">
        <v>30</v>
      </c>
      <c r="E279" t="s">
        <v>30</v>
      </c>
      <c r="F279" t="s">
        <v>30</v>
      </c>
    </row>
    <row r="280" spans="1:6" x14ac:dyDescent="0.25">
      <c r="B280" t="s">
        <v>23</v>
      </c>
      <c r="C280">
        <v>53.145000000000003</v>
      </c>
      <c r="D280">
        <v>53.155000000000001</v>
      </c>
      <c r="E280">
        <v>53.091999999999999</v>
      </c>
      <c r="F280">
        <v>53.128</v>
      </c>
    </row>
    <row r="281" spans="1:6" x14ac:dyDescent="0.25">
      <c r="B281" t="s">
        <v>24</v>
      </c>
      <c r="C281">
        <v>8602</v>
      </c>
      <c r="D281">
        <v>42397383</v>
      </c>
      <c r="E281">
        <v>-95750</v>
      </c>
      <c r="F281">
        <v>14055</v>
      </c>
    </row>
    <row r="282" spans="1:6" x14ac:dyDescent="0.25">
      <c r="B282" t="s">
        <v>25</v>
      </c>
      <c r="C282">
        <v>1101</v>
      </c>
      <c r="D282">
        <v>71596977</v>
      </c>
      <c r="E282">
        <v>44601880</v>
      </c>
      <c r="F282">
        <v>7809</v>
      </c>
    </row>
    <row r="283" spans="1:6" x14ac:dyDescent="0.25">
      <c r="B283" t="s">
        <v>26</v>
      </c>
      <c r="C283">
        <v>7.8116000000000003</v>
      </c>
      <c r="D283">
        <v>0.59219999999999995</v>
      </c>
      <c r="E283">
        <v>-2.0999999999999999E-3</v>
      </c>
      <c r="F283">
        <v>1.7998000000000001</v>
      </c>
    </row>
    <row r="284" spans="1:6" x14ac:dyDescent="0.25">
      <c r="B284" t="s">
        <v>27</v>
      </c>
      <c r="C284">
        <v>270371.4276</v>
      </c>
      <c r="D284">
        <v>17920.515100000001</v>
      </c>
      <c r="E284">
        <v>0</v>
      </c>
      <c r="F284">
        <v>60148.751499999998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"/>
  <sheetViews>
    <sheetView topLeftCell="A184" workbookViewId="0">
      <selection activeCell="A218" sqref="A218:H223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103</v>
      </c>
    </row>
    <row r="2" spans="1:10" x14ac:dyDescent="0.25">
      <c r="A2" t="s">
        <v>1</v>
      </c>
      <c r="B2" s="1">
        <v>45267.616238425922</v>
      </c>
      <c r="C2" t="s">
        <v>2</v>
      </c>
      <c r="D2" t="s">
        <v>3</v>
      </c>
      <c r="E2" t="s">
        <v>4</v>
      </c>
      <c r="F2" t="s">
        <v>3</v>
      </c>
    </row>
    <row r="3" spans="1:10" x14ac:dyDescent="0.25">
      <c r="A3" t="s">
        <v>5</v>
      </c>
      <c r="B3" s="1">
        <v>45154.569363425922</v>
      </c>
      <c r="C3" t="s">
        <v>6</v>
      </c>
      <c r="D3">
        <v>10.1</v>
      </c>
      <c r="E3" t="s">
        <v>7</v>
      </c>
      <c r="F3">
        <v>10.199999999999999</v>
      </c>
    </row>
    <row r="4" spans="1:10" x14ac:dyDescent="0.25">
      <c r="A4" t="s">
        <v>8</v>
      </c>
    </row>
    <row r="5" spans="1:10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10" x14ac:dyDescent="0.25">
      <c r="A6" t="s">
        <v>104</v>
      </c>
      <c r="B6" t="s">
        <v>16</v>
      </c>
      <c r="C6" t="s">
        <v>17</v>
      </c>
      <c r="D6">
        <v>1</v>
      </c>
      <c r="E6">
        <v>1</v>
      </c>
      <c r="G6" t="s">
        <v>18</v>
      </c>
    </row>
    <row r="8" spans="1:10" x14ac:dyDescent="0.25">
      <c r="A8" t="s">
        <v>105</v>
      </c>
      <c r="B8" t="s">
        <v>19</v>
      </c>
      <c r="C8" t="s">
        <v>20</v>
      </c>
      <c r="D8">
        <v>2</v>
      </c>
      <c r="E8">
        <v>1</v>
      </c>
      <c r="G8" t="s">
        <v>18</v>
      </c>
    </row>
    <row r="10" spans="1:10" x14ac:dyDescent="0.25">
      <c r="A10" t="s">
        <v>106</v>
      </c>
      <c r="B10" t="s">
        <v>107</v>
      </c>
      <c r="C10" t="s">
        <v>20</v>
      </c>
      <c r="D10">
        <v>3</v>
      </c>
      <c r="E10">
        <v>1</v>
      </c>
      <c r="G10" t="s">
        <v>18</v>
      </c>
    </row>
    <row r="12" spans="1:10" x14ac:dyDescent="0.25">
      <c r="A12" t="s">
        <v>108</v>
      </c>
      <c r="B12" t="s">
        <v>16</v>
      </c>
      <c r="C12" t="s">
        <v>17</v>
      </c>
      <c r="D12">
        <v>1</v>
      </c>
      <c r="E12">
        <v>1</v>
      </c>
      <c r="G12" t="s">
        <v>18</v>
      </c>
    </row>
    <row r="14" spans="1:10" x14ac:dyDescent="0.25">
      <c r="A14" t="s">
        <v>21</v>
      </c>
    </row>
    <row r="15" spans="1:10" x14ac:dyDescent="0.25">
      <c r="A15" t="s">
        <v>9</v>
      </c>
      <c r="B15" t="s">
        <v>11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</row>
    <row r="16" spans="1:10" x14ac:dyDescent="0.25">
      <c r="A16" t="s">
        <v>104</v>
      </c>
      <c r="B16" t="s">
        <v>17</v>
      </c>
      <c r="C16" t="s">
        <v>30</v>
      </c>
      <c r="D16">
        <v>4.2009999999999996</v>
      </c>
      <c r="E16">
        <v>11794</v>
      </c>
      <c r="F16">
        <v>1101</v>
      </c>
      <c r="G16">
        <v>10.711</v>
      </c>
      <c r="H16">
        <v>5629902.9890000001</v>
      </c>
    </row>
    <row r="17" spans="1:10" x14ac:dyDescent="0.25">
      <c r="A17" t="s">
        <v>105</v>
      </c>
      <c r="B17" t="s">
        <v>20</v>
      </c>
      <c r="C17" t="s">
        <v>30</v>
      </c>
      <c r="D17">
        <v>4.1820000000000004</v>
      </c>
      <c r="E17">
        <v>68205443</v>
      </c>
      <c r="F17">
        <v>71596977</v>
      </c>
      <c r="G17">
        <v>0.9526</v>
      </c>
      <c r="H17">
        <v>506765.65730000002</v>
      </c>
    </row>
    <row r="18" spans="1:10" x14ac:dyDescent="0.25">
      <c r="A18" t="s">
        <v>106</v>
      </c>
      <c r="B18" t="s">
        <v>20</v>
      </c>
      <c r="C18" t="s">
        <v>30</v>
      </c>
      <c r="D18">
        <v>4.38</v>
      </c>
      <c r="E18">
        <v>35393</v>
      </c>
      <c r="F18">
        <v>44601880</v>
      </c>
      <c r="G18">
        <v>8.0000000000000004E-4</v>
      </c>
      <c r="H18">
        <v>7050.1939000000002</v>
      </c>
    </row>
    <row r="19" spans="1:10" x14ac:dyDescent="0.25">
      <c r="A19" t="s">
        <v>108</v>
      </c>
      <c r="B19" t="s">
        <v>17</v>
      </c>
      <c r="C19" t="s">
        <v>30</v>
      </c>
      <c r="D19">
        <v>4.1920000000000002</v>
      </c>
      <c r="E19">
        <v>13286</v>
      </c>
      <c r="F19">
        <v>7809</v>
      </c>
      <c r="G19">
        <v>1.7013</v>
      </c>
      <c r="H19">
        <v>899794.728</v>
      </c>
    </row>
    <row r="20" spans="1:10" x14ac:dyDescent="0.25">
      <c r="A20" t="s">
        <v>31</v>
      </c>
    </row>
    <row r="21" spans="1:10" x14ac:dyDescent="0.25">
      <c r="A21" t="s">
        <v>9</v>
      </c>
      <c r="B21" t="s">
        <v>11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</row>
    <row r="22" spans="1:10" x14ac:dyDescent="0.25">
      <c r="A22" t="s">
        <v>104</v>
      </c>
      <c r="B22" t="s">
        <v>17</v>
      </c>
      <c r="C22" t="s">
        <v>30</v>
      </c>
      <c r="D22">
        <v>5.3369999999999997</v>
      </c>
      <c r="E22">
        <v>4208</v>
      </c>
      <c r="F22">
        <v>1101</v>
      </c>
      <c r="G22">
        <v>3.8218000000000001</v>
      </c>
      <c r="H22">
        <v>2613071.4926</v>
      </c>
    </row>
    <row r="23" spans="1:10" x14ac:dyDescent="0.25">
      <c r="A23" t="s">
        <v>105</v>
      </c>
      <c r="B23" t="s">
        <v>20</v>
      </c>
      <c r="C23" t="s">
        <v>30</v>
      </c>
      <c r="D23">
        <v>5.3470000000000004</v>
      </c>
      <c r="E23">
        <v>53189293</v>
      </c>
      <c r="F23">
        <v>71596977</v>
      </c>
      <c r="G23">
        <v>0.7429</v>
      </c>
      <c r="H23">
        <v>506766.10859999998</v>
      </c>
    </row>
    <row r="24" spans="1:10" x14ac:dyDescent="0.25">
      <c r="A24" t="s">
        <v>106</v>
      </c>
      <c r="B24" t="s">
        <v>20</v>
      </c>
      <c r="C24" t="s">
        <v>30</v>
      </c>
      <c r="D24">
        <v>5.33</v>
      </c>
      <c r="E24">
        <v>359749</v>
      </c>
      <c r="F24">
        <v>44601880</v>
      </c>
      <c r="G24">
        <v>8.0999999999999996E-3</v>
      </c>
      <c r="H24">
        <v>4052.6835000000001</v>
      </c>
    </row>
    <row r="25" spans="1:10" x14ac:dyDescent="0.25">
      <c r="A25" t="s">
        <v>108</v>
      </c>
      <c r="B25" t="s">
        <v>17</v>
      </c>
      <c r="C25" t="s">
        <v>30</v>
      </c>
      <c r="D25">
        <v>5.3540000000000001</v>
      </c>
      <c r="E25">
        <v>1542</v>
      </c>
      <c r="F25">
        <v>7809</v>
      </c>
      <c r="G25">
        <v>0.19739999999999999</v>
      </c>
      <c r="H25">
        <v>133612.8357</v>
      </c>
    </row>
    <row r="26" spans="1:10" x14ac:dyDescent="0.25">
      <c r="A26" t="s">
        <v>32</v>
      </c>
    </row>
    <row r="27" spans="1:10" x14ac:dyDescent="0.25">
      <c r="A27" t="s">
        <v>9</v>
      </c>
      <c r="B27" t="s">
        <v>11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</row>
    <row r="28" spans="1:10" x14ac:dyDescent="0.25">
      <c r="A28" t="s">
        <v>104</v>
      </c>
      <c r="B28" t="s">
        <v>17</v>
      </c>
      <c r="C28" t="s">
        <v>30</v>
      </c>
      <c r="D28">
        <v>6.1589999999999998</v>
      </c>
      <c r="E28">
        <v>2431</v>
      </c>
      <c r="F28">
        <v>1101</v>
      </c>
      <c r="G28">
        <v>2.2077</v>
      </c>
      <c r="H28">
        <v>759651.53150000004</v>
      </c>
    </row>
    <row r="29" spans="1:10" x14ac:dyDescent="0.25">
      <c r="A29" t="s">
        <v>105</v>
      </c>
      <c r="B29" t="s">
        <v>20</v>
      </c>
      <c r="C29" t="s">
        <v>30</v>
      </c>
      <c r="D29">
        <v>6.1550000000000002</v>
      </c>
      <c r="E29">
        <v>50923149</v>
      </c>
      <c r="F29">
        <v>71596977</v>
      </c>
      <c r="G29">
        <v>0.71120000000000005</v>
      </c>
      <c r="H29">
        <v>243765.38759999999</v>
      </c>
    </row>
    <row r="30" spans="1:10" x14ac:dyDescent="0.25">
      <c r="A30" t="s">
        <v>106</v>
      </c>
      <c r="B30" t="s">
        <v>20</v>
      </c>
      <c r="C30" t="s">
        <v>30</v>
      </c>
      <c r="D30">
        <v>6.1539999999999999</v>
      </c>
      <c r="E30">
        <v>37720</v>
      </c>
      <c r="F30">
        <v>44601880</v>
      </c>
      <c r="G30">
        <v>8.0000000000000004E-4</v>
      </c>
      <c r="H30">
        <v>0</v>
      </c>
    </row>
    <row r="31" spans="1:10" x14ac:dyDescent="0.25">
      <c r="A31" t="s">
        <v>108</v>
      </c>
      <c r="B31" t="s">
        <v>17</v>
      </c>
      <c r="C31" t="s">
        <v>30</v>
      </c>
      <c r="D31">
        <v>6.1689999999999996</v>
      </c>
      <c r="E31">
        <v>4298</v>
      </c>
      <c r="F31">
        <v>7809</v>
      </c>
      <c r="G31">
        <v>0.5504</v>
      </c>
      <c r="H31">
        <v>188310.484</v>
      </c>
    </row>
    <row r="32" spans="1:10" x14ac:dyDescent="0.25">
      <c r="A32" t="s">
        <v>33</v>
      </c>
    </row>
    <row r="33" spans="1:10" x14ac:dyDescent="0.25">
      <c r="A33" t="s">
        <v>9</v>
      </c>
      <c r="B33" t="s">
        <v>11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</row>
    <row r="34" spans="1:10" x14ac:dyDescent="0.25">
      <c r="A34" t="s">
        <v>104</v>
      </c>
      <c r="B34" t="s">
        <v>17</v>
      </c>
      <c r="C34" t="s">
        <v>30</v>
      </c>
      <c r="D34">
        <v>7.4749999999999996</v>
      </c>
      <c r="E34">
        <v>4797</v>
      </c>
      <c r="F34">
        <v>1101</v>
      </c>
      <c r="G34">
        <v>4.3559000000000001</v>
      </c>
      <c r="H34">
        <v>256519.21890000001</v>
      </c>
    </row>
    <row r="35" spans="1:10" x14ac:dyDescent="0.25">
      <c r="A35" t="s">
        <v>105</v>
      </c>
      <c r="B35" t="s">
        <v>20</v>
      </c>
      <c r="C35" t="s">
        <v>30</v>
      </c>
      <c r="D35">
        <v>7.2649999999999997</v>
      </c>
      <c r="E35">
        <v>401700846</v>
      </c>
      <c r="F35">
        <v>71596977</v>
      </c>
      <c r="G35">
        <v>5.6105999999999998</v>
      </c>
      <c r="H35">
        <v>332747.27360000001</v>
      </c>
    </row>
    <row r="36" spans="1:10" x14ac:dyDescent="0.25">
      <c r="A36" t="s">
        <v>106</v>
      </c>
      <c r="B36" t="s">
        <v>20</v>
      </c>
      <c r="C36" t="s">
        <v>30</v>
      </c>
      <c r="D36">
        <v>7.2359999999999998</v>
      </c>
      <c r="E36">
        <v>21580865</v>
      </c>
      <c r="F36">
        <v>44601880</v>
      </c>
      <c r="G36">
        <v>0.4839</v>
      </c>
      <c r="H36">
        <v>21264.584200000001</v>
      </c>
    </row>
    <row r="37" spans="1:10" x14ac:dyDescent="0.25">
      <c r="A37" t="s">
        <v>108</v>
      </c>
      <c r="B37" t="s">
        <v>17</v>
      </c>
      <c r="C37" t="s">
        <v>30</v>
      </c>
      <c r="D37">
        <v>7.4589999999999996</v>
      </c>
      <c r="E37">
        <v>4628</v>
      </c>
      <c r="F37">
        <v>7809</v>
      </c>
      <c r="G37">
        <v>0.59260000000000002</v>
      </c>
      <c r="H37">
        <v>27872.243999999999</v>
      </c>
    </row>
    <row r="38" spans="1:10" x14ac:dyDescent="0.25">
      <c r="A38" t="s">
        <v>34</v>
      </c>
    </row>
    <row r="39" spans="1:10" x14ac:dyDescent="0.25">
      <c r="A39" t="s">
        <v>9</v>
      </c>
      <c r="B39" t="s">
        <v>11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29</v>
      </c>
    </row>
    <row r="40" spans="1:10" x14ac:dyDescent="0.25">
      <c r="A40" t="s">
        <v>104</v>
      </c>
      <c r="B40" t="s">
        <v>17</v>
      </c>
      <c r="C40" t="s">
        <v>30</v>
      </c>
      <c r="D40">
        <v>9.0150000000000006</v>
      </c>
      <c r="E40">
        <v>3492</v>
      </c>
      <c r="F40">
        <v>1101</v>
      </c>
      <c r="G40">
        <v>3.1711</v>
      </c>
      <c r="H40">
        <v>541961.00659999996</v>
      </c>
    </row>
    <row r="41" spans="1:10" x14ac:dyDescent="0.25">
      <c r="A41" t="s">
        <v>105</v>
      </c>
      <c r="B41" t="s">
        <v>20</v>
      </c>
      <c r="C41" t="s">
        <v>30</v>
      </c>
      <c r="D41">
        <v>8.7669999999999995</v>
      </c>
      <c r="E41">
        <v>67867534</v>
      </c>
      <c r="F41">
        <v>71596977</v>
      </c>
      <c r="G41">
        <v>0.94789999999999996</v>
      </c>
      <c r="H41">
        <v>161135.6537</v>
      </c>
    </row>
    <row r="42" spans="1:10" x14ac:dyDescent="0.25">
      <c r="A42" t="s">
        <v>106</v>
      </c>
      <c r="B42" t="s">
        <v>20</v>
      </c>
      <c r="C42" t="s">
        <v>30</v>
      </c>
      <c r="D42">
        <v>8.7370000000000001</v>
      </c>
      <c r="E42">
        <v>34591687</v>
      </c>
      <c r="F42">
        <v>44601880</v>
      </c>
      <c r="G42">
        <v>0.77559999999999996</v>
      </c>
      <c r="H42">
        <v>131614.1244</v>
      </c>
    </row>
    <row r="43" spans="1:10" x14ac:dyDescent="0.25">
      <c r="A43" t="s">
        <v>108</v>
      </c>
      <c r="B43" t="s">
        <v>17</v>
      </c>
      <c r="C43" t="s">
        <v>30</v>
      </c>
      <c r="D43">
        <v>9.0380000000000003</v>
      </c>
      <c r="E43">
        <v>1070</v>
      </c>
      <c r="F43">
        <v>7809</v>
      </c>
      <c r="G43">
        <v>0.13700000000000001</v>
      </c>
      <c r="H43">
        <v>22232.500400000001</v>
      </c>
    </row>
    <row r="44" spans="1:10" x14ac:dyDescent="0.25">
      <c r="A44" t="s">
        <v>35</v>
      </c>
    </row>
    <row r="45" spans="1:10" x14ac:dyDescent="0.25">
      <c r="A45" t="s">
        <v>9</v>
      </c>
      <c r="B45" t="s">
        <v>11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 t="s">
        <v>28</v>
      </c>
      <c r="J45" t="s">
        <v>29</v>
      </c>
    </row>
    <row r="46" spans="1:10" x14ac:dyDescent="0.25">
      <c r="A46" t="s">
        <v>104</v>
      </c>
      <c r="B46" t="s">
        <v>17</v>
      </c>
      <c r="C46" t="s">
        <v>30</v>
      </c>
      <c r="D46">
        <v>11.147</v>
      </c>
      <c r="E46">
        <v>4517</v>
      </c>
      <c r="F46">
        <v>1101</v>
      </c>
      <c r="G46">
        <v>4.1024000000000003</v>
      </c>
      <c r="H46">
        <v>235304.63020000001</v>
      </c>
    </row>
    <row r="47" spans="1:10" x14ac:dyDescent="0.25">
      <c r="A47" t="s">
        <v>105</v>
      </c>
      <c r="B47" t="s">
        <v>20</v>
      </c>
      <c r="C47" t="s">
        <v>30</v>
      </c>
      <c r="D47">
        <v>10.811999999999999</v>
      </c>
      <c r="E47">
        <v>474223244</v>
      </c>
      <c r="F47">
        <v>71596977</v>
      </c>
      <c r="G47">
        <v>6.6234999999999999</v>
      </c>
      <c r="H47">
        <v>384079.63549999997</v>
      </c>
    </row>
    <row r="48" spans="1:10" x14ac:dyDescent="0.25">
      <c r="A48" t="s">
        <v>106</v>
      </c>
      <c r="B48" t="s">
        <v>20</v>
      </c>
      <c r="C48" t="s">
        <v>30</v>
      </c>
      <c r="D48">
        <v>10.776</v>
      </c>
      <c r="E48">
        <v>305955176</v>
      </c>
      <c r="F48">
        <v>44601880</v>
      </c>
      <c r="G48">
        <v>6.8597000000000001</v>
      </c>
      <c r="H48">
        <v>398017.37939999998</v>
      </c>
    </row>
    <row r="49" spans="1:10" x14ac:dyDescent="0.25">
      <c r="A49" t="s">
        <v>108</v>
      </c>
      <c r="B49" t="s">
        <v>17</v>
      </c>
      <c r="C49" t="s">
        <v>30</v>
      </c>
      <c r="D49">
        <v>11.116</v>
      </c>
      <c r="E49">
        <v>3624</v>
      </c>
      <c r="F49">
        <v>7809</v>
      </c>
      <c r="G49">
        <v>0.46410000000000001</v>
      </c>
      <c r="H49">
        <v>20596.956099999999</v>
      </c>
    </row>
    <row r="50" spans="1:10" x14ac:dyDescent="0.25">
      <c r="A50" t="s">
        <v>36</v>
      </c>
    </row>
    <row r="51" spans="1:10" x14ac:dyDescent="0.25">
      <c r="A51" t="s">
        <v>9</v>
      </c>
      <c r="B51" t="s">
        <v>11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</row>
    <row r="52" spans="1:10" x14ac:dyDescent="0.25">
      <c r="A52" t="s">
        <v>104</v>
      </c>
      <c r="B52" t="s">
        <v>17</v>
      </c>
      <c r="C52" t="s">
        <v>30</v>
      </c>
      <c r="D52">
        <v>11.875</v>
      </c>
      <c r="E52">
        <v>15867</v>
      </c>
      <c r="F52">
        <v>1101</v>
      </c>
      <c r="G52">
        <v>14.409599999999999</v>
      </c>
      <c r="H52">
        <v>2917107.2429</v>
      </c>
    </row>
    <row r="53" spans="1:10" x14ac:dyDescent="0.25">
      <c r="A53" t="s">
        <v>105</v>
      </c>
      <c r="B53" t="s">
        <v>20</v>
      </c>
      <c r="C53" t="s">
        <v>30</v>
      </c>
      <c r="D53">
        <v>11.459</v>
      </c>
      <c r="E53">
        <v>79304571</v>
      </c>
      <c r="F53">
        <v>71596977</v>
      </c>
      <c r="G53">
        <v>1.1076999999999999</v>
      </c>
      <c r="H53">
        <v>223302.95300000001</v>
      </c>
    </row>
    <row r="54" spans="1:10" x14ac:dyDescent="0.25">
      <c r="A54" t="s">
        <v>106</v>
      </c>
      <c r="B54" t="s">
        <v>20</v>
      </c>
      <c r="C54" t="s">
        <v>30</v>
      </c>
      <c r="D54">
        <v>12.202</v>
      </c>
      <c r="E54">
        <v>45618</v>
      </c>
      <c r="F54">
        <v>44601880</v>
      </c>
      <c r="G54">
        <v>1E-3</v>
      </c>
      <c r="H54">
        <v>0</v>
      </c>
    </row>
    <row r="55" spans="1:10" x14ac:dyDescent="0.25">
      <c r="A55" t="s">
        <v>108</v>
      </c>
      <c r="B55" t="s">
        <v>17</v>
      </c>
      <c r="C55" t="s">
        <v>30</v>
      </c>
      <c r="D55">
        <v>11.851000000000001</v>
      </c>
      <c r="E55">
        <v>4747</v>
      </c>
      <c r="F55">
        <v>7809</v>
      </c>
      <c r="G55">
        <v>0.60780000000000001</v>
      </c>
      <c r="H55">
        <v>122077.3603</v>
      </c>
    </row>
    <row r="56" spans="1:10" x14ac:dyDescent="0.25">
      <c r="A56" t="s">
        <v>37</v>
      </c>
    </row>
    <row r="57" spans="1:10" x14ac:dyDescent="0.25">
      <c r="A57" t="s">
        <v>9</v>
      </c>
      <c r="B57" t="s">
        <v>11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29</v>
      </c>
    </row>
    <row r="58" spans="1:10" x14ac:dyDescent="0.25">
      <c r="A58" t="s">
        <v>104</v>
      </c>
      <c r="B58" t="s">
        <v>17</v>
      </c>
      <c r="C58" t="s">
        <v>30</v>
      </c>
      <c r="D58">
        <v>13.871</v>
      </c>
      <c r="E58">
        <v>4544</v>
      </c>
      <c r="F58">
        <v>1101</v>
      </c>
      <c r="G58">
        <v>4.1271000000000004</v>
      </c>
      <c r="H58">
        <v>1069712.4568</v>
      </c>
    </row>
    <row r="59" spans="1:10" x14ac:dyDescent="0.25">
      <c r="A59" t="s">
        <v>105</v>
      </c>
      <c r="B59" t="s">
        <v>20</v>
      </c>
      <c r="C59" t="s">
        <v>30</v>
      </c>
      <c r="D59">
        <v>13.423</v>
      </c>
      <c r="E59">
        <v>57049023</v>
      </c>
      <c r="F59">
        <v>71596977</v>
      </c>
      <c r="G59">
        <v>0.79679999999999995</v>
      </c>
      <c r="H59">
        <v>205371.13860000001</v>
      </c>
    </row>
    <row r="60" spans="1:10" x14ac:dyDescent="0.25">
      <c r="A60" t="s">
        <v>106</v>
      </c>
      <c r="B60" t="s">
        <v>20</v>
      </c>
      <c r="C60" t="s">
        <v>30</v>
      </c>
      <c r="D60">
        <v>13.361000000000001</v>
      </c>
      <c r="E60">
        <v>4601133</v>
      </c>
      <c r="F60">
        <v>44601880</v>
      </c>
      <c r="G60">
        <v>0.1032</v>
      </c>
      <c r="H60">
        <v>25339.9764</v>
      </c>
    </row>
    <row r="61" spans="1:10" x14ac:dyDescent="0.25">
      <c r="A61" t="s">
        <v>108</v>
      </c>
      <c r="B61" t="s">
        <v>17</v>
      </c>
      <c r="C61" t="s">
        <v>30</v>
      </c>
      <c r="D61">
        <v>13.505000000000001</v>
      </c>
      <c r="E61">
        <v>10167</v>
      </c>
      <c r="F61">
        <v>7809</v>
      </c>
      <c r="G61">
        <v>1.3019000000000001</v>
      </c>
      <c r="H61">
        <v>336466.1249</v>
      </c>
    </row>
    <row r="62" spans="1:10" x14ac:dyDescent="0.25">
      <c r="A62" t="s">
        <v>38</v>
      </c>
    </row>
    <row r="63" spans="1:10" x14ac:dyDescent="0.25">
      <c r="A63" t="s">
        <v>9</v>
      </c>
      <c r="B63" t="s">
        <v>11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29</v>
      </c>
    </row>
    <row r="64" spans="1:10" x14ac:dyDescent="0.25">
      <c r="A64" t="s">
        <v>104</v>
      </c>
      <c r="B64" t="s">
        <v>17</v>
      </c>
      <c r="C64" t="s">
        <v>30</v>
      </c>
      <c r="D64">
        <v>14.319000000000001</v>
      </c>
      <c r="E64">
        <v>4566</v>
      </c>
      <c r="F64">
        <v>1101</v>
      </c>
      <c r="G64">
        <v>4.1468999999999996</v>
      </c>
      <c r="H64">
        <v>939251.72010000004</v>
      </c>
    </row>
    <row r="65" spans="1:10" x14ac:dyDescent="0.25">
      <c r="A65" t="s">
        <v>105</v>
      </c>
      <c r="B65" t="s">
        <v>20</v>
      </c>
      <c r="C65" t="s">
        <v>30</v>
      </c>
      <c r="D65">
        <v>14.276</v>
      </c>
      <c r="E65">
        <v>69985754</v>
      </c>
      <c r="F65">
        <v>71596977</v>
      </c>
      <c r="G65">
        <v>0.97750000000000004</v>
      </c>
      <c r="H65">
        <v>220629.54269999999</v>
      </c>
    </row>
    <row r="66" spans="1:10" x14ac:dyDescent="0.25">
      <c r="A66" t="s">
        <v>106</v>
      </c>
      <c r="B66" t="s">
        <v>20</v>
      </c>
      <c r="C66" t="s">
        <v>30</v>
      </c>
      <c r="D66">
        <v>14.007</v>
      </c>
      <c r="E66">
        <v>1933</v>
      </c>
      <c r="F66">
        <v>44601880</v>
      </c>
      <c r="G66">
        <v>0</v>
      </c>
      <c r="H66">
        <v>0</v>
      </c>
    </row>
    <row r="67" spans="1:10" x14ac:dyDescent="0.25">
      <c r="A67" t="s">
        <v>108</v>
      </c>
      <c r="B67" t="s">
        <v>17</v>
      </c>
      <c r="C67" t="s">
        <v>30</v>
      </c>
      <c r="D67">
        <v>14.302</v>
      </c>
      <c r="E67">
        <v>4482</v>
      </c>
      <c r="F67">
        <v>7809</v>
      </c>
      <c r="G67">
        <v>0.57389999999999997</v>
      </c>
      <c r="H67">
        <v>129117.5036</v>
      </c>
    </row>
    <row r="68" spans="1:10" x14ac:dyDescent="0.25">
      <c r="A68" t="s">
        <v>39</v>
      </c>
    </row>
    <row r="69" spans="1:10" x14ac:dyDescent="0.25">
      <c r="A69" t="s">
        <v>9</v>
      </c>
      <c r="B69" t="s">
        <v>11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29</v>
      </c>
    </row>
    <row r="70" spans="1:10" x14ac:dyDescent="0.25">
      <c r="A70" t="s">
        <v>104</v>
      </c>
      <c r="B70" t="s">
        <v>17</v>
      </c>
      <c r="C70" t="s">
        <v>30</v>
      </c>
      <c r="D70">
        <v>16.821000000000002</v>
      </c>
      <c r="E70">
        <v>1677</v>
      </c>
      <c r="F70">
        <v>1101</v>
      </c>
      <c r="G70">
        <v>1.5233000000000001</v>
      </c>
      <c r="H70">
        <v>309830.37689999997</v>
      </c>
    </row>
    <row r="71" spans="1:10" x14ac:dyDescent="0.25">
      <c r="A71" t="s">
        <v>105</v>
      </c>
      <c r="B71" t="s">
        <v>20</v>
      </c>
      <c r="C71" t="s">
        <v>30</v>
      </c>
      <c r="D71">
        <v>16.783000000000001</v>
      </c>
      <c r="E71">
        <v>882637945</v>
      </c>
      <c r="F71">
        <v>71596977</v>
      </c>
      <c r="G71">
        <v>12.3279</v>
      </c>
      <c r="H71">
        <v>2534226.9446999999</v>
      </c>
    </row>
    <row r="72" spans="1:10" x14ac:dyDescent="0.25">
      <c r="A72" t="s">
        <v>106</v>
      </c>
      <c r="B72" t="s">
        <v>20</v>
      </c>
      <c r="C72" t="s">
        <v>30</v>
      </c>
      <c r="D72">
        <v>16.923999999999999</v>
      </c>
      <c r="E72">
        <v>1547366727</v>
      </c>
      <c r="F72">
        <v>44601880</v>
      </c>
      <c r="G72">
        <v>34.692900000000002</v>
      </c>
      <c r="H72">
        <v>7138624.5861999998</v>
      </c>
    </row>
    <row r="73" spans="1:10" x14ac:dyDescent="0.25">
      <c r="A73" t="s">
        <v>108</v>
      </c>
      <c r="B73" t="s">
        <v>17</v>
      </c>
      <c r="C73" t="s">
        <v>30</v>
      </c>
      <c r="D73">
        <v>16.817</v>
      </c>
      <c r="E73">
        <v>4703</v>
      </c>
      <c r="F73">
        <v>7809</v>
      </c>
      <c r="G73">
        <v>0.60219999999999996</v>
      </c>
      <c r="H73">
        <v>120201.0644</v>
      </c>
    </row>
    <row r="74" spans="1:10" x14ac:dyDescent="0.25">
      <c r="A74" t="s">
        <v>40</v>
      </c>
    </row>
    <row r="75" spans="1:10" x14ac:dyDescent="0.25">
      <c r="A75" t="s">
        <v>9</v>
      </c>
      <c r="B75" t="s">
        <v>11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29</v>
      </c>
    </row>
    <row r="76" spans="1:10" x14ac:dyDescent="0.25">
      <c r="A76" t="s">
        <v>104</v>
      </c>
      <c r="B76" t="s">
        <v>17</v>
      </c>
      <c r="C76" t="s">
        <v>30</v>
      </c>
      <c r="D76">
        <v>17.428999999999998</v>
      </c>
      <c r="E76">
        <v>741</v>
      </c>
      <c r="F76">
        <v>1101</v>
      </c>
      <c r="G76">
        <v>0.67269999999999996</v>
      </c>
      <c r="H76">
        <v>142998.70929999999</v>
      </c>
    </row>
    <row r="77" spans="1:10" x14ac:dyDescent="0.25">
      <c r="A77" t="s">
        <v>105</v>
      </c>
      <c r="B77" t="s">
        <v>20</v>
      </c>
      <c r="C77" t="s">
        <v>30</v>
      </c>
      <c r="D77">
        <v>17.350999999999999</v>
      </c>
      <c r="E77">
        <v>74764985</v>
      </c>
      <c r="F77">
        <v>71596977</v>
      </c>
      <c r="G77">
        <v>1.0442</v>
      </c>
      <c r="H77">
        <v>223106.9632</v>
      </c>
    </row>
    <row r="78" spans="1:10" x14ac:dyDescent="0.25">
      <c r="A78" t="s">
        <v>106</v>
      </c>
      <c r="B78" t="s">
        <v>20</v>
      </c>
      <c r="C78" t="s">
        <v>30</v>
      </c>
      <c r="D78">
        <v>17.527000000000001</v>
      </c>
      <c r="E78">
        <v>259495195</v>
      </c>
      <c r="F78">
        <v>44601880</v>
      </c>
      <c r="G78">
        <v>5.8179999999999996</v>
      </c>
      <c r="H78">
        <v>1252439.9317000001</v>
      </c>
    </row>
    <row r="79" spans="1:10" x14ac:dyDescent="0.25">
      <c r="A79" t="s">
        <v>108</v>
      </c>
      <c r="B79" t="s">
        <v>17</v>
      </c>
      <c r="C79" t="s">
        <v>30</v>
      </c>
      <c r="D79">
        <v>17.399000000000001</v>
      </c>
      <c r="E79">
        <v>1093</v>
      </c>
      <c r="F79">
        <v>7809</v>
      </c>
      <c r="G79">
        <v>0.1399</v>
      </c>
      <c r="H79">
        <v>28115.930100000001</v>
      </c>
    </row>
    <row r="80" spans="1:10" x14ac:dyDescent="0.25">
      <c r="A80" t="s">
        <v>41</v>
      </c>
    </row>
    <row r="81" spans="1:10" x14ac:dyDescent="0.25">
      <c r="A81" t="s">
        <v>9</v>
      </c>
      <c r="B81" t="s">
        <v>11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29</v>
      </c>
    </row>
    <row r="82" spans="1:10" x14ac:dyDescent="0.25">
      <c r="A82" t="s">
        <v>104</v>
      </c>
      <c r="B82" t="s">
        <v>17</v>
      </c>
      <c r="C82" t="s">
        <v>30</v>
      </c>
      <c r="D82">
        <v>20.61</v>
      </c>
      <c r="E82">
        <v>1732</v>
      </c>
      <c r="F82">
        <v>1101</v>
      </c>
      <c r="G82">
        <v>1.5726</v>
      </c>
      <c r="H82">
        <v>68505.445099999997</v>
      </c>
    </row>
    <row r="83" spans="1:10" x14ac:dyDescent="0.25">
      <c r="A83" t="s">
        <v>105</v>
      </c>
      <c r="B83" t="s">
        <v>20</v>
      </c>
      <c r="C83" t="s">
        <v>30</v>
      </c>
      <c r="D83">
        <v>20.565000000000001</v>
      </c>
      <c r="E83">
        <v>316252305</v>
      </c>
      <c r="F83">
        <v>71596977</v>
      </c>
      <c r="G83">
        <v>4.4170999999999996</v>
      </c>
      <c r="H83">
        <v>193919.91699999999</v>
      </c>
    </row>
    <row r="84" spans="1:10" x14ac:dyDescent="0.25">
      <c r="A84" t="s">
        <v>106</v>
      </c>
      <c r="B84" t="s">
        <v>20</v>
      </c>
      <c r="C84" t="s">
        <v>30</v>
      </c>
      <c r="D84">
        <v>20.527000000000001</v>
      </c>
      <c r="E84">
        <v>22223228</v>
      </c>
      <c r="F84">
        <v>44601880</v>
      </c>
      <c r="G84">
        <v>0.49830000000000002</v>
      </c>
      <c r="H84">
        <v>21140.5952</v>
      </c>
    </row>
    <row r="85" spans="1:10" x14ac:dyDescent="0.25">
      <c r="A85" t="s">
        <v>108</v>
      </c>
      <c r="B85" t="s">
        <v>17</v>
      </c>
      <c r="C85" t="s">
        <v>30</v>
      </c>
      <c r="D85">
        <v>20.6</v>
      </c>
      <c r="E85">
        <v>2767</v>
      </c>
      <c r="F85">
        <v>7809</v>
      </c>
      <c r="G85">
        <v>0.3543</v>
      </c>
      <c r="H85">
        <v>14793.909</v>
      </c>
    </row>
    <row r="86" spans="1:10" x14ac:dyDescent="0.25">
      <c r="A86" t="s">
        <v>42</v>
      </c>
    </row>
    <row r="87" spans="1:10" x14ac:dyDescent="0.25">
      <c r="A87" t="s">
        <v>9</v>
      </c>
      <c r="B87" t="s">
        <v>11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28</v>
      </c>
      <c r="J87" t="s">
        <v>29</v>
      </c>
    </row>
    <row r="88" spans="1:10" x14ac:dyDescent="0.25">
      <c r="A88" t="s">
        <v>104</v>
      </c>
      <c r="B88" t="s">
        <v>17</v>
      </c>
      <c r="C88" t="s">
        <v>30</v>
      </c>
      <c r="D88">
        <v>21.350999999999999</v>
      </c>
      <c r="E88">
        <v>2705</v>
      </c>
      <c r="F88">
        <v>1101</v>
      </c>
      <c r="G88">
        <v>2.4561999999999999</v>
      </c>
      <c r="H88">
        <v>585407.52560000005</v>
      </c>
    </row>
    <row r="89" spans="1:10" x14ac:dyDescent="0.25">
      <c r="A89" t="s">
        <v>105</v>
      </c>
      <c r="B89" t="s">
        <v>20</v>
      </c>
      <c r="C89" t="s">
        <v>30</v>
      </c>
      <c r="D89">
        <v>21.292000000000002</v>
      </c>
      <c r="E89">
        <v>100051171</v>
      </c>
      <c r="F89">
        <v>71596977</v>
      </c>
      <c r="G89">
        <v>1.3974</v>
      </c>
      <c r="H89">
        <v>332647.35600000003</v>
      </c>
    </row>
    <row r="90" spans="1:10" x14ac:dyDescent="0.25">
      <c r="A90" t="s">
        <v>106</v>
      </c>
      <c r="B90" t="s">
        <v>20</v>
      </c>
      <c r="C90" t="s">
        <v>30</v>
      </c>
      <c r="D90">
        <v>20.989000000000001</v>
      </c>
      <c r="E90">
        <v>77</v>
      </c>
      <c r="F90">
        <v>44601880</v>
      </c>
      <c r="G90">
        <v>0</v>
      </c>
      <c r="H90">
        <v>0</v>
      </c>
    </row>
    <row r="91" spans="1:10" x14ac:dyDescent="0.25">
      <c r="A91" t="s">
        <v>108</v>
      </c>
      <c r="B91" t="s">
        <v>17</v>
      </c>
      <c r="C91" t="s">
        <v>30</v>
      </c>
      <c r="D91">
        <v>21.344000000000001</v>
      </c>
      <c r="E91">
        <v>22797</v>
      </c>
      <c r="F91">
        <v>7809</v>
      </c>
      <c r="G91">
        <v>2.9192</v>
      </c>
      <c r="H91">
        <v>695922.9534</v>
      </c>
    </row>
    <row r="92" spans="1:10" x14ac:dyDescent="0.25">
      <c r="A92" t="s">
        <v>43</v>
      </c>
    </row>
    <row r="93" spans="1:10" x14ac:dyDescent="0.25">
      <c r="A93" t="s">
        <v>9</v>
      </c>
      <c r="B93" t="s">
        <v>11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27</v>
      </c>
      <c r="I93" t="s">
        <v>28</v>
      </c>
      <c r="J93" t="s">
        <v>29</v>
      </c>
    </row>
    <row r="94" spans="1:10" x14ac:dyDescent="0.25">
      <c r="A94" t="s">
        <v>104</v>
      </c>
      <c r="B94" t="s">
        <v>17</v>
      </c>
      <c r="C94" t="s">
        <v>30</v>
      </c>
      <c r="D94">
        <v>25.128</v>
      </c>
      <c r="E94">
        <v>1272</v>
      </c>
      <c r="F94">
        <v>1101</v>
      </c>
      <c r="G94">
        <v>1.1551</v>
      </c>
      <c r="H94">
        <v>183102.70540000001</v>
      </c>
    </row>
    <row r="95" spans="1:10" x14ac:dyDescent="0.25">
      <c r="A95" t="s">
        <v>105</v>
      </c>
      <c r="B95" t="s">
        <v>20</v>
      </c>
      <c r="C95" t="s">
        <v>30</v>
      </c>
      <c r="D95">
        <v>25.015000000000001</v>
      </c>
      <c r="E95">
        <v>223523703</v>
      </c>
      <c r="F95">
        <v>71596977</v>
      </c>
      <c r="G95">
        <v>3.1219999999999999</v>
      </c>
      <c r="H95">
        <v>504430.60200000001</v>
      </c>
    </row>
    <row r="96" spans="1:10" x14ac:dyDescent="0.25">
      <c r="A96" t="s">
        <v>106</v>
      </c>
      <c r="B96" t="s">
        <v>20</v>
      </c>
      <c r="C96" t="s">
        <v>30</v>
      </c>
      <c r="D96">
        <v>25.390999999999998</v>
      </c>
      <c r="E96">
        <v>129652456</v>
      </c>
      <c r="F96">
        <v>44601880</v>
      </c>
      <c r="G96">
        <v>2.9068999999999998</v>
      </c>
      <c r="H96">
        <v>469291.99709999998</v>
      </c>
    </row>
    <row r="97" spans="1:10" x14ac:dyDescent="0.25">
      <c r="A97" t="s">
        <v>108</v>
      </c>
      <c r="B97" t="s">
        <v>17</v>
      </c>
      <c r="C97" t="s">
        <v>30</v>
      </c>
      <c r="D97">
        <v>25.059000000000001</v>
      </c>
      <c r="E97">
        <v>3871</v>
      </c>
      <c r="F97">
        <v>7809</v>
      </c>
      <c r="G97">
        <v>0.49569999999999997</v>
      </c>
      <c r="H97">
        <v>75379.358399999997</v>
      </c>
    </row>
    <row r="98" spans="1:10" x14ac:dyDescent="0.25">
      <c r="A98" t="s">
        <v>44</v>
      </c>
    </row>
    <row r="99" spans="1:10" x14ac:dyDescent="0.25">
      <c r="A99" t="s">
        <v>9</v>
      </c>
      <c r="B99" t="s">
        <v>11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28</v>
      </c>
      <c r="J99" t="s">
        <v>29</v>
      </c>
    </row>
    <row r="100" spans="1:10" x14ac:dyDescent="0.25">
      <c r="A100" t="s">
        <v>104</v>
      </c>
      <c r="B100" t="s">
        <v>17</v>
      </c>
      <c r="C100" t="s">
        <v>30</v>
      </c>
      <c r="D100">
        <v>25.545000000000002</v>
      </c>
      <c r="E100">
        <v>3971</v>
      </c>
      <c r="F100">
        <v>1101</v>
      </c>
      <c r="G100">
        <v>3.6061999999999999</v>
      </c>
      <c r="H100">
        <v>912632.12620000006</v>
      </c>
    </row>
    <row r="101" spans="1:10" x14ac:dyDescent="0.25">
      <c r="A101" t="s">
        <v>105</v>
      </c>
      <c r="B101" t="s">
        <v>20</v>
      </c>
      <c r="C101" t="s">
        <v>30</v>
      </c>
      <c r="D101">
        <v>25.501000000000001</v>
      </c>
      <c r="E101">
        <v>195723223</v>
      </c>
      <c r="F101">
        <v>71596977</v>
      </c>
      <c r="G101">
        <v>2.7336999999999998</v>
      </c>
      <c r="H101">
        <v>690180.50529999996</v>
      </c>
    </row>
    <row r="102" spans="1:10" x14ac:dyDescent="0.25">
      <c r="A102" t="s">
        <v>106</v>
      </c>
      <c r="B102" t="s">
        <v>20</v>
      </c>
      <c r="C102" t="s">
        <v>30</v>
      </c>
      <c r="D102">
        <v>25.931000000000001</v>
      </c>
      <c r="E102">
        <v>471054515</v>
      </c>
      <c r="F102">
        <v>44601880</v>
      </c>
      <c r="G102">
        <v>10.561299999999999</v>
      </c>
      <c r="H102">
        <v>2685949.5817</v>
      </c>
    </row>
    <row r="103" spans="1:10" x14ac:dyDescent="0.25">
      <c r="A103" t="s">
        <v>108</v>
      </c>
      <c r="B103" t="s">
        <v>17</v>
      </c>
      <c r="C103" t="s">
        <v>30</v>
      </c>
      <c r="D103">
        <v>25.535</v>
      </c>
      <c r="E103">
        <v>3258</v>
      </c>
      <c r="F103">
        <v>7809</v>
      </c>
      <c r="G103">
        <v>0.41720000000000002</v>
      </c>
      <c r="H103">
        <v>99566.081999999995</v>
      </c>
    </row>
    <row r="104" spans="1:10" x14ac:dyDescent="0.25">
      <c r="A104" t="s">
        <v>45</v>
      </c>
    </row>
    <row r="105" spans="1:10" x14ac:dyDescent="0.25">
      <c r="A105" t="s">
        <v>9</v>
      </c>
      <c r="B105" t="s">
        <v>11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 t="s">
        <v>28</v>
      </c>
      <c r="J105" t="s">
        <v>29</v>
      </c>
    </row>
    <row r="106" spans="1:10" x14ac:dyDescent="0.25">
      <c r="A106" t="s">
        <v>104</v>
      </c>
      <c r="B106" t="s">
        <v>17</v>
      </c>
      <c r="C106" t="s">
        <v>30</v>
      </c>
      <c r="D106">
        <v>26.728999999999999</v>
      </c>
      <c r="E106">
        <v>2678</v>
      </c>
      <c r="F106">
        <v>1101</v>
      </c>
      <c r="G106">
        <v>2.4323999999999999</v>
      </c>
      <c r="H106">
        <v>258810.00599999999</v>
      </c>
    </row>
    <row r="107" spans="1:10" x14ac:dyDescent="0.25">
      <c r="A107" t="s">
        <v>105</v>
      </c>
      <c r="B107" t="s">
        <v>20</v>
      </c>
      <c r="C107" t="s">
        <v>30</v>
      </c>
      <c r="D107">
        <v>26.713999999999999</v>
      </c>
      <c r="E107">
        <v>47009171</v>
      </c>
      <c r="F107">
        <v>71596977</v>
      </c>
      <c r="G107">
        <v>0.65659999999999996</v>
      </c>
      <c r="H107">
        <v>70113.213799999998</v>
      </c>
    </row>
    <row r="108" spans="1:10" x14ac:dyDescent="0.25">
      <c r="A108" t="s">
        <v>106</v>
      </c>
      <c r="B108" t="s">
        <v>20</v>
      </c>
      <c r="C108" t="s">
        <v>30</v>
      </c>
      <c r="D108">
        <v>26.83</v>
      </c>
      <c r="E108">
        <v>-201729</v>
      </c>
      <c r="F108">
        <v>44601880</v>
      </c>
      <c r="G108">
        <v>-4.4999999999999997E-3</v>
      </c>
      <c r="H108">
        <v>0</v>
      </c>
    </row>
    <row r="109" spans="1:10" x14ac:dyDescent="0.25">
      <c r="A109" t="s">
        <v>108</v>
      </c>
      <c r="B109" t="s">
        <v>17</v>
      </c>
      <c r="C109" t="s">
        <v>30</v>
      </c>
      <c r="D109">
        <v>26.873999999999999</v>
      </c>
      <c r="E109">
        <v>24027</v>
      </c>
      <c r="F109">
        <v>7809</v>
      </c>
      <c r="G109">
        <v>3.0766</v>
      </c>
      <c r="H109">
        <v>327260.94530000002</v>
      </c>
    </row>
    <row r="110" spans="1:10" x14ac:dyDescent="0.25">
      <c r="A110" t="s">
        <v>46</v>
      </c>
    </row>
    <row r="111" spans="1:10" x14ac:dyDescent="0.25">
      <c r="A111" t="s">
        <v>9</v>
      </c>
      <c r="B111" t="s">
        <v>11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27</v>
      </c>
      <c r="I111" t="s">
        <v>28</v>
      </c>
      <c r="J111" t="s">
        <v>29</v>
      </c>
    </row>
    <row r="112" spans="1:10" x14ac:dyDescent="0.25">
      <c r="A112" t="s">
        <v>104</v>
      </c>
      <c r="B112" t="s">
        <v>17</v>
      </c>
      <c r="C112" t="s">
        <v>30</v>
      </c>
      <c r="D112">
        <v>26.997</v>
      </c>
      <c r="E112">
        <v>5768</v>
      </c>
      <c r="F112">
        <v>1101</v>
      </c>
      <c r="G112">
        <v>5.2382</v>
      </c>
      <c r="H112">
        <v>823597.33239999996</v>
      </c>
    </row>
    <row r="113" spans="1:10" x14ac:dyDescent="0.25">
      <c r="A113" t="s">
        <v>105</v>
      </c>
      <c r="B113" t="s">
        <v>20</v>
      </c>
      <c r="C113" t="s">
        <v>30</v>
      </c>
      <c r="D113">
        <v>26.939</v>
      </c>
      <c r="E113">
        <v>108835959</v>
      </c>
      <c r="F113">
        <v>71596977</v>
      </c>
      <c r="G113">
        <v>1.5201</v>
      </c>
      <c r="H113">
        <v>238943.08720000001</v>
      </c>
    </row>
    <row r="114" spans="1:10" x14ac:dyDescent="0.25">
      <c r="A114" t="s">
        <v>106</v>
      </c>
      <c r="B114" t="s">
        <v>20</v>
      </c>
      <c r="C114" t="s">
        <v>30</v>
      </c>
      <c r="D114">
        <v>26.798999999999999</v>
      </c>
      <c r="E114">
        <v>-2228969</v>
      </c>
      <c r="F114">
        <v>44601880</v>
      </c>
      <c r="G114">
        <v>-0.05</v>
      </c>
      <c r="H114">
        <v>0</v>
      </c>
    </row>
    <row r="115" spans="1:10" x14ac:dyDescent="0.25">
      <c r="A115" t="s">
        <v>108</v>
      </c>
      <c r="B115" t="s">
        <v>17</v>
      </c>
      <c r="C115" t="s">
        <v>30</v>
      </c>
      <c r="D115">
        <v>26.975000000000001</v>
      </c>
      <c r="E115">
        <v>1555</v>
      </c>
      <c r="F115">
        <v>7809</v>
      </c>
      <c r="G115">
        <v>0.1991</v>
      </c>
      <c r="H115">
        <v>31215.144899999999</v>
      </c>
    </row>
    <row r="116" spans="1:10" x14ac:dyDescent="0.25">
      <c r="A116" t="s">
        <v>47</v>
      </c>
    </row>
    <row r="117" spans="1:10" x14ac:dyDescent="0.25">
      <c r="A117" t="s">
        <v>9</v>
      </c>
      <c r="B117" t="s">
        <v>11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27</v>
      </c>
      <c r="I117" t="s">
        <v>28</v>
      </c>
      <c r="J117" t="s">
        <v>29</v>
      </c>
    </row>
    <row r="118" spans="1:10" x14ac:dyDescent="0.25">
      <c r="A118" t="s">
        <v>104</v>
      </c>
      <c r="B118" t="s">
        <v>17</v>
      </c>
      <c r="C118" t="s">
        <v>30</v>
      </c>
      <c r="D118">
        <v>27.683</v>
      </c>
      <c r="E118">
        <v>10317</v>
      </c>
      <c r="F118">
        <v>1101</v>
      </c>
      <c r="G118">
        <v>9.3690999999999995</v>
      </c>
      <c r="H118">
        <v>1506065.8296000001</v>
      </c>
    </row>
    <row r="119" spans="1:10" x14ac:dyDescent="0.25">
      <c r="A119" t="s">
        <v>105</v>
      </c>
      <c r="B119" t="s">
        <v>20</v>
      </c>
      <c r="C119" t="s">
        <v>30</v>
      </c>
      <c r="D119">
        <v>27.588000000000001</v>
      </c>
      <c r="E119">
        <v>110593085</v>
      </c>
      <c r="F119">
        <v>71596977</v>
      </c>
      <c r="G119">
        <v>1.5447</v>
      </c>
      <c r="H119">
        <v>248231.55660000001</v>
      </c>
    </row>
    <row r="120" spans="1:10" x14ac:dyDescent="0.25">
      <c r="A120" t="s">
        <v>106</v>
      </c>
      <c r="B120" t="s">
        <v>20</v>
      </c>
      <c r="C120" t="s">
        <v>30</v>
      </c>
      <c r="D120">
        <v>27.722000000000001</v>
      </c>
      <c r="E120">
        <v>56633653</v>
      </c>
      <c r="F120">
        <v>44601880</v>
      </c>
      <c r="G120">
        <v>1.2698</v>
      </c>
      <c r="H120">
        <v>204039.0471</v>
      </c>
    </row>
    <row r="121" spans="1:10" x14ac:dyDescent="0.25">
      <c r="A121" t="s">
        <v>108</v>
      </c>
      <c r="B121" t="s">
        <v>17</v>
      </c>
      <c r="C121" t="s">
        <v>30</v>
      </c>
      <c r="D121">
        <v>27.678999999999998</v>
      </c>
      <c r="E121">
        <v>4015</v>
      </c>
      <c r="F121">
        <v>7809</v>
      </c>
      <c r="G121">
        <v>0.5141</v>
      </c>
      <c r="H121">
        <v>82562.433900000004</v>
      </c>
    </row>
    <row r="122" spans="1:10" x14ac:dyDescent="0.25">
      <c r="A122" t="s">
        <v>48</v>
      </c>
    </row>
    <row r="123" spans="1:10" x14ac:dyDescent="0.25">
      <c r="A123" t="s">
        <v>9</v>
      </c>
      <c r="B123" t="s">
        <v>11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27</v>
      </c>
      <c r="I123" t="s">
        <v>28</v>
      </c>
      <c r="J123" t="s">
        <v>29</v>
      </c>
    </row>
    <row r="124" spans="1:10" x14ac:dyDescent="0.25">
      <c r="A124" t="s">
        <v>104</v>
      </c>
      <c r="B124" t="s">
        <v>17</v>
      </c>
      <c r="C124" t="s">
        <v>30</v>
      </c>
      <c r="D124">
        <v>29.091999999999999</v>
      </c>
      <c r="E124">
        <v>2500</v>
      </c>
      <c r="F124">
        <v>1101</v>
      </c>
      <c r="G124">
        <v>2.2704</v>
      </c>
      <c r="H124">
        <v>1470915.7235999999</v>
      </c>
    </row>
    <row r="125" spans="1:10" x14ac:dyDescent="0.25">
      <c r="A125" t="s">
        <v>105</v>
      </c>
      <c r="B125" t="s">
        <v>20</v>
      </c>
      <c r="C125" t="s">
        <v>30</v>
      </c>
      <c r="D125">
        <v>29</v>
      </c>
      <c r="E125">
        <v>78406911</v>
      </c>
      <c r="F125">
        <v>71596977</v>
      </c>
      <c r="G125">
        <v>1.0951</v>
      </c>
      <c r="H125">
        <v>710452.04449999996</v>
      </c>
    </row>
    <row r="126" spans="1:10" x14ac:dyDescent="0.25">
      <c r="A126" t="s">
        <v>106</v>
      </c>
      <c r="B126" t="s">
        <v>20</v>
      </c>
      <c r="C126" t="s">
        <v>30</v>
      </c>
      <c r="D126">
        <v>29.228999999999999</v>
      </c>
      <c r="E126">
        <v>284526420</v>
      </c>
      <c r="F126">
        <v>44601880</v>
      </c>
      <c r="G126">
        <v>6.3792</v>
      </c>
      <c r="H126">
        <v>4129403.9155999999</v>
      </c>
    </row>
    <row r="127" spans="1:10" x14ac:dyDescent="0.25">
      <c r="A127" t="s">
        <v>108</v>
      </c>
      <c r="B127" t="s">
        <v>17</v>
      </c>
      <c r="C127" t="s">
        <v>30</v>
      </c>
      <c r="D127">
        <v>29.05</v>
      </c>
      <c r="E127">
        <v>3189</v>
      </c>
      <c r="F127">
        <v>7809</v>
      </c>
      <c r="G127">
        <v>0.4083</v>
      </c>
      <c r="H127">
        <v>266076.76750000002</v>
      </c>
    </row>
    <row r="128" spans="1:10" x14ac:dyDescent="0.25">
      <c r="A128" t="s">
        <v>49</v>
      </c>
    </row>
    <row r="129" spans="1:10" x14ac:dyDescent="0.25">
      <c r="A129" t="s">
        <v>9</v>
      </c>
      <c r="B129" t="s">
        <v>11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 t="s">
        <v>28</v>
      </c>
      <c r="J129" t="s">
        <v>29</v>
      </c>
    </row>
    <row r="130" spans="1:10" x14ac:dyDescent="0.25">
      <c r="A130" t="s">
        <v>104</v>
      </c>
      <c r="B130" t="s">
        <v>17</v>
      </c>
      <c r="C130" t="s">
        <v>30</v>
      </c>
      <c r="D130">
        <v>29.783000000000001</v>
      </c>
      <c r="E130">
        <v>5497</v>
      </c>
      <c r="F130">
        <v>1101</v>
      </c>
      <c r="G130">
        <v>4.992</v>
      </c>
      <c r="H130">
        <v>1492409.6024</v>
      </c>
    </row>
    <row r="131" spans="1:10" x14ac:dyDescent="0.25">
      <c r="A131" t="s">
        <v>105</v>
      </c>
      <c r="B131" t="s">
        <v>20</v>
      </c>
      <c r="C131" t="s">
        <v>30</v>
      </c>
      <c r="D131">
        <v>29.690999999999999</v>
      </c>
      <c r="E131">
        <v>32824623</v>
      </c>
      <c r="F131">
        <v>71596977</v>
      </c>
      <c r="G131">
        <v>0.45850000000000002</v>
      </c>
      <c r="H131">
        <v>137226.171</v>
      </c>
    </row>
    <row r="132" spans="1:10" x14ac:dyDescent="0.25">
      <c r="A132" t="s">
        <v>106</v>
      </c>
      <c r="B132" t="s">
        <v>20</v>
      </c>
      <c r="C132" t="s">
        <v>30</v>
      </c>
      <c r="D132">
        <v>29.818000000000001</v>
      </c>
      <c r="E132">
        <v>56853230</v>
      </c>
      <c r="F132">
        <v>44601880</v>
      </c>
      <c r="G132">
        <v>1.2746999999999999</v>
      </c>
      <c r="H132">
        <v>381214.38459999999</v>
      </c>
    </row>
    <row r="133" spans="1:10" x14ac:dyDescent="0.25">
      <c r="A133" t="s">
        <v>108</v>
      </c>
      <c r="B133" t="s">
        <v>17</v>
      </c>
      <c r="C133" t="s">
        <v>30</v>
      </c>
      <c r="D133">
        <v>29.757999999999999</v>
      </c>
      <c r="E133">
        <v>3657</v>
      </c>
      <c r="F133">
        <v>7809</v>
      </c>
      <c r="G133">
        <v>0.46820000000000001</v>
      </c>
      <c r="H133">
        <v>140146.81469999999</v>
      </c>
    </row>
    <row r="134" spans="1:10" x14ac:dyDescent="0.25">
      <c r="A134" t="s">
        <v>50</v>
      </c>
    </row>
    <row r="135" spans="1:10" x14ac:dyDescent="0.25">
      <c r="A135" t="s">
        <v>9</v>
      </c>
      <c r="B135" t="s">
        <v>11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 t="s">
        <v>28</v>
      </c>
      <c r="J135" t="s">
        <v>29</v>
      </c>
    </row>
    <row r="136" spans="1:10" x14ac:dyDescent="0.25">
      <c r="A136" t="s">
        <v>104</v>
      </c>
      <c r="B136" t="s">
        <v>17</v>
      </c>
      <c r="C136" t="s">
        <v>30</v>
      </c>
      <c r="D136">
        <v>34.585999999999999</v>
      </c>
      <c r="E136">
        <v>1757</v>
      </c>
      <c r="F136">
        <v>1101</v>
      </c>
      <c r="G136">
        <v>1.5956999999999999</v>
      </c>
      <c r="H136">
        <v>735967.99560000002</v>
      </c>
    </row>
    <row r="137" spans="1:10" x14ac:dyDescent="0.25">
      <c r="A137" t="s">
        <v>105</v>
      </c>
      <c r="B137" t="s">
        <v>20</v>
      </c>
      <c r="C137" t="s">
        <v>30</v>
      </c>
      <c r="D137">
        <v>34.536999999999999</v>
      </c>
      <c r="E137">
        <v>50717299</v>
      </c>
      <c r="F137">
        <v>71596977</v>
      </c>
      <c r="G137">
        <v>0.70840000000000003</v>
      </c>
      <c r="H137">
        <v>327554.1067</v>
      </c>
    </row>
    <row r="138" spans="1:10" x14ac:dyDescent="0.25">
      <c r="A138" t="s">
        <v>106</v>
      </c>
      <c r="B138" t="s">
        <v>20</v>
      </c>
      <c r="C138" t="s">
        <v>30</v>
      </c>
      <c r="D138">
        <v>34.356999999999999</v>
      </c>
      <c r="E138">
        <v>2100220</v>
      </c>
      <c r="F138">
        <v>44601880</v>
      </c>
      <c r="G138">
        <v>4.7100000000000003E-2</v>
      </c>
      <c r="H138">
        <v>23186.992999999999</v>
      </c>
    </row>
    <row r="139" spans="1:10" x14ac:dyDescent="0.25">
      <c r="A139" t="s">
        <v>108</v>
      </c>
      <c r="B139" t="s">
        <v>17</v>
      </c>
      <c r="C139" t="s">
        <v>30</v>
      </c>
      <c r="D139">
        <v>34.610999999999997</v>
      </c>
      <c r="E139">
        <v>6231</v>
      </c>
      <c r="F139">
        <v>7809</v>
      </c>
      <c r="G139">
        <v>0.79790000000000005</v>
      </c>
      <c r="H139">
        <v>368764.1753</v>
      </c>
    </row>
    <row r="140" spans="1:10" x14ac:dyDescent="0.25">
      <c r="A140" t="s">
        <v>51</v>
      </c>
    </row>
    <row r="141" spans="1:10" x14ac:dyDescent="0.25">
      <c r="A141" t="s">
        <v>9</v>
      </c>
      <c r="B141" t="s">
        <v>11</v>
      </c>
      <c r="C141" t="s">
        <v>22</v>
      </c>
      <c r="D141" t="s">
        <v>23</v>
      </c>
      <c r="E141" t="s">
        <v>24</v>
      </c>
      <c r="F141" t="s">
        <v>25</v>
      </c>
      <c r="G141" t="s">
        <v>26</v>
      </c>
      <c r="H141" t="s">
        <v>27</v>
      </c>
      <c r="I141" t="s">
        <v>28</v>
      </c>
      <c r="J141" t="s">
        <v>29</v>
      </c>
    </row>
    <row r="142" spans="1:10" x14ac:dyDescent="0.25">
      <c r="A142" t="s">
        <v>104</v>
      </c>
      <c r="B142" t="s">
        <v>17</v>
      </c>
      <c r="C142" t="s">
        <v>30</v>
      </c>
      <c r="D142">
        <v>35.088999999999999</v>
      </c>
      <c r="E142">
        <v>3269</v>
      </c>
      <c r="F142">
        <v>1101</v>
      </c>
      <c r="G142">
        <v>2.9687999999999999</v>
      </c>
      <c r="H142">
        <v>507404.16759999999</v>
      </c>
    </row>
    <row r="143" spans="1:10" x14ac:dyDescent="0.25">
      <c r="A143" t="s">
        <v>105</v>
      </c>
      <c r="B143" t="s">
        <v>20</v>
      </c>
      <c r="C143" t="s">
        <v>30</v>
      </c>
      <c r="D143">
        <v>35.01</v>
      </c>
      <c r="E143">
        <v>26085192</v>
      </c>
      <c r="F143">
        <v>71596977</v>
      </c>
      <c r="G143">
        <v>0.36430000000000001</v>
      </c>
      <c r="H143">
        <v>62352.751900000003</v>
      </c>
    </row>
    <row r="144" spans="1:10" x14ac:dyDescent="0.25">
      <c r="A144" t="s">
        <v>106</v>
      </c>
      <c r="B144" t="s">
        <v>20</v>
      </c>
      <c r="C144" t="s">
        <v>30</v>
      </c>
      <c r="D144">
        <v>34.973999999999997</v>
      </c>
      <c r="E144">
        <v>10145266</v>
      </c>
      <c r="F144">
        <v>44601880</v>
      </c>
      <c r="G144">
        <v>0.22750000000000001</v>
      </c>
      <c r="H144">
        <v>38964.142899999999</v>
      </c>
    </row>
    <row r="145" spans="1:10" x14ac:dyDescent="0.25">
      <c r="A145" t="s">
        <v>108</v>
      </c>
      <c r="B145" t="s">
        <v>17</v>
      </c>
      <c r="C145" t="s">
        <v>30</v>
      </c>
      <c r="D145">
        <v>35.093000000000004</v>
      </c>
      <c r="E145">
        <v>8574</v>
      </c>
      <c r="F145">
        <v>7809</v>
      </c>
      <c r="G145">
        <v>1.0980000000000001</v>
      </c>
      <c r="H145">
        <v>187714.92679999999</v>
      </c>
    </row>
    <row r="146" spans="1:10" x14ac:dyDescent="0.25">
      <c r="A146" t="s">
        <v>52</v>
      </c>
    </row>
    <row r="147" spans="1:10" x14ac:dyDescent="0.25">
      <c r="A147" t="s">
        <v>9</v>
      </c>
      <c r="B147" t="s">
        <v>11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 t="s">
        <v>28</v>
      </c>
      <c r="J147" t="s">
        <v>29</v>
      </c>
    </row>
    <row r="148" spans="1:10" x14ac:dyDescent="0.25">
      <c r="A148" t="s">
        <v>104</v>
      </c>
      <c r="B148" t="s">
        <v>17</v>
      </c>
      <c r="C148" t="s">
        <v>30</v>
      </c>
      <c r="D148">
        <v>36.744</v>
      </c>
      <c r="E148">
        <v>1417</v>
      </c>
      <c r="F148">
        <v>1101</v>
      </c>
      <c r="G148">
        <v>1.2864</v>
      </c>
      <c r="H148">
        <v>111633.6902</v>
      </c>
    </row>
    <row r="149" spans="1:10" x14ac:dyDescent="0.25">
      <c r="A149" t="s">
        <v>105</v>
      </c>
      <c r="B149" t="s">
        <v>20</v>
      </c>
      <c r="C149" t="s">
        <v>30</v>
      </c>
      <c r="D149">
        <v>36.698</v>
      </c>
      <c r="E149">
        <v>118182226</v>
      </c>
      <c r="F149">
        <v>71596977</v>
      </c>
      <c r="G149">
        <v>1.6507000000000001</v>
      </c>
      <c r="H149">
        <v>143171.65669999999</v>
      </c>
    </row>
    <row r="150" spans="1:10" x14ac:dyDescent="0.25">
      <c r="A150" t="s">
        <v>106</v>
      </c>
      <c r="B150" t="s">
        <v>20</v>
      </c>
      <c r="C150" t="s">
        <v>30</v>
      </c>
      <c r="D150">
        <v>36.642000000000003</v>
      </c>
      <c r="E150">
        <v>12473029</v>
      </c>
      <c r="F150">
        <v>44601880</v>
      </c>
      <c r="G150">
        <v>0.2797</v>
      </c>
      <c r="H150">
        <v>24454.633000000002</v>
      </c>
    </row>
    <row r="151" spans="1:10" x14ac:dyDescent="0.25">
      <c r="A151" t="s">
        <v>108</v>
      </c>
      <c r="B151" t="s">
        <v>17</v>
      </c>
      <c r="C151" t="s">
        <v>30</v>
      </c>
      <c r="D151">
        <v>36.743000000000002</v>
      </c>
      <c r="E151">
        <v>12419</v>
      </c>
      <c r="F151">
        <v>7809</v>
      </c>
      <c r="G151">
        <v>1.5902000000000001</v>
      </c>
      <c r="H151">
        <v>137937.10999999999</v>
      </c>
    </row>
    <row r="152" spans="1:10" x14ac:dyDescent="0.25">
      <c r="A152" t="s">
        <v>53</v>
      </c>
    </row>
    <row r="153" spans="1:10" x14ac:dyDescent="0.25">
      <c r="A153" t="s">
        <v>9</v>
      </c>
      <c r="B153" t="s">
        <v>11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 t="s">
        <v>28</v>
      </c>
      <c r="J153" t="s">
        <v>29</v>
      </c>
    </row>
    <row r="154" spans="1:10" x14ac:dyDescent="0.25">
      <c r="A154" t="s">
        <v>104</v>
      </c>
      <c r="B154" t="s">
        <v>17</v>
      </c>
      <c r="C154" t="s">
        <v>30</v>
      </c>
      <c r="D154">
        <v>37.454999999999998</v>
      </c>
      <c r="E154">
        <v>992</v>
      </c>
      <c r="F154">
        <v>1101</v>
      </c>
      <c r="G154">
        <v>0.90129999999999999</v>
      </c>
      <c r="H154">
        <v>71683.300099999993</v>
      </c>
    </row>
    <row r="155" spans="1:10" x14ac:dyDescent="0.25">
      <c r="A155" t="s">
        <v>105</v>
      </c>
      <c r="B155" t="s">
        <v>20</v>
      </c>
      <c r="C155" t="s">
        <v>30</v>
      </c>
      <c r="D155">
        <v>37.374000000000002</v>
      </c>
      <c r="E155">
        <v>81164464</v>
      </c>
      <c r="F155">
        <v>71596977</v>
      </c>
      <c r="G155">
        <v>1.1335999999999999</v>
      </c>
      <c r="H155">
        <v>90050.366699999999</v>
      </c>
    </row>
    <row r="156" spans="1:10" x14ac:dyDescent="0.25">
      <c r="A156" t="s">
        <v>106</v>
      </c>
      <c r="B156" t="s">
        <v>20</v>
      </c>
      <c r="C156" t="s">
        <v>30</v>
      </c>
      <c r="D156">
        <v>37.317</v>
      </c>
      <c r="E156">
        <v>2874603</v>
      </c>
      <c r="F156">
        <v>44601880</v>
      </c>
      <c r="G156">
        <v>6.4500000000000002E-2</v>
      </c>
      <c r="H156">
        <v>5514.5531000000001</v>
      </c>
    </row>
    <row r="157" spans="1:10" x14ac:dyDescent="0.25">
      <c r="A157" t="s">
        <v>108</v>
      </c>
      <c r="B157" t="s">
        <v>17</v>
      </c>
      <c r="C157" t="s">
        <v>30</v>
      </c>
      <c r="D157">
        <v>37.442999999999998</v>
      </c>
      <c r="E157">
        <v>1488</v>
      </c>
      <c r="F157">
        <v>7809</v>
      </c>
      <c r="G157">
        <v>0.19059999999999999</v>
      </c>
      <c r="H157">
        <v>15485.6103</v>
      </c>
    </row>
    <row r="158" spans="1:10" x14ac:dyDescent="0.25">
      <c r="A158" t="s">
        <v>54</v>
      </c>
    </row>
    <row r="159" spans="1:10" x14ac:dyDescent="0.25">
      <c r="A159" t="s">
        <v>9</v>
      </c>
      <c r="B159" t="s">
        <v>11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28</v>
      </c>
      <c r="J159" t="s">
        <v>29</v>
      </c>
    </row>
    <row r="160" spans="1:10" x14ac:dyDescent="0.25">
      <c r="A160" t="s">
        <v>104</v>
      </c>
      <c r="B160" t="s">
        <v>17</v>
      </c>
      <c r="C160" t="s">
        <v>30</v>
      </c>
      <c r="D160">
        <v>37.69</v>
      </c>
      <c r="E160">
        <v>14168</v>
      </c>
      <c r="F160">
        <v>1101</v>
      </c>
      <c r="G160">
        <v>12.866899999999999</v>
      </c>
      <c r="H160">
        <v>2413036.6581000001</v>
      </c>
    </row>
    <row r="161" spans="1:10" x14ac:dyDescent="0.25">
      <c r="A161" t="s">
        <v>105</v>
      </c>
      <c r="B161" t="s">
        <v>20</v>
      </c>
      <c r="C161" t="s">
        <v>30</v>
      </c>
      <c r="D161">
        <v>37.624000000000002</v>
      </c>
      <c r="E161">
        <v>125130884</v>
      </c>
      <c r="F161">
        <v>71596977</v>
      </c>
      <c r="G161">
        <v>1.7477</v>
      </c>
      <c r="H161">
        <v>328233.71549999999</v>
      </c>
    </row>
    <row r="162" spans="1:10" x14ac:dyDescent="0.25">
      <c r="A162" t="s">
        <v>106</v>
      </c>
      <c r="B162" t="s">
        <v>20</v>
      </c>
      <c r="C162" t="s">
        <v>30</v>
      </c>
      <c r="D162">
        <v>37.576999999999998</v>
      </c>
      <c r="E162">
        <v>34205902</v>
      </c>
      <c r="F162">
        <v>44601880</v>
      </c>
      <c r="G162">
        <v>0.76690000000000003</v>
      </c>
      <c r="H162">
        <v>144337.81940000001</v>
      </c>
    </row>
    <row r="163" spans="1:10" x14ac:dyDescent="0.25">
      <c r="A163" t="s">
        <v>108</v>
      </c>
      <c r="B163" t="s">
        <v>17</v>
      </c>
      <c r="C163" t="s">
        <v>30</v>
      </c>
      <c r="D163">
        <v>37.704000000000001</v>
      </c>
      <c r="E163">
        <v>9605</v>
      </c>
      <c r="F163">
        <v>7809</v>
      </c>
      <c r="G163">
        <v>1.2299</v>
      </c>
      <c r="H163">
        <v>231140.43479999999</v>
      </c>
    </row>
    <row r="164" spans="1:10" x14ac:dyDescent="0.25">
      <c r="A164" t="s">
        <v>55</v>
      </c>
    </row>
    <row r="165" spans="1:10" x14ac:dyDescent="0.25">
      <c r="A165" t="s">
        <v>9</v>
      </c>
      <c r="B165" t="s">
        <v>11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28</v>
      </c>
      <c r="J165" t="s">
        <v>29</v>
      </c>
    </row>
    <row r="166" spans="1:10" x14ac:dyDescent="0.25">
      <c r="A166" t="s">
        <v>104</v>
      </c>
      <c r="B166" t="s">
        <v>17</v>
      </c>
      <c r="C166" t="s">
        <v>30</v>
      </c>
      <c r="D166">
        <v>38.988</v>
      </c>
      <c r="E166">
        <v>3421</v>
      </c>
      <c r="F166">
        <v>1101</v>
      </c>
      <c r="G166">
        <v>3.1067</v>
      </c>
      <c r="H166">
        <v>149597.6599</v>
      </c>
    </row>
    <row r="167" spans="1:10" x14ac:dyDescent="0.25">
      <c r="A167" t="s">
        <v>105</v>
      </c>
      <c r="B167" t="s">
        <v>20</v>
      </c>
      <c r="C167" t="s">
        <v>30</v>
      </c>
      <c r="D167">
        <v>38.936</v>
      </c>
      <c r="E167">
        <v>78452357</v>
      </c>
      <c r="F167">
        <v>71596977</v>
      </c>
      <c r="G167">
        <v>1.0956999999999999</v>
      </c>
      <c r="H167">
        <v>88575.540200000003</v>
      </c>
    </row>
    <row r="168" spans="1:10" x14ac:dyDescent="0.25">
      <c r="A168" t="s">
        <v>106</v>
      </c>
      <c r="B168" t="s">
        <v>20</v>
      </c>
      <c r="C168" t="s">
        <v>30</v>
      </c>
      <c r="D168">
        <v>39.741999999999997</v>
      </c>
      <c r="E168">
        <v>313459</v>
      </c>
      <c r="F168">
        <v>44601880</v>
      </c>
      <c r="G168">
        <v>7.0000000000000001E-3</v>
      </c>
      <c r="H168">
        <v>3578.6523000000002</v>
      </c>
    </row>
    <row r="169" spans="1:10" x14ac:dyDescent="0.25">
      <c r="A169" t="s">
        <v>108</v>
      </c>
      <c r="B169" t="s">
        <v>17</v>
      </c>
      <c r="C169" t="s">
        <v>30</v>
      </c>
      <c r="D169">
        <v>39.027999999999999</v>
      </c>
      <c r="E169">
        <v>9111</v>
      </c>
      <c r="F169">
        <v>7809</v>
      </c>
      <c r="G169">
        <v>1.1666000000000001</v>
      </c>
      <c r="H169">
        <v>91419.675799999997</v>
      </c>
    </row>
    <row r="170" spans="1:10" x14ac:dyDescent="0.25">
      <c r="A170" t="s">
        <v>56</v>
      </c>
    </row>
    <row r="171" spans="1:10" x14ac:dyDescent="0.25">
      <c r="A171" t="s">
        <v>9</v>
      </c>
      <c r="B171" t="s">
        <v>11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27</v>
      </c>
      <c r="I171" t="s">
        <v>28</v>
      </c>
      <c r="J171" t="s">
        <v>29</v>
      </c>
    </row>
    <row r="172" spans="1:10" x14ac:dyDescent="0.25">
      <c r="A172" t="s">
        <v>104</v>
      </c>
      <c r="B172" t="s">
        <v>17</v>
      </c>
      <c r="C172" t="s">
        <v>30</v>
      </c>
      <c r="D172">
        <v>39.433</v>
      </c>
      <c r="E172">
        <v>2683</v>
      </c>
      <c r="F172">
        <v>1101</v>
      </c>
      <c r="G172">
        <v>2.4367000000000001</v>
      </c>
      <c r="H172">
        <v>105547.5901</v>
      </c>
    </row>
    <row r="173" spans="1:10" x14ac:dyDescent="0.25">
      <c r="A173" t="s">
        <v>105</v>
      </c>
      <c r="B173" t="s">
        <v>20</v>
      </c>
      <c r="C173" t="s">
        <v>30</v>
      </c>
      <c r="D173">
        <v>39.395000000000003</v>
      </c>
      <c r="E173">
        <v>257534301</v>
      </c>
      <c r="F173">
        <v>71596977</v>
      </c>
      <c r="G173">
        <v>3.597</v>
      </c>
      <c r="H173">
        <v>155970.7176</v>
      </c>
    </row>
    <row r="174" spans="1:10" x14ac:dyDescent="0.25">
      <c r="A174" t="s">
        <v>106</v>
      </c>
      <c r="B174" t="s">
        <v>20</v>
      </c>
      <c r="C174" t="s">
        <v>30</v>
      </c>
      <c r="D174">
        <v>39.734999999999999</v>
      </c>
      <c r="E174">
        <v>94940</v>
      </c>
      <c r="F174">
        <v>44601880</v>
      </c>
      <c r="G174">
        <v>2.0999999999999999E-3</v>
      </c>
      <c r="H174">
        <v>0</v>
      </c>
    </row>
    <row r="175" spans="1:10" x14ac:dyDescent="0.25">
      <c r="A175" t="s">
        <v>108</v>
      </c>
      <c r="B175" t="s">
        <v>17</v>
      </c>
      <c r="C175" t="s">
        <v>30</v>
      </c>
      <c r="D175">
        <v>39.427999999999997</v>
      </c>
      <c r="E175">
        <v>5554</v>
      </c>
      <c r="F175">
        <v>7809</v>
      </c>
      <c r="G175">
        <v>0.71120000000000005</v>
      </c>
      <c r="H175">
        <v>30560.641899999999</v>
      </c>
    </row>
    <row r="176" spans="1:10" x14ac:dyDescent="0.25">
      <c r="A176" t="s">
        <v>57</v>
      </c>
    </row>
    <row r="177" spans="1:10" x14ac:dyDescent="0.25">
      <c r="A177" t="s">
        <v>9</v>
      </c>
      <c r="B177" t="s">
        <v>11</v>
      </c>
      <c r="C177" t="s">
        <v>22</v>
      </c>
      <c r="D177" t="s">
        <v>23</v>
      </c>
      <c r="E177" t="s">
        <v>24</v>
      </c>
      <c r="F177" t="s">
        <v>25</v>
      </c>
      <c r="G177" t="s">
        <v>26</v>
      </c>
      <c r="H177" t="s">
        <v>27</v>
      </c>
      <c r="I177" t="s">
        <v>28</v>
      </c>
      <c r="J177" t="s">
        <v>29</v>
      </c>
    </row>
    <row r="178" spans="1:10" x14ac:dyDescent="0.25">
      <c r="A178" t="s">
        <v>104</v>
      </c>
      <c r="B178" t="s">
        <v>17</v>
      </c>
      <c r="C178" t="s">
        <v>30</v>
      </c>
      <c r="D178">
        <v>39.963999999999999</v>
      </c>
      <c r="E178">
        <v>2191</v>
      </c>
      <c r="F178">
        <v>1101</v>
      </c>
      <c r="G178">
        <v>1.99</v>
      </c>
      <c r="H178">
        <v>370193.41340000002</v>
      </c>
    </row>
    <row r="179" spans="1:10" x14ac:dyDescent="0.25">
      <c r="A179" t="s">
        <v>105</v>
      </c>
      <c r="B179" t="s">
        <v>20</v>
      </c>
      <c r="C179" t="s">
        <v>30</v>
      </c>
      <c r="D179">
        <v>39.869</v>
      </c>
      <c r="E179">
        <v>47830743</v>
      </c>
      <c r="F179">
        <v>71596977</v>
      </c>
      <c r="G179">
        <v>0.66810000000000003</v>
      </c>
      <c r="H179">
        <v>195233.62030000001</v>
      </c>
    </row>
    <row r="180" spans="1:10" x14ac:dyDescent="0.25">
      <c r="A180" t="s">
        <v>106</v>
      </c>
      <c r="B180" t="s">
        <v>20</v>
      </c>
      <c r="C180" t="s">
        <v>30</v>
      </c>
      <c r="D180">
        <v>39.889000000000003</v>
      </c>
      <c r="E180">
        <v>68001091</v>
      </c>
      <c r="F180">
        <v>44601880</v>
      </c>
      <c r="G180">
        <v>1.5246</v>
      </c>
      <c r="H180">
        <v>318053.91889999999</v>
      </c>
    </row>
    <row r="181" spans="1:10" x14ac:dyDescent="0.25">
      <c r="A181" t="s">
        <v>108</v>
      </c>
      <c r="B181" t="s">
        <v>17</v>
      </c>
      <c r="C181" t="s">
        <v>30</v>
      </c>
      <c r="D181">
        <v>39.936999999999998</v>
      </c>
      <c r="E181">
        <v>4281</v>
      </c>
      <c r="F181">
        <v>7809</v>
      </c>
      <c r="G181">
        <v>0.54820000000000002</v>
      </c>
      <c r="H181">
        <v>172854.98680000001</v>
      </c>
    </row>
    <row r="182" spans="1:10" x14ac:dyDescent="0.25">
      <c r="A182" t="s">
        <v>58</v>
      </c>
    </row>
    <row r="183" spans="1:10" x14ac:dyDescent="0.25">
      <c r="A183" t="s">
        <v>9</v>
      </c>
      <c r="B183" t="s">
        <v>11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 t="s">
        <v>27</v>
      </c>
      <c r="I183" t="s">
        <v>28</v>
      </c>
      <c r="J183" t="s">
        <v>29</v>
      </c>
    </row>
    <row r="184" spans="1:10" x14ac:dyDescent="0.25">
      <c r="A184" t="s">
        <v>104</v>
      </c>
      <c r="B184" t="s">
        <v>17</v>
      </c>
      <c r="C184" t="s">
        <v>30</v>
      </c>
      <c r="D184">
        <v>44.636000000000003</v>
      </c>
      <c r="E184">
        <v>17603</v>
      </c>
      <c r="F184">
        <v>1101</v>
      </c>
      <c r="G184">
        <v>15.9863</v>
      </c>
      <c r="H184">
        <v>3428496.4380000001</v>
      </c>
    </row>
    <row r="185" spans="1:10" x14ac:dyDescent="0.25">
      <c r="A185" t="s">
        <v>105</v>
      </c>
      <c r="B185" t="s">
        <v>20</v>
      </c>
      <c r="C185" t="s">
        <v>30</v>
      </c>
      <c r="D185">
        <v>44.475999999999999</v>
      </c>
      <c r="E185">
        <v>92367860</v>
      </c>
      <c r="F185">
        <v>71596977</v>
      </c>
      <c r="G185">
        <v>1.2901</v>
      </c>
      <c r="H185">
        <v>275544.42440000002</v>
      </c>
    </row>
    <row r="186" spans="1:10" x14ac:dyDescent="0.25">
      <c r="A186" t="s">
        <v>106</v>
      </c>
      <c r="B186" t="s">
        <v>20</v>
      </c>
      <c r="C186" t="s">
        <v>30</v>
      </c>
      <c r="D186">
        <v>44.302999999999997</v>
      </c>
      <c r="E186">
        <v>2759380</v>
      </c>
      <c r="F186">
        <v>44601880</v>
      </c>
      <c r="G186">
        <v>6.1899999999999997E-2</v>
      </c>
      <c r="H186">
        <v>12035.4053</v>
      </c>
    </row>
    <row r="187" spans="1:10" x14ac:dyDescent="0.25">
      <c r="A187" t="s">
        <v>108</v>
      </c>
      <c r="B187" t="s">
        <v>17</v>
      </c>
      <c r="C187" t="s">
        <v>30</v>
      </c>
      <c r="D187">
        <v>43.545000000000002</v>
      </c>
      <c r="E187">
        <v>52087</v>
      </c>
      <c r="F187">
        <v>7809</v>
      </c>
      <c r="G187">
        <v>6.6696999999999997</v>
      </c>
      <c r="H187">
        <v>1429696.2341</v>
      </c>
    </row>
    <row r="188" spans="1:10" x14ac:dyDescent="0.25">
      <c r="A188" t="s">
        <v>59</v>
      </c>
    </row>
    <row r="189" spans="1:10" x14ac:dyDescent="0.25">
      <c r="A189" t="s">
        <v>9</v>
      </c>
      <c r="B189" t="s">
        <v>11</v>
      </c>
      <c r="C189" t="s">
        <v>22</v>
      </c>
      <c r="D189" t="s">
        <v>23</v>
      </c>
      <c r="E189" t="s">
        <v>24</v>
      </c>
      <c r="F189" t="s">
        <v>25</v>
      </c>
      <c r="G189" t="s">
        <v>26</v>
      </c>
      <c r="H189" t="s">
        <v>27</v>
      </c>
      <c r="I189" t="s">
        <v>28</v>
      </c>
      <c r="J189" t="s">
        <v>29</v>
      </c>
    </row>
    <row r="190" spans="1:10" x14ac:dyDescent="0.25">
      <c r="A190" t="s">
        <v>104</v>
      </c>
      <c r="B190" t="s">
        <v>17</v>
      </c>
      <c r="C190" t="s">
        <v>30</v>
      </c>
      <c r="D190">
        <v>45.195</v>
      </c>
      <c r="E190">
        <v>6830</v>
      </c>
      <c r="F190">
        <v>1101</v>
      </c>
      <c r="G190">
        <v>6.2023000000000001</v>
      </c>
      <c r="H190">
        <v>896317.99710000004</v>
      </c>
    </row>
    <row r="191" spans="1:10" x14ac:dyDescent="0.25">
      <c r="A191" t="s">
        <v>105</v>
      </c>
      <c r="B191" t="s">
        <v>20</v>
      </c>
      <c r="C191" t="s">
        <v>30</v>
      </c>
      <c r="D191">
        <v>45.115000000000002</v>
      </c>
      <c r="E191">
        <v>68673783</v>
      </c>
      <c r="F191">
        <v>71596977</v>
      </c>
      <c r="G191">
        <v>0.95920000000000005</v>
      </c>
      <c r="H191">
        <v>140676.57199999999</v>
      </c>
    </row>
    <row r="192" spans="1:10" x14ac:dyDescent="0.25">
      <c r="A192" t="s">
        <v>106</v>
      </c>
      <c r="B192" t="s">
        <v>20</v>
      </c>
      <c r="C192" t="s">
        <v>30</v>
      </c>
      <c r="D192">
        <v>45.040999999999997</v>
      </c>
      <c r="E192">
        <v>35758768</v>
      </c>
      <c r="F192">
        <v>44601880</v>
      </c>
      <c r="G192">
        <v>0.80169999999999997</v>
      </c>
      <c r="H192">
        <v>117986.463</v>
      </c>
    </row>
    <row r="193" spans="1:10" x14ac:dyDescent="0.25">
      <c r="A193" t="s">
        <v>108</v>
      </c>
      <c r="B193" t="s">
        <v>17</v>
      </c>
      <c r="C193" t="s">
        <v>30</v>
      </c>
      <c r="D193">
        <v>45.173999999999999</v>
      </c>
      <c r="E193">
        <v>8603</v>
      </c>
      <c r="F193">
        <v>7809</v>
      </c>
      <c r="G193">
        <v>1.1015999999999999</v>
      </c>
      <c r="H193">
        <v>161205.6686</v>
      </c>
    </row>
    <row r="194" spans="1:10" x14ac:dyDescent="0.25">
      <c r="A194" t="s">
        <v>60</v>
      </c>
    </row>
    <row r="195" spans="1:10" x14ac:dyDescent="0.25">
      <c r="A195" t="s">
        <v>9</v>
      </c>
      <c r="B195" t="s">
        <v>11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29</v>
      </c>
    </row>
    <row r="196" spans="1:10" x14ac:dyDescent="0.25">
      <c r="A196" t="s">
        <v>104</v>
      </c>
      <c r="B196" t="s">
        <v>17</v>
      </c>
      <c r="C196" t="s">
        <v>30</v>
      </c>
      <c r="D196">
        <v>47.308</v>
      </c>
      <c r="E196">
        <v>1446</v>
      </c>
      <c r="F196">
        <v>1101</v>
      </c>
      <c r="G196">
        <v>1.3136000000000001</v>
      </c>
      <c r="H196">
        <v>128799.40609999999</v>
      </c>
    </row>
    <row r="197" spans="1:10" x14ac:dyDescent="0.25">
      <c r="A197" t="s">
        <v>105</v>
      </c>
      <c r="B197" t="s">
        <v>20</v>
      </c>
      <c r="C197" t="s">
        <v>30</v>
      </c>
      <c r="D197">
        <v>47.206000000000003</v>
      </c>
      <c r="E197">
        <v>83782438</v>
      </c>
      <c r="F197">
        <v>71596977</v>
      </c>
      <c r="G197">
        <v>1.1701999999999999</v>
      </c>
      <c r="H197">
        <v>114948.98020000001</v>
      </c>
    </row>
    <row r="198" spans="1:10" x14ac:dyDescent="0.25">
      <c r="A198" t="s">
        <v>106</v>
      </c>
      <c r="B198" t="s">
        <v>20</v>
      </c>
      <c r="C198" t="s">
        <v>30</v>
      </c>
      <c r="D198">
        <v>47.279000000000003</v>
      </c>
      <c r="E198">
        <v>9521</v>
      </c>
      <c r="F198">
        <v>44601880</v>
      </c>
      <c r="G198">
        <v>2.0000000000000001E-4</v>
      </c>
      <c r="H198">
        <v>1937.4972</v>
      </c>
    </row>
    <row r="199" spans="1:10" x14ac:dyDescent="0.25">
      <c r="A199" t="s">
        <v>108</v>
      </c>
      <c r="B199" t="s">
        <v>17</v>
      </c>
      <c r="C199" t="s">
        <v>30</v>
      </c>
      <c r="D199">
        <v>47.292000000000002</v>
      </c>
      <c r="E199">
        <v>7126</v>
      </c>
      <c r="F199">
        <v>7809</v>
      </c>
      <c r="G199">
        <v>0.91249999999999998</v>
      </c>
      <c r="H199">
        <v>90054.534899999999</v>
      </c>
    </row>
    <row r="200" spans="1:10" x14ac:dyDescent="0.25">
      <c r="A200" t="s">
        <v>61</v>
      </c>
    </row>
    <row r="201" spans="1:10" x14ac:dyDescent="0.25">
      <c r="A201" t="s">
        <v>9</v>
      </c>
      <c r="B201" t="s">
        <v>11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28</v>
      </c>
      <c r="J201" t="s">
        <v>29</v>
      </c>
    </row>
    <row r="202" spans="1:10" x14ac:dyDescent="0.25">
      <c r="A202" t="s">
        <v>104</v>
      </c>
      <c r="B202" t="s">
        <v>17</v>
      </c>
      <c r="C202" t="s">
        <v>30</v>
      </c>
      <c r="D202">
        <v>51.445999999999998</v>
      </c>
      <c r="E202">
        <v>7498</v>
      </c>
      <c r="F202">
        <v>1101</v>
      </c>
      <c r="G202">
        <v>6.8095999999999997</v>
      </c>
      <c r="H202">
        <v>579813.87679999997</v>
      </c>
    </row>
    <row r="203" spans="1:10" x14ac:dyDescent="0.25">
      <c r="A203" t="s">
        <v>105</v>
      </c>
      <c r="B203" t="s">
        <v>20</v>
      </c>
      <c r="C203" t="s">
        <v>30</v>
      </c>
      <c r="D203">
        <v>51.405999999999999</v>
      </c>
      <c r="E203">
        <v>31585375</v>
      </c>
      <c r="F203">
        <v>71596977</v>
      </c>
      <c r="G203">
        <v>0.44119999999999998</v>
      </c>
      <c r="H203">
        <v>36847.272299999997</v>
      </c>
    </row>
    <row r="204" spans="1:10" x14ac:dyDescent="0.25">
      <c r="A204" t="s">
        <v>106</v>
      </c>
      <c r="B204" t="s">
        <v>20</v>
      </c>
      <c r="C204" t="s">
        <v>30</v>
      </c>
      <c r="D204">
        <v>51.366999999999997</v>
      </c>
      <c r="E204">
        <v>838293</v>
      </c>
      <c r="F204">
        <v>44601880</v>
      </c>
      <c r="G204">
        <v>1.8800000000000001E-2</v>
      </c>
      <c r="H204">
        <v>837.17489999999998</v>
      </c>
    </row>
    <row r="205" spans="1:10" x14ac:dyDescent="0.25">
      <c r="A205" t="s">
        <v>108</v>
      </c>
      <c r="B205" t="s">
        <v>17</v>
      </c>
      <c r="C205" t="s">
        <v>30</v>
      </c>
      <c r="D205">
        <v>51.423999999999999</v>
      </c>
      <c r="E205">
        <v>15428</v>
      </c>
      <c r="F205">
        <v>7809</v>
      </c>
      <c r="G205">
        <v>1.9755</v>
      </c>
      <c r="H205">
        <v>167665.13130000001</v>
      </c>
    </row>
    <row r="206" spans="1:10" x14ac:dyDescent="0.25">
      <c r="A206" t="s">
        <v>62</v>
      </c>
    </row>
    <row r="207" spans="1:10" x14ac:dyDescent="0.25">
      <c r="A207" t="s">
        <v>9</v>
      </c>
      <c r="B207" t="s">
        <v>11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 t="s">
        <v>28</v>
      </c>
      <c r="J207" t="s">
        <v>29</v>
      </c>
    </row>
    <row r="208" spans="1:10" x14ac:dyDescent="0.25">
      <c r="A208" t="s">
        <v>104</v>
      </c>
      <c r="B208" t="s">
        <v>17</v>
      </c>
      <c r="C208" t="s">
        <v>30</v>
      </c>
      <c r="D208">
        <v>51.593000000000004</v>
      </c>
      <c r="E208">
        <v>21604</v>
      </c>
      <c r="F208">
        <v>1101</v>
      </c>
      <c r="G208">
        <v>19.619599999999998</v>
      </c>
      <c r="H208">
        <v>4429828.68</v>
      </c>
    </row>
    <row r="209" spans="1:10" x14ac:dyDescent="0.25">
      <c r="A209" t="s">
        <v>105</v>
      </c>
      <c r="B209" t="s">
        <v>20</v>
      </c>
      <c r="C209" t="s">
        <v>30</v>
      </c>
      <c r="D209">
        <v>51.545999999999999</v>
      </c>
      <c r="E209">
        <v>31812071</v>
      </c>
      <c r="F209">
        <v>71596977</v>
      </c>
      <c r="G209">
        <v>0.44429999999999997</v>
      </c>
      <c r="H209">
        <v>98995.627999999997</v>
      </c>
    </row>
    <row r="210" spans="1:10" x14ac:dyDescent="0.25">
      <c r="A210" t="s">
        <v>106</v>
      </c>
      <c r="B210" t="s">
        <v>20</v>
      </c>
      <c r="C210" t="s">
        <v>30</v>
      </c>
      <c r="D210">
        <v>51.514000000000003</v>
      </c>
      <c r="E210">
        <v>3957611</v>
      </c>
      <c r="F210">
        <v>44601880</v>
      </c>
      <c r="G210">
        <v>8.8700000000000001E-2</v>
      </c>
      <c r="H210">
        <v>18683.948700000001</v>
      </c>
    </row>
    <row r="211" spans="1:10" x14ac:dyDescent="0.25">
      <c r="A211" t="s">
        <v>108</v>
      </c>
      <c r="B211" t="s">
        <v>17</v>
      </c>
      <c r="C211" t="s">
        <v>30</v>
      </c>
      <c r="D211">
        <v>51.530999999999999</v>
      </c>
      <c r="E211">
        <v>18640</v>
      </c>
      <c r="F211">
        <v>7809</v>
      </c>
      <c r="G211">
        <v>2.3868999999999998</v>
      </c>
      <c r="H211">
        <v>537729.69449999998</v>
      </c>
    </row>
    <row r="212" spans="1:10" x14ac:dyDescent="0.25">
      <c r="A212" t="s">
        <v>63</v>
      </c>
    </row>
    <row r="213" spans="1:10" x14ac:dyDescent="0.25">
      <c r="A213" t="s">
        <v>9</v>
      </c>
      <c r="B213" t="s">
        <v>11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27</v>
      </c>
      <c r="I213" t="s">
        <v>28</v>
      </c>
      <c r="J213" t="s">
        <v>29</v>
      </c>
    </row>
    <row r="214" spans="1:10" x14ac:dyDescent="0.25">
      <c r="A214" t="s">
        <v>104</v>
      </c>
      <c r="B214" t="s">
        <v>17</v>
      </c>
      <c r="C214" t="s">
        <v>30</v>
      </c>
      <c r="D214">
        <v>52.912999999999997</v>
      </c>
      <c r="E214">
        <v>12631</v>
      </c>
      <c r="F214">
        <v>1101</v>
      </c>
      <c r="G214">
        <v>11.4704</v>
      </c>
      <c r="H214">
        <v>5911563.4254999999</v>
      </c>
    </row>
    <row r="215" spans="1:10" x14ac:dyDescent="0.25">
      <c r="A215" t="s">
        <v>105</v>
      </c>
      <c r="B215" t="s">
        <v>20</v>
      </c>
      <c r="C215" t="s">
        <v>30</v>
      </c>
      <c r="D215">
        <v>52.926000000000002</v>
      </c>
      <c r="E215">
        <v>3611191</v>
      </c>
      <c r="F215">
        <v>71596977</v>
      </c>
      <c r="G215">
        <v>5.04E-2</v>
      </c>
      <c r="H215">
        <v>23629.413400000001</v>
      </c>
    </row>
    <row r="216" spans="1:10" x14ac:dyDescent="0.25">
      <c r="A216" t="s">
        <v>106</v>
      </c>
      <c r="B216" t="s">
        <v>20</v>
      </c>
      <c r="C216" t="s">
        <v>30</v>
      </c>
      <c r="D216">
        <v>52.837000000000003</v>
      </c>
      <c r="E216">
        <v>11998696</v>
      </c>
      <c r="F216">
        <v>44601880</v>
      </c>
      <c r="G216">
        <v>0.26900000000000002</v>
      </c>
      <c r="H216">
        <v>136325.12590000001</v>
      </c>
    </row>
    <row r="217" spans="1:10" x14ac:dyDescent="0.25">
      <c r="A217" t="s">
        <v>108</v>
      </c>
      <c r="B217" t="s">
        <v>17</v>
      </c>
      <c r="C217" t="s">
        <v>30</v>
      </c>
      <c r="D217">
        <v>52.893000000000001</v>
      </c>
      <c r="E217">
        <v>2686</v>
      </c>
      <c r="F217">
        <v>7809</v>
      </c>
      <c r="G217">
        <v>0.34389999999999998</v>
      </c>
      <c r="H217">
        <v>174941.08970000001</v>
      </c>
    </row>
    <row r="218" spans="1:10" x14ac:dyDescent="0.25">
      <c r="A218" t="s">
        <v>64</v>
      </c>
    </row>
    <row r="219" spans="1:10" x14ac:dyDescent="0.25">
      <c r="A219" t="s">
        <v>9</v>
      </c>
      <c r="B219" t="s">
        <v>11</v>
      </c>
      <c r="C219" t="s">
        <v>22</v>
      </c>
      <c r="D219" t="s">
        <v>23</v>
      </c>
      <c r="E219" t="s">
        <v>24</v>
      </c>
      <c r="F219" t="s">
        <v>25</v>
      </c>
      <c r="G219" t="s">
        <v>26</v>
      </c>
      <c r="H219" t="s">
        <v>27</v>
      </c>
      <c r="I219" t="s">
        <v>28</v>
      </c>
      <c r="J219" t="s">
        <v>29</v>
      </c>
    </row>
    <row r="220" spans="1:10" x14ac:dyDescent="0.25">
      <c r="A220" t="s">
        <v>104</v>
      </c>
      <c r="B220" t="s">
        <v>17</v>
      </c>
      <c r="C220" t="s">
        <v>30</v>
      </c>
      <c r="D220">
        <v>53.145000000000003</v>
      </c>
      <c r="E220">
        <v>8602</v>
      </c>
      <c r="F220">
        <v>1101</v>
      </c>
      <c r="G220">
        <v>7.8116000000000003</v>
      </c>
      <c r="H220">
        <v>270371.4276</v>
      </c>
    </row>
    <row r="221" spans="1:10" x14ac:dyDescent="0.25">
      <c r="A221" t="s">
        <v>105</v>
      </c>
      <c r="B221" t="s">
        <v>20</v>
      </c>
      <c r="C221" t="s">
        <v>30</v>
      </c>
      <c r="D221">
        <v>53.155000000000001</v>
      </c>
      <c r="E221">
        <v>42397383</v>
      </c>
      <c r="F221">
        <v>71596977</v>
      </c>
      <c r="G221">
        <v>0.59219999999999995</v>
      </c>
      <c r="H221">
        <v>17920.515100000001</v>
      </c>
    </row>
    <row r="222" spans="1:10" x14ac:dyDescent="0.25">
      <c r="A222" t="s">
        <v>106</v>
      </c>
      <c r="B222" t="s">
        <v>20</v>
      </c>
      <c r="C222" t="s">
        <v>30</v>
      </c>
      <c r="D222">
        <v>53.091999999999999</v>
      </c>
      <c r="E222">
        <v>-95750</v>
      </c>
      <c r="F222">
        <v>44601880</v>
      </c>
      <c r="G222">
        <v>-2.0999999999999999E-3</v>
      </c>
      <c r="H222">
        <v>0</v>
      </c>
    </row>
    <row r="223" spans="1:10" x14ac:dyDescent="0.25">
      <c r="A223" t="s">
        <v>108</v>
      </c>
      <c r="B223" t="s">
        <v>17</v>
      </c>
      <c r="C223" t="s">
        <v>30</v>
      </c>
      <c r="D223">
        <v>53.128</v>
      </c>
      <c r="E223">
        <v>14055</v>
      </c>
      <c r="F223">
        <v>7809</v>
      </c>
      <c r="G223">
        <v>1.7998000000000001</v>
      </c>
      <c r="H223">
        <v>60148.751499999998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1</vt:i4>
      </vt:variant>
    </vt:vector>
  </HeadingPairs>
  <TitlesOfParts>
    <vt:vector size="6" baseType="lpstr">
      <vt:lpstr>aufgeräumt</vt:lpstr>
      <vt:lpstr>µg statt ng</vt:lpstr>
      <vt:lpstr>data processing</vt:lpstr>
      <vt:lpstr>raw data</vt:lpstr>
      <vt:lpstr>231129_FA-Quant-Report_ISTD</vt:lpstr>
      <vt:lpstr>Diagramm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Ines Locker locker</cp:lastModifiedBy>
  <dcterms:created xsi:type="dcterms:W3CDTF">2023-09-06T11:12:21Z</dcterms:created>
  <dcterms:modified xsi:type="dcterms:W3CDTF">2023-12-08T08:27:20Z</dcterms:modified>
</cp:coreProperties>
</file>