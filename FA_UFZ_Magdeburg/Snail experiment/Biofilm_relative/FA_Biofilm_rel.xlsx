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FA_UFZ_Magdeburg/Snail experiment/Biofilm_relative/"/>
    </mc:Choice>
  </mc:AlternateContent>
  <xr:revisionPtr revIDLastSave="118" documentId="13_ncr:1_{665E455F-3D6F-43A5-B7F0-1C75D03294C0}" xr6:coauthVersionLast="47" xr6:coauthVersionMax="47" xr10:uidLastSave="{48F4A041-09BA-48A3-8B85-B6AF95015F5B}"/>
  <bookViews>
    <workbookView xWindow="-110" yWindow="-110" windowWidth="19420" windowHeight="10300" activeTab="1" xr2:uid="{C9498B7F-DC23-450A-9662-6CCD29F3F7FF}"/>
  </bookViews>
  <sheets>
    <sheet name="Tabelle1" sheetId="1" r:id="rId1"/>
    <sheet name="Tabelle2" sheetId="2" r:id="rId2"/>
  </sheets>
  <definedNames>
    <definedName name="_xlnm._FilterDatabase" localSheetId="0" hidden="1">Tabelle1!$A$1:$K$421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11" i="1"/>
  <c r="I327" i="1" s="1"/>
  <c r="K12" i="1"/>
  <c r="I356" i="1" s="1"/>
  <c r="K10" i="1"/>
  <c r="I288" i="1" s="1"/>
  <c r="K9" i="1"/>
  <c r="I248" i="1" s="1"/>
  <c r="K8" i="1"/>
  <c r="I219" i="1" s="1"/>
  <c r="K7" i="1"/>
  <c r="I192" i="1" s="1"/>
  <c r="K6" i="1"/>
  <c r="I145" i="1" s="1"/>
  <c r="K5" i="1"/>
  <c r="I114" i="1" s="1"/>
  <c r="K4" i="1"/>
  <c r="I80" i="1" s="1"/>
  <c r="K3" i="1"/>
  <c r="I43" i="1" s="1"/>
  <c r="K2" i="1"/>
  <c r="I10" i="1" s="1"/>
  <c r="I108" i="1" l="1"/>
  <c r="I118" i="1"/>
  <c r="I84" i="1"/>
  <c r="I73" i="1"/>
  <c r="I83" i="1"/>
  <c r="I117" i="1"/>
  <c r="I282" i="1"/>
  <c r="I101" i="1"/>
  <c r="I109" i="1"/>
  <c r="I283" i="1"/>
  <c r="I91" i="1"/>
  <c r="I136" i="1"/>
  <c r="I298" i="1"/>
  <c r="I72" i="1"/>
  <c r="I102" i="1"/>
  <c r="I90" i="1"/>
  <c r="I135" i="1"/>
  <c r="I295" i="1"/>
  <c r="I22" i="1"/>
  <c r="I69" i="1"/>
  <c r="I62" i="1"/>
  <c r="I100" i="1"/>
  <c r="I82" i="1"/>
  <c r="I134" i="1"/>
  <c r="I116" i="1"/>
  <c r="I284" i="1"/>
  <c r="I293" i="1"/>
  <c r="I45" i="1"/>
  <c r="I94" i="1"/>
  <c r="I76" i="1"/>
  <c r="I128" i="1"/>
  <c r="I110" i="1"/>
  <c r="I310" i="1"/>
  <c r="I385" i="1"/>
  <c r="I125" i="1"/>
  <c r="I176" i="1"/>
  <c r="I307" i="1"/>
  <c r="I379" i="1"/>
  <c r="I124" i="1"/>
  <c r="I164" i="1"/>
  <c r="I305" i="1"/>
  <c r="I373" i="1"/>
  <c r="I198" i="1"/>
  <c r="I61" i="1"/>
  <c r="I186" i="1"/>
  <c r="I32" i="1"/>
  <c r="I11" i="1"/>
  <c r="I57" i="1"/>
  <c r="I74" i="1"/>
  <c r="I97" i="1"/>
  <c r="I89" i="1"/>
  <c r="I79" i="1"/>
  <c r="I141" i="1"/>
  <c r="I131" i="1"/>
  <c r="I123" i="1"/>
  <c r="I113" i="1"/>
  <c r="I152" i="1"/>
  <c r="I185" i="1"/>
  <c r="I316" i="1"/>
  <c r="I304" i="1"/>
  <c r="I289" i="1"/>
  <c r="I367" i="1"/>
  <c r="I34" i="1"/>
  <c r="I15" i="1"/>
  <c r="I26" i="1"/>
  <c r="I37" i="1"/>
  <c r="I50" i="1"/>
  <c r="I106" i="1"/>
  <c r="I96" i="1"/>
  <c r="I88" i="1"/>
  <c r="I78" i="1"/>
  <c r="I140" i="1"/>
  <c r="I130" i="1"/>
  <c r="I122" i="1"/>
  <c r="I112" i="1"/>
  <c r="I210" i="1"/>
  <c r="I265" i="1"/>
  <c r="I313" i="1"/>
  <c r="I301" i="1"/>
  <c r="I287" i="1"/>
  <c r="I361" i="1"/>
  <c r="I16" i="1"/>
  <c r="I197" i="1"/>
  <c r="I33" i="1"/>
  <c r="I23" i="1"/>
  <c r="I38" i="1"/>
  <c r="I49" i="1"/>
  <c r="I103" i="1"/>
  <c r="I95" i="1"/>
  <c r="I85" i="1"/>
  <c r="I77" i="1"/>
  <c r="I137" i="1"/>
  <c r="I129" i="1"/>
  <c r="I119" i="1"/>
  <c r="I111" i="1"/>
  <c r="I209" i="1"/>
  <c r="I259" i="1"/>
  <c r="I311" i="1"/>
  <c r="I299" i="1"/>
  <c r="I355" i="1"/>
  <c r="I322" i="1"/>
  <c r="I328" i="1"/>
  <c r="I334" i="1"/>
  <c r="I340" i="1"/>
  <c r="I346" i="1"/>
  <c r="I319" i="1"/>
  <c r="I323" i="1"/>
  <c r="I329" i="1"/>
  <c r="I335" i="1"/>
  <c r="I341" i="1"/>
  <c r="I347" i="1"/>
  <c r="I318" i="1"/>
  <c r="I324" i="1"/>
  <c r="I330" i="1"/>
  <c r="I336" i="1"/>
  <c r="I342" i="1"/>
  <c r="I348" i="1"/>
  <c r="I317" i="1"/>
  <c r="I325" i="1"/>
  <c r="I331" i="1"/>
  <c r="I337" i="1"/>
  <c r="I343" i="1"/>
  <c r="I349" i="1"/>
  <c r="I320" i="1"/>
  <c r="I326" i="1"/>
  <c r="I332" i="1"/>
  <c r="I338" i="1"/>
  <c r="I344" i="1"/>
  <c r="I350" i="1"/>
  <c r="I390" i="1"/>
  <c r="I396" i="1"/>
  <c r="I402" i="1"/>
  <c r="I408" i="1"/>
  <c r="I414" i="1"/>
  <c r="I420" i="1"/>
  <c r="I391" i="1"/>
  <c r="I397" i="1"/>
  <c r="I403" i="1"/>
  <c r="I409" i="1"/>
  <c r="I415" i="1"/>
  <c r="I421" i="1"/>
  <c r="I392" i="1"/>
  <c r="I398" i="1"/>
  <c r="I404" i="1"/>
  <c r="I410" i="1"/>
  <c r="I416" i="1"/>
  <c r="I389" i="1"/>
  <c r="I393" i="1"/>
  <c r="I399" i="1"/>
  <c r="I405" i="1"/>
  <c r="I411" i="1"/>
  <c r="I417" i="1"/>
  <c r="I388" i="1"/>
  <c r="I394" i="1"/>
  <c r="I400" i="1"/>
  <c r="I406" i="1"/>
  <c r="I412" i="1"/>
  <c r="I418" i="1"/>
  <c r="I387" i="1"/>
  <c r="I395" i="1"/>
  <c r="I171" i="1"/>
  <c r="I159" i="1"/>
  <c r="I147" i="1"/>
  <c r="I205" i="1"/>
  <c r="I193" i="1"/>
  <c r="I181" i="1"/>
  <c r="I253" i="1"/>
  <c r="I351" i="1"/>
  <c r="I419" i="1"/>
  <c r="I220" i="1"/>
  <c r="I226" i="1"/>
  <c r="I232" i="1"/>
  <c r="I238" i="1"/>
  <c r="I244" i="1"/>
  <c r="I215" i="1"/>
  <c r="I221" i="1"/>
  <c r="I227" i="1"/>
  <c r="I233" i="1"/>
  <c r="I239" i="1"/>
  <c r="I245" i="1"/>
  <c r="I216" i="1"/>
  <c r="I222" i="1"/>
  <c r="I228" i="1"/>
  <c r="I234" i="1"/>
  <c r="I240" i="1"/>
  <c r="I246" i="1"/>
  <c r="I218" i="1"/>
  <c r="I230" i="1"/>
  <c r="I242" i="1"/>
  <c r="I217" i="1"/>
  <c r="I223" i="1"/>
  <c r="I229" i="1"/>
  <c r="I235" i="1"/>
  <c r="I241" i="1"/>
  <c r="I214" i="1"/>
  <c r="I224" i="1"/>
  <c r="I213" i="1"/>
  <c r="I236" i="1"/>
  <c r="I2" i="1"/>
  <c r="I29" i="1"/>
  <c r="I21" i="1"/>
  <c r="I68" i="1"/>
  <c r="I56" i="1"/>
  <c r="I44" i="1"/>
  <c r="I170" i="1"/>
  <c r="I158" i="1"/>
  <c r="I146" i="1"/>
  <c r="I204" i="1"/>
  <c r="I212" i="1"/>
  <c r="I345" i="1"/>
  <c r="I413" i="1"/>
  <c r="I163" i="1"/>
  <c r="I321" i="1"/>
  <c r="I180" i="1"/>
  <c r="I182" i="1"/>
  <c r="I188" i="1"/>
  <c r="I194" i="1"/>
  <c r="I200" i="1"/>
  <c r="I206" i="1"/>
  <c r="I179" i="1"/>
  <c r="I184" i="1"/>
  <c r="I196" i="1"/>
  <c r="I208" i="1"/>
  <c r="I183" i="1"/>
  <c r="I189" i="1"/>
  <c r="I195" i="1"/>
  <c r="I201" i="1"/>
  <c r="I207" i="1"/>
  <c r="I178" i="1"/>
  <c r="I190" i="1"/>
  <c r="I202" i="1"/>
  <c r="I177" i="1"/>
  <c r="I6" i="1"/>
  <c r="I12" i="1"/>
  <c r="I18" i="1"/>
  <c r="I24" i="1"/>
  <c r="I30" i="1"/>
  <c r="I36" i="1"/>
  <c r="I14" i="1"/>
  <c r="I7" i="1"/>
  <c r="I13" i="1"/>
  <c r="I19" i="1"/>
  <c r="I25" i="1"/>
  <c r="I31" i="1"/>
  <c r="I4" i="1"/>
  <c r="I8" i="1"/>
  <c r="I254" i="1"/>
  <c r="I260" i="1"/>
  <c r="I266" i="1"/>
  <c r="I272" i="1"/>
  <c r="I278" i="1"/>
  <c r="I247" i="1"/>
  <c r="I255" i="1"/>
  <c r="I261" i="1"/>
  <c r="I267" i="1"/>
  <c r="I273" i="1"/>
  <c r="I279" i="1"/>
  <c r="I250" i="1"/>
  <c r="I256" i="1"/>
  <c r="I262" i="1"/>
  <c r="I268" i="1"/>
  <c r="I274" i="1"/>
  <c r="I280" i="1"/>
  <c r="I264" i="1"/>
  <c r="I276" i="1"/>
  <c r="I251" i="1"/>
  <c r="I257" i="1"/>
  <c r="I263" i="1"/>
  <c r="I269" i="1"/>
  <c r="I275" i="1"/>
  <c r="I281" i="1"/>
  <c r="I252" i="1"/>
  <c r="I258" i="1"/>
  <c r="I270" i="1"/>
  <c r="I249" i="1"/>
  <c r="I3" i="1"/>
  <c r="I28" i="1"/>
  <c r="I20" i="1"/>
  <c r="I9" i="1"/>
  <c r="I67" i="1"/>
  <c r="I55" i="1"/>
  <c r="I169" i="1"/>
  <c r="I157" i="1"/>
  <c r="I203" i="1"/>
  <c r="I191" i="1"/>
  <c r="I243" i="1"/>
  <c r="I277" i="1"/>
  <c r="I339" i="1"/>
  <c r="I407" i="1"/>
  <c r="I231" i="1"/>
  <c r="I148" i="1"/>
  <c r="I154" i="1"/>
  <c r="I160" i="1"/>
  <c r="I166" i="1"/>
  <c r="I172" i="1"/>
  <c r="I143" i="1"/>
  <c r="I150" i="1"/>
  <c r="I156" i="1"/>
  <c r="I168" i="1"/>
  <c r="I149" i="1"/>
  <c r="I155" i="1"/>
  <c r="I161" i="1"/>
  <c r="I167" i="1"/>
  <c r="I173" i="1"/>
  <c r="I142" i="1"/>
  <c r="I162" i="1"/>
  <c r="I174" i="1"/>
  <c r="I175" i="1"/>
  <c r="I151" i="1"/>
  <c r="I225" i="1"/>
  <c r="I40" i="1"/>
  <c r="I46" i="1"/>
  <c r="I52" i="1"/>
  <c r="I58" i="1"/>
  <c r="I64" i="1"/>
  <c r="I70" i="1"/>
  <c r="I42" i="1"/>
  <c r="I54" i="1"/>
  <c r="I39" i="1"/>
  <c r="I41" i="1"/>
  <c r="I47" i="1"/>
  <c r="I53" i="1"/>
  <c r="I59" i="1"/>
  <c r="I65" i="1"/>
  <c r="I71" i="1"/>
  <c r="I48" i="1"/>
  <c r="I60" i="1"/>
  <c r="I66" i="1"/>
  <c r="I35" i="1"/>
  <c r="I27" i="1"/>
  <c r="I17" i="1"/>
  <c r="I5" i="1"/>
  <c r="I63" i="1"/>
  <c r="I51" i="1"/>
  <c r="I144" i="1"/>
  <c r="I165" i="1"/>
  <c r="I153" i="1"/>
  <c r="I211" i="1"/>
  <c r="I199" i="1"/>
  <c r="I187" i="1"/>
  <c r="I237" i="1"/>
  <c r="I271" i="1"/>
  <c r="I333" i="1"/>
  <c r="I401" i="1"/>
  <c r="I292" i="1"/>
  <c r="I286" i="1"/>
  <c r="I384" i="1"/>
  <c r="I378" i="1"/>
  <c r="I372" i="1"/>
  <c r="I366" i="1"/>
  <c r="I360" i="1"/>
  <c r="I105" i="1"/>
  <c r="I99" i="1"/>
  <c r="I93" i="1"/>
  <c r="I87" i="1"/>
  <c r="I81" i="1"/>
  <c r="I75" i="1"/>
  <c r="I139" i="1"/>
  <c r="I133" i="1"/>
  <c r="I127" i="1"/>
  <c r="I121" i="1"/>
  <c r="I115" i="1"/>
  <c r="I315" i="1"/>
  <c r="I309" i="1"/>
  <c r="I303" i="1"/>
  <c r="I297" i="1"/>
  <c r="I291" i="1"/>
  <c r="I285" i="1"/>
  <c r="I352" i="1"/>
  <c r="I383" i="1"/>
  <c r="I377" i="1"/>
  <c r="I371" i="1"/>
  <c r="I365" i="1"/>
  <c r="I359" i="1"/>
  <c r="I104" i="1"/>
  <c r="I98" i="1"/>
  <c r="I92" i="1"/>
  <c r="I86" i="1"/>
  <c r="I107" i="1"/>
  <c r="I138" i="1"/>
  <c r="I132" i="1"/>
  <c r="I126" i="1"/>
  <c r="I120" i="1"/>
  <c r="I314" i="1"/>
  <c r="I308" i="1"/>
  <c r="I302" i="1"/>
  <c r="I296" i="1"/>
  <c r="I290" i="1"/>
  <c r="I353" i="1"/>
  <c r="I382" i="1"/>
  <c r="I376" i="1"/>
  <c r="I370" i="1"/>
  <c r="I364" i="1"/>
  <c r="I358" i="1"/>
  <c r="I354" i="1"/>
  <c r="I381" i="1"/>
  <c r="I375" i="1"/>
  <c r="I369" i="1"/>
  <c r="I363" i="1"/>
  <c r="I357" i="1"/>
  <c r="I312" i="1"/>
  <c r="I306" i="1"/>
  <c r="I300" i="1"/>
  <c r="I294" i="1"/>
  <c r="I386" i="1"/>
  <c r="I380" i="1"/>
  <c r="I374" i="1"/>
  <c r="I368" i="1"/>
  <c r="I362" i="1"/>
</calcChain>
</file>

<file path=xl/sharedStrings.xml><?xml version="1.0" encoding="utf-8"?>
<sst xmlns="http://schemas.openxmlformats.org/spreadsheetml/2006/main" count="3385" uniqueCount="91">
  <si>
    <t>Oldname</t>
  </si>
  <si>
    <t>RUNINFO</t>
  </si>
  <si>
    <t>Name</t>
  </si>
  <si>
    <t>FA</t>
  </si>
  <si>
    <t>Treatment</t>
  </si>
  <si>
    <t>S_1</t>
  </si>
  <si>
    <t>C08:0</t>
  </si>
  <si>
    <t>SAFA</t>
  </si>
  <si>
    <t>NC</t>
  </si>
  <si>
    <t>C10:0</t>
  </si>
  <si>
    <t>C11:0</t>
  </si>
  <si>
    <t>C12:0</t>
  </si>
  <si>
    <t>C13:0</t>
  </si>
  <si>
    <t>C14:0</t>
  </si>
  <si>
    <t>C14:1</t>
  </si>
  <si>
    <t>MUFA</t>
  </si>
  <si>
    <t>C15:0</t>
  </si>
  <si>
    <t>C15:1</t>
  </si>
  <si>
    <t>C16:0</t>
  </si>
  <si>
    <t>C16:1</t>
  </si>
  <si>
    <t>C17:0</t>
  </si>
  <si>
    <t>C17:1</t>
  </si>
  <si>
    <t>C18:0</t>
  </si>
  <si>
    <t>C18:1</t>
  </si>
  <si>
    <t>C18:2(n-6t)</t>
  </si>
  <si>
    <t>PUFA</t>
  </si>
  <si>
    <t>C18:2(n-6c)</t>
  </si>
  <si>
    <t>C18:3(n-6)</t>
  </si>
  <si>
    <t>C18:3(n-3)</t>
  </si>
  <si>
    <t>C18:4(n-3)</t>
  </si>
  <si>
    <t>C20:0</t>
  </si>
  <si>
    <t>C20:1</t>
  </si>
  <si>
    <t>C20:2(n-6)</t>
  </si>
  <si>
    <t>C20:3(n-6)</t>
  </si>
  <si>
    <t>C20:4(n-6)</t>
  </si>
  <si>
    <t>C20:3(n-3)</t>
  </si>
  <si>
    <t>C21:0</t>
  </si>
  <si>
    <t>C20:5(n-3)</t>
  </si>
  <si>
    <t>C22:0</t>
  </si>
  <si>
    <t>C22:1</t>
  </si>
  <si>
    <t>C22:2</t>
  </si>
  <si>
    <t>C22:5(n-3)</t>
  </si>
  <si>
    <t>C22:6(n-3)</t>
  </si>
  <si>
    <t>C24:0</t>
  </si>
  <si>
    <t>C24:1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</si>
  <si>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</si>
  <si>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</si>
  <si>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</si>
  <si>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</si>
  <si>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</si>
  <si>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</si>
  <si>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</si>
  <si>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</si>
  <si>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</si>
  <si>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</si>
  <si>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Pro</t>
  </si>
  <si>
    <t>S_12</t>
  </si>
  <si>
    <t>FA_conc</t>
  </si>
  <si>
    <t>W1NC</t>
  </si>
  <si>
    <t>Week</t>
  </si>
  <si>
    <t>W1Cip</t>
  </si>
  <si>
    <t>W1Pro</t>
  </si>
  <si>
    <t>W1Mix</t>
  </si>
  <si>
    <t>W2NC</t>
  </si>
  <si>
    <t>W2Cip</t>
  </si>
  <si>
    <t>W2Pro</t>
  </si>
  <si>
    <t>W2Mix</t>
  </si>
  <si>
    <t>W3NC</t>
  </si>
  <si>
    <t>W3Cip</t>
  </si>
  <si>
    <t>W3Pro</t>
  </si>
  <si>
    <t>W3Mix</t>
  </si>
  <si>
    <t>Cip</t>
  </si>
  <si>
    <t>Mix</t>
  </si>
  <si>
    <t>relative [%]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</si>
  <si>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</si>
  <si>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</si>
  <si>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</si>
  <si>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</si>
  <si>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</si>
  <si>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</si>
  <si>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</si>
  <si>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</si>
  <si>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</si>
  <si>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</si>
  <si>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</si>
  <si>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</si>
  <si>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replicate</t>
  </si>
  <si>
    <t>fa</t>
  </si>
  <si>
    <t>week</t>
  </si>
  <si>
    <t>treatment</t>
  </si>
  <si>
    <t>fa_rel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</si>
</sst>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16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A0CD-D5D1-45B4-9CC5-BE7D5CB11F25}">
  <dimension ref="A1:K1050"/>
  <sheetViews>
    <sheetView topLeftCell="A407" workbookViewId="0">
      <selection activeCell="B1" sqref="B1:I421"/>
    </sheetView>
  </sheetViews>
  <sheetFormatPr baseColWidth="10" defaultRowHeight="14.5" x14ac:dyDescent="0.35"/>
  <cols>
    <col min="7" max="7" width="16.36328125" style="5" customWidth="1"/>
    <col min="9" max="9" width="11.81640625" bestFit="1" customWidth="1"/>
  </cols>
  <sheetData>
    <row r="1" spans="1:11" x14ac:dyDescent="0.35">
      <c r="A1" s="1" t="s">
        <v>0</v>
      </c>
      <c r="B1" s="2" t="s">
        <v>1</v>
      </c>
      <c r="C1" s="3" t="s">
        <v>2</v>
      </c>
      <c r="D1" s="6" t="s">
        <v>59</v>
      </c>
      <c r="E1" s="3" t="s">
        <v>3</v>
      </c>
      <c r="F1" s="2" t="s">
        <v>4</v>
      </c>
      <c r="G1" s="4" t="s">
        <v>57</v>
      </c>
      <c r="I1" t="s">
        <v>73</v>
      </c>
    </row>
    <row r="2" spans="1:11" x14ac:dyDescent="0.35">
      <c r="A2" t="s">
        <v>58</v>
      </c>
      <c r="B2" t="s">
        <v>5</v>
      </c>
      <c r="C2" t="s">
        <v>6</v>
      </c>
      <c r="D2">
        <v>1</v>
      </c>
      <c r="E2" t="s">
        <v>7</v>
      </c>
      <c r="F2" t="s">
        <v>8</v>
      </c>
      <c r="G2" s="5">
        <v>0.89162584999999961</v>
      </c>
      <c r="I2">
        <f>(G2/$K$2)*100</f>
        <v>2.1630188178012232E-2</v>
      </c>
      <c r="J2" t="s">
        <v>5</v>
      </c>
      <c r="K2" s="5">
        <f>SUM(G2:G36)</f>
        <v>4122.1363524999997</v>
      </c>
    </row>
    <row r="3" spans="1:11" x14ac:dyDescent="0.35">
      <c r="A3" t="s">
        <v>58</v>
      </c>
      <c r="B3" t="s">
        <v>5</v>
      </c>
      <c r="C3" t="s">
        <v>9</v>
      </c>
      <c r="D3">
        <v>1</v>
      </c>
      <c r="E3" t="s">
        <v>7</v>
      </c>
      <c r="F3" t="s">
        <v>8</v>
      </c>
      <c r="G3" s="5">
        <v>1.76392305</v>
      </c>
      <c r="I3">
        <f>(G3/$K$2)*100</f>
        <v>4.2791477504867427E-2</v>
      </c>
      <c r="J3" t="s">
        <v>45</v>
      </c>
      <c r="K3" s="5">
        <f>SUM(G37:G71)</f>
        <v>3489.2473946999999</v>
      </c>
    </row>
    <row r="4" spans="1:11" x14ac:dyDescent="0.35">
      <c r="A4" t="s">
        <v>58</v>
      </c>
      <c r="B4" t="s">
        <v>5</v>
      </c>
      <c r="C4" t="s">
        <v>10</v>
      </c>
      <c r="D4">
        <v>1</v>
      </c>
      <c r="E4" t="s">
        <v>7</v>
      </c>
      <c r="F4" t="s">
        <v>8</v>
      </c>
      <c r="G4" s="5">
        <v>0.1310791</v>
      </c>
      <c r="I4">
        <f>(G4/$K$2)*100</f>
        <v>3.1798826819618166E-3</v>
      </c>
      <c r="J4" t="s">
        <v>46</v>
      </c>
      <c r="K4" s="5">
        <f>SUM(G72:G106)</f>
        <v>4591.6936457499996</v>
      </c>
    </row>
    <row r="5" spans="1:11" x14ac:dyDescent="0.35">
      <c r="A5" t="s">
        <v>58</v>
      </c>
      <c r="B5" t="s">
        <v>5</v>
      </c>
      <c r="C5" t="s">
        <v>11</v>
      </c>
      <c r="D5">
        <v>1</v>
      </c>
      <c r="E5" t="s">
        <v>7</v>
      </c>
      <c r="F5" t="s">
        <v>8</v>
      </c>
      <c r="G5" s="5">
        <v>8.6738770000000009</v>
      </c>
      <c r="I5">
        <f t="shared" ref="I5:I36" si="0">(G5/$K$2)*100</f>
        <v>0.21042188463124115</v>
      </c>
      <c r="J5" t="s">
        <v>47</v>
      </c>
      <c r="K5" s="5">
        <f>SUM(G107:G141)</f>
        <v>3676.3439677500005</v>
      </c>
    </row>
    <row r="6" spans="1:11" x14ac:dyDescent="0.35">
      <c r="A6" t="s">
        <v>58</v>
      </c>
      <c r="B6" t="s">
        <v>5</v>
      </c>
      <c r="C6" t="s">
        <v>12</v>
      </c>
      <c r="D6">
        <v>1</v>
      </c>
      <c r="E6" t="s">
        <v>7</v>
      </c>
      <c r="F6" t="s">
        <v>8</v>
      </c>
      <c r="G6" s="5">
        <v>44.997011550000003</v>
      </c>
      <c r="I6">
        <f t="shared" si="0"/>
        <v>1.0915944476875479</v>
      </c>
      <c r="J6" t="s">
        <v>48</v>
      </c>
      <c r="K6" s="5">
        <f>SUM(G142:G176)</f>
        <v>5708.4347797</v>
      </c>
    </row>
    <row r="7" spans="1:11" x14ac:dyDescent="0.35">
      <c r="A7" t="s">
        <v>58</v>
      </c>
      <c r="B7" t="s">
        <v>5</v>
      </c>
      <c r="C7" t="s">
        <v>13</v>
      </c>
      <c r="D7">
        <v>1</v>
      </c>
      <c r="E7" t="s">
        <v>7</v>
      </c>
      <c r="F7" t="s">
        <v>8</v>
      </c>
      <c r="G7" s="5">
        <v>130.34603924999999</v>
      </c>
      <c r="I7">
        <f t="shared" si="0"/>
        <v>3.162099166635949</v>
      </c>
      <c r="J7" t="s">
        <v>49</v>
      </c>
      <c r="K7" s="5">
        <f>SUM(G177:G211)</f>
        <v>5016.5624883999999</v>
      </c>
    </row>
    <row r="8" spans="1:11" x14ac:dyDescent="0.35">
      <c r="A8" t="s">
        <v>58</v>
      </c>
      <c r="B8" t="s">
        <v>5</v>
      </c>
      <c r="C8" t="s">
        <v>14</v>
      </c>
      <c r="D8">
        <v>1</v>
      </c>
      <c r="E8" t="s">
        <v>15</v>
      </c>
      <c r="F8" t="s">
        <v>8</v>
      </c>
      <c r="G8" s="5">
        <v>0</v>
      </c>
      <c r="I8">
        <f t="shared" si="0"/>
        <v>0</v>
      </c>
      <c r="J8" t="s">
        <v>50</v>
      </c>
      <c r="K8" s="5">
        <f>SUM(G212:G246)</f>
        <v>3368.9030839999996</v>
      </c>
    </row>
    <row r="9" spans="1:11" x14ac:dyDescent="0.35">
      <c r="A9" t="s">
        <v>58</v>
      </c>
      <c r="B9" t="s">
        <v>5</v>
      </c>
      <c r="C9" t="s">
        <v>16</v>
      </c>
      <c r="D9">
        <v>1</v>
      </c>
      <c r="E9" t="s">
        <v>7</v>
      </c>
      <c r="F9" t="s">
        <v>8</v>
      </c>
      <c r="G9" s="5">
        <v>5.526751</v>
      </c>
      <c r="I9">
        <f t="shared" si="0"/>
        <v>0.13407491958989001</v>
      </c>
      <c r="J9" t="s">
        <v>51</v>
      </c>
      <c r="K9" s="5">
        <f>SUM(G247:G281)</f>
        <v>2832.8672621499991</v>
      </c>
    </row>
    <row r="10" spans="1:11" x14ac:dyDescent="0.35">
      <c r="A10" t="s">
        <v>58</v>
      </c>
      <c r="B10" t="s">
        <v>5</v>
      </c>
      <c r="C10" t="s">
        <v>17</v>
      </c>
      <c r="D10">
        <v>1</v>
      </c>
      <c r="E10" t="s">
        <v>15</v>
      </c>
      <c r="F10" t="s">
        <v>8</v>
      </c>
      <c r="G10" s="5">
        <v>0</v>
      </c>
      <c r="I10">
        <f t="shared" si="0"/>
        <v>0</v>
      </c>
      <c r="J10" t="s">
        <v>52</v>
      </c>
      <c r="K10" s="5">
        <f>SUM(G282:G316)</f>
        <v>7641.3224007500003</v>
      </c>
    </row>
    <row r="11" spans="1:11" x14ac:dyDescent="0.35">
      <c r="A11" t="s">
        <v>58</v>
      </c>
      <c r="B11" t="s">
        <v>5</v>
      </c>
      <c r="C11" t="s">
        <v>18</v>
      </c>
      <c r="D11">
        <v>1</v>
      </c>
      <c r="E11" t="s">
        <v>7</v>
      </c>
      <c r="F11" t="s">
        <v>8</v>
      </c>
      <c r="G11" s="5">
        <v>1316.9651500999998</v>
      </c>
      <c r="I11">
        <f t="shared" si="0"/>
        <v>31.948607165827614</v>
      </c>
      <c r="J11" t="s">
        <v>53</v>
      </c>
      <c r="K11" s="5">
        <f>SUM(G317:G318)+SUM(G320:G341)+SUM(G343:G351)</f>
        <v>7291.2835388500007</v>
      </c>
    </row>
    <row r="12" spans="1:11" x14ac:dyDescent="0.35">
      <c r="A12" t="s">
        <v>58</v>
      </c>
      <c r="B12" t="s">
        <v>5</v>
      </c>
      <c r="C12" t="s">
        <v>19</v>
      </c>
      <c r="D12">
        <v>1</v>
      </c>
      <c r="E12" t="s">
        <v>15</v>
      </c>
      <c r="F12" t="s">
        <v>8</v>
      </c>
      <c r="G12" s="5">
        <v>206.47587245</v>
      </c>
      <c r="I12">
        <f t="shared" si="0"/>
        <v>5.0089529989656016</v>
      </c>
      <c r="J12" t="s">
        <v>54</v>
      </c>
      <c r="K12" s="5">
        <f>SUM(G352:G386)</f>
        <v>8252.6563504499991</v>
      </c>
    </row>
    <row r="13" spans="1:11" x14ac:dyDescent="0.35">
      <c r="A13" t="s">
        <v>58</v>
      </c>
      <c r="B13" t="s">
        <v>5</v>
      </c>
      <c r="C13" t="s">
        <v>20</v>
      </c>
      <c r="D13">
        <v>1</v>
      </c>
      <c r="E13" t="s">
        <v>7</v>
      </c>
      <c r="F13" t="s">
        <v>8</v>
      </c>
      <c r="G13" s="5">
        <v>5.7750851000000001</v>
      </c>
      <c r="I13">
        <f t="shared" si="0"/>
        <v>0.14009932244229423</v>
      </c>
      <c r="J13" t="s">
        <v>56</v>
      </c>
      <c r="K13" s="5">
        <f>SUM(G387:G388)+SUM(G390:G421)</f>
        <v>9153.8089897499995</v>
      </c>
    </row>
    <row r="14" spans="1:11" x14ac:dyDescent="0.35">
      <c r="A14" t="s">
        <v>58</v>
      </c>
      <c r="B14" t="s">
        <v>5</v>
      </c>
      <c r="C14" t="s">
        <v>21</v>
      </c>
      <c r="D14">
        <v>1</v>
      </c>
      <c r="E14" t="s">
        <v>15</v>
      </c>
      <c r="F14" t="s">
        <v>8</v>
      </c>
      <c r="G14" s="5">
        <v>6.9712641</v>
      </c>
      <c r="I14">
        <f t="shared" si="0"/>
        <v>0.16911774633005666</v>
      </c>
    </row>
    <row r="15" spans="1:11" x14ac:dyDescent="0.35">
      <c r="A15" t="s">
        <v>58</v>
      </c>
      <c r="B15" t="s">
        <v>5</v>
      </c>
      <c r="C15" t="s">
        <v>22</v>
      </c>
      <c r="D15">
        <v>1</v>
      </c>
      <c r="E15" t="s">
        <v>7</v>
      </c>
      <c r="F15" t="s">
        <v>8</v>
      </c>
      <c r="G15" s="5">
        <v>138.91517720000004</v>
      </c>
      <c r="I15">
        <f t="shared" si="0"/>
        <v>3.3699801588501686</v>
      </c>
    </row>
    <row r="16" spans="1:11" x14ac:dyDescent="0.35">
      <c r="A16" t="s">
        <v>58</v>
      </c>
      <c r="B16" t="s">
        <v>5</v>
      </c>
      <c r="C16" t="s">
        <v>23</v>
      </c>
      <c r="D16">
        <v>1</v>
      </c>
      <c r="E16" t="s">
        <v>15</v>
      </c>
      <c r="F16" t="s">
        <v>8</v>
      </c>
      <c r="G16" s="5">
        <v>606.51014105000002</v>
      </c>
      <c r="I16">
        <f t="shared" si="0"/>
        <v>14.713490510379716</v>
      </c>
    </row>
    <row r="17" spans="1:9" x14ac:dyDescent="0.35">
      <c r="A17" t="s">
        <v>58</v>
      </c>
      <c r="B17" t="s">
        <v>5</v>
      </c>
      <c r="C17" t="s">
        <v>24</v>
      </c>
      <c r="D17">
        <v>1</v>
      </c>
      <c r="E17" t="s">
        <v>25</v>
      </c>
      <c r="F17" t="s">
        <v>8</v>
      </c>
      <c r="G17" s="5">
        <v>0</v>
      </c>
      <c r="I17">
        <f t="shared" si="0"/>
        <v>0</v>
      </c>
    </row>
    <row r="18" spans="1:9" x14ac:dyDescent="0.35">
      <c r="A18" t="s">
        <v>58</v>
      </c>
      <c r="B18" t="s">
        <v>5</v>
      </c>
      <c r="C18" t="s">
        <v>26</v>
      </c>
      <c r="D18">
        <v>1</v>
      </c>
      <c r="E18" t="s">
        <v>25</v>
      </c>
      <c r="F18" t="s">
        <v>8</v>
      </c>
      <c r="G18" s="5">
        <v>598.57039005000001</v>
      </c>
      <c r="I18">
        <f t="shared" si="0"/>
        <v>14.520877983256863</v>
      </c>
    </row>
    <row r="19" spans="1:9" x14ac:dyDescent="0.35">
      <c r="A19" t="s">
        <v>58</v>
      </c>
      <c r="B19" t="s">
        <v>5</v>
      </c>
      <c r="C19" t="s">
        <v>27</v>
      </c>
      <c r="D19">
        <v>1</v>
      </c>
      <c r="E19" t="s">
        <v>25</v>
      </c>
      <c r="F19" t="s">
        <v>8</v>
      </c>
      <c r="G19" s="5">
        <v>52.230553</v>
      </c>
      <c r="I19">
        <f t="shared" si="0"/>
        <v>1.2670748498730064</v>
      </c>
    </row>
    <row r="20" spans="1:9" x14ac:dyDescent="0.35">
      <c r="A20" t="s">
        <v>58</v>
      </c>
      <c r="B20" t="s">
        <v>5</v>
      </c>
      <c r="C20" t="s">
        <v>28</v>
      </c>
      <c r="D20">
        <v>1</v>
      </c>
      <c r="E20" t="s">
        <v>25</v>
      </c>
      <c r="F20" t="s">
        <v>8</v>
      </c>
      <c r="G20" s="5">
        <v>793.95238565</v>
      </c>
      <c r="I20">
        <f t="shared" si="0"/>
        <v>19.260701678838995</v>
      </c>
    </row>
    <row r="21" spans="1:9" x14ac:dyDescent="0.35">
      <c r="A21" t="s">
        <v>58</v>
      </c>
      <c r="B21" t="s">
        <v>5</v>
      </c>
      <c r="C21" t="s">
        <v>29</v>
      </c>
      <c r="D21">
        <v>1</v>
      </c>
      <c r="E21" t="s">
        <v>25</v>
      </c>
      <c r="F21" t="s">
        <v>8</v>
      </c>
      <c r="G21" s="5">
        <v>59.614391900000001</v>
      </c>
      <c r="I21">
        <f t="shared" si="0"/>
        <v>1.4462013577946049</v>
      </c>
    </row>
    <row r="22" spans="1:9" x14ac:dyDescent="0.35">
      <c r="A22" t="s">
        <v>58</v>
      </c>
      <c r="B22" t="s">
        <v>5</v>
      </c>
      <c r="C22" t="s">
        <v>30</v>
      </c>
      <c r="D22">
        <v>1</v>
      </c>
      <c r="E22" t="s">
        <v>7</v>
      </c>
      <c r="F22" t="s">
        <v>8</v>
      </c>
      <c r="G22" s="5">
        <v>18.263874099999999</v>
      </c>
      <c r="I22">
        <f t="shared" si="0"/>
        <v>0.44306816995326459</v>
      </c>
    </row>
    <row r="23" spans="1:9" x14ac:dyDescent="0.35">
      <c r="A23" t="s">
        <v>58</v>
      </c>
      <c r="B23" t="s">
        <v>5</v>
      </c>
      <c r="C23" t="s">
        <v>31</v>
      </c>
      <c r="D23">
        <v>1</v>
      </c>
      <c r="E23" t="s">
        <v>15</v>
      </c>
      <c r="F23" t="s">
        <v>8</v>
      </c>
      <c r="G23" s="5">
        <v>12.8545482</v>
      </c>
      <c r="I23">
        <f t="shared" si="0"/>
        <v>0.31184189703487009</v>
      </c>
    </row>
    <row r="24" spans="1:9" x14ac:dyDescent="0.35">
      <c r="A24" t="s">
        <v>58</v>
      </c>
      <c r="B24" t="s">
        <v>5</v>
      </c>
      <c r="C24" t="s">
        <v>32</v>
      </c>
      <c r="D24">
        <v>1</v>
      </c>
      <c r="E24" t="s">
        <v>25</v>
      </c>
      <c r="F24" t="s">
        <v>8</v>
      </c>
      <c r="G24" s="5">
        <v>8.5298642499999993</v>
      </c>
      <c r="I24">
        <f t="shared" si="0"/>
        <v>0.20692824110068059</v>
      </c>
    </row>
    <row r="25" spans="1:9" x14ac:dyDescent="0.35">
      <c r="A25" t="s">
        <v>58</v>
      </c>
      <c r="B25" t="s">
        <v>5</v>
      </c>
      <c r="C25" t="s">
        <v>33</v>
      </c>
      <c r="D25">
        <v>1</v>
      </c>
      <c r="E25" t="s">
        <v>25</v>
      </c>
      <c r="F25" t="s">
        <v>8</v>
      </c>
      <c r="G25" s="5">
        <v>2.2299958500000003</v>
      </c>
      <c r="I25">
        <f t="shared" si="0"/>
        <v>5.4098061279500106E-2</v>
      </c>
    </row>
    <row r="26" spans="1:9" x14ac:dyDescent="0.35">
      <c r="A26" t="s">
        <v>58</v>
      </c>
      <c r="B26" t="s">
        <v>5</v>
      </c>
      <c r="C26" t="s">
        <v>34</v>
      </c>
      <c r="D26">
        <v>1</v>
      </c>
      <c r="E26" t="s">
        <v>25</v>
      </c>
      <c r="F26" t="s">
        <v>8</v>
      </c>
      <c r="G26" s="5">
        <v>16.915151000000002</v>
      </c>
      <c r="I26">
        <f t="shared" si="0"/>
        <v>0.41034913825063729</v>
      </c>
    </row>
    <row r="27" spans="1:9" x14ac:dyDescent="0.35">
      <c r="A27" t="s">
        <v>58</v>
      </c>
      <c r="B27" t="s">
        <v>5</v>
      </c>
      <c r="C27" t="s">
        <v>35</v>
      </c>
      <c r="D27">
        <v>1</v>
      </c>
      <c r="E27" t="s">
        <v>25</v>
      </c>
      <c r="F27" t="s">
        <v>8</v>
      </c>
      <c r="G27" s="5">
        <v>0</v>
      </c>
      <c r="I27">
        <f t="shared" si="0"/>
        <v>0</v>
      </c>
    </row>
    <row r="28" spans="1:9" x14ac:dyDescent="0.35">
      <c r="A28" t="s">
        <v>58</v>
      </c>
      <c r="B28" t="s">
        <v>5</v>
      </c>
      <c r="C28" t="s">
        <v>36</v>
      </c>
      <c r="D28">
        <v>1</v>
      </c>
      <c r="E28" t="s">
        <v>7</v>
      </c>
      <c r="F28" t="s">
        <v>8</v>
      </c>
      <c r="G28" s="5">
        <v>0</v>
      </c>
      <c r="I28">
        <f t="shared" si="0"/>
        <v>0</v>
      </c>
    </row>
    <row r="29" spans="1:9" x14ac:dyDescent="0.35">
      <c r="A29" t="s">
        <v>58</v>
      </c>
      <c r="B29" t="s">
        <v>5</v>
      </c>
      <c r="C29" t="s">
        <v>37</v>
      </c>
      <c r="D29">
        <v>1</v>
      </c>
      <c r="E29" t="s">
        <v>25</v>
      </c>
      <c r="F29" t="s">
        <v>8</v>
      </c>
      <c r="G29" s="5">
        <v>46.308049700000005</v>
      </c>
      <c r="I29">
        <f t="shared" si="0"/>
        <v>1.1233992701846223</v>
      </c>
    </row>
    <row r="30" spans="1:9" x14ac:dyDescent="0.35">
      <c r="A30" t="s">
        <v>58</v>
      </c>
      <c r="B30" t="s">
        <v>5</v>
      </c>
      <c r="C30" t="s">
        <v>38</v>
      </c>
      <c r="D30">
        <v>1</v>
      </c>
      <c r="E30" t="s">
        <v>7</v>
      </c>
      <c r="F30" t="s">
        <v>8</v>
      </c>
      <c r="G30" s="5">
        <v>3.8749283999999999</v>
      </c>
      <c r="I30">
        <f t="shared" si="0"/>
        <v>9.4002916658735156E-2</v>
      </c>
    </row>
    <row r="31" spans="1:9" x14ac:dyDescent="0.35">
      <c r="A31" t="s">
        <v>58</v>
      </c>
      <c r="B31" t="s">
        <v>5</v>
      </c>
      <c r="C31" t="s">
        <v>39</v>
      </c>
      <c r="D31">
        <v>1</v>
      </c>
      <c r="E31" t="s">
        <v>15</v>
      </c>
      <c r="F31" t="s">
        <v>8</v>
      </c>
      <c r="G31" s="5">
        <v>0</v>
      </c>
      <c r="I31">
        <f t="shared" si="0"/>
        <v>0</v>
      </c>
    </row>
    <row r="32" spans="1:9" x14ac:dyDescent="0.35">
      <c r="A32" t="s">
        <v>58</v>
      </c>
      <c r="B32" t="s">
        <v>5</v>
      </c>
      <c r="C32" t="s">
        <v>40</v>
      </c>
      <c r="D32">
        <v>1</v>
      </c>
      <c r="E32" t="s">
        <v>25</v>
      </c>
      <c r="F32" t="s">
        <v>8</v>
      </c>
      <c r="G32" s="5">
        <v>4.0395000000004178E-4</v>
      </c>
      <c r="I32">
        <f t="shared" si="0"/>
        <v>9.7995302788820542E-6</v>
      </c>
    </row>
    <row r="33" spans="1:9" x14ac:dyDescent="0.35">
      <c r="A33" t="s">
        <v>58</v>
      </c>
      <c r="B33" t="s">
        <v>5</v>
      </c>
      <c r="C33" t="s">
        <v>41</v>
      </c>
      <c r="D33">
        <v>1</v>
      </c>
      <c r="E33" t="s">
        <v>25</v>
      </c>
      <c r="F33" t="s">
        <v>8</v>
      </c>
      <c r="G33" s="5">
        <v>0</v>
      </c>
      <c r="I33">
        <f t="shared" si="0"/>
        <v>0</v>
      </c>
    </row>
    <row r="34" spans="1:9" x14ac:dyDescent="0.35">
      <c r="A34" t="s">
        <v>58</v>
      </c>
      <c r="B34" t="s">
        <v>5</v>
      </c>
      <c r="C34" t="s">
        <v>42</v>
      </c>
      <c r="D34">
        <v>1</v>
      </c>
      <c r="E34" t="s">
        <v>25</v>
      </c>
      <c r="F34" t="s">
        <v>8</v>
      </c>
      <c r="G34" s="5">
        <v>2.8307217000000002</v>
      </c>
      <c r="I34">
        <f t="shared" si="0"/>
        <v>6.8671229137852743E-2</v>
      </c>
    </row>
    <row r="35" spans="1:9" x14ac:dyDescent="0.35">
      <c r="A35" t="s">
        <v>58</v>
      </c>
      <c r="B35" t="s">
        <v>5</v>
      </c>
      <c r="C35" t="s">
        <v>43</v>
      </c>
      <c r="D35">
        <v>1</v>
      </c>
      <c r="E35" t="s">
        <v>7</v>
      </c>
      <c r="F35" t="s">
        <v>8</v>
      </c>
      <c r="G35" s="5">
        <v>32.018097949999998</v>
      </c>
      <c r="I35">
        <f t="shared" si="0"/>
        <v>0.77673553740117329</v>
      </c>
    </row>
    <row r="36" spans="1:9" x14ac:dyDescent="0.35">
      <c r="A36" t="s">
        <v>58</v>
      </c>
      <c r="B36" t="s">
        <v>5</v>
      </c>
      <c r="C36" t="s">
        <v>44</v>
      </c>
      <c r="D36">
        <v>1</v>
      </c>
      <c r="E36" t="s">
        <v>15</v>
      </c>
      <c r="F36" t="s">
        <v>8</v>
      </c>
      <c r="G36" s="5">
        <v>0</v>
      </c>
      <c r="I36">
        <f t="shared" si="0"/>
        <v>0</v>
      </c>
    </row>
    <row r="37" spans="1:9" x14ac:dyDescent="0.35">
      <c r="A37" t="s">
        <v>60</v>
      </c>
      <c r="B37" t="s">
        <v>45</v>
      </c>
      <c r="C37" t="s">
        <v>6</v>
      </c>
      <c r="D37">
        <v>1</v>
      </c>
      <c r="E37" t="s">
        <v>7</v>
      </c>
      <c r="F37" t="s">
        <v>71</v>
      </c>
      <c r="G37" s="5">
        <v>2.2746999999996298E-3</v>
      </c>
      <c r="I37">
        <f>(G37/$K$3)*100</f>
        <v>6.5191708775215839E-5</v>
      </c>
    </row>
    <row r="38" spans="1:9" x14ac:dyDescent="0.35">
      <c r="A38" t="s">
        <v>60</v>
      </c>
      <c r="B38" t="s">
        <v>45</v>
      </c>
      <c r="C38" t="s">
        <v>9</v>
      </c>
      <c r="D38">
        <v>1</v>
      </c>
      <c r="E38" t="s">
        <v>7</v>
      </c>
      <c r="F38" t="s">
        <v>71</v>
      </c>
      <c r="G38" s="5">
        <v>0</v>
      </c>
      <c r="I38">
        <f>(G38/$K$3)*100</f>
        <v>0</v>
      </c>
    </row>
    <row r="39" spans="1:9" x14ac:dyDescent="0.35">
      <c r="A39" t="s">
        <v>60</v>
      </c>
      <c r="B39" t="s">
        <v>45</v>
      </c>
      <c r="C39" t="s">
        <v>10</v>
      </c>
      <c r="D39">
        <v>1</v>
      </c>
      <c r="E39" t="s">
        <v>7</v>
      </c>
      <c r="F39" t="s">
        <v>71</v>
      </c>
      <c r="G39" s="5">
        <v>0</v>
      </c>
      <c r="I39">
        <f>(G39/$K$3)*100</f>
        <v>0</v>
      </c>
    </row>
    <row r="40" spans="1:9" x14ac:dyDescent="0.35">
      <c r="A40" t="s">
        <v>60</v>
      </c>
      <c r="B40" t="s">
        <v>45</v>
      </c>
      <c r="C40" t="s">
        <v>11</v>
      </c>
      <c r="D40">
        <v>1</v>
      </c>
      <c r="E40" t="s">
        <v>7</v>
      </c>
      <c r="F40" t="s">
        <v>71</v>
      </c>
      <c r="G40" s="5">
        <v>1.7394983500000001</v>
      </c>
      <c r="I40">
        <f t="shared" ref="I40:I71" si="1">(G40/$K$3)*100</f>
        <v>4.985311023351955E-2</v>
      </c>
    </row>
    <row r="41" spans="1:9" x14ac:dyDescent="0.35">
      <c r="A41" t="s">
        <v>60</v>
      </c>
      <c r="B41" t="s">
        <v>45</v>
      </c>
      <c r="C41" t="s">
        <v>12</v>
      </c>
      <c r="D41">
        <v>1</v>
      </c>
      <c r="E41" t="s">
        <v>7</v>
      </c>
      <c r="F41" t="s">
        <v>71</v>
      </c>
      <c r="G41" s="5">
        <v>38.258349299999999</v>
      </c>
      <c r="I41">
        <f t="shared" si="1"/>
        <v>1.0964642220013576</v>
      </c>
    </row>
    <row r="42" spans="1:9" x14ac:dyDescent="0.35">
      <c r="A42" t="s">
        <v>60</v>
      </c>
      <c r="B42" t="s">
        <v>45</v>
      </c>
      <c r="C42" t="s">
        <v>13</v>
      </c>
      <c r="D42">
        <v>1</v>
      </c>
      <c r="E42" t="s">
        <v>7</v>
      </c>
      <c r="F42" t="s">
        <v>71</v>
      </c>
      <c r="G42" s="5">
        <v>134.2914912</v>
      </c>
      <c r="I42">
        <f t="shared" si="1"/>
        <v>3.8487236933667228</v>
      </c>
    </row>
    <row r="43" spans="1:9" x14ac:dyDescent="0.35">
      <c r="A43" t="s">
        <v>60</v>
      </c>
      <c r="B43" t="s">
        <v>45</v>
      </c>
      <c r="C43" t="s">
        <v>14</v>
      </c>
      <c r="D43">
        <v>1</v>
      </c>
      <c r="E43" t="s">
        <v>15</v>
      </c>
      <c r="F43" t="s">
        <v>71</v>
      </c>
      <c r="G43" s="5">
        <v>0</v>
      </c>
      <c r="I43">
        <f t="shared" si="1"/>
        <v>0</v>
      </c>
    </row>
    <row r="44" spans="1:9" x14ac:dyDescent="0.35">
      <c r="A44" t="s">
        <v>60</v>
      </c>
      <c r="B44" t="s">
        <v>45</v>
      </c>
      <c r="C44" t="s">
        <v>16</v>
      </c>
      <c r="D44">
        <v>1</v>
      </c>
      <c r="E44" t="s">
        <v>7</v>
      </c>
      <c r="F44" t="s">
        <v>71</v>
      </c>
      <c r="G44" s="5">
        <v>5.7627848000000004</v>
      </c>
      <c r="I44">
        <f t="shared" si="1"/>
        <v>0.1651583894209793</v>
      </c>
    </row>
    <row r="45" spans="1:9" x14ac:dyDescent="0.35">
      <c r="A45" t="s">
        <v>60</v>
      </c>
      <c r="B45" t="s">
        <v>45</v>
      </c>
      <c r="C45" t="s">
        <v>17</v>
      </c>
      <c r="D45">
        <v>1</v>
      </c>
      <c r="E45" t="s">
        <v>15</v>
      </c>
      <c r="F45" t="s">
        <v>71</v>
      </c>
      <c r="G45" s="5">
        <v>0</v>
      </c>
      <c r="I45">
        <f t="shared" si="1"/>
        <v>0</v>
      </c>
    </row>
    <row r="46" spans="1:9" x14ac:dyDescent="0.35">
      <c r="A46" t="s">
        <v>60</v>
      </c>
      <c r="B46" t="s">
        <v>45</v>
      </c>
      <c r="C46" t="s">
        <v>18</v>
      </c>
      <c r="D46">
        <v>1</v>
      </c>
      <c r="E46" t="s">
        <v>7</v>
      </c>
      <c r="F46" t="s">
        <v>71</v>
      </c>
      <c r="G46" s="5">
        <v>1055.7572679499999</v>
      </c>
      <c r="I46">
        <f t="shared" si="1"/>
        <v>30.257449487635778</v>
      </c>
    </row>
    <row r="47" spans="1:9" x14ac:dyDescent="0.35">
      <c r="A47" t="s">
        <v>60</v>
      </c>
      <c r="B47" t="s">
        <v>45</v>
      </c>
      <c r="C47" t="s">
        <v>19</v>
      </c>
      <c r="D47">
        <v>1</v>
      </c>
      <c r="E47" t="s">
        <v>15</v>
      </c>
      <c r="F47" t="s">
        <v>71</v>
      </c>
      <c r="G47" s="5">
        <v>261.22989645000001</v>
      </c>
      <c r="I47">
        <f t="shared" si="1"/>
        <v>7.4867118005675302</v>
      </c>
    </row>
    <row r="48" spans="1:9" x14ac:dyDescent="0.35">
      <c r="A48" t="s">
        <v>60</v>
      </c>
      <c r="B48" t="s">
        <v>45</v>
      </c>
      <c r="C48" t="s">
        <v>20</v>
      </c>
      <c r="D48">
        <v>1</v>
      </c>
      <c r="E48" t="s">
        <v>7</v>
      </c>
      <c r="F48" t="s">
        <v>71</v>
      </c>
      <c r="G48" s="5">
        <v>3.5795652000000002</v>
      </c>
      <c r="I48">
        <f t="shared" si="1"/>
        <v>0.1025884609224668</v>
      </c>
    </row>
    <row r="49" spans="1:9" x14ac:dyDescent="0.35">
      <c r="A49" t="s">
        <v>60</v>
      </c>
      <c r="B49" t="s">
        <v>45</v>
      </c>
      <c r="C49" t="s">
        <v>21</v>
      </c>
      <c r="D49">
        <v>1</v>
      </c>
      <c r="E49" t="s">
        <v>15</v>
      </c>
      <c r="F49" t="s">
        <v>71</v>
      </c>
      <c r="G49" s="5">
        <v>6.3968363999999998</v>
      </c>
      <c r="I49">
        <f t="shared" si="1"/>
        <v>0.18332997567660259</v>
      </c>
    </row>
    <row r="50" spans="1:9" x14ac:dyDescent="0.35">
      <c r="A50" t="s">
        <v>60</v>
      </c>
      <c r="B50" t="s">
        <v>45</v>
      </c>
      <c r="C50" t="s">
        <v>22</v>
      </c>
      <c r="D50">
        <v>1</v>
      </c>
      <c r="E50" t="s">
        <v>7</v>
      </c>
      <c r="F50" t="s">
        <v>71</v>
      </c>
      <c r="G50" s="5">
        <v>40.966901400000012</v>
      </c>
      <c r="I50">
        <f t="shared" si="1"/>
        <v>1.1740899043795743</v>
      </c>
    </row>
    <row r="51" spans="1:9" x14ac:dyDescent="0.35">
      <c r="A51" t="s">
        <v>60</v>
      </c>
      <c r="B51" t="s">
        <v>45</v>
      </c>
      <c r="C51" t="s">
        <v>23</v>
      </c>
      <c r="D51">
        <v>1</v>
      </c>
      <c r="E51" t="s">
        <v>15</v>
      </c>
      <c r="F51" t="s">
        <v>71</v>
      </c>
      <c r="G51" s="5">
        <v>427.92683834999997</v>
      </c>
      <c r="I51">
        <f t="shared" si="1"/>
        <v>12.264158712277048</v>
      </c>
    </row>
    <row r="52" spans="1:9" x14ac:dyDescent="0.35">
      <c r="A52" t="s">
        <v>60</v>
      </c>
      <c r="B52" t="s">
        <v>45</v>
      </c>
      <c r="C52" t="s">
        <v>24</v>
      </c>
      <c r="D52">
        <v>1</v>
      </c>
      <c r="E52" t="s">
        <v>25</v>
      </c>
      <c r="F52" t="s">
        <v>71</v>
      </c>
      <c r="G52" s="5">
        <v>0</v>
      </c>
      <c r="I52">
        <f t="shared" si="1"/>
        <v>0</v>
      </c>
    </row>
    <row r="53" spans="1:9" x14ac:dyDescent="0.35">
      <c r="A53" t="s">
        <v>60</v>
      </c>
      <c r="B53" t="s">
        <v>45</v>
      </c>
      <c r="C53" t="s">
        <v>26</v>
      </c>
      <c r="D53">
        <v>1</v>
      </c>
      <c r="E53" t="s">
        <v>25</v>
      </c>
      <c r="F53" t="s">
        <v>71</v>
      </c>
      <c r="G53" s="5">
        <v>527.71017690000008</v>
      </c>
      <c r="I53">
        <f t="shared" si="1"/>
        <v>15.123896852414839</v>
      </c>
    </row>
    <row r="54" spans="1:9" x14ac:dyDescent="0.35">
      <c r="A54" t="s">
        <v>60</v>
      </c>
      <c r="B54" t="s">
        <v>45</v>
      </c>
      <c r="C54" t="s">
        <v>27</v>
      </c>
      <c r="D54">
        <v>1</v>
      </c>
      <c r="E54" t="s">
        <v>25</v>
      </c>
      <c r="F54" t="s">
        <v>71</v>
      </c>
      <c r="G54" s="5">
        <v>72.427268549999994</v>
      </c>
      <c r="I54">
        <f t="shared" si="1"/>
        <v>2.0757275239357793</v>
      </c>
    </row>
    <row r="55" spans="1:9" x14ac:dyDescent="0.35">
      <c r="A55" t="s">
        <v>60</v>
      </c>
      <c r="B55" t="s">
        <v>45</v>
      </c>
      <c r="C55" t="s">
        <v>28</v>
      </c>
      <c r="D55">
        <v>1</v>
      </c>
      <c r="E55" t="s">
        <v>25</v>
      </c>
      <c r="F55" t="s">
        <v>71</v>
      </c>
      <c r="G55" s="5">
        <v>634.87184425000009</v>
      </c>
      <c r="I55">
        <f t="shared" si="1"/>
        <v>18.195094025558063</v>
      </c>
    </row>
    <row r="56" spans="1:9" x14ac:dyDescent="0.35">
      <c r="A56" t="s">
        <v>60</v>
      </c>
      <c r="B56" t="s">
        <v>45</v>
      </c>
      <c r="C56" t="s">
        <v>29</v>
      </c>
      <c r="D56">
        <v>1</v>
      </c>
      <c r="E56" t="s">
        <v>25</v>
      </c>
      <c r="F56" t="s">
        <v>71</v>
      </c>
      <c r="G56" s="5">
        <v>65.908454250000005</v>
      </c>
      <c r="I56">
        <f t="shared" si="1"/>
        <v>1.8889017256303406</v>
      </c>
    </row>
    <row r="57" spans="1:9" x14ac:dyDescent="0.35">
      <c r="A57" t="s">
        <v>60</v>
      </c>
      <c r="B57" t="s">
        <v>45</v>
      </c>
      <c r="C57" t="s">
        <v>30</v>
      </c>
      <c r="D57">
        <v>1</v>
      </c>
      <c r="E57" t="s">
        <v>7</v>
      </c>
      <c r="F57" t="s">
        <v>71</v>
      </c>
      <c r="G57" s="5">
        <v>15.715625149999999</v>
      </c>
      <c r="I57">
        <f t="shared" si="1"/>
        <v>0.45040157295442229</v>
      </c>
    </row>
    <row r="58" spans="1:9" x14ac:dyDescent="0.35">
      <c r="A58" t="s">
        <v>60</v>
      </c>
      <c r="B58" t="s">
        <v>45</v>
      </c>
      <c r="C58" t="s">
        <v>31</v>
      </c>
      <c r="D58">
        <v>1</v>
      </c>
      <c r="E58" t="s">
        <v>15</v>
      </c>
      <c r="F58" t="s">
        <v>71</v>
      </c>
      <c r="G58" s="5">
        <v>6.0623491500000002</v>
      </c>
      <c r="I58">
        <f t="shared" si="1"/>
        <v>0.17374374655143165</v>
      </c>
    </row>
    <row r="59" spans="1:9" x14ac:dyDescent="0.35">
      <c r="A59" t="s">
        <v>60</v>
      </c>
      <c r="B59" t="s">
        <v>45</v>
      </c>
      <c r="C59" t="s">
        <v>32</v>
      </c>
      <c r="D59">
        <v>1</v>
      </c>
      <c r="E59" t="s">
        <v>25</v>
      </c>
      <c r="F59" t="s">
        <v>71</v>
      </c>
      <c r="G59" s="5">
        <v>25.517909450000001</v>
      </c>
      <c r="I59">
        <f t="shared" si="1"/>
        <v>0.73132989907108581</v>
      </c>
    </row>
    <row r="60" spans="1:9" x14ac:dyDescent="0.35">
      <c r="A60" t="s">
        <v>60</v>
      </c>
      <c r="B60" t="s">
        <v>45</v>
      </c>
      <c r="C60" t="s">
        <v>33</v>
      </c>
      <c r="D60">
        <v>1</v>
      </c>
      <c r="E60" t="s">
        <v>25</v>
      </c>
      <c r="F60" t="s">
        <v>71</v>
      </c>
      <c r="G60" s="5">
        <v>5.20144845</v>
      </c>
      <c r="I60">
        <f t="shared" si="1"/>
        <v>0.14907078408658417</v>
      </c>
    </row>
    <row r="61" spans="1:9" x14ac:dyDescent="0.35">
      <c r="A61" t="s">
        <v>60</v>
      </c>
      <c r="B61" t="s">
        <v>45</v>
      </c>
      <c r="C61" t="s">
        <v>34</v>
      </c>
      <c r="D61">
        <v>1</v>
      </c>
      <c r="E61" t="s">
        <v>25</v>
      </c>
      <c r="F61" t="s">
        <v>71</v>
      </c>
      <c r="G61" s="5">
        <v>27.389424250000001</v>
      </c>
      <c r="I61">
        <f t="shared" si="1"/>
        <v>0.78496653151058393</v>
      </c>
    </row>
    <row r="62" spans="1:9" x14ac:dyDescent="0.35">
      <c r="A62" t="s">
        <v>60</v>
      </c>
      <c r="B62" t="s">
        <v>45</v>
      </c>
      <c r="C62" t="s">
        <v>35</v>
      </c>
      <c r="D62">
        <v>1</v>
      </c>
      <c r="E62" t="s">
        <v>25</v>
      </c>
      <c r="F62" t="s">
        <v>71</v>
      </c>
      <c r="G62" s="5">
        <v>4.59585445</v>
      </c>
      <c r="I62">
        <f t="shared" si="1"/>
        <v>0.13171477771914034</v>
      </c>
    </row>
    <row r="63" spans="1:9" x14ac:dyDescent="0.35">
      <c r="A63" t="s">
        <v>60</v>
      </c>
      <c r="B63" t="s">
        <v>45</v>
      </c>
      <c r="C63" t="s">
        <v>36</v>
      </c>
      <c r="D63">
        <v>1</v>
      </c>
      <c r="E63" t="s">
        <v>7</v>
      </c>
      <c r="F63" t="s">
        <v>71</v>
      </c>
      <c r="G63" s="5">
        <v>0</v>
      </c>
      <c r="I63">
        <f t="shared" si="1"/>
        <v>0</v>
      </c>
    </row>
    <row r="64" spans="1:9" x14ac:dyDescent="0.35">
      <c r="A64" t="s">
        <v>60</v>
      </c>
      <c r="B64" t="s">
        <v>45</v>
      </c>
      <c r="C64" t="s">
        <v>37</v>
      </c>
      <c r="D64">
        <v>1</v>
      </c>
      <c r="E64" t="s">
        <v>25</v>
      </c>
      <c r="F64" t="s">
        <v>71</v>
      </c>
      <c r="G64" s="5">
        <v>66.640294299999994</v>
      </c>
      <c r="I64">
        <f t="shared" si="1"/>
        <v>1.9098758775667044</v>
      </c>
    </row>
    <row r="65" spans="1:9" x14ac:dyDescent="0.35">
      <c r="A65" t="s">
        <v>60</v>
      </c>
      <c r="B65" t="s">
        <v>45</v>
      </c>
      <c r="C65" t="s">
        <v>38</v>
      </c>
      <c r="D65">
        <v>1</v>
      </c>
      <c r="E65" t="s">
        <v>7</v>
      </c>
      <c r="F65" t="s">
        <v>71</v>
      </c>
      <c r="G65" s="5">
        <v>4.7401274000000004</v>
      </c>
      <c r="I65">
        <f t="shared" si="1"/>
        <v>0.13584956478580532</v>
      </c>
    </row>
    <row r="66" spans="1:9" x14ac:dyDescent="0.35">
      <c r="A66" t="s">
        <v>60</v>
      </c>
      <c r="B66" t="s">
        <v>45</v>
      </c>
      <c r="C66" t="s">
        <v>39</v>
      </c>
      <c r="D66">
        <v>1</v>
      </c>
      <c r="E66" t="s">
        <v>15</v>
      </c>
      <c r="F66" t="s">
        <v>71</v>
      </c>
      <c r="G66" s="5">
        <v>0</v>
      </c>
      <c r="I66">
        <f t="shared" si="1"/>
        <v>0</v>
      </c>
    </row>
    <row r="67" spans="1:9" x14ac:dyDescent="0.35">
      <c r="A67" t="s">
        <v>60</v>
      </c>
      <c r="B67" t="s">
        <v>45</v>
      </c>
      <c r="C67" t="s">
        <v>40</v>
      </c>
      <c r="D67">
        <v>1</v>
      </c>
      <c r="E67" t="s">
        <v>25</v>
      </c>
      <c r="F67" t="s">
        <v>71</v>
      </c>
      <c r="G67" s="5">
        <v>3.712099999999996E-3</v>
      </c>
      <c r="I67">
        <f t="shared" si="1"/>
        <v>1.0638683876753762E-4</v>
      </c>
    </row>
    <row r="68" spans="1:9" x14ac:dyDescent="0.35">
      <c r="A68" t="s">
        <v>60</v>
      </c>
      <c r="B68" t="s">
        <v>45</v>
      </c>
      <c r="C68" t="s">
        <v>41</v>
      </c>
      <c r="D68">
        <v>1</v>
      </c>
      <c r="E68" t="s">
        <v>25</v>
      </c>
      <c r="F68" t="s">
        <v>71</v>
      </c>
      <c r="G68" s="5">
        <v>0.22055930000000001</v>
      </c>
      <c r="I68">
        <f t="shared" si="1"/>
        <v>6.3211138406241724E-3</v>
      </c>
    </row>
    <row r="69" spans="1:9" x14ac:dyDescent="0.35">
      <c r="A69" t="s">
        <v>60</v>
      </c>
      <c r="B69" t="s">
        <v>45</v>
      </c>
      <c r="C69" t="s">
        <v>42</v>
      </c>
      <c r="D69">
        <v>1</v>
      </c>
      <c r="E69" t="s">
        <v>25</v>
      </c>
      <c r="F69" t="s">
        <v>71</v>
      </c>
      <c r="G69" s="5">
        <v>7.2921405999999998</v>
      </c>
      <c r="I69">
        <f t="shared" si="1"/>
        <v>0.20898892440462699</v>
      </c>
    </row>
    <row r="70" spans="1:9" x14ac:dyDescent="0.35">
      <c r="A70" t="s">
        <v>60</v>
      </c>
      <c r="B70" t="s">
        <v>45</v>
      </c>
      <c r="C70" t="s">
        <v>43</v>
      </c>
      <c r="D70">
        <v>1</v>
      </c>
      <c r="E70" t="s">
        <v>7</v>
      </c>
      <c r="F70" t="s">
        <v>71</v>
      </c>
      <c r="G70" s="5">
        <v>49.038502050000005</v>
      </c>
      <c r="I70">
        <f t="shared" si="1"/>
        <v>1.4054177449408474</v>
      </c>
    </row>
    <row r="71" spans="1:9" x14ac:dyDescent="0.35">
      <c r="A71" t="s">
        <v>60</v>
      </c>
      <c r="B71" t="s">
        <v>45</v>
      </c>
      <c r="C71" t="s">
        <v>44</v>
      </c>
      <c r="D71">
        <v>1</v>
      </c>
      <c r="E71" t="s">
        <v>15</v>
      </c>
      <c r="F71" t="s">
        <v>71</v>
      </c>
      <c r="G71" s="5">
        <v>0</v>
      </c>
      <c r="I71">
        <f t="shared" si="1"/>
        <v>0</v>
      </c>
    </row>
    <row r="72" spans="1:9" x14ac:dyDescent="0.35">
      <c r="A72" t="s">
        <v>61</v>
      </c>
      <c r="B72" t="s">
        <v>46</v>
      </c>
      <c r="C72" t="s">
        <v>6</v>
      </c>
      <c r="D72">
        <v>1</v>
      </c>
      <c r="E72" t="s">
        <v>7</v>
      </c>
      <c r="F72" t="s">
        <v>55</v>
      </c>
      <c r="G72" s="5">
        <v>0</v>
      </c>
      <c r="I72">
        <f>(G72/$K$4)*100</f>
        <v>0</v>
      </c>
    </row>
    <row r="73" spans="1:9" x14ac:dyDescent="0.35">
      <c r="A73" t="s">
        <v>61</v>
      </c>
      <c r="B73" t="s">
        <v>46</v>
      </c>
      <c r="C73" t="s">
        <v>9</v>
      </c>
      <c r="D73">
        <v>1</v>
      </c>
      <c r="E73" t="s">
        <v>7</v>
      </c>
      <c r="F73" t="s">
        <v>55</v>
      </c>
      <c r="G73" s="5">
        <v>5.4863859000000001</v>
      </c>
      <c r="I73">
        <f>(G73/$K$4)*100</f>
        <v>0.11948501627668721</v>
      </c>
    </row>
    <row r="74" spans="1:9" x14ac:dyDescent="0.35">
      <c r="A74" t="s">
        <v>61</v>
      </c>
      <c r="B74" t="s">
        <v>46</v>
      </c>
      <c r="C74" t="s">
        <v>10</v>
      </c>
      <c r="D74">
        <v>1</v>
      </c>
      <c r="E74" t="s">
        <v>7</v>
      </c>
      <c r="F74" t="s">
        <v>55</v>
      </c>
      <c r="G74" s="5">
        <v>0.52870845</v>
      </c>
      <c r="I74">
        <f>(G74/$K$4)*100</f>
        <v>1.1514453942051738E-2</v>
      </c>
    </row>
    <row r="75" spans="1:9" x14ac:dyDescent="0.35">
      <c r="A75" t="s">
        <v>61</v>
      </c>
      <c r="B75" t="s">
        <v>46</v>
      </c>
      <c r="C75" t="s">
        <v>11</v>
      </c>
      <c r="D75">
        <v>1</v>
      </c>
      <c r="E75" t="s">
        <v>7</v>
      </c>
      <c r="F75" t="s">
        <v>55</v>
      </c>
      <c r="G75" s="5">
        <v>12.296705149999999</v>
      </c>
      <c r="I75">
        <f t="shared" ref="I75:I106" si="2">(G75/$K$4)*100</f>
        <v>0.26780325733145632</v>
      </c>
    </row>
    <row r="76" spans="1:9" x14ac:dyDescent="0.35">
      <c r="A76" t="s">
        <v>61</v>
      </c>
      <c r="B76" t="s">
        <v>46</v>
      </c>
      <c r="C76" t="s">
        <v>12</v>
      </c>
      <c r="D76">
        <v>1</v>
      </c>
      <c r="E76" t="s">
        <v>7</v>
      </c>
      <c r="F76" t="s">
        <v>55</v>
      </c>
      <c r="G76" s="5">
        <v>46.125461399999999</v>
      </c>
      <c r="I76">
        <f t="shared" si="2"/>
        <v>1.0045413513746286</v>
      </c>
    </row>
    <row r="77" spans="1:9" x14ac:dyDescent="0.35">
      <c r="A77" t="s">
        <v>61</v>
      </c>
      <c r="B77" t="s">
        <v>46</v>
      </c>
      <c r="C77" t="s">
        <v>13</v>
      </c>
      <c r="D77">
        <v>1</v>
      </c>
      <c r="E77" t="s">
        <v>7</v>
      </c>
      <c r="F77" t="s">
        <v>55</v>
      </c>
      <c r="G77" s="5">
        <v>140.39904845000001</v>
      </c>
      <c r="I77">
        <f t="shared" si="2"/>
        <v>3.0576745593633232</v>
      </c>
    </row>
    <row r="78" spans="1:9" x14ac:dyDescent="0.35">
      <c r="A78" t="s">
        <v>61</v>
      </c>
      <c r="B78" t="s">
        <v>46</v>
      </c>
      <c r="C78" t="s">
        <v>14</v>
      </c>
      <c r="D78">
        <v>1</v>
      </c>
      <c r="E78" t="s">
        <v>15</v>
      </c>
      <c r="F78" t="s">
        <v>55</v>
      </c>
      <c r="G78" s="5">
        <v>0</v>
      </c>
      <c r="I78">
        <f t="shared" si="2"/>
        <v>0</v>
      </c>
    </row>
    <row r="79" spans="1:9" x14ac:dyDescent="0.35">
      <c r="A79" t="s">
        <v>61</v>
      </c>
      <c r="B79" t="s">
        <v>46</v>
      </c>
      <c r="C79" t="s">
        <v>16</v>
      </c>
      <c r="D79">
        <v>1</v>
      </c>
      <c r="E79" t="s">
        <v>7</v>
      </c>
      <c r="F79" t="s">
        <v>55</v>
      </c>
      <c r="G79" s="5">
        <v>8.0086633999999997</v>
      </c>
      <c r="I79">
        <f t="shared" si="2"/>
        <v>0.17441632691267839</v>
      </c>
    </row>
    <row r="80" spans="1:9" x14ac:dyDescent="0.35">
      <c r="A80" t="s">
        <v>61</v>
      </c>
      <c r="B80" t="s">
        <v>46</v>
      </c>
      <c r="C80" t="s">
        <v>17</v>
      </c>
      <c r="D80">
        <v>1</v>
      </c>
      <c r="E80" t="s">
        <v>15</v>
      </c>
      <c r="F80" t="s">
        <v>55</v>
      </c>
      <c r="G80" s="5">
        <v>0</v>
      </c>
      <c r="I80">
        <f t="shared" si="2"/>
        <v>0</v>
      </c>
    </row>
    <row r="81" spans="1:9" x14ac:dyDescent="0.35">
      <c r="A81" t="s">
        <v>61</v>
      </c>
      <c r="B81" t="s">
        <v>46</v>
      </c>
      <c r="C81" t="s">
        <v>18</v>
      </c>
      <c r="D81">
        <v>1</v>
      </c>
      <c r="E81" t="s">
        <v>7</v>
      </c>
      <c r="F81" t="s">
        <v>55</v>
      </c>
      <c r="G81" s="5">
        <v>1488.2437259500002</v>
      </c>
      <c r="I81">
        <f t="shared" si="2"/>
        <v>32.411651141567241</v>
      </c>
    </row>
    <row r="82" spans="1:9" x14ac:dyDescent="0.35">
      <c r="A82" t="s">
        <v>61</v>
      </c>
      <c r="B82" t="s">
        <v>46</v>
      </c>
      <c r="C82" t="s">
        <v>19</v>
      </c>
      <c r="D82">
        <v>1</v>
      </c>
      <c r="E82" t="s">
        <v>15</v>
      </c>
      <c r="F82" t="s">
        <v>55</v>
      </c>
      <c r="G82" s="5">
        <v>199.98427755</v>
      </c>
      <c r="I82">
        <f t="shared" si="2"/>
        <v>4.355348875138966</v>
      </c>
    </row>
    <row r="83" spans="1:9" x14ac:dyDescent="0.35">
      <c r="A83" t="s">
        <v>61</v>
      </c>
      <c r="B83" t="s">
        <v>46</v>
      </c>
      <c r="C83" t="s">
        <v>20</v>
      </c>
      <c r="D83">
        <v>1</v>
      </c>
      <c r="E83" t="s">
        <v>7</v>
      </c>
      <c r="F83" t="s">
        <v>55</v>
      </c>
      <c r="G83" s="5">
        <v>10.01921785</v>
      </c>
      <c r="I83">
        <f t="shared" si="2"/>
        <v>0.2182030994004496</v>
      </c>
    </row>
    <row r="84" spans="1:9" x14ac:dyDescent="0.35">
      <c r="A84" t="s">
        <v>61</v>
      </c>
      <c r="B84" t="s">
        <v>46</v>
      </c>
      <c r="C84" t="s">
        <v>21</v>
      </c>
      <c r="D84">
        <v>1</v>
      </c>
      <c r="E84" t="s">
        <v>15</v>
      </c>
      <c r="F84" t="s">
        <v>55</v>
      </c>
      <c r="G84" s="5">
        <v>5.3161927999999996</v>
      </c>
      <c r="I84">
        <f t="shared" si="2"/>
        <v>0.11577847326379419</v>
      </c>
    </row>
    <row r="85" spans="1:9" x14ac:dyDescent="0.35">
      <c r="A85" t="s">
        <v>61</v>
      </c>
      <c r="B85" t="s">
        <v>46</v>
      </c>
      <c r="C85" t="s">
        <v>22</v>
      </c>
      <c r="D85">
        <v>1</v>
      </c>
      <c r="E85" t="s">
        <v>7</v>
      </c>
      <c r="F85" t="s">
        <v>55</v>
      </c>
      <c r="G85" s="5">
        <v>428.54478110000002</v>
      </c>
      <c r="I85">
        <f t="shared" si="2"/>
        <v>9.3330438431286549</v>
      </c>
    </row>
    <row r="86" spans="1:9" x14ac:dyDescent="0.35">
      <c r="A86" t="s">
        <v>61</v>
      </c>
      <c r="B86" t="s">
        <v>46</v>
      </c>
      <c r="C86" t="s">
        <v>23</v>
      </c>
      <c r="D86">
        <v>1</v>
      </c>
      <c r="E86" t="s">
        <v>15</v>
      </c>
      <c r="F86" t="s">
        <v>55</v>
      </c>
      <c r="G86" s="5">
        <v>449.15324709999999</v>
      </c>
      <c r="I86">
        <f t="shared" si="2"/>
        <v>9.7818644219814033</v>
      </c>
    </row>
    <row r="87" spans="1:9" x14ac:dyDescent="0.35">
      <c r="A87" t="s">
        <v>61</v>
      </c>
      <c r="B87" t="s">
        <v>46</v>
      </c>
      <c r="C87" t="s">
        <v>24</v>
      </c>
      <c r="D87">
        <v>1</v>
      </c>
      <c r="E87" t="s">
        <v>25</v>
      </c>
      <c r="F87" t="s">
        <v>55</v>
      </c>
      <c r="G87" s="5">
        <v>7.9201499999999869E-3</v>
      </c>
      <c r="I87">
        <f t="shared" si="2"/>
        <v>1.7248864168738161E-4</v>
      </c>
    </row>
    <row r="88" spans="1:9" x14ac:dyDescent="0.35">
      <c r="A88" t="s">
        <v>61</v>
      </c>
      <c r="B88" t="s">
        <v>46</v>
      </c>
      <c r="C88" t="s">
        <v>26</v>
      </c>
      <c r="D88">
        <v>1</v>
      </c>
      <c r="E88" t="s">
        <v>25</v>
      </c>
      <c r="F88" t="s">
        <v>55</v>
      </c>
      <c r="G88" s="5">
        <v>592.29953684999998</v>
      </c>
      <c r="I88">
        <f t="shared" si="2"/>
        <v>12.899369656297155</v>
      </c>
    </row>
    <row r="89" spans="1:9" x14ac:dyDescent="0.35">
      <c r="A89" t="s">
        <v>61</v>
      </c>
      <c r="B89" t="s">
        <v>46</v>
      </c>
      <c r="C89" t="s">
        <v>27</v>
      </c>
      <c r="D89">
        <v>1</v>
      </c>
      <c r="E89" t="s">
        <v>25</v>
      </c>
      <c r="F89" t="s">
        <v>55</v>
      </c>
      <c r="G89" s="5">
        <v>3.0538539999999998</v>
      </c>
      <c r="I89">
        <f t="shared" si="2"/>
        <v>6.6508226280004537E-2</v>
      </c>
    </row>
    <row r="90" spans="1:9" x14ac:dyDescent="0.35">
      <c r="A90" t="s">
        <v>61</v>
      </c>
      <c r="B90" t="s">
        <v>46</v>
      </c>
      <c r="C90" t="s">
        <v>28</v>
      </c>
      <c r="D90">
        <v>1</v>
      </c>
      <c r="E90" t="s">
        <v>25</v>
      </c>
      <c r="F90" t="s">
        <v>55</v>
      </c>
      <c r="G90" s="5">
        <v>941.48232995000001</v>
      </c>
      <c r="I90">
        <f t="shared" si="2"/>
        <v>20.504031901636587</v>
      </c>
    </row>
    <row r="91" spans="1:9" x14ac:dyDescent="0.35">
      <c r="A91" t="s">
        <v>61</v>
      </c>
      <c r="B91" t="s">
        <v>46</v>
      </c>
      <c r="C91" t="s">
        <v>29</v>
      </c>
      <c r="D91">
        <v>1</v>
      </c>
      <c r="E91" t="s">
        <v>25</v>
      </c>
      <c r="F91" t="s">
        <v>55</v>
      </c>
      <c r="G91" s="5">
        <v>75.068767650000012</v>
      </c>
      <c r="I91">
        <f t="shared" si="2"/>
        <v>1.6348818854559799</v>
      </c>
    </row>
    <row r="92" spans="1:9" x14ac:dyDescent="0.35">
      <c r="A92" t="s">
        <v>61</v>
      </c>
      <c r="B92" t="s">
        <v>46</v>
      </c>
      <c r="C92" t="s">
        <v>30</v>
      </c>
      <c r="D92">
        <v>1</v>
      </c>
      <c r="E92" t="s">
        <v>7</v>
      </c>
      <c r="F92" t="s">
        <v>55</v>
      </c>
      <c r="G92" s="5">
        <v>26.338104150000003</v>
      </c>
      <c r="I92">
        <f t="shared" si="2"/>
        <v>0.57360325365735465</v>
      </c>
    </row>
    <row r="93" spans="1:9" x14ac:dyDescent="0.35">
      <c r="A93" t="s">
        <v>61</v>
      </c>
      <c r="B93" t="s">
        <v>46</v>
      </c>
      <c r="C93" t="s">
        <v>31</v>
      </c>
      <c r="D93">
        <v>1</v>
      </c>
      <c r="E93" t="s">
        <v>15</v>
      </c>
      <c r="F93" t="s">
        <v>55</v>
      </c>
      <c r="G93" s="5">
        <v>0</v>
      </c>
      <c r="I93">
        <f t="shared" si="2"/>
        <v>0</v>
      </c>
    </row>
    <row r="94" spans="1:9" x14ac:dyDescent="0.35">
      <c r="A94" t="s">
        <v>61</v>
      </c>
      <c r="B94" t="s">
        <v>46</v>
      </c>
      <c r="C94" t="s">
        <v>32</v>
      </c>
      <c r="D94">
        <v>1</v>
      </c>
      <c r="E94" t="s">
        <v>25</v>
      </c>
      <c r="F94" t="s">
        <v>55</v>
      </c>
      <c r="G94" s="5">
        <v>9.705908749999999</v>
      </c>
      <c r="I94">
        <f t="shared" si="2"/>
        <v>0.21137971081724144</v>
      </c>
    </row>
    <row r="95" spans="1:9" x14ac:dyDescent="0.35">
      <c r="A95" t="s">
        <v>61</v>
      </c>
      <c r="B95" t="s">
        <v>46</v>
      </c>
      <c r="C95" t="s">
        <v>33</v>
      </c>
      <c r="D95">
        <v>1</v>
      </c>
      <c r="E95" t="s">
        <v>25</v>
      </c>
      <c r="F95" t="s">
        <v>55</v>
      </c>
      <c r="G95" s="5">
        <v>2.3595726000000004</v>
      </c>
      <c r="I95">
        <f t="shared" si="2"/>
        <v>5.1387849060530948E-2</v>
      </c>
    </row>
    <row r="96" spans="1:9" x14ac:dyDescent="0.35">
      <c r="A96" t="s">
        <v>61</v>
      </c>
      <c r="B96" t="s">
        <v>46</v>
      </c>
      <c r="C96" t="s">
        <v>34</v>
      </c>
      <c r="D96">
        <v>1</v>
      </c>
      <c r="E96" t="s">
        <v>25</v>
      </c>
      <c r="F96" t="s">
        <v>55</v>
      </c>
      <c r="G96" s="5">
        <v>19.995312949999999</v>
      </c>
      <c r="I96">
        <f t="shared" si="2"/>
        <v>0.43546705186891876</v>
      </c>
    </row>
    <row r="97" spans="1:9" x14ac:dyDescent="0.35">
      <c r="A97" t="s">
        <v>61</v>
      </c>
      <c r="B97" t="s">
        <v>46</v>
      </c>
      <c r="C97" t="s">
        <v>35</v>
      </c>
      <c r="D97">
        <v>1</v>
      </c>
      <c r="E97" t="s">
        <v>25</v>
      </c>
      <c r="F97" t="s">
        <v>55</v>
      </c>
      <c r="G97" s="5">
        <v>3.7973336</v>
      </c>
      <c r="I97">
        <f t="shared" si="2"/>
        <v>8.2700064354571071E-2</v>
      </c>
    </row>
    <row r="98" spans="1:9" x14ac:dyDescent="0.35">
      <c r="A98" t="s">
        <v>61</v>
      </c>
      <c r="B98" t="s">
        <v>46</v>
      </c>
      <c r="C98" t="s">
        <v>36</v>
      </c>
      <c r="D98">
        <v>1</v>
      </c>
      <c r="E98" t="s">
        <v>7</v>
      </c>
      <c r="F98" t="s">
        <v>55</v>
      </c>
      <c r="G98" s="5">
        <v>0</v>
      </c>
      <c r="I98">
        <f t="shared" si="2"/>
        <v>0</v>
      </c>
    </row>
    <row r="99" spans="1:9" x14ac:dyDescent="0.35">
      <c r="A99" t="s">
        <v>61</v>
      </c>
      <c r="B99" t="s">
        <v>46</v>
      </c>
      <c r="C99" t="s">
        <v>37</v>
      </c>
      <c r="D99">
        <v>1</v>
      </c>
      <c r="E99" t="s">
        <v>25</v>
      </c>
      <c r="F99" t="s">
        <v>55</v>
      </c>
      <c r="G99" s="5">
        <v>69.779871699999987</v>
      </c>
      <c r="I99">
        <f t="shared" si="2"/>
        <v>1.5196978954505633</v>
      </c>
    </row>
    <row r="100" spans="1:9" x14ac:dyDescent="0.35">
      <c r="A100" t="s">
        <v>61</v>
      </c>
      <c r="B100" t="s">
        <v>46</v>
      </c>
      <c r="C100" t="s">
        <v>38</v>
      </c>
      <c r="D100">
        <v>1</v>
      </c>
      <c r="E100" t="s">
        <v>7</v>
      </c>
      <c r="F100" t="s">
        <v>55</v>
      </c>
      <c r="G100" s="5">
        <v>5.8365066500000005</v>
      </c>
      <c r="I100">
        <f t="shared" si="2"/>
        <v>0.12711010577550574</v>
      </c>
    </row>
    <row r="101" spans="1:9" x14ac:dyDescent="0.35">
      <c r="A101" t="s">
        <v>61</v>
      </c>
      <c r="B101" t="s">
        <v>46</v>
      </c>
      <c r="C101" t="s">
        <v>39</v>
      </c>
      <c r="D101">
        <v>1</v>
      </c>
      <c r="E101" t="s">
        <v>15</v>
      </c>
      <c r="F101" t="s">
        <v>55</v>
      </c>
      <c r="G101" s="5">
        <v>0</v>
      </c>
      <c r="I101">
        <f t="shared" si="2"/>
        <v>0</v>
      </c>
    </row>
    <row r="102" spans="1:9" x14ac:dyDescent="0.35">
      <c r="A102" t="s">
        <v>61</v>
      </c>
      <c r="B102" t="s">
        <v>46</v>
      </c>
      <c r="C102" t="s">
        <v>40</v>
      </c>
      <c r="D102">
        <v>1</v>
      </c>
      <c r="E102" t="s">
        <v>25</v>
      </c>
      <c r="F102" t="s">
        <v>55</v>
      </c>
      <c r="G102" s="5">
        <v>1.9218549999999945E-2</v>
      </c>
      <c r="I102">
        <f t="shared" si="2"/>
        <v>4.1855035380655974E-4</v>
      </c>
    </row>
    <row r="103" spans="1:9" x14ac:dyDescent="0.35">
      <c r="A103" t="s">
        <v>61</v>
      </c>
      <c r="B103" t="s">
        <v>46</v>
      </c>
      <c r="C103" t="s">
        <v>41</v>
      </c>
      <c r="D103">
        <v>1</v>
      </c>
      <c r="E103" t="s">
        <v>25</v>
      </c>
      <c r="F103" t="s">
        <v>55</v>
      </c>
      <c r="G103" s="5">
        <v>8.2461699999999999E-2</v>
      </c>
      <c r="I103">
        <f t="shared" si="2"/>
        <v>1.7958885405241541E-3</v>
      </c>
    </row>
    <row r="104" spans="1:9" x14ac:dyDescent="0.35">
      <c r="A104" t="s">
        <v>61</v>
      </c>
      <c r="B104" t="s">
        <v>46</v>
      </c>
      <c r="C104" t="s">
        <v>42</v>
      </c>
      <c r="D104">
        <v>1</v>
      </c>
      <c r="E104" t="s">
        <v>25</v>
      </c>
      <c r="F104" t="s">
        <v>55</v>
      </c>
      <c r="G104" s="5">
        <v>6.1454906000000005</v>
      </c>
      <c r="I104">
        <f t="shared" si="2"/>
        <v>0.13383929926788934</v>
      </c>
    </row>
    <row r="105" spans="1:9" x14ac:dyDescent="0.35">
      <c r="A105" t="s">
        <v>61</v>
      </c>
      <c r="B105" t="s">
        <v>46</v>
      </c>
      <c r="C105" t="s">
        <v>43</v>
      </c>
      <c r="D105">
        <v>1</v>
      </c>
      <c r="E105" t="s">
        <v>7</v>
      </c>
      <c r="F105" t="s">
        <v>55</v>
      </c>
      <c r="G105" s="5">
        <v>41.615040800000003</v>
      </c>
      <c r="I105">
        <f t="shared" si="2"/>
        <v>0.90631135286035991</v>
      </c>
    </row>
    <row r="106" spans="1:9" x14ac:dyDescent="0.35">
      <c r="A106" t="s">
        <v>61</v>
      </c>
      <c r="B106" t="s">
        <v>46</v>
      </c>
      <c r="C106" t="s">
        <v>44</v>
      </c>
      <c r="D106">
        <v>1</v>
      </c>
      <c r="E106" t="s">
        <v>15</v>
      </c>
      <c r="F106" t="s">
        <v>55</v>
      </c>
      <c r="G106" s="5">
        <v>0</v>
      </c>
      <c r="I106">
        <f t="shared" si="2"/>
        <v>0</v>
      </c>
    </row>
    <row r="107" spans="1:9" x14ac:dyDescent="0.35">
      <c r="A107" t="s">
        <v>62</v>
      </c>
      <c r="B107" t="s">
        <v>47</v>
      </c>
      <c r="C107" t="s">
        <v>6</v>
      </c>
      <c r="D107">
        <v>1</v>
      </c>
      <c r="E107" t="s">
        <v>7</v>
      </c>
      <c r="F107" t="s">
        <v>72</v>
      </c>
      <c r="G107" s="5">
        <v>1.7727049999999522E-2</v>
      </c>
      <c r="I107">
        <f>(G107/$K$5)*100</f>
        <v>4.8219236707736156E-4</v>
      </c>
    </row>
    <row r="108" spans="1:9" x14ac:dyDescent="0.35">
      <c r="A108" t="s">
        <v>62</v>
      </c>
      <c r="B108" t="s">
        <v>47</v>
      </c>
      <c r="C108" t="s">
        <v>9</v>
      </c>
      <c r="D108">
        <v>1</v>
      </c>
      <c r="E108" t="s">
        <v>7</v>
      </c>
      <c r="F108" t="s">
        <v>72</v>
      </c>
      <c r="G108" s="5">
        <v>0</v>
      </c>
      <c r="I108">
        <f>(G108/$K$5)*100</f>
        <v>0</v>
      </c>
    </row>
    <row r="109" spans="1:9" x14ac:dyDescent="0.35">
      <c r="A109" t="s">
        <v>62</v>
      </c>
      <c r="B109" t="s">
        <v>47</v>
      </c>
      <c r="C109" t="s">
        <v>10</v>
      </c>
      <c r="D109">
        <v>1</v>
      </c>
      <c r="E109" t="s">
        <v>7</v>
      </c>
      <c r="F109" t="s">
        <v>72</v>
      </c>
      <c r="G109" s="5">
        <v>0</v>
      </c>
      <c r="I109">
        <f>(G109/$K$5)*100</f>
        <v>0</v>
      </c>
    </row>
    <row r="110" spans="1:9" x14ac:dyDescent="0.35">
      <c r="A110" t="s">
        <v>62</v>
      </c>
      <c r="B110" t="s">
        <v>47</v>
      </c>
      <c r="C110" t="s">
        <v>11</v>
      </c>
      <c r="D110">
        <v>1</v>
      </c>
      <c r="E110" t="s">
        <v>7</v>
      </c>
      <c r="F110" t="s">
        <v>72</v>
      </c>
      <c r="G110" s="5">
        <v>4.4939802499999999</v>
      </c>
      <c r="I110">
        <f t="shared" ref="I110:I141" si="3">(G110/$K$5)*100</f>
        <v>0.12224047285625481</v>
      </c>
    </row>
    <row r="111" spans="1:9" x14ac:dyDescent="0.35">
      <c r="A111" t="s">
        <v>62</v>
      </c>
      <c r="B111" t="s">
        <v>47</v>
      </c>
      <c r="C111" t="s">
        <v>12</v>
      </c>
      <c r="D111">
        <v>1</v>
      </c>
      <c r="E111" t="s">
        <v>7</v>
      </c>
      <c r="F111" t="s">
        <v>72</v>
      </c>
      <c r="G111" s="5">
        <v>54.172855499999997</v>
      </c>
      <c r="I111">
        <f t="shared" si="3"/>
        <v>1.4735524198829228</v>
      </c>
    </row>
    <row r="112" spans="1:9" x14ac:dyDescent="0.35">
      <c r="A112" t="s">
        <v>62</v>
      </c>
      <c r="B112" t="s">
        <v>47</v>
      </c>
      <c r="C112" t="s">
        <v>13</v>
      </c>
      <c r="D112">
        <v>1</v>
      </c>
      <c r="E112" t="s">
        <v>7</v>
      </c>
      <c r="F112" t="s">
        <v>72</v>
      </c>
      <c r="G112" s="5">
        <v>163.79169429999999</v>
      </c>
      <c r="I112">
        <f t="shared" si="3"/>
        <v>4.4552875285019624</v>
      </c>
    </row>
    <row r="113" spans="1:9" x14ac:dyDescent="0.35">
      <c r="A113" t="s">
        <v>62</v>
      </c>
      <c r="B113" t="s">
        <v>47</v>
      </c>
      <c r="C113" t="s">
        <v>14</v>
      </c>
      <c r="D113">
        <v>1</v>
      </c>
      <c r="E113" t="s">
        <v>15</v>
      </c>
      <c r="F113" t="s">
        <v>72</v>
      </c>
      <c r="G113" s="5">
        <v>0</v>
      </c>
      <c r="I113">
        <f t="shared" si="3"/>
        <v>0</v>
      </c>
    </row>
    <row r="114" spans="1:9" x14ac:dyDescent="0.35">
      <c r="A114" t="s">
        <v>62</v>
      </c>
      <c r="B114" t="s">
        <v>47</v>
      </c>
      <c r="C114" t="s">
        <v>16</v>
      </c>
      <c r="D114">
        <v>1</v>
      </c>
      <c r="E114" t="s">
        <v>7</v>
      </c>
      <c r="F114" t="s">
        <v>72</v>
      </c>
      <c r="G114" s="5">
        <v>5.7969026999999995</v>
      </c>
      <c r="I114">
        <f t="shared" si="3"/>
        <v>0.15768118410171031</v>
      </c>
    </row>
    <row r="115" spans="1:9" x14ac:dyDescent="0.35">
      <c r="A115" t="s">
        <v>62</v>
      </c>
      <c r="B115" t="s">
        <v>47</v>
      </c>
      <c r="C115" t="s">
        <v>17</v>
      </c>
      <c r="D115">
        <v>1</v>
      </c>
      <c r="E115" t="s">
        <v>15</v>
      </c>
      <c r="F115" t="s">
        <v>72</v>
      </c>
      <c r="G115" s="5">
        <v>0</v>
      </c>
      <c r="I115">
        <f t="shared" si="3"/>
        <v>0</v>
      </c>
    </row>
    <row r="116" spans="1:9" x14ac:dyDescent="0.35">
      <c r="A116" t="s">
        <v>62</v>
      </c>
      <c r="B116" t="s">
        <v>47</v>
      </c>
      <c r="C116" t="s">
        <v>18</v>
      </c>
      <c r="D116">
        <v>1</v>
      </c>
      <c r="E116" t="s">
        <v>7</v>
      </c>
      <c r="F116" t="s">
        <v>72</v>
      </c>
      <c r="G116" s="5">
        <v>1258.3148098500001</v>
      </c>
      <c r="I116">
        <f t="shared" si="3"/>
        <v>34.227341643989725</v>
      </c>
    </row>
    <row r="117" spans="1:9" x14ac:dyDescent="0.35">
      <c r="A117" t="s">
        <v>62</v>
      </c>
      <c r="B117" t="s">
        <v>47</v>
      </c>
      <c r="C117" t="s">
        <v>19</v>
      </c>
      <c r="D117">
        <v>1</v>
      </c>
      <c r="E117" t="s">
        <v>15</v>
      </c>
      <c r="F117" t="s">
        <v>72</v>
      </c>
      <c r="G117" s="5">
        <v>151.96502939999999</v>
      </c>
      <c r="I117">
        <f t="shared" si="3"/>
        <v>4.1335911637508111</v>
      </c>
    </row>
    <row r="118" spans="1:9" x14ac:dyDescent="0.35">
      <c r="A118" t="s">
        <v>62</v>
      </c>
      <c r="B118" t="s">
        <v>47</v>
      </c>
      <c r="C118" t="s">
        <v>20</v>
      </c>
      <c r="D118">
        <v>1</v>
      </c>
      <c r="E118" t="s">
        <v>7</v>
      </c>
      <c r="F118" t="s">
        <v>72</v>
      </c>
      <c r="G118" s="5">
        <v>5.4575828</v>
      </c>
      <c r="I118">
        <f t="shared" si="3"/>
        <v>0.14845136493961295</v>
      </c>
    </row>
    <row r="119" spans="1:9" x14ac:dyDescent="0.35">
      <c r="A119" t="s">
        <v>62</v>
      </c>
      <c r="B119" t="s">
        <v>47</v>
      </c>
      <c r="C119" t="s">
        <v>21</v>
      </c>
      <c r="D119">
        <v>1</v>
      </c>
      <c r="E119" t="s">
        <v>15</v>
      </c>
      <c r="F119" t="s">
        <v>72</v>
      </c>
      <c r="G119" s="5">
        <v>8.8778941499999995</v>
      </c>
      <c r="I119">
        <f t="shared" si="3"/>
        <v>0.24148703788001252</v>
      </c>
    </row>
    <row r="120" spans="1:9" x14ac:dyDescent="0.35">
      <c r="A120" t="s">
        <v>62</v>
      </c>
      <c r="B120" t="s">
        <v>47</v>
      </c>
      <c r="C120" t="s">
        <v>22</v>
      </c>
      <c r="D120">
        <v>1</v>
      </c>
      <c r="E120" t="s">
        <v>7</v>
      </c>
      <c r="F120" t="s">
        <v>72</v>
      </c>
      <c r="G120" s="5">
        <v>89.483246699999995</v>
      </c>
      <c r="I120">
        <f t="shared" si="3"/>
        <v>2.4340281400482127</v>
      </c>
    </row>
    <row r="121" spans="1:9" x14ac:dyDescent="0.35">
      <c r="A121" t="s">
        <v>62</v>
      </c>
      <c r="B121" t="s">
        <v>47</v>
      </c>
      <c r="C121" t="s">
        <v>23</v>
      </c>
      <c r="D121">
        <v>1</v>
      </c>
      <c r="E121" t="s">
        <v>15</v>
      </c>
      <c r="F121" t="s">
        <v>72</v>
      </c>
      <c r="G121" s="5">
        <v>0</v>
      </c>
      <c r="I121">
        <f t="shared" si="3"/>
        <v>0</v>
      </c>
    </row>
    <row r="122" spans="1:9" x14ac:dyDescent="0.35">
      <c r="A122" t="s">
        <v>62</v>
      </c>
      <c r="B122" t="s">
        <v>47</v>
      </c>
      <c r="C122" t="s">
        <v>24</v>
      </c>
      <c r="D122">
        <v>1</v>
      </c>
      <c r="E122" t="s">
        <v>25</v>
      </c>
      <c r="F122" t="s">
        <v>72</v>
      </c>
      <c r="G122" s="5">
        <v>0</v>
      </c>
      <c r="I122">
        <f t="shared" si="3"/>
        <v>0</v>
      </c>
    </row>
    <row r="123" spans="1:9" x14ac:dyDescent="0.35">
      <c r="A123" t="s">
        <v>62</v>
      </c>
      <c r="B123" t="s">
        <v>47</v>
      </c>
      <c r="C123" t="s">
        <v>26</v>
      </c>
      <c r="D123">
        <v>1</v>
      </c>
      <c r="E123" t="s">
        <v>25</v>
      </c>
      <c r="F123" t="s">
        <v>72</v>
      </c>
      <c r="G123" s="5">
        <v>682.32904304999988</v>
      </c>
      <c r="I123">
        <f t="shared" si="3"/>
        <v>18.559989191316053</v>
      </c>
    </row>
    <row r="124" spans="1:9" x14ac:dyDescent="0.35">
      <c r="A124" t="s">
        <v>62</v>
      </c>
      <c r="B124" t="s">
        <v>47</v>
      </c>
      <c r="C124" t="s">
        <v>27</v>
      </c>
      <c r="D124">
        <v>1</v>
      </c>
      <c r="E124" t="s">
        <v>25</v>
      </c>
      <c r="F124" t="s">
        <v>72</v>
      </c>
      <c r="G124" s="5">
        <v>84.449886799999987</v>
      </c>
      <c r="I124">
        <f t="shared" si="3"/>
        <v>2.2971160354096321</v>
      </c>
    </row>
    <row r="125" spans="1:9" x14ac:dyDescent="0.35">
      <c r="A125" t="s">
        <v>62</v>
      </c>
      <c r="B125" t="s">
        <v>47</v>
      </c>
      <c r="C125" t="s">
        <v>28</v>
      </c>
      <c r="D125">
        <v>1</v>
      </c>
      <c r="E125" t="s">
        <v>25</v>
      </c>
      <c r="F125" t="s">
        <v>72</v>
      </c>
      <c r="G125" s="5">
        <v>918.4997419</v>
      </c>
      <c r="I125">
        <f t="shared" si="3"/>
        <v>24.984053449768496</v>
      </c>
    </row>
    <row r="126" spans="1:9" x14ac:dyDescent="0.35">
      <c r="A126" t="s">
        <v>62</v>
      </c>
      <c r="B126" t="s">
        <v>47</v>
      </c>
      <c r="C126" t="s">
        <v>29</v>
      </c>
      <c r="D126">
        <v>1</v>
      </c>
      <c r="E126" t="s">
        <v>25</v>
      </c>
      <c r="F126" t="s">
        <v>72</v>
      </c>
      <c r="G126" s="5">
        <v>86.388624950000008</v>
      </c>
      <c r="I126">
        <f t="shared" si="3"/>
        <v>2.3498515293407558</v>
      </c>
    </row>
    <row r="127" spans="1:9" x14ac:dyDescent="0.35">
      <c r="A127" t="s">
        <v>62</v>
      </c>
      <c r="B127" t="s">
        <v>47</v>
      </c>
      <c r="C127" t="s">
        <v>30</v>
      </c>
      <c r="D127">
        <v>1</v>
      </c>
      <c r="E127" t="s">
        <v>7</v>
      </c>
      <c r="F127" t="s">
        <v>72</v>
      </c>
      <c r="G127" s="5">
        <v>23.888351250000003</v>
      </c>
      <c r="I127">
        <f t="shared" si="3"/>
        <v>0.64978553311539489</v>
      </c>
    </row>
    <row r="128" spans="1:9" x14ac:dyDescent="0.35">
      <c r="A128" t="s">
        <v>62</v>
      </c>
      <c r="B128" t="s">
        <v>47</v>
      </c>
      <c r="C128" t="s">
        <v>31</v>
      </c>
      <c r="D128">
        <v>1</v>
      </c>
      <c r="E128" t="s">
        <v>15</v>
      </c>
      <c r="F128" t="s">
        <v>72</v>
      </c>
      <c r="G128" s="5">
        <v>7.4683723500000001</v>
      </c>
      <c r="I128">
        <f t="shared" si="3"/>
        <v>0.2031467244500193</v>
      </c>
    </row>
    <row r="129" spans="1:9" x14ac:dyDescent="0.35">
      <c r="A129" t="s">
        <v>62</v>
      </c>
      <c r="B129" t="s">
        <v>47</v>
      </c>
      <c r="C129" t="s">
        <v>32</v>
      </c>
      <c r="D129">
        <v>1</v>
      </c>
      <c r="E129" t="s">
        <v>25</v>
      </c>
      <c r="F129" t="s">
        <v>72</v>
      </c>
      <c r="G129" s="5">
        <v>14.6582183</v>
      </c>
      <c r="I129">
        <f t="shared" si="3"/>
        <v>0.3987172698905847</v>
      </c>
    </row>
    <row r="130" spans="1:9" x14ac:dyDescent="0.35">
      <c r="A130" t="s">
        <v>62</v>
      </c>
      <c r="B130" t="s">
        <v>47</v>
      </c>
      <c r="C130" t="s">
        <v>33</v>
      </c>
      <c r="D130">
        <v>1</v>
      </c>
      <c r="E130" t="s">
        <v>25</v>
      </c>
      <c r="F130" t="s">
        <v>72</v>
      </c>
      <c r="G130" s="5">
        <v>5.2616820999999998</v>
      </c>
      <c r="I130">
        <f t="shared" si="3"/>
        <v>0.14312268237567169</v>
      </c>
    </row>
    <row r="131" spans="1:9" x14ac:dyDescent="0.35">
      <c r="A131" t="s">
        <v>62</v>
      </c>
      <c r="B131" t="s">
        <v>47</v>
      </c>
      <c r="C131" t="s">
        <v>34</v>
      </c>
      <c r="D131">
        <v>1</v>
      </c>
      <c r="E131" t="s">
        <v>25</v>
      </c>
      <c r="F131" t="s">
        <v>72</v>
      </c>
      <c r="G131" s="5">
        <v>13.227790799999999</v>
      </c>
      <c r="I131">
        <f t="shared" si="3"/>
        <v>0.35980830183568718</v>
      </c>
    </row>
    <row r="132" spans="1:9" x14ac:dyDescent="0.35">
      <c r="A132" t="s">
        <v>62</v>
      </c>
      <c r="B132" t="s">
        <v>47</v>
      </c>
      <c r="C132" t="s">
        <v>35</v>
      </c>
      <c r="D132">
        <v>1</v>
      </c>
      <c r="E132" t="s">
        <v>25</v>
      </c>
      <c r="F132" t="s">
        <v>72</v>
      </c>
      <c r="G132" s="5">
        <v>0</v>
      </c>
      <c r="I132">
        <f t="shared" si="3"/>
        <v>0</v>
      </c>
    </row>
    <row r="133" spans="1:9" x14ac:dyDescent="0.35">
      <c r="A133" t="s">
        <v>62</v>
      </c>
      <c r="B133" t="s">
        <v>47</v>
      </c>
      <c r="C133" t="s">
        <v>36</v>
      </c>
      <c r="D133">
        <v>1</v>
      </c>
      <c r="E133" t="s">
        <v>7</v>
      </c>
      <c r="F133" t="s">
        <v>72</v>
      </c>
      <c r="G133" s="5">
        <v>0</v>
      </c>
      <c r="I133">
        <f t="shared" si="3"/>
        <v>0</v>
      </c>
    </row>
    <row r="134" spans="1:9" x14ac:dyDescent="0.35">
      <c r="A134" t="s">
        <v>62</v>
      </c>
      <c r="B134" t="s">
        <v>47</v>
      </c>
      <c r="C134" t="s">
        <v>37</v>
      </c>
      <c r="D134">
        <v>1</v>
      </c>
      <c r="E134" t="s">
        <v>25</v>
      </c>
      <c r="F134" t="s">
        <v>72</v>
      </c>
      <c r="G134" s="5">
        <v>32.39807725</v>
      </c>
      <c r="I134">
        <f t="shared" si="3"/>
        <v>0.88125805240765609</v>
      </c>
    </row>
    <row r="135" spans="1:9" x14ac:dyDescent="0.35">
      <c r="A135" t="s">
        <v>62</v>
      </c>
      <c r="B135" t="s">
        <v>47</v>
      </c>
      <c r="C135" t="s">
        <v>38</v>
      </c>
      <c r="D135">
        <v>1</v>
      </c>
      <c r="E135" t="s">
        <v>7</v>
      </c>
      <c r="F135" t="s">
        <v>72</v>
      </c>
      <c r="G135" s="5">
        <v>6.9673179000000003</v>
      </c>
      <c r="I135">
        <f t="shared" si="3"/>
        <v>0.1895175740115565</v>
      </c>
    </row>
    <row r="136" spans="1:9" x14ac:dyDescent="0.35">
      <c r="A136" t="s">
        <v>62</v>
      </c>
      <c r="B136" t="s">
        <v>47</v>
      </c>
      <c r="C136" t="s">
        <v>39</v>
      </c>
      <c r="D136">
        <v>1</v>
      </c>
      <c r="E136" t="s">
        <v>15</v>
      </c>
      <c r="F136" t="s">
        <v>72</v>
      </c>
      <c r="G136" s="5">
        <v>0</v>
      </c>
      <c r="I136">
        <f t="shared" si="3"/>
        <v>0</v>
      </c>
    </row>
    <row r="137" spans="1:9" x14ac:dyDescent="0.35">
      <c r="A137" t="s">
        <v>62</v>
      </c>
      <c r="B137" t="s">
        <v>47</v>
      </c>
      <c r="C137" t="s">
        <v>40</v>
      </c>
      <c r="D137">
        <v>1</v>
      </c>
      <c r="E137" t="s">
        <v>25</v>
      </c>
      <c r="F137" t="s">
        <v>72</v>
      </c>
      <c r="G137" s="5">
        <v>0</v>
      </c>
      <c r="I137">
        <f t="shared" si="3"/>
        <v>0</v>
      </c>
    </row>
    <row r="138" spans="1:9" x14ac:dyDescent="0.35">
      <c r="A138" t="s">
        <v>62</v>
      </c>
      <c r="B138" t="s">
        <v>47</v>
      </c>
      <c r="C138" t="s">
        <v>41</v>
      </c>
      <c r="D138">
        <v>1</v>
      </c>
      <c r="E138" t="s">
        <v>25</v>
      </c>
      <c r="F138" t="s">
        <v>72</v>
      </c>
      <c r="G138" s="5">
        <v>0.15665405000000002</v>
      </c>
      <c r="I138">
        <f t="shared" si="3"/>
        <v>4.2611369168450135E-3</v>
      </c>
    </row>
    <row r="139" spans="1:9" x14ac:dyDescent="0.35">
      <c r="A139" t="s">
        <v>62</v>
      </c>
      <c r="B139" t="s">
        <v>47</v>
      </c>
      <c r="C139" t="s">
        <v>42</v>
      </c>
      <c r="D139">
        <v>1</v>
      </c>
      <c r="E139" t="s">
        <v>25</v>
      </c>
      <c r="F139" t="s">
        <v>72</v>
      </c>
      <c r="G139" s="5">
        <v>6.8489076500000001</v>
      </c>
      <c r="I139">
        <f t="shared" si="3"/>
        <v>0.18629670428231654</v>
      </c>
    </row>
    <row r="140" spans="1:9" x14ac:dyDescent="0.35">
      <c r="A140" t="s">
        <v>62</v>
      </c>
      <c r="B140" t="s">
        <v>47</v>
      </c>
      <c r="C140" t="s">
        <v>43</v>
      </c>
      <c r="D140">
        <v>1</v>
      </c>
      <c r="E140" t="s">
        <v>7</v>
      </c>
      <c r="F140" t="s">
        <v>72</v>
      </c>
      <c r="G140" s="5">
        <v>51.429576699999998</v>
      </c>
      <c r="I140">
        <f t="shared" si="3"/>
        <v>1.398932666561012</v>
      </c>
    </row>
    <row r="141" spans="1:9" x14ac:dyDescent="0.35">
      <c r="A141" t="s">
        <v>62</v>
      </c>
      <c r="B141" t="s">
        <v>47</v>
      </c>
      <c r="C141" t="s">
        <v>44</v>
      </c>
      <c r="D141">
        <v>1</v>
      </c>
      <c r="E141" t="s">
        <v>15</v>
      </c>
      <c r="F141" t="s">
        <v>72</v>
      </c>
      <c r="G141" s="5">
        <v>0</v>
      </c>
      <c r="I141">
        <f t="shared" si="3"/>
        <v>0</v>
      </c>
    </row>
    <row r="142" spans="1:9" x14ac:dyDescent="0.35">
      <c r="A142" t="s">
        <v>63</v>
      </c>
      <c r="B142" t="s">
        <v>48</v>
      </c>
      <c r="C142" t="s">
        <v>6</v>
      </c>
      <c r="D142">
        <v>2</v>
      </c>
      <c r="E142" t="s">
        <v>7</v>
      </c>
      <c r="F142" t="s">
        <v>8</v>
      </c>
      <c r="G142" s="5">
        <v>6.7746599999999546E-2</v>
      </c>
      <c r="I142">
        <f>(G142/$K$6)*100</f>
        <v>1.1867806608024326E-3</v>
      </c>
    </row>
    <row r="143" spans="1:9" x14ac:dyDescent="0.35">
      <c r="A143" t="s">
        <v>63</v>
      </c>
      <c r="B143" t="s">
        <v>48</v>
      </c>
      <c r="C143" t="s">
        <v>9</v>
      </c>
      <c r="D143">
        <v>2</v>
      </c>
      <c r="E143" t="s">
        <v>7</v>
      </c>
      <c r="F143" t="s">
        <v>8</v>
      </c>
      <c r="G143" s="5">
        <v>0.65114229999999995</v>
      </c>
      <c r="I143">
        <f>(G143/$K$6)*100</f>
        <v>1.1406669693688257E-2</v>
      </c>
    </row>
    <row r="144" spans="1:9" x14ac:dyDescent="0.35">
      <c r="A144" t="s">
        <v>63</v>
      </c>
      <c r="B144" t="s">
        <v>48</v>
      </c>
      <c r="C144" t="s">
        <v>10</v>
      </c>
      <c r="D144">
        <v>2</v>
      </c>
      <c r="E144" t="s">
        <v>7</v>
      </c>
      <c r="F144" t="s">
        <v>8</v>
      </c>
      <c r="G144" s="5">
        <v>0</v>
      </c>
      <c r="I144">
        <f>(G144/$K$6)*100</f>
        <v>0</v>
      </c>
    </row>
    <row r="145" spans="1:9" x14ac:dyDescent="0.35">
      <c r="A145" t="s">
        <v>63</v>
      </c>
      <c r="B145" t="s">
        <v>48</v>
      </c>
      <c r="C145" t="s">
        <v>11</v>
      </c>
      <c r="D145">
        <v>2</v>
      </c>
      <c r="E145" t="s">
        <v>7</v>
      </c>
      <c r="F145" t="s">
        <v>8</v>
      </c>
      <c r="G145" s="5">
        <v>14.33639625</v>
      </c>
      <c r="I145">
        <f t="shared" ref="I145:I176" si="4">(G145/$K$6)*100</f>
        <v>0.25114408420644918</v>
      </c>
    </row>
    <row r="146" spans="1:9" x14ac:dyDescent="0.35">
      <c r="A146" t="s">
        <v>63</v>
      </c>
      <c r="B146" t="s">
        <v>48</v>
      </c>
      <c r="C146" t="s">
        <v>12</v>
      </c>
      <c r="D146">
        <v>2</v>
      </c>
      <c r="E146" t="s">
        <v>7</v>
      </c>
      <c r="F146" t="s">
        <v>8</v>
      </c>
      <c r="G146" s="5">
        <v>55.688868300000003</v>
      </c>
      <c r="I146">
        <f t="shared" si="4"/>
        <v>0.97555407829195995</v>
      </c>
    </row>
    <row r="147" spans="1:9" x14ac:dyDescent="0.35">
      <c r="A147" t="s">
        <v>63</v>
      </c>
      <c r="B147" t="s">
        <v>48</v>
      </c>
      <c r="C147" t="s">
        <v>13</v>
      </c>
      <c r="D147">
        <v>2</v>
      </c>
      <c r="E147" t="s">
        <v>7</v>
      </c>
      <c r="F147" t="s">
        <v>8</v>
      </c>
      <c r="G147" s="5">
        <v>113.19052695000001</v>
      </c>
      <c r="I147">
        <f t="shared" si="4"/>
        <v>1.9828645034628671</v>
      </c>
    </row>
    <row r="148" spans="1:9" x14ac:dyDescent="0.35">
      <c r="A148" t="s">
        <v>63</v>
      </c>
      <c r="B148" t="s">
        <v>48</v>
      </c>
      <c r="C148" t="s">
        <v>14</v>
      </c>
      <c r="D148">
        <v>2</v>
      </c>
      <c r="E148" t="s">
        <v>15</v>
      </c>
      <c r="F148" t="s">
        <v>8</v>
      </c>
      <c r="G148" s="5">
        <v>0</v>
      </c>
      <c r="I148">
        <f t="shared" si="4"/>
        <v>0</v>
      </c>
    </row>
    <row r="149" spans="1:9" x14ac:dyDescent="0.35">
      <c r="A149" t="s">
        <v>63</v>
      </c>
      <c r="B149" t="s">
        <v>48</v>
      </c>
      <c r="C149" t="s">
        <v>16</v>
      </c>
      <c r="D149">
        <v>2</v>
      </c>
      <c r="E149" t="s">
        <v>7</v>
      </c>
      <c r="F149" t="s">
        <v>8</v>
      </c>
      <c r="G149" s="5">
        <v>6.7154224500000002</v>
      </c>
      <c r="I149">
        <f t="shared" si="4"/>
        <v>0.11764034642002025</v>
      </c>
    </row>
    <row r="150" spans="1:9" x14ac:dyDescent="0.35">
      <c r="A150" t="s">
        <v>63</v>
      </c>
      <c r="B150" t="s">
        <v>48</v>
      </c>
      <c r="C150" t="s">
        <v>17</v>
      </c>
      <c r="D150">
        <v>2</v>
      </c>
      <c r="E150" t="s">
        <v>15</v>
      </c>
      <c r="F150" t="s">
        <v>8</v>
      </c>
      <c r="G150" s="5">
        <v>0</v>
      </c>
      <c r="I150">
        <f t="shared" si="4"/>
        <v>0</v>
      </c>
    </row>
    <row r="151" spans="1:9" x14ac:dyDescent="0.35">
      <c r="A151" t="s">
        <v>63</v>
      </c>
      <c r="B151" t="s">
        <v>48</v>
      </c>
      <c r="C151" t="s">
        <v>18</v>
      </c>
      <c r="D151">
        <v>2</v>
      </c>
      <c r="E151" t="s">
        <v>7</v>
      </c>
      <c r="F151" t="s">
        <v>8</v>
      </c>
      <c r="G151" s="5">
        <v>2320.1753528999998</v>
      </c>
      <c r="I151">
        <f t="shared" si="4"/>
        <v>40.644685319886129</v>
      </c>
    </row>
    <row r="152" spans="1:9" x14ac:dyDescent="0.35">
      <c r="A152" t="s">
        <v>63</v>
      </c>
      <c r="B152" t="s">
        <v>48</v>
      </c>
      <c r="C152" t="s">
        <v>19</v>
      </c>
      <c r="D152">
        <v>2</v>
      </c>
      <c r="E152" t="s">
        <v>15</v>
      </c>
      <c r="F152" t="s">
        <v>8</v>
      </c>
      <c r="G152" s="5">
        <v>433.46531455000002</v>
      </c>
      <c r="I152">
        <f t="shared" si="4"/>
        <v>7.5934180082334279</v>
      </c>
    </row>
    <row r="153" spans="1:9" x14ac:dyDescent="0.35">
      <c r="A153" t="s">
        <v>63</v>
      </c>
      <c r="B153" t="s">
        <v>48</v>
      </c>
      <c r="C153" t="s">
        <v>20</v>
      </c>
      <c r="D153">
        <v>2</v>
      </c>
      <c r="E153" t="s">
        <v>7</v>
      </c>
      <c r="F153" t="s">
        <v>8</v>
      </c>
      <c r="G153" s="5">
        <v>8.9990271499999999</v>
      </c>
      <c r="I153">
        <f t="shared" si="4"/>
        <v>0.15764438935173281</v>
      </c>
    </row>
    <row r="154" spans="1:9" x14ac:dyDescent="0.35">
      <c r="A154" t="s">
        <v>63</v>
      </c>
      <c r="B154" t="s">
        <v>48</v>
      </c>
      <c r="C154" t="s">
        <v>21</v>
      </c>
      <c r="D154">
        <v>2</v>
      </c>
      <c r="E154" t="s">
        <v>15</v>
      </c>
      <c r="F154" t="s">
        <v>8</v>
      </c>
      <c r="G154" s="5">
        <v>10.347196649999999</v>
      </c>
      <c r="I154">
        <f t="shared" si="4"/>
        <v>0.1812615375198135</v>
      </c>
    </row>
    <row r="155" spans="1:9" x14ac:dyDescent="0.35">
      <c r="A155" t="s">
        <v>63</v>
      </c>
      <c r="B155" t="s">
        <v>48</v>
      </c>
      <c r="C155" t="s">
        <v>22</v>
      </c>
      <c r="D155">
        <v>2</v>
      </c>
      <c r="E155" t="s">
        <v>7</v>
      </c>
      <c r="F155" t="s">
        <v>8</v>
      </c>
      <c r="G155" s="5">
        <v>0</v>
      </c>
      <c r="I155">
        <f t="shared" si="4"/>
        <v>0</v>
      </c>
    </row>
    <row r="156" spans="1:9" x14ac:dyDescent="0.35">
      <c r="A156" t="s">
        <v>63</v>
      </c>
      <c r="B156" t="s">
        <v>48</v>
      </c>
      <c r="C156" t="s">
        <v>23</v>
      </c>
      <c r="D156">
        <v>2</v>
      </c>
      <c r="E156" t="s">
        <v>15</v>
      </c>
      <c r="F156" t="s">
        <v>8</v>
      </c>
      <c r="G156" s="5">
        <v>0</v>
      </c>
      <c r="I156">
        <f t="shared" si="4"/>
        <v>0</v>
      </c>
    </row>
    <row r="157" spans="1:9" x14ac:dyDescent="0.35">
      <c r="A157" t="s">
        <v>63</v>
      </c>
      <c r="B157" t="s">
        <v>48</v>
      </c>
      <c r="C157" t="s">
        <v>24</v>
      </c>
      <c r="D157">
        <v>2</v>
      </c>
      <c r="E157" t="s">
        <v>25</v>
      </c>
      <c r="F157" t="s">
        <v>8</v>
      </c>
      <c r="G157" s="5">
        <v>3.0390467500000002</v>
      </c>
      <c r="I157">
        <f t="shared" si="4"/>
        <v>5.3237829059679893E-2</v>
      </c>
    </row>
    <row r="158" spans="1:9" x14ac:dyDescent="0.35">
      <c r="A158" t="s">
        <v>63</v>
      </c>
      <c r="B158" t="s">
        <v>48</v>
      </c>
      <c r="C158" t="s">
        <v>26</v>
      </c>
      <c r="D158">
        <v>2</v>
      </c>
      <c r="E158" t="s">
        <v>25</v>
      </c>
      <c r="F158" t="s">
        <v>8</v>
      </c>
      <c r="G158" s="5">
        <v>826.61418430000003</v>
      </c>
      <c r="I158">
        <f t="shared" si="4"/>
        <v>14.480575082324787</v>
      </c>
    </row>
    <row r="159" spans="1:9" x14ac:dyDescent="0.35">
      <c r="A159" t="s">
        <v>63</v>
      </c>
      <c r="B159" t="s">
        <v>48</v>
      </c>
      <c r="C159" t="s">
        <v>27</v>
      </c>
      <c r="D159">
        <v>2</v>
      </c>
      <c r="E159" t="s">
        <v>25</v>
      </c>
      <c r="F159" t="s">
        <v>8</v>
      </c>
      <c r="G159" s="5">
        <v>0</v>
      </c>
      <c r="I159">
        <f t="shared" si="4"/>
        <v>0</v>
      </c>
    </row>
    <row r="160" spans="1:9" x14ac:dyDescent="0.35">
      <c r="A160" t="s">
        <v>63</v>
      </c>
      <c r="B160" t="s">
        <v>48</v>
      </c>
      <c r="C160" t="s">
        <v>28</v>
      </c>
      <c r="D160">
        <v>2</v>
      </c>
      <c r="E160" t="s">
        <v>25</v>
      </c>
      <c r="F160" t="s">
        <v>8</v>
      </c>
      <c r="G160" s="5">
        <v>1547.54604445</v>
      </c>
      <c r="I160">
        <f t="shared" si="4"/>
        <v>27.109813883716289</v>
      </c>
    </row>
    <row r="161" spans="1:9" x14ac:dyDescent="0.35">
      <c r="A161" t="s">
        <v>63</v>
      </c>
      <c r="B161" t="s">
        <v>48</v>
      </c>
      <c r="C161" t="s">
        <v>29</v>
      </c>
      <c r="D161">
        <v>2</v>
      </c>
      <c r="E161" t="s">
        <v>25</v>
      </c>
      <c r="F161" t="s">
        <v>8</v>
      </c>
      <c r="G161" s="5">
        <v>101.09554090000002</v>
      </c>
      <c r="I161">
        <f t="shared" si="4"/>
        <v>1.7709853016015884</v>
      </c>
    </row>
    <row r="162" spans="1:9" x14ac:dyDescent="0.35">
      <c r="A162" t="s">
        <v>63</v>
      </c>
      <c r="B162" t="s">
        <v>48</v>
      </c>
      <c r="C162" t="s">
        <v>30</v>
      </c>
      <c r="D162">
        <v>2</v>
      </c>
      <c r="E162" t="s">
        <v>7</v>
      </c>
      <c r="F162" t="s">
        <v>8</v>
      </c>
      <c r="G162" s="5">
        <v>9.9866934499999989</v>
      </c>
      <c r="I162">
        <f t="shared" si="4"/>
        <v>0.17494626522692508</v>
      </c>
    </row>
    <row r="163" spans="1:9" x14ac:dyDescent="0.35">
      <c r="A163" t="s">
        <v>63</v>
      </c>
      <c r="B163" t="s">
        <v>48</v>
      </c>
      <c r="C163" t="s">
        <v>31</v>
      </c>
      <c r="D163">
        <v>2</v>
      </c>
      <c r="E163" t="s">
        <v>15</v>
      </c>
      <c r="F163" t="s">
        <v>8</v>
      </c>
      <c r="G163" s="5">
        <v>19.737445149999996</v>
      </c>
      <c r="I163">
        <f t="shared" si="4"/>
        <v>0.34575931777637431</v>
      </c>
    </row>
    <row r="164" spans="1:9" x14ac:dyDescent="0.35">
      <c r="A164" t="s">
        <v>63</v>
      </c>
      <c r="B164" t="s">
        <v>48</v>
      </c>
      <c r="C164" t="s">
        <v>32</v>
      </c>
      <c r="D164">
        <v>2</v>
      </c>
      <c r="E164" t="s">
        <v>25</v>
      </c>
      <c r="F164" t="s">
        <v>8</v>
      </c>
      <c r="G164" s="5">
        <v>7.4516403500000008</v>
      </c>
      <c r="I164">
        <f t="shared" si="4"/>
        <v>0.13053736510223582</v>
      </c>
    </row>
    <row r="165" spans="1:9" x14ac:dyDescent="0.35">
      <c r="A165" t="s">
        <v>63</v>
      </c>
      <c r="B165" t="s">
        <v>48</v>
      </c>
      <c r="C165" t="s">
        <v>33</v>
      </c>
      <c r="D165">
        <v>2</v>
      </c>
      <c r="E165" t="s">
        <v>25</v>
      </c>
      <c r="F165" t="s">
        <v>8</v>
      </c>
      <c r="G165" s="5">
        <v>0</v>
      </c>
      <c r="I165">
        <f t="shared" si="4"/>
        <v>0</v>
      </c>
    </row>
    <row r="166" spans="1:9" x14ac:dyDescent="0.35">
      <c r="A166" t="s">
        <v>63</v>
      </c>
      <c r="B166" t="s">
        <v>48</v>
      </c>
      <c r="C166" t="s">
        <v>34</v>
      </c>
      <c r="D166">
        <v>2</v>
      </c>
      <c r="E166" t="s">
        <v>25</v>
      </c>
      <c r="F166" t="s">
        <v>8</v>
      </c>
      <c r="G166" s="5">
        <v>64.287944749999994</v>
      </c>
      <c r="I166">
        <f t="shared" si="4"/>
        <v>1.1261921565367972</v>
      </c>
    </row>
    <row r="167" spans="1:9" x14ac:dyDescent="0.35">
      <c r="A167" t="s">
        <v>63</v>
      </c>
      <c r="B167" t="s">
        <v>48</v>
      </c>
      <c r="C167" t="s">
        <v>35</v>
      </c>
      <c r="D167">
        <v>2</v>
      </c>
      <c r="E167" t="s">
        <v>25</v>
      </c>
      <c r="F167" t="s">
        <v>8</v>
      </c>
      <c r="G167" s="5">
        <v>0</v>
      </c>
      <c r="I167">
        <f t="shared" si="4"/>
        <v>0</v>
      </c>
    </row>
    <row r="168" spans="1:9" x14ac:dyDescent="0.35">
      <c r="A168" t="s">
        <v>63</v>
      </c>
      <c r="B168" t="s">
        <v>48</v>
      </c>
      <c r="C168" t="s">
        <v>36</v>
      </c>
      <c r="D168">
        <v>2</v>
      </c>
      <c r="E168" t="s">
        <v>7</v>
      </c>
      <c r="F168" t="s">
        <v>8</v>
      </c>
      <c r="G168" s="5">
        <v>0</v>
      </c>
      <c r="I168">
        <f t="shared" si="4"/>
        <v>0</v>
      </c>
    </row>
    <row r="169" spans="1:9" x14ac:dyDescent="0.35">
      <c r="A169" t="s">
        <v>63</v>
      </c>
      <c r="B169" t="s">
        <v>48</v>
      </c>
      <c r="C169" t="s">
        <v>37</v>
      </c>
      <c r="D169">
        <v>2</v>
      </c>
      <c r="E169" t="s">
        <v>25</v>
      </c>
      <c r="F169" t="s">
        <v>8</v>
      </c>
      <c r="G169" s="5">
        <v>137.10606919999998</v>
      </c>
      <c r="I169">
        <f t="shared" si="4"/>
        <v>2.4018154624025576</v>
      </c>
    </row>
    <row r="170" spans="1:9" x14ac:dyDescent="0.35">
      <c r="A170" t="s">
        <v>63</v>
      </c>
      <c r="B170" t="s">
        <v>48</v>
      </c>
      <c r="C170" t="s">
        <v>38</v>
      </c>
      <c r="D170">
        <v>2</v>
      </c>
      <c r="E170" t="s">
        <v>7</v>
      </c>
      <c r="F170" t="s">
        <v>8</v>
      </c>
      <c r="G170" s="5">
        <v>0</v>
      </c>
      <c r="I170">
        <f t="shared" si="4"/>
        <v>0</v>
      </c>
    </row>
    <row r="171" spans="1:9" x14ac:dyDescent="0.35">
      <c r="A171" t="s">
        <v>63</v>
      </c>
      <c r="B171" t="s">
        <v>48</v>
      </c>
      <c r="C171" t="s">
        <v>39</v>
      </c>
      <c r="D171">
        <v>2</v>
      </c>
      <c r="E171" t="s">
        <v>15</v>
      </c>
      <c r="F171" t="s">
        <v>8</v>
      </c>
      <c r="G171" s="5">
        <v>0</v>
      </c>
      <c r="I171">
        <f t="shared" si="4"/>
        <v>0</v>
      </c>
    </row>
    <row r="172" spans="1:9" x14ac:dyDescent="0.35">
      <c r="A172" t="s">
        <v>63</v>
      </c>
      <c r="B172" t="s">
        <v>48</v>
      </c>
      <c r="C172" t="s">
        <v>40</v>
      </c>
      <c r="D172">
        <v>2</v>
      </c>
      <c r="E172" t="s">
        <v>25</v>
      </c>
      <c r="F172" t="s">
        <v>8</v>
      </c>
      <c r="G172" s="5">
        <v>0</v>
      </c>
      <c r="I172">
        <f t="shared" si="4"/>
        <v>0</v>
      </c>
    </row>
    <row r="173" spans="1:9" x14ac:dyDescent="0.35">
      <c r="A173" t="s">
        <v>63</v>
      </c>
      <c r="B173" t="s">
        <v>48</v>
      </c>
      <c r="C173" t="s">
        <v>41</v>
      </c>
      <c r="D173">
        <v>2</v>
      </c>
      <c r="E173" t="s">
        <v>25</v>
      </c>
      <c r="F173" t="s">
        <v>8</v>
      </c>
      <c r="G173" s="5">
        <v>0.18565835</v>
      </c>
      <c r="I173">
        <f t="shared" si="4"/>
        <v>3.2523512515239259E-3</v>
      </c>
    </row>
    <row r="174" spans="1:9" x14ac:dyDescent="0.35">
      <c r="A174" t="s">
        <v>63</v>
      </c>
      <c r="B174" t="s">
        <v>48</v>
      </c>
      <c r="C174" t="s">
        <v>42</v>
      </c>
      <c r="D174">
        <v>2</v>
      </c>
      <c r="E174" t="s">
        <v>25</v>
      </c>
      <c r="F174" t="s">
        <v>8</v>
      </c>
      <c r="G174" s="5">
        <v>5.1744077500000003</v>
      </c>
      <c r="I174">
        <f t="shared" si="4"/>
        <v>9.0644948215943974E-2</v>
      </c>
    </row>
    <row r="175" spans="1:9" x14ac:dyDescent="0.35">
      <c r="A175" t="s">
        <v>63</v>
      </c>
      <c r="B175" t="s">
        <v>48</v>
      </c>
      <c r="C175" t="s">
        <v>43</v>
      </c>
      <c r="D175">
        <v>2</v>
      </c>
      <c r="E175" t="s">
        <v>7</v>
      </c>
      <c r="F175" t="s">
        <v>8</v>
      </c>
      <c r="G175" s="5">
        <v>22.573110199999999</v>
      </c>
      <c r="I175">
        <f t="shared" si="4"/>
        <v>0.39543431905840742</v>
      </c>
    </row>
    <row r="176" spans="1:9" x14ac:dyDescent="0.35">
      <c r="A176" t="s">
        <v>63</v>
      </c>
      <c r="B176" t="s">
        <v>48</v>
      </c>
      <c r="C176" t="s">
        <v>44</v>
      </c>
      <c r="D176">
        <v>2</v>
      </c>
      <c r="E176" t="s">
        <v>15</v>
      </c>
      <c r="F176" t="s">
        <v>8</v>
      </c>
      <c r="G176" s="5">
        <v>0</v>
      </c>
      <c r="I176">
        <f t="shared" si="4"/>
        <v>0</v>
      </c>
    </row>
    <row r="177" spans="1:9" x14ac:dyDescent="0.35">
      <c r="A177" t="s">
        <v>64</v>
      </c>
      <c r="B177" t="s">
        <v>49</v>
      </c>
      <c r="C177" t="s">
        <v>6</v>
      </c>
      <c r="D177">
        <v>2</v>
      </c>
      <c r="E177" t="s">
        <v>7</v>
      </c>
      <c r="F177" t="s">
        <v>71</v>
      </c>
      <c r="G177" s="5">
        <v>0.10612019999999944</v>
      </c>
      <c r="I177">
        <f>(G177/$K$7)*100</f>
        <v>2.1153967531628575E-3</v>
      </c>
    </row>
    <row r="178" spans="1:9" x14ac:dyDescent="0.35">
      <c r="A178" t="s">
        <v>64</v>
      </c>
      <c r="B178" t="s">
        <v>49</v>
      </c>
      <c r="C178" t="s">
        <v>9</v>
      </c>
      <c r="D178">
        <v>2</v>
      </c>
      <c r="E178" t="s">
        <v>7</v>
      </c>
      <c r="F178" t="s">
        <v>71</v>
      </c>
      <c r="G178" s="5">
        <v>0</v>
      </c>
      <c r="I178">
        <f>(G178/$K$7)*100</f>
        <v>0</v>
      </c>
    </row>
    <row r="179" spans="1:9" x14ac:dyDescent="0.35">
      <c r="A179" t="s">
        <v>64</v>
      </c>
      <c r="B179" t="s">
        <v>49</v>
      </c>
      <c r="C179" t="s">
        <v>10</v>
      </c>
      <c r="D179">
        <v>2</v>
      </c>
      <c r="E179" t="s">
        <v>7</v>
      </c>
      <c r="F179" t="s">
        <v>71</v>
      </c>
      <c r="G179" s="5">
        <v>0</v>
      </c>
      <c r="I179">
        <f>(G179/$K$7)*100</f>
        <v>0</v>
      </c>
    </row>
    <row r="180" spans="1:9" x14ac:dyDescent="0.35">
      <c r="A180" t="s">
        <v>64</v>
      </c>
      <c r="B180" t="s">
        <v>49</v>
      </c>
      <c r="C180" t="s">
        <v>11</v>
      </c>
      <c r="D180">
        <v>2</v>
      </c>
      <c r="E180" t="s">
        <v>7</v>
      </c>
      <c r="F180" t="s">
        <v>71</v>
      </c>
      <c r="G180" s="5">
        <v>2.8238455</v>
      </c>
      <c r="I180">
        <f t="shared" ref="I180:I211" si="5">(G180/$K$7)*100</f>
        <v>5.6290448021522548E-2</v>
      </c>
    </row>
    <row r="181" spans="1:9" x14ac:dyDescent="0.35">
      <c r="A181" t="s">
        <v>64</v>
      </c>
      <c r="B181" t="s">
        <v>49</v>
      </c>
      <c r="C181" t="s">
        <v>12</v>
      </c>
      <c r="D181">
        <v>2</v>
      </c>
      <c r="E181" t="s">
        <v>7</v>
      </c>
      <c r="F181" t="s">
        <v>71</v>
      </c>
      <c r="G181" s="5">
        <v>47.770315150000002</v>
      </c>
      <c r="I181">
        <f t="shared" si="5"/>
        <v>0.95225197055675537</v>
      </c>
    </row>
    <row r="182" spans="1:9" x14ac:dyDescent="0.35">
      <c r="A182" t="s">
        <v>64</v>
      </c>
      <c r="B182" t="s">
        <v>49</v>
      </c>
      <c r="C182" t="s">
        <v>13</v>
      </c>
      <c r="D182">
        <v>2</v>
      </c>
      <c r="E182" t="s">
        <v>7</v>
      </c>
      <c r="F182" t="s">
        <v>71</v>
      </c>
      <c r="G182" s="5">
        <v>70.324290450000007</v>
      </c>
      <c r="I182">
        <f t="shared" si="5"/>
        <v>1.4018422099318746</v>
      </c>
    </row>
    <row r="183" spans="1:9" x14ac:dyDescent="0.35">
      <c r="A183" t="s">
        <v>64</v>
      </c>
      <c r="B183" t="s">
        <v>49</v>
      </c>
      <c r="C183" t="s">
        <v>14</v>
      </c>
      <c r="D183">
        <v>2</v>
      </c>
      <c r="E183" t="s">
        <v>15</v>
      </c>
      <c r="F183" t="s">
        <v>71</v>
      </c>
      <c r="G183" s="5">
        <v>3.2401565999999997</v>
      </c>
      <c r="I183">
        <f t="shared" si="5"/>
        <v>6.4589180489475512E-2</v>
      </c>
    </row>
    <row r="184" spans="1:9" x14ac:dyDescent="0.35">
      <c r="A184" t="s">
        <v>64</v>
      </c>
      <c r="B184" t="s">
        <v>49</v>
      </c>
      <c r="C184" t="s">
        <v>16</v>
      </c>
      <c r="D184">
        <v>2</v>
      </c>
      <c r="E184" t="s">
        <v>7</v>
      </c>
      <c r="F184" t="s">
        <v>71</v>
      </c>
      <c r="G184" s="5">
        <v>4.4218673500000003</v>
      </c>
      <c r="I184">
        <f t="shared" si="5"/>
        <v>8.8145365680680002E-2</v>
      </c>
    </row>
    <row r="185" spans="1:9" x14ac:dyDescent="0.35">
      <c r="A185" t="s">
        <v>64</v>
      </c>
      <c r="B185" t="s">
        <v>49</v>
      </c>
      <c r="C185" t="s">
        <v>17</v>
      </c>
      <c r="D185">
        <v>2</v>
      </c>
      <c r="E185" t="s">
        <v>15</v>
      </c>
      <c r="F185" t="s">
        <v>71</v>
      </c>
      <c r="G185" s="5">
        <v>0</v>
      </c>
      <c r="I185">
        <f t="shared" si="5"/>
        <v>0</v>
      </c>
    </row>
    <row r="186" spans="1:9" x14ac:dyDescent="0.35">
      <c r="A186" t="s">
        <v>64</v>
      </c>
      <c r="B186" t="s">
        <v>49</v>
      </c>
      <c r="C186" t="s">
        <v>18</v>
      </c>
      <c r="D186">
        <v>2</v>
      </c>
      <c r="E186" t="s">
        <v>7</v>
      </c>
      <c r="F186" t="s">
        <v>71</v>
      </c>
      <c r="G186" s="5">
        <v>1540.4249221499999</v>
      </c>
      <c r="I186">
        <f t="shared" si="5"/>
        <v>30.706782297878014</v>
      </c>
    </row>
    <row r="187" spans="1:9" x14ac:dyDescent="0.35">
      <c r="A187" t="s">
        <v>64</v>
      </c>
      <c r="B187" t="s">
        <v>49</v>
      </c>
      <c r="C187" t="s">
        <v>19</v>
      </c>
      <c r="D187">
        <v>2</v>
      </c>
      <c r="E187" t="s">
        <v>15</v>
      </c>
      <c r="F187" t="s">
        <v>71</v>
      </c>
      <c r="G187" s="5">
        <v>246.24615054999998</v>
      </c>
      <c r="I187">
        <f t="shared" si="5"/>
        <v>4.9086630759490175</v>
      </c>
    </row>
    <row r="188" spans="1:9" x14ac:dyDescent="0.35">
      <c r="A188" t="s">
        <v>64</v>
      </c>
      <c r="B188" t="s">
        <v>49</v>
      </c>
      <c r="C188" t="s">
        <v>20</v>
      </c>
      <c r="D188">
        <v>2</v>
      </c>
      <c r="E188" t="s">
        <v>7</v>
      </c>
      <c r="F188" t="s">
        <v>71</v>
      </c>
      <c r="G188" s="5">
        <v>7.7488665999999995</v>
      </c>
      <c r="I188">
        <f t="shared" si="5"/>
        <v>0.15446566484356603</v>
      </c>
    </row>
    <row r="189" spans="1:9" x14ac:dyDescent="0.35">
      <c r="A189" t="s">
        <v>64</v>
      </c>
      <c r="B189" t="s">
        <v>49</v>
      </c>
      <c r="C189" t="s">
        <v>21</v>
      </c>
      <c r="D189">
        <v>2</v>
      </c>
      <c r="E189" t="s">
        <v>15</v>
      </c>
      <c r="F189" t="s">
        <v>71</v>
      </c>
      <c r="G189" s="5">
        <v>8.400928200000001</v>
      </c>
      <c r="I189">
        <f t="shared" si="5"/>
        <v>0.16746384041713439</v>
      </c>
    </row>
    <row r="190" spans="1:9" x14ac:dyDescent="0.35">
      <c r="A190" t="s">
        <v>64</v>
      </c>
      <c r="B190" t="s">
        <v>49</v>
      </c>
      <c r="C190" t="s">
        <v>22</v>
      </c>
      <c r="D190">
        <v>2</v>
      </c>
      <c r="E190" t="s">
        <v>7</v>
      </c>
      <c r="F190" t="s">
        <v>71</v>
      </c>
      <c r="G190" s="5">
        <v>129.96834744999998</v>
      </c>
      <c r="I190">
        <f t="shared" si="5"/>
        <v>2.5907849797651488</v>
      </c>
    </row>
    <row r="191" spans="1:9" x14ac:dyDescent="0.35">
      <c r="A191" t="s">
        <v>64</v>
      </c>
      <c r="B191" t="s">
        <v>49</v>
      </c>
      <c r="C191" t="s">
        <v>23</v>
      </c>
      <c r="D191">
        <v>2</v>
      </c>
      <c r="E191" t="s">
        <v>15</v>
      </c>
      <c r="F191" t="s">
        <v>71</v>
      </c>
      <c r="G191" s="5">
        <v>903.54541600000005</v>
      </c>
      <c r="I191">
        <f t="shared" si="5"/>
        <v>18.011246109049864</v>
      </c>
    </row>
    <row r="192" spans="1:9" x14ac:dyDescent="0.35">
      <c r="A192" t="s">
        <v>64</v>
      </c>
      <c r="B192" t="s">
        <v>49</v>
      </c>
      <c r="C192" t="s">
        <v>24</v>
      </c>
      <c r="D192">
        <v>2</v>
      </c>
      <c r="E192" t="s">
        <v>25</v>
      </c>
      <c r="F192" t="s">
        <v>71</v>
      </c>
      <c r="G192" s="5">
        <v>0</v>
      </c>
      <c r="I192">
        <f t="shared" si="5"/>
        <v>0</v>
      </c>
    </row>
    <row r="193" spans="1:9" x14ac:dyDescent="0.35">
      <c r="A193" t="s">
        <v>64</v>
      </c>
      <c r="B193" t="s">
        <v>49</v>
      </c>
      <c r="C193" t="s">
        <v>26</v>
      </c>
      <c r="D193">
        <v>2</v>
      </c>
      <c r="E193" t="s">
        <v>25</v>
      </c>
      <c r="F193" t="s">
        <v>71</v>
      </c>
      <c r="G193" s="5">
        <v>728.32491269999991</v>
      </c>
      <c r="I193">
        <f t="shared" si="5"/>
        <v>14.518406067583831</v>
      </c>
    </row>
    <row r="194" spans="1:9" x14ac:dyDescent="0.35">
      <c r="A194" t="s">
        <v>64</v>
      </c>
      <c r="B194" t="s">
        <v>49</v>
      </c>
      <c r="C194" t="s">
        <v>27</v>
      </c>
      <c r="D194">
        <v>2</v>
      </c>
      <c r="E194" t="s">
        <v>25</v>
      </c>
      <c r="F194" t="s">
        <v>71</v>
      </c>
      <c r="G194" s="5">
        <v>0.15192639999999999</v>
      </c>
      <c r="I194">
        <f t="shared" si="5"/>
        <v>3.0284961136496464E-3</v>
      </c>
    </row>
    <row r="195" spans="1:9" x14ac:dyDescent="0.35">
      <c r="A195" t="s">
        <v>64</v>
      </c>
      <c r="B195" t="s">
        <v>49</v>
      </c>
      <c r="C195" t="s">
        <v>28</v>
      </c>
      <c r="D195">
        <v>2</v>
      </c>
      <c r="E195" t="s">
        <v>25</v>
      </c>
      <c r="F195" t="s">
        <v>71</v>
      </c>
      <c r="G195" s="5">
        <v>1141.38533575</v>
      </c>
      <c r="I195">
        <f t="shared" si="5"/>
        <v>22.752339642718923</v>
      </c>
    </row>
    <row r="196" spans="1:9" x14ac:dyDescent="0.35">
      <c r="A196" t="s">
        <v>64</v>
      </c>
      <c r="B196" t="s">
        <v>49</v>
      </c>
      <c r="C196" t="s">
        <v>29</v>
      </c>
      <c r="D196">
        <v>2</v>
      </c>
      <c r="E196" t="s">
        <v>25</v>
      </c>
      <c r="F196" t="s">
        <v>71</v>
      </c>
      <c r="G196" s="5">
        <v>68.946800700000011</v>
      </c>
      <c r="I196">
        <f t="shared" si="5"/>
        <v>1.3743833722679322</v>
      </c>
    </row>
    <row r="197" spans="1:9" x14ac:dyDescent="0.35">
      <c r="A197" t="s">
        <v>64</v>
      </c>
      <c r="B197" t="s">
        <v>49</v>
      </c>
      <c r="C197" t="s">
        <v>30</v>
      </c>
      <c r="D197">
        <v>2</v>
      </c>
      <c r="E197" t="s">
        <v>7</v>
      </c>
      <c r="F197" t="s">
        <v>71</v>
      </c>
      <c r="G197" s="5">
        <v>6.6436916999999998</v>
      </c>
      <c r="I197">
        <f t="shared" si="5"/>
        <v>0.13243514289640518</v>
      </c>
    </row>
    <row r="198" spans="1:9" x14ac:dyDescent="0.35">
      <c r="A198" t="s">
        <v>64</v>
      </c>
      <c r="B198" t="s">
        <v>49</v>
      </c>
      <c r="C198" t="s">
        <v>31</v>
      </c>
      <c r="D198">
        <v>2</v>
      </c>
      <c r="E198" t="s">
        <v>15</v>
      </c>
      <c r="F198" t="s">
        <v>71</v>
      </c>
      <c r="G198" s="5">
        <v>6.7117500000000024E-3</v>
      </c>
      <c r="I198">
        <f t="shared" si="5"/>
        <v>1.337918149234631E-4</v>
      </c>
    </row>
    <row r="199" spans="1:9" x14ac:dyDescent="0.35">
      <c r="A199" t="s">
        <v>64</v>
      </c>
      <c r="B199" t="s">
        <v>49</v>
      </c>
      <c r="C199" t="s">
        <v>32</v>
      </c>
      <c r="D199">
        <v>2</v>
      </c>
      <c r="E199" t="s">
        <v>25</v>
      </c>
      <c r="F199" t="s">
        <v>71</v>
      </c>
      <c r="G199" s="5">
        <v>0.55756990000000006</v>
      </c>
      <c r="I199">
        <f t="shared" si="5"/>
        <v>1.111458097630183E-2</v>
      </c>
    </row>
    <row r="200" spans="1:9" x14ac:dyDescent="0.35">
      <c r="A200" t="s">
        <v>64</v>
      </c>
      <c r="B200" t="s">
        <v>49</v>
      </c>
      <c r="C200" t="s">
        <v>33</v>
      </c>
      <c r="D200">
        <v>2</v>
      </c>
      <c r="E200" t="s">
        <v>25</v>
      </c>
      <c r="F200" t="s">
        <v>71</v>
      </c>
      <c r="G200" s="5">
        <v>0</v>
      </c>
      <c r="I200">
        <f t="shared" si="5"/>
        <v>0</v>
      </c>
    </row>
    <row r="201" spans="1:9" x14ac:dyDescent="0.35">
      <c r="A201" t="s">
        <v>64</v>
      </c>
      <c r="B201" t="s">
        <v>49</v>
      </c>
      <c r="C201" t="s">
        <v>34</v>
      </c>
      <c r="D201">
        <v>2</v>
      </c>
      <c r="E201" t="s">
        <v>25</v>
      </c>
      <c r="F201" t="s">
        <v>71</v>
      </c>
      <c r="G201" s="5">
        <v>26.995142350000002</v>
      </c>
      <c r="I201">
        <f t="shared" si="5"/>
        <v>0.53812032467296</v>
      </c>
    </row>
    <row r="202" spans="1:9" x14ac:dyDescent="0.35">
      <c r="A202" t="s">
        <v>64</v>
      </c>
      <c r="B202" t="s">
        <v>49</v>
      </c>
      <c r="C202" t="s">
        <v>35</v>
      </c>
      <c r="D202">
        <v>2</v>
      </c>
      <c r="E202" t="s">
        <v>25</v>
      </c>
      <c r="F202" t="s">
        <v>71</v>
      </c>
      <c r="G202" s="5">
        <v>1.5999611999999999</v>
      </c>
      <c r="I202">
        <f t="shared" si="5"/>
        <v>3.1893576601500627E-2</v>
      </c>
    </row>
    <row r="203" spans="1:9" x14ac:dyDescent="0.35">
      <c r="A203" t="s">
        <v>64</v>
      </c>
      <c r="B203" t="s">
        <v>49</v>
      </c>
      <c r="C203" t="s">
        <v>36</v>
      </c>
      <c r="D203">
        <v>2</v>
      </c>
      <c r="E203" t="s">
        <v>7</v>
      </c>
      <c r="F203" t="s">
        <v>71</v>
      </c>
      <c r="G203" s="5">
        <v>0</v>
      </c>
      <c r="I203">
        <f t="shared" si="5"/>
        <v>0</v>
      </c>
    </row>
    <row r="204" spans="1:9" x14ac:dyDescent="0.35">
      <c r="A204" t="s">
        <v>64</v>
      </c>
      <c r="B204" t="s">
        <v>49</v>
      </c>
      <c r="C204" t="s">
        <v>37</v>
      </c>
      <c r="D204">
        <v>2</v>
      </c>
      <c r="E204" t="s">
        <v>25</v>
      </c>
      <c r="F204" t="s">
        <v>71</v>
      </c>
      <c r="G204" s="5">
        <v>71.746092849999982</v>
      </c>
      <c r="I204">
        <f t="shared" si="5"/>
        <v>1.4301843745772405</v>
      </c>
    </row>
    <row r="205" spans="1:9" x14ac:dyDescent="0.35">
      <c r="A205" t="s">
        <v>64</v>
      </c>
      <c r="B205" t="s">
        <v>49</v>
      </c>
      <c r="C205" t="s">
        <v>38</v>
      </c>
      <c r="D205">
        <v>2</v>
      </c>
      <c r="E205" t="s">
        <v>7</v>
      </c>
      <c r="F205" t="s">
        <v>71</v>
      </c>
      <c r="G205" s="5">
        <v>1.5117919</v>
      </c>
      <c r="I205">
        <f t="shared" si="5"/>
        <v>3.0136012528415173E-2</v>
      </c>
    </row>
    <row r="206" spans="1:9" x14ac:dyDescent="0.35">
      <c r="A206" t="s">
        <v>64</v>
      </c>
      <c r="B206" t="s">
        <v>49</v>
      </c>
      <c r="C206" t="s">
        <v>39</v>
      </c>
      <c r="D206">
        <v>2</v>
      </c>
      <c r="E206" t="s">
        <v>15</v>
      </c>
      <c r="F206" t="s">
        <v>71</v>
      </c>
      <c r="G206" s="5">
        <v>0</v>
      </c>
      <c r="I206">
        <f t="shared" si="5"/>
        <v>0</v>
      </c>
    </row>
    <row r="207" spans="1:9" x14ac:dyDescent="0.35">
      <c r="A207" t="s">
        <v>64</v>
      </c>
      <c r="B207" t="s">
        <v>49</v>
      </c>
      <c r="C207" t="s">
        <v>40</v>
      </c>
      <c r="D207">
        <v>2</v>
      </c>
      <c r="E207" t="s">
        <v>25</v>
      </c>
      <c r="F207" t="s">
        <v>71</v>
      </c>
      <c r="G207" s="5">
        <v>3.5591499999999554E-3</v>
      </c>
      <c r="I207">
        <f t="shared" si="5"/>
        <v>7.0947984964403845E-5</v>
      </c>
    </row>
    <row r="208" spans="1:9" x14ac:dyDescent="0.35">
      <c r="A208" t="s">
        <v>64</v>
      </c>
      <c r="B208" t="s">
        <v>49</v>
      </c>
      <c r="C208" t="s">
        <v>41</v>
      </c>
      <c r="D208">
        <v>2</v>
      </c>
      <c r="E208" t="s">
        <v>25</v>
      </c>
      <c r="F208" t="s">
        <v>71</v>
      </c>
      <c r="G208" s="5">
        <v>0</v>
      </c>
      <c r="I208">
        <f t="shared" si="5"/>
        <v>0</v>
      </c>
    </row>
    <row r="209" spans="1:9" x14ac:dyDescent="0.35">
      <c r="A209" t="s">
        <v>64</v>
      </c>
      <c r="B209" t="s">
        <v>49</v>
      </c>
      <c r="C209" t="s">
        <v>42</v>
      </c>
      <c r="D209">
        <v>2</v>
      </c>
      <c r="E209" t="s">
        <v>25</v>
      </c>
      <c r="F209" t="s">
        <v>71</v>
      </c>
      <c r="G209" s="5">
        <v>3.6677658499999999</v>
      </c>
      <c r="I209">
        <f t="shared" si="5"/>
        <v>7.3113129926740128E-2</v>
      </c>
    </row>
    <row r="210" spans="1:9" x14ac:dyDescent="0.35">
      <c r="A210" t="s">
        <v>64</v>
      </c>
      <c r="B210" t="s">
        <v>49</v>
      </c>
      <c r="C210" t="s">
        <v>43</v>
      </c>
      <c r="D210">
        <v>2</v>
      </c>
      <c r="E210" t="s">
        <v>7</v>
      </c>
      <c r="F210" t="s">
        <v>71</v>
      </c>
      <c r="G210" s="5">
        <v>0</v>
      </c>
      <c r="I210">
        <f t="shared" si="5"/>
        <v>0</v>
      </c>
    </row>
    <row r="211" spans="1:9" x14ac:dyDescent="0.35">
      <c r="A211" t="s">
        <v>64</v>
      </c>
      <c r="B211" t="s">
        <v>49</v>
      </c>
      <c r="C211" t="s">
        <v>44</v>
      </c>
      <c r="D211">
        <v>2</v>
      </c>
      <c r="E211" t="s">
        <v>15</v>
      </c>
      <c r="F211" t="s">
        <v>71</v>
      </c>
      <c r="G211" s="5">
        <v>0</v>
      </c>
      <c r="I211">
        <f t="shared" si="5"/>
        <v>0</v>
      </c>
    </row>
    <row r="212" spans="1:9" x14ac:dyDescent="0.35">
      <c r="A212" t="s">
        <v>65</v>
      </c>
      <c r="B212" t="s">
        <v>50</v>
      </c>
      <c r="C212" t="s">
        <v>6</v>
      </c>
      <c r="D212">
        <v>2</v>
      </c>
      <c r="E212" t="s">
        <v>7</v>
      </c>
      <c r="F212" t="s">
        <v>55</v>
      </c>
      <c r="G212" s="5">
        <v>7.2768699999999242E-2</v>
      </c>
      <c r="I212">
        <f>(G212/$K$8)*100</f>
        <v>2.1600116769639687E-3</v>
      </c>
    </row>
    <row r="213" spans="1:9" x14ac:dyDescent="0.35">
      <c r="A213" t="s">
        <v>65</v>
      </c>
      <c r="B213" t="s">
        <v>50</v>
      </c>
      <c r="C213" t="s">
        <v>9</v>
      </c>
      <c r="D213">
        <v>2</v>
      </c>
      <c r="E213" t="s">
        <v>7</v>
      </c>
      <c r="F213" t="s">
        <v>55</v>
      </c>
      <c r="G213" s="5">
        <v>0.45168150000000001</v>
      </c>
      <c r="I213">
        <f>(G213/$K$8)*100</f>
        <v>1.3407375894699381E-2</v>
      </c>
    </row>
    <row r="214" spans="1:9" x14ac:dyDescent="0.35">
      <c r="A214" t="s">
        <v>65</v>
      </c>
      <c r="B214" t="s">
        <v>50</v>
      </c>
      <c r="C214" t="s">
        <v>10</v>
      </c>
      <c r="D214">
        <v>2</v>
      </c>
      <c r="E214" t="s">
        <v>7</v>
      </c>
      <c r="F214" t="s">
        <v>55</v>
      </c>
      <c r="G214" s="5">
        <v>0</v>
      </c>
      <c r="I214">
        <f>(G214/$K$8)*100</f>
        <v>0</v>
      </c>
    </row>
    <row r="215" spans="1:9" x14ac:dyDescent="0.35">
      <c r="A215" t="s">
        <v>65</v>
      </c>
      <c r="B215" t="s">
        <v>50</v>
      </c>
      <c r="C215" t="s">
        <v>11</v>
      </c>
      <c r="D215">
        <v>2</v>
      </c>
      <c r="E215" t="s">
        <v>7</v>
      </c>
      <c r="F215" t="s">
        <v>55</v>
      </c>
      <c r="G215" s="5">
        <v>7.5800101499999997</v>
      </c>
      <c r="I215">
        <f t="shared" ref="I215:I246" si="6">(G215/$K$8)*100</f>
        <v>0.22499935323161704</v>
      </c>
    </row>
    <row r="216" spans="1:9" x14ac:dyDescent="0.35">
      <c r="A216" t="s">
        <v>65</v>
      </c>
      <c r="B216" t="s">
        <v>50</v>
      </c>
      <c r="C216" t="s">
        <v>12</v>
      </c>
      <c r="D216">
        <v>2</v>
      </c>
      <c r="E216" t="s">
        <v>7</v>
      </c>
      <c r="F216" t="s">
        <v>55</v>
      </c>
      <c r="G216" s="5">
        <v>43.403024500000001</v>
      </c>
      <c r="I216">
        <f t="shared" si="6"/>
        <v>1.2883429240257718</v>
      </c>
    </row>
    <row r="217" spans="1:9" x14ac:dyDescent="0.35">
      <c r="A217" t="s">
        <v>65</v>
      </c>
      <c r="B217" t="s">
        <v>50</v>
      </c>
      <c r="C217" t="s">
        <v>13</v>
      </c>
      <c r="D217">
        <v>2</v>
      </c>
      <c r="E217" t="s">
        <v>7</v>
      </c>
      <c r="F217" t="s">
        <v>55</v>
      </c>
      <c r="G217" s="5">
        <v>93.242098599999991</v>
      </c>
      <c r="I217">
        <f t="shared" si="6"/>
        <v>2.7677287317298203</v>
      </c>
    </row>
    <row r="218" spans="1:9" x14ac:dyDescent="0.35">
      <c r="A218" t="s">
        <v>65</v>
      </c>
      <c r="B218" t="s">
        <v>50</v>
      </c>
      <c r="C218" t="s">
        <v>14</v>
      </c>
      <c r="D218">
        <v>2</v>
      </c>
      <c r="E218" t="s">
        <v>15</v>
      </c>
      <c r="F218" t="s">
        <v>55</v>
      </c>
      <c r="G218" s="5">
        <v>0</v>
      </c>
      <c r="I218">
        <f t="shared" si="6"/>
        <v>0</v>
      </c>
    </row>
    <row r="219" spans="1:9" x14ac:dyDescent="0.35">
      <c r="A219" t="s">
        <v>65</v>
      </c>
      <c r="B219" t="s">
        <v>50</v>
      </c>
      <c r="C219" t="s">
        <v>16</v>
      </c>
      <c r="D219">
        <v>2</v>
      </c>
      <c r="E219" t="s">
        <v>7</v>
      </c>
      <c r="F219" t="s">
        <v>55</v>
      </c>
      <c r="G219" s="5">
        <v>4.7110415000000003</v>
      </c>
      <c r="I219">
        <f t="shared" si="6"/>
        <v>0.13983903313735102</v>
      </c>
    </row>
    <row r="220" spans="1:9" x14ac:dyDescent="0.35">
      <c r="A220" t="s">
        <v>65</v>
      </c>
      <c r="B220" t="s">
        <v>50</v>
      </c>
      <c r="C220" t="s">
        <v>17</v>
      </c>
      <c r="D220">
        <v>2</v>
      </c>
      <c r="E220" t="s">
        <v>15</v>
      </c>
      <c r="F220" t="s">
        <v>55</v>
      </c>
      <c r="G220" s="5">
        <v>0</v>
      </c>
      <c r="I220">
        <f t="shared" si="6"/>
        <v>0</v>
      </c>
    </row>
    <row r="221" spans="1:9" x14ac:dyDescent="0.35">
      <c r="A221" t="s">
        <v>65</v>
      </c>
      <c r="B221" t="s">
        <v>50</v>
      </c>
      <c r="C221" t="s">
        <v>18</v>
      </c>
      <c r="D221">
        <v>2</v>
      </c>
      <c r="E221" t="s">
        <v>7</v>
      </c>
      <c r="F221" t="s">
        <v>55</v>
      </c>
      <c r="G221" s="5">
        <v>1377.6204838499998</v>
      </c>
      <c r="I221">
        <f t="shared" si="6"/>
        <v>40.892256307186784</v>
      </c>
    </row>
    <row r="222" spans="1:9" x14ac:dyDescent="0.35">
      <c r="A222" t="s">
        <v>65</v>
      </c>
      <c r="B222" t="s">
        <v>50</v>
      </c>
      <c r="C222" t="s">
        <v>19</v>
      </c>
      <c r="D222">
        <v>2</v>
      </c>
      <c r="E222" t="s">
        <v>15</v>
      </c>
      <c r="F222" t="s">
        <v>55</v>
      </c>
      <c r="G222" s="5">
        <v>342.93565840000002</v>
      </c>
      <c r="I222">
        <f t="shared" si="6"/>
        <v>10.179445648903092</v>
      </c>
    </row>
    <row r="223" spans="1:9" x14ac:dyDescent="0.35">
      <c r="A223" t="s">
        <v>65</v>
      </c>
      <c r="B223" t="s">
        <v>50</v>
      </c>
      <c r="C223" t="s">
        <v>20</v>
      </c>
      <c r="D223">
        <v>2</v>
      </c>
      <c r="E223" t="s">
        <v>7</v>
      </c>
      <c r="F223" t="s">
        <v>55</v>
      </c>
      <c r="G223" s="5">
        <v>4.6328811000000005</v>
      </c>
      <c r="I223">
        <f t="shared" si="6"/>
        <v>0.13751897826930784</v>
      </c>
    </row>
    <row r="224" spans="1:9" x14ac:dyDescent="0.35">
      <c r="A224" t="s">
        <v>65</v>
      </c>
      <c r="B224" t="s">
        <v>50</v>
      </c>
      <c r="C224" t="s">
        <v>21</v>
      </c>
      <c r="D224">
        <v>2</v>
      </c>
      <c r="E224" t="s">
        <v>15</v>
      </c>
      <c r="F224" t="s">
        <v>55</v>
      </c>
      <c r="G224" s="5">
        <v>5.5811858499999998</v>
      </c>
      <c r="I224">
        <f t="shared" si="6"/>
        <v>0.16566774735987036</v>
      </c>
    </row>
    <row r="225" spans="1:9" x14ac:dyDescent="0.35">
      <c r="A225" t="s">
        <v>65</v>
      </c>
      <c r="B225" t="s">
        <v>50</v>
      </c>
      <c r="C225" t="s">
        <v>22</v>
      </c>
      <c r="D225">
        <v>2</v>
      </c>
      <c r="E225" t="s">
        <v>7</v>
      </c>
      <c r="F225" t="s">
        <v>55</v>
      </c>
      <c r="G225" s="5">
        <v>2.9520320000000311</v>
      </c>
      <c r="I225">
        <f t="shared" si="6"/>
        <v>8.7625910463859202E-2</v>
      </c>
    </row>
    <row r="226" spans="1:9" x14ac:dyDescent="0.35">
      <c r="A226" t="s">
        <v>65</v>
      </c>
      <c r="B226" t="s">
        <v>50</v>
      </c>
      <c r="C226" t="s">
        <v>23</v>
      </c>
      <c r="D226">
        <v>2</v>
      </c>
      <c r="E226" t="s">
        <v>15</v>
      </c>
      <c r="F226" t="s">
        <v>55</v>
      </c>
      <c r="G226" s="5">
        <v>0</v>
      </c>
      <c r="I226">
        <f t="shared" si="6"/>
        <v>0</v>
      </c>
    </row>
    <row r="227" spans="1:9" x14ac:dyDescent="0.35">
      <c r="A227" t="s">
        <v>65</v>
      </c>
      <c r="B227" t="s">
        <v>50</v>
      </c>
      <c r="C227" t="s">
        <v>24</v>
      </c>
      <c r="D227">
        <v>2</v>
      </c>
      <c r="E227" t="s">
        <v>25</v>
      </c>
      <c r="F227" t="s">
        <v>55</v>
      </c>
      <c r="G227" s="5">
        <v>5.1985499999999962E-3</v>
      </c>
      <c r="I227">
        <f t="shared" si="6"/>
        <v>1.5430987090989871E-4</v>
      </c>
    </row>
    <row r="228" spans="1:9" x14ac:dyDescent="0.35">
      <c r="A228" t="s">
        <v>65</v>
      </c>
      <c r="B228" t="s">
        <v>50</v>
      </c>
      <c r="C228" t="s">
        <v>26</v>
      </c>
      <c r="D228">
        <v>2</v>
      </c>
      <c r="E228" t="s">
        <v>25</v>
      </c>
      <c r="F228" t="s">
        <v>55</v>
      </c>
      <c r="G228" s="5">
        <v>481.73244899999997</v>
      </c>
      <c r="I228">
        <f t="shared" si="6"/>
        <v>14.299385793788542</v>
      </c>
    </row>
    <row r="229" spans="1:9" x14ac:dyDescent="0.35">
      <c r="A229" t="s">
        <v>65</v>
      </c>
      <c r="B229" t="s">
        <v>50</v>
      </c>
      <c r="C229" t="s">
        <v>27</v>
      </c>
      <c r="D229">
        <v>2</v>
      </c>
      <c r="E229" t="s">
        <v>25</v>
      </c>
      <c r="F229" t="s">
        <v>55</v>
      </c>
      <c r="G229" s="5">
        <v>36.362895999999999</v>
      </c>
      <c r="I229">
        <f t="shared" si="6"/>
        <v>1.0793690139885308</v>
      </c>
    </row>
    <row r="230" spans="1:9" x14ac:dyDescent="0.35">
      <c r="A230" t="s">
        <v>65</v>
      </c>
      <c r="B230" t="s">
        <v>50</v>
      </c>
      <c r="C230" t="s">
        <v>28</v>
      </c>
      <c r="D230">
        <v>2</v>
      </c>
      <c r="E230" t="s">
        <v>25</v>
      </c>
      <c r="F230" t="s">
        <v>55</v>
      </c>
      <c r="G230" s="5">
        <v>743.62015540000004</v>
      </c>
      <c r="I230">
        <f t="shared" si="6"/>
        <v>22.073064640288717</v>
      </c>
    </row>
    <row r="231" spans="1:9" x14ac:dyDescent="0.35">
      <c r="A231" t="s">
        <v>65</v>
      </c>
      <c r="B231" t="s">
        <v>50</v>
      </c>
      <c r="C231" t="s">
        <v>29</v>
      </c>
      <c r="D231">
        <v>2</v>
      </c>
      <c r="E231" t="s">
        <v>25</v>
      </c>
      <c r="F231" t="s">
        <v>55</v>
      </c>
      <c r="G231" s="5">
        <v>52.572465899999997</v>
      </c>
      <c r="I231">
        <f t="shared" si="6"/>
        <v>1.5605217659624429</v>
      </c>
    </row>
    <row r="232" spans="1:9" x14ac:dyDescent="0.35">
      <c r="A232" t="s">
        <v>65</v>
      </c>
      <c r="B232" t="s">
        <v>50</v>
      </c>
      <c r="C232" t="s">
        <v>30</v>
      </c>
      <c r="D232">
        <v>2</v>
      </c>
      <c r="E232" t="s">
        <v>7</v>
      </c>
      <c r="F232" t="s">
        <v>55</v>
      </c>
      <c r="G232" s="5">
        <v>5.5036492000000008</v>
      </c>
      <c r="I232">
        <f t="shared" si="6"/>
        <v>0.16336620742040919</v>
      </c>
    </row>
    <row r="233" spans="1:9" x14ac:dyDescent="0.35">
      <c r="A233" t="s">
        <v>65</v>
      </c>
      <c r="B233" t="s">
        <v>50</v>
      </c>
      <c r="C233" t="s">
        <v>31</v>
      </c>
      <c r="D233">
        <v>2</v>
      </c>
      <c r="E233" t="s">
        <v>15</v>
      </c>
      <c r="F233" t="s">
        <v>55</v>
      </c>
      <c r="G233" s="5">
        <v>8.2122954999999997</v>
      </c>
      <c r="I233">
        <f t="shared" si="6"/>
        <v>0.24376763876060498</v>
      </c>
    </row>
    <row r="234" spans="1:9" x14ac:dyDescent="0.35">
      <c r="A234" t="s">
        <v>65</v>
      </c>
      <c r="B234" t="s">
        <v>50</v>
      </c>
      <c r="C234" t="s">
        <v>32</v>
      </c>
      <c r="D234">
        <v>2</v>
      </c>
      <c r="E234" t="s">
        <v>25</v>
      </c>
      <c r="F234" t="s">
        <v>55</v>
      </c>
      <c r="G234" s="5">
        <v>2.3057544499999998</v>
      </c>
      <c r="I234">
        <f t="shared" si="6"/>
        <v>6.8442290932937994E-2</v>
      </c>
    </row>
    <row r="235" spans="1:9" x14ac:dyDescent="0.35">
      <c r="A235" t="s">
        <v>65</v>
      </c>
      <c r="B235" t="s">
        <v>50</v>
      </c>
      <c r="C235" t="s">
        <v>33</v>
      </c>
      <c r="D235">
        <v>2</v>
      </c>
      <c r="E235" t="s">
        <v>25</v>
      </c>
      <c r="F235" t="s">
        <v>55</v>
      </c>
      <c r="G235" s="5">
        <v>1.0110400000000002</v>
      </c>
      <c r="I235">
        <f t="shared" si="6"/>
        <v>3.0010955340382249E-2</v>
      </c>
    </row>
    <row r="236" spans="1:9" x14ac:dyDescent="0.35">
      <c r="A236" t="s">
        <v>65</v>
      </c>
      <c r="B236" t="s">
        <v>50</v>
      </c>
      <c r="C236" t="s">
        <v>34</v>
      </c>
      <c r="D236">
        <v>2</v>
      </c>
      <c r="E236" t="s">
        <v>25</v>
      </c>
      <c r="F236" t="s">
        <v>55</v>
      </c>
      <c r="G236" s="5">
        <v>37.198413699999996</v>
      </c>
      <c r="I236">
        <f t="shared" si="6"/>
        <v>1.1041698966250226</v>
      </c>
    </row>
    <row r="237" spans="1:9" x14ac:dyDescent="0.35">
      <c r="A237" t="s">
        <v>65</v>
      </c>
      <c r="B237" t="s">
        <v>50</v>
      </c>
      <c r="C237" t="s">
        <v>35</v>
      </c>
      <c r="D237">
        <v>2</v>
      </c>
      <c r="E237" t="s">
        <v>25</v>
      </c>
      <c r="F237" t="s">
        <v>55</v>
      </c>
      <c r="G237" s="5">
        <v>2.9363003000000001</v>
      </c>
      <c r="I237">
        <f t="shared" si="6"/>
        <v>8.7158942444661922E-2</v>
      </c>
    </row>
    <row r="238" spans="1:9" x14ac:dyDescent="0.35">
      <c r="A238" t="s">
        <v>65</v>
      </c>
      <c r="B238" t="s">
        <v>50</v>
      </c>
      <c r="C238" t="s">
        <v>36</v>
      </c>
      <c r="D238">
        <v>2</v>
      </c>
      <c r="E238" t="s">
        <v>7</v>
      </c>
      <c r="F238" t="s">
        <v>55</v>
      </c>
      <c r="G238" s="5">
        <v>0</v>
      </c>
      <c r="I238">
        <f t="shared" si="6"/>
        <v>0</v>
      </c>
    </row>
    <row r="239" spans="1:9" x14ac:dyDescent="0.35">
      <c r="A239" t="s">
        <v>65</v>
      </c>
      <c r="B239" t="s">
        <v>50</v>
      </c>
      <c r="C239" t="s">
        <v>37</v>
      </c>
      <c r="D239">
        <v>2</v>
      </c>
      <c r="E239" t="s">
        <v>25</v>
      </c>
      <c r="F239" t="s">
        <v>55</v>
      </c>
      <c r="G239" s="5">
        <v>93.91799189999999</v>
      </c>
      <c r="I239">
        <f t="shared" si="6"/>
        <v>2.7877914430381399</v>
      </c>
    </row>
    <row r="240" spans="1:9" x14ac:dyDescent="0.35">
      <c r="A240" t="s">
        <v>65</v>
      </c>
      <c r="B240" t="s">
        <v>50</v>
      </c>
      <c r="C240" t="s">
        <v>38</v>
      </c>
      <c r="D240">
        <v>2</v>
      </c>
      <c r="E240" t="s">
        <v>7</v>
      </c>
      <c r="F240" t="s">
        <v>55</v>
      </c>
      <c r="G240" s="5">
        <v>0.62811600000000001</v>
      </c>
      <c r="I240">
        <f t="shared" si="6"/>
        <v>1.8644525661279013E-2</v>
      </c>
    </row>
    <row r="241" spans="1:9" x14ac:dyDescent="0.35">
      <c r="A241" t="s">
        <v>65</v>
      </c>
      <c r="B241" t="s">
        <v>50</v>
      </c>
      <c r="C241" t="s">
        <v>39</v>
      </c>
      <c r="D241">
        <v>2</v>
      </c>
      <c r="E241" t="s">
        <v>15</v>
      </c>
      <c r="F241" t="s">
        <v>55</v>
      </c>
      <c r="G241" s="5">
        <v>0</v>
      </c>
      <c r="I241">
        <f t="shared" si="6"/>
        <v>0</v>
      </c>
    </row>
    <row r="242" spans="1:9" x14ac:dyDescent="0.35">
      <c r="A242" t="s">
        <v>65</v>
      </c>
      <c r="B242" t="s">
        <v>50</v>
      </c>
      <c r="C242" t="s">
        <v>40</v>
      </c>
      <c r="D242">
        <v>2</v>
      </c>
      <c r="E242" t="s">
        <v>25</v>
      </c>
      <c r="F242" t="s">
        <v>55</v>
      </c>
      <c r="G242" s="5">
        <v>0</v>
      </c>
      <c r="I242">
        <f t="shared" si="6"/>
        <v>0</v>
      </c>
    </row>
    <row r="243" spans="1:9" x14ac:dyDescent="0.35">
      <c r="A243" t="s">
        <v>65</v>
      </c>
      <c r="B243" t="s">
        <v>50</v>
      </c>
      <c r="C243" t="s">
        <v>41</v>
      </c>
      <c r="D243">
        <v>2</v>
      </c>
      <c r="E243" t="s">
        <v>25</v>
      </c>
      <c r="F243" t="s">
        <v>55</v>
      </c>
      <c r="G243" s="5">
        <v>0</v>
      </c>
      <c r="I243">
        <f t="shared" si="6"/>
        <v>0</v>
      </c>
    </row>
    <row r="244" spans="1:9" x14ac:dyDescent="0.35">
      <c r="A244" t="s">
        <v>65</v>
      </c>
      <c r="B244" t="s">
        <v>50</v>
      </c>
      <c r="C244" t="s">
        <v>42</v>
      </c>
      <c r="D244">
        <v>2</v>
      </c>
      <c r="E244" t="s">
        <v>25</v>
      </c>
      <c r="F244" t="s">
        <v>55</v>
      </c>
      <c r="G244" s="5">
        <v>2.2226284500000002</v>
      </c>
      <c r="I244">
        <f t="shared" si="6"/>
        <v>6.5974840907593188E-2</v>
      </c>
    </row>
    <row r="245" spans="1:9" x14ac:dyDescent="0.35">
      <c r="A245" t="s">
        <v>65</v>
      </c>
      <c r="B245" t="s">
        <v>50</v>
      </c>
      <c r="C245" t="s">
        <v>43</v>
      </c>
      <c r="D245">
        <v>2</v>
      </c>
      <c r="E245" t="s">
        <v>7</v>
      </c>
      <c r="F245" t="s">
        <v>55</v>
      </c>
      <c r="G245" s="5">
        <v>17.4908635</v>
      </c>
      <c r="I245">
        <f t="shared" si="6"/>
        <v>0.5191857130907005</v>
      </c>
    </row>
    <row r="246" spans="1:9" x14ac:dyDescent="0.35">
      <c r="A246" t="s">
        <v>65</v>
      </c>
      <c r="B246" t="s">
        <v>50</v>
      </c>
      <c r="C246" t="s">
        <v>44</v>
      </c>
      <c r="D246">
        <v>2</v>
      </c>
      <c r="E246" t="s">
        <v>15</v>
      </c>
      <c r="F246" t="s">
        <v>55</v>
      </c>
      <c r="G246" s="5">
        <v>0</v>
      </c>
      <c r="I246">
        <f t="shared" si="6"/>
        <v>0</v>
      </c>
    </row>
    <row r="247" spans="1:9" x14ac:dyDescent="0.35">
      <c r="A247" t="s">
        <v>66</v>
      </c>
      <c r="B247" t="s">
        <v>51</v>
      </c>
      <c r="C247" t="s">
        <v>6</v>
      </c>
      <c r="D247">
        <v>2</v>
      </c>
      <c r="E247" t="s">
        <v>7</v>
      </c>
      <c r="F247" t="s">
        <v>72</v>
      </c>
      <c r="G247" s="5">
        <v>3.4148049999999763E-2</v>
      </c>
      <c r="I247">
        <f>(G247/$K$9)*100</f>
        <v>1.2054235811275946E-3</v>
      </c>
    </row>
    <row r="248" spans="1:9" x14ac:dyDescent="0.35">
      <c r="A248" t="s">
        <v>66</v>
      </c>
      <c r="B248" t="s">
        <v>51</v>
      </c>
      <c r="C248" t="s">
        <v>9</v>
      </c>
      <c r="D248">
        <v>2</v>
      </c>
      <c r="E248" t="s">
        <v>7</v>
      </c>
      <c r="F248" t="s">
        <v>72</v>
      </c>
      <c r="G248" s="5">
        <v>0</v>
      </c>
      <c r="I248">
        <f>(G248/$K$9)*100</f>
        <v>0</v>
      </c>
    </row>
    <row r="249" spans="1:9" x14ac:dyDescent="0.35">
      <c r="A249" t="s">
        <v>66</v>
      </c>
      <c r="B249" t="s">
        <v>51</v>
      </c>
      <c r="C249" t="s">
        <v>10</v>
      </c>
      <c r="D249">
        <v>2</v>
      </c>
      <c r="E249" t="s">
        <v>7</v>
      </c>
      <c r="F249" t="s">
        <v>72</v>
      </c>
      <c r="G249" s="5">
        <v>0</v>
      </c>
      <c r="I249">
        <f>(G249/$K$9)*100</f>
        <v>0</v>
      </c>
    </row>
    <row r="250" spans="1:9" x14ac:dyDescent="0.35">
      <c r="A250" t="s">
        <v>66</v>
      </c>
      <c r="B250" t="s">
        <v>51</v>
      </c>
      <c r="C250" t="s">
        <v>11</v>
      </c>
      <c r="D250">
        <v>2</v>
      </c>
      <c r="E250" t="s">
        <v>7</v>
      </c>
      <c r="F250" t="s">
        <v>72</v>
      </c>
      <c r="G250" s="5">
        <v>7.12528395</v>
      </c>
      <c r="I250">
        <f t="shared" ref="I250:I281" si="7">(G250/$K$9)*100</f>
        <v>0.25152198428782996</v>
      </c>
    </row>
    <row r="251" spans="1:9" x14ac:dyDescent="0.35">
      <c r="A251" t="s">
        <v>66</v>
      </c>
      <c r="B251" t="s">
        <v>51</v>
      </c>
      <c r="C251" t="s">
        <v>12</v>
      </c>
      <c r="D251">
        <v>2</v>
      </c>
      <c r="E251" t="s">
        <v>7</v>
      </c>
      <c r="F251" t="s">
        <v>72</v>
      </c>
      <c r="G251" s="5">
        <v>42.878622049999997</v>
      </c>
      <c r="I251">
        <f t="shared" si="7"/>
        <v>1.5136121138784793</v>
      </c>
    </row>
    <row r="252" spans="1:9" x14ac:dyDescent="0.35">
      <c r="A252" t="s">
        <v>66</v>
      </c>
      <c r="B252" t="s">
        <v>51</v>
      </c>
      <c r="C252" t="s">
        <v>13</v>
      </c>
      <c r="D252">
        <v>2</v>
      </c>
      <c r="E252" t="s">
        <v>7</v>
      </c>
      <c r="F252" t="s">
        <v>72</v>
      </c>
      <c r="G252" s="5">
        <v>62.971318850000003</v>
      </c>
      <c r="I252">
        <f t="shared" si="7"/>
        <v>2.2228827905691579</v>
      </c>
    </row>
    <row r="253" spans="1:9" x14ac:dyDescent="0.35">
      <c r="A253" t="s">
        <v>66</v>
      </c>
      <c r="B253" t="s">
        <v>51</v>
      </c>
      <c r="C253" t="s">
        <v>14</v>
      </c>
      <c r="D253">
        <v>2</v>
      </c>
      <c r="E253" t="s">
        <v>15</v>
      </c>
      <c r="F253" t="s">
        <v>72</v>
      </c>
      <c r="G253" s="5">
        <v>0</v>
      </c>
      <c r="I253">
        <f t="shared" si="7"/>
        <v>0</v>
      </c>
    </row>
    <row r="254" spans="1:9" x14ac:dyDescent="0.35">
      <c r="A254" t="s">
        <v>66</v>
      </c>
      <c r="B254" t="s">
        <v>51</v>
      </c>
      <c r="C254" t="s">
        <v>16</v>
      </c>
      <c r="D254">
        <v>2</v>
      </c>
      <c r="E254" t="s">
        <v>7</v>
      </c>
      <c r="F254" t="s">
        <v>72</v>
      </c>
      <c r="G254" s="5">
        <v>3.2697397000000001</v>
      </c>
      <c r="I254">
        <f t="shared" si="7"/>
        <v>0.11542156399938193</v>
      </c>
    </row>
    <row r="255" spans="1:9" x14ac:dyDescent="0.35">
      <c r="A255" t="s">
        <v>66</v>
      </c>
      <c r="B255" t="s">
        <v>51</v>
      </c>
      <c r="C255" t="s">
        <v>17</v>
      </c>
      <c r="D255">
        <v>2</v>
      </c>
      <c r="E255" t="s">
        <v>15</v>
      </c>
      <c r="F255" t="s">
        <v>72</v>
      </c>
      <c r="G255" s="5">
        <v>0</v>
      </c>
      <c r="I255">
        <f t="shared" si="7"/>
        <v>0</v>
      </c>
    </row>
    <row r="256" spans="1:9" x14ac:dyDescent="0.35">
      <c r="A256" t="s">
        <v>66</v>
      </c>
      <c r="B256" t="s">
        <v>51</v>
      </c>
      <c r="C256" t="s">
        <v>18</v>
      </c>
      <c r="D256">
        <v>2</v>
      </c>
      <c r="E256" t="s">
        <v>7</v>
      </c>
      <c r="F256" t="s">
        <v>72</v>
      </c>
      <c r="G256" s="5">
        <v>953.96009339999989</v>
      </c>
      <c r="I256">
        <f t="shared" si="7"/>
        <v>33.674719113947951</v>
      </c>
    </row>
    <row r="257" spans="1:9" x14ac:dyDescent="0.35">
      <c r="A257" t="s">
        <v>66</v>
      </c>
      <c r="B257" t="s">
        <v>51</v>
      </c>
      <c r="C257" t="s">
        <v>19</v>
      </c>
      <c r="D257">
        <v>2</v>
      </c>
      <c r="E257" t="s">
        <v>15</v>
      </c>
      <c r="F257" t="s">
        <v>72</v>
      </c>
      <c r="G257" s="5">
        <v>193.23407360000002</v>
      </c>
      <c r="I257">
        <f t="shared" si="7"/>
        <v>6.8211481766832023</v>
      </c>
    </row>
    <row r="258" spans="1:9" x14ac:dyDescent="0.35">
      <c r="A258" t="s">
        <v>66</v>
      </c>
      <c r="B258" t="s">
        <v>51</v>
      </c>
      <c r="C258" t="s">
        <v>20</v>
      </c>
      <c r="D258">
        <v>2</v>
      </c>
      <c r="E258" t="s">
        <v>7</v>
      </c>
      <c r="F258" t="s">
        <v>72</v>
      </c>
      <c r="G258" s="5">
        <v>3.5764081499999998</v>
      </c>
      <c r="I258">
        <f t="shared" si="7"/>
        <v>0.12624693707977308</v>
      </c>
    </row>
    <row r="259" spans="1:9" x14ac:dyDescent="0.35">
      <c r="A259" t="s">
        <v>66</v>
      </c>
      <c r="B259" t="s">
        <v>51</v>
      </c>
      <c r="C259" t="s">
        <v>21</v>
      </c>
      <c r="D259">
        <v>2</v>
      </c>
      <c r="E259" t="s">
        <v>15</v>
      </c>
      <c r="F259" t="s">
        <v>72</v>
      </c>
      <c r="G259" s="5">
        <v>4.5032984999999996</v>
      </c>
      <c r="I259">
        <f t="shared" si="7"/>
        <v>0.1589660962999809</v>
      </c>
    </row>
    <row r="260" spans="1:9" x14ac:dyDescent="0.35">
      <c r="A260" t="s">
        <v>66</v>
      </c>
      <c r="B260" t="s">
        <v>51</v>
      </c>
      <c r="C260" t="s">
        <v>22</v>
      </c>
      <c r="D260">
        <v>2</v>
      </c>
      <c r="E260" t="s">
        <v>7</v>
      </c>
      <c r="F260" t="s">
        <v>72</v>
      </c>
      <c r="G260" s="5">
        <v>40.885856399999994</v>
      </c>
      <c r="I260">
        <f t="shared" si="7"/>
        <v>1.4432676372196047</v>
      </c>
    </row>
    <row r="261" spans="1:9" x14ac:dyDescent="0.35">
      <c r="A261" t="s">
        <v>66</v>
      </c>
      <c r="B261" t="s">
        <v>51</v>
      </c>
      <c r="C261" t="s">
        <v>23</v>
      </c>
      <c r="D261">
        <v>2</v>
      </c>
      <c r="E261" t="s">
        <v>15</v>
      </c>
      <c r="F261" t="s">
        <v>72</v>
      </c>
      <c r="G261" s="5">
        <v>469.90194984999999</v>
      </c>
      <c r="I261">
        <f t="shared" si="7"/>
        <v>16.587503273745654</v>
      </c>
    </row>
    <row r="262" spans="1:9" x14ac:dyDescent="0.35">
      <c r="A262" t="s">
        <v>66</v>
      </c>
      <c r="B262" t="s">
        <v>51</v>
      </c>
      <c r="C262" t="s">
        <v>24</v>
      </c>
      <c r="D262">
        <v>2</v>
      </c>
      <c r="E262" t="s">
        <v>25</v>
      </c>
      <c r="F262" t="s">
        <v>72</v>
      </c>
      <c r="G262" s="5">
        <v>2.5556999999999941E-3</v>
      </c>
      <c r="I262">
        <f t="shared" si="7"/>
        <v>9.0216016618454285E-5</v>
      </c>
    </row>
    <row r="263" spans="1:9" x14ac:dyDescent="0.35">
      <c r="A263" t="s">
        <v>66</v>
      </c>
      <c r="B263" t="s">
        <v>51</v>
      </c>
      <c r="C263" t="s">
        <v>26</v>
      </c>
      <c r="D263">
        <v>2</v>
      </c>
      <c r="E263" t="s">
        <v>25</v>
      </c>
      <c r="F263" t="s">
        <v>72</v>
      </c>
      <c r="G263" s="5">
        <v>333.70437059999995</v>
      </c>
      <c r="I263">
        <f t="shared" si="7"/>
        <v>11.779739031850568</v>
      </c>
    </row>
    <row r="264" spans="1:9" x14ac:dyDescent="0.35">
      <c r="A264" t="s">
        <v>66</v>
      </c>
      <c r="B264" t="s">
        <v>51</v>
      </c>
      <c r="C264" t="s">
        <v>27</v>
      </c>
      <c r="D264">
        <v>2</v>
      </c>
      <c r="E264" t="s">
        <v>25</v>
      </c>
      <c r="F264" t="s">
        <v>72</v>
      </c>
      <c r="G264" s="5">
        <v>0</v>
      </c>
      <c r="I264">
        <f t="shared" si="7"/>
        <v>0</v>
      </c>
    </row>
    <row r="265" spans="1:9" x14ac:dyDescent="0.35">
      <c r="A265" t="s">
        <v>66</v>
      </c>
      <c r="B265" t="s">
        <v>51</v>
      </c>
      <c r="C265" t="s">
        <v>28</v>
      </c>
      <c r="D265">
        <v>2</v>
      </c>
      <c r="E265" t="s">
        <v>25</v>
      </c>
      <c r="F265" t="s">
        <v>72</v>
      </c>
      <c r="G265" s="5">
        <v>576.56125985000006</v>
      </c>
      <c r="I265">
        <f t="shared" si="7"/>
        <v>20.352568846180954</v>
      </c>
    </row>
    <row r="266" spans="1:9" x14ac:dyDescent="0.35">
      <c r="A266" t="s">
        <v>66</v>
      </c>
      <c r="B266" t="s">
        <v>51</v>
      </c>
      <c r="C266" t="s">
        <v>29</v>
      </c>
      <c r="D266">
        <v>2</v>
      </c>
      <c r="E266" t="s">
        <v>25</v>
      </c>
      <c r="F266" t="s">
        <v>72</v>
      </c>
      <c r="G266" s="5">
        <v>38.02005965</v>
      </c>
      <c r="I266">
        <f t="shared" si="7"/>
        <v>1.3421052287901676</v>
      </c>
    </row>
    <row r="267" spans="1:9" x14ac:dyDescent="0.35">
      <c r="A267" t="s">
        <v>66</v>
      </c>
      <c r="B267" t="s">
        <v>51</v>
      </c>
      <c r="C267" t="s">
        <v>30</v>
      </c>
      <c r="D267">
        <v>2</v>
      </c>
      <c r="E267" t="s">
        <v>7</v>
      </c>
      <c r="F267" t="s">
        <v>72</v>
      </c>
      <c r="G267" s="5">
        <v>3.58882915</v>
      </c>
      <c r="I267">
        <f t="shared" si="7"/>
        <v>0.12668539743991625</v>
      </c>
    </row>
    <row r="268" spans="1:9" x14ac:dyDescent="0.35">
      <c r="A268" t="s">
        <v>66</v>
      </c>
      <c r="B268" t="s">
        <v>51</v>
      </c>
      <c r="C268" t="s">
        <v>31</v>
      </c>
      <c r="D268">
        <v>2</v>
      </c>
      <c r="E268" t="s">
        <v>15</v>
      </c>
      <c r="F268" t="s">
        <v>72</v>
      </c>
      <c r="G268" s="5">
        <v>6.9061823999999996</v>
      </c>
      <c r="I268">
        <f t="shared" si="7"/>
        <v>0.24378771615153494</v>
      </c>
    </row>
    <row r="269" spans="1:9" x14ac:dyDescent="0.35">
      <c r="A269" t="s">
        <v>66</v>
      </c>
      <c r="B269" t="s">
        <v>51</v>
      </c>
      <c r="C269" t="s">
        <v>32</v>
      </c>
      <c r="D269">
        <v>2</v>
      </c>
      <c r="E269" t="s">
        <v>25</v>
      </c>
      <c r="F269" t="s">
        <v>72</v>
      </c>
      <c r="G269" s="5">
        <v>1.5661202999999999</v>
      </c>
      <c r="I269">
        <f t="shared" si="7"/>
        <v>5.5283928086746856E-2</v>
      </c>
    </row>
    <row r="270" spans="1:9" x14ac:dyDescent="0.35">
      <c r="A270" t="s">
        <v>66</v>
      </c>
      <c r="B270" t="s">
        <v>51</v>
      </c>
      <c r="C270" t="s">
        <v>33</v>
      </c>
      <c r="D270">
        <v>2</v>
      </c>
      <c r="E270" t="s">
        <v>25</v>
      </c>
      <c r="F270" t="s">
        <v>72</v>
      </c>
      <c r="G270" s="5">
        <v>1.1412458999999999</v>
      </c>
      <c r="I270">
        <f t="shared" si="7"/>
        <v>4.0285893915617266E-2</v>
      </c>
    </row>
    <row r="271" spans="1:9" x14ac:dyDescent="0.35">
      <c r="A271" t="s">
        <v>66</v>
      </c>
      <c r="B271" t="s">
        <v>51</v>
      </c>
      <c r="C271" t="s">
        <v>34</v>
      </c>
      <c r="D271">
        <v>2</v>
      </c>
      <c r="E271" t="s">
        <v>25</v>
      </c>
      <c r="F271" t="s">
        <v>72</v>
      </c>
      <c r="G271" s="5">
        <v>24.178646850000003</v>
      </c>
      <c r="I271">
        <f t="shared" si="7"/>
        <v>0.85350440428506569</v>
      </c>
    </row>
    <row r="272" spans="1:9" x14ac:dyDescent="0.35">
      <c r="A272" t="s">
        <v>66</v>
      </c>
      <c r="B272" t="s">
        <v>51</v>
      </c>
      <c r="C272" t="s">
        <v>35</v>
      </c>
      <c r="D272">
        <v>2</v>
      </c>
      <c r="E272" t="s">
        <v>25</v>
      </c>
      <c r="F272" t="s">
        <v>72</v>
      </c>
      <c r="G272" s="5">
        <v>0</v>
      </c>
      <c r="I272">
        <f t="shared" si="7"/>
        <v>0</v>
      </c>
    </row>
    <row r="273" spans="1:9" x14ac:dyDescent="0.35">
      <c r="A273" t="s">
        <v>66</v>
      </c>
      <c r="B273" t="s">
        <v>51</v>
      </c>
      <c r="C273" t="s">
        <v>36</v>
      </c>
      <c r="D273">
        <v>2</v>
      </c>
      <c r="E273" t="s">
        <v>7</v>
      </c>
      <c r="F273" t="s">
        <v>72</v>
      </c>
      <c r="G273" s="5">
        <v>0</v>
      </c>
      <c r="I273">
        <f t="shared" si="7"/>
        <v>0</v>
      </c>
    </row>
    <row r="274" spans="1:9" x14ac:dyDescent="0.35">
      <c r="A274" t="s">
        <v>66</v>
      </c>
      <c r="B274" t="s">
        <v>51</v>
      </c>
      <c r="C274" t="s">
        <v>37</v>
      </c>
      <c r="D274">
        <v>2</v>
      </c>
      <c r="E274" t="s">
        <v>25</v>
      </c>
      <c r="F274" t="s">
        <v>72</v>
      </c>
      <c r="G274" s="5">
        <v>51.93512965</v>
      </c>
      <c r="I274">
        <f t="shared" si="7"/>
        <v>1.8333061468818677</v>
      </c>
    </row>
    <row r="275" spans="1:9" x14ac:dyDescent="0.35">
      <c r="A275" t="s">
        <v>66</v>
      </c>
      <c r="B275" t="s">
        <v>51</v>
      </c>
      <c r="C275" t="s">
        <v>38</v>
      </c>
      <c r="D275">
        <v>2</v>
      </c>
      <c r="E275" t="s">
        <v>7</v>
      </c>
      <c r="F275" t="s">
        <v>72</v>
      </c>
      <c r="G275" s="5">
        <v>0</v>
      </c>
      <c r="I275">
        <f t="shared" si="7"/>
        <v>0</v>
      </c>
    </row>
    <row r="276" spans="1:9" x14ac:dyDescent="0.35">
      <c r="A276" t="s">
        <v>66</v>
      </c>
      <c r="B276" t="s">
        <v>51</v>
      </c>
      <c r="C276" t="s">
        <v>39</v>
      </c>
      <c r="D276">
        <v>2</v>
      </c>
      <c r="E276" t="s">
        <v>15</v>
      </c>
      <c r="F276" t="s">
        <v>72</v>
      </c>
      <c r="G276" s="5">
        <v>0</v>
      </c>
      <c r="I276">
        <f t="shared" si="7"/>
        <v>0</v>
      </c>
    </row>
    <row r="277" spans="1:9" x14ac:dyDescent="0.35">
      <c r="A277" t="s">
        <v>66</v>
      </c>
      <c r="B277" t="s">
        <v>51</v>
      </c>
      <c r="C277" t="s">
        <v>40</v>
      </c>
      <c r="D277">
        <v>2</v>
      </c>
      <c r="E277" t="s">
        <v>25</v>
      </c>
      <c r="F277" t="s">
        <v>72</v>
      </c>
      <c r="G277" s="5">
        <v>2.8086999999999973E-3</v>
      </c>
      <c r="I277">
        <f t="shared" si="7"/>
        <v>9.9146897474763427E-5</v>
      </c>
    </row>
    <row r="278" spans="1:9" x14ac:dyDescent="0.35">
      <c r="A278" t="s">
        <v>66</v>
      </c>
      <c r="B278" t="s">
        <v>51</v>
      </c>
      <c r="C278" t="s">
        <v>41</v>
      </c>
      <c r="D278">
        <v>2</v>
      </c>
      <c r="E278" t="s">
        <v>25</v>
      </c>
      <c r="F278" t="s">
        <v>72</v>
      </c>
      <c r="G278" s="5">
        <v>1.00725255</v>
      </c>
      <c r="I278">
        <f t="shared" si="7"/>
        <v>3.5555938799460292E-2</v>
      </c>
    </row>
    <row r="279" spans="1:9" x14ac:dyDescent="0.35">
      <c r="A279" t="s">
        <v>66</v>
      </c>
      <c r="B279" t="s">
        <v>51</v>
      </c>
      <c r="C279" t="s">
        <v>42</v>
      </c>
      <c r="D279">
        <v>2</v>
      </c>
      <c r="E279" t="s">
        <v>25</v>
      </c>
      <c r="F279" t="s">
        <v>72</v>
      </c>
      <c r="G279" s="5">
        <v>2.5348307000000001</v>
      </c>
      <c r="I279">
        <f t="shared" si="7"/>
        <v>8.9479331907566878E-2</v>
      </c>
    </row>
    <row r="280" spans="1:9" x14ac:dyDescent="0.35">
      <c r="A280" t="s">
        <v>66</v>
      </c>
      <c r="B280" t="s">
        <v>51</v>
      </c>
      <c r="C280" t="s">
        <v>43</v>
      </c>
      <c r="D280">
        <v>2</v>
      </c>
      <c r="E280" t="s">
        <v>7</v>
      </c>
      <c r="F280" t="s">
        <v>72</v>
      </c>
      <c r="G280" s="5">
        <v>9.3771776500000001</v>
      </c>
      <c r="I280">
        <f t="shared" si="7"/>
        <v>0.33101366150432365</v>
      </c>
    </row>
    <row r="281" spans="1:9" x14ac:dyDescent="0.35">
      <c r="A281" t="s">
        <v>66</v>
      </c>
      <c r="B281" t="s">
        <v>51</v>
      </c>
      <c r="C281" t="s">
        <v>44</v>
      </c>
      <c r="D281">
        <v>2</v>
      </c>
      <c r="E281" t="s">
        <v>15</v>
      </c>
      <c r="F281" t="s">
        <v>72</v>
      </c>
      <c r="G281" s="5">
        <v>0</v>
      </c>
      <c r="I281">
        <f t="shared" si="7"/>
        <v>0</v>
      </c>
    </row>
    <row r="282" spans="1:9" x14ac:dyDescent="0.35">
      <c r="A282" t="s">
        <v>67</v>
      </c>
      <c r="B282" t="s">
        <v>52</v>
      </c>
      <c r="C282" t="s">
        <v>6</v>
      </c>
      <c r="D282">
        <v>3</v>
      </c>
      <c r="E282" t="s">
        <v>7</v>
      </c>
      <c r="F282" t="s">
        <v>8</v>
      </c>
      <c r="G282" s="5">
        <v>5.9968049999999717E-2</v>
      </c>
      <c r="I282">
        <f>(G282/$K$10)*100</f>
        <v>7.8478628246484946E-4</v>
      </c>
    </row>
    <row r="283" spans="1:9" x14ac:dyDescent="0.35">
      <c r="A283" t="s">
        <v>67</v>
      </c>
      <c r="B283" t="s">
        <v>52</v>
      </c>
      <c r="C283" t="s">
        <v>9</v>
      </c>
      <c r="D283">
        <v>3</v>
      </c>
      <c r="E283" t="s">
        <v>7</v>
      </c>
      <c r="F283" t="s">
        <v>8</v>
      </c>
      <c r="G283" s="5">
        <v>1.6179911</v>
      </c>
      <c r="I283">
        <f>(G283/$K$10)*100</f>
        <v>2.1174228950753254E-2</v>
      </c>
    </row>
    <row r="284" spans="1:9" x14ac:dyDescent="0.35">
      <c r="A284" t="s">
        <v>67</v>
      </c>
      <c r="B284" t="s">
        <v>52</v>
      </c>
      <c r="C284" t="s">
        <v>10</v>
      </c>
      <c r="D284">
        <v>3</v>
      </c>
      <c r="E284" t="s">
        <v>7</v>
      </c>
      <c r="F284" t="s">
        <v>8</v>
      </c>
      <c r="G284" s="5">
        <v>7.2404499999999997E-2</v>
      </c>
      <c r="I284">
        <f>(G284/$K$10)*100</f>
        <v>9.4753887092754335E-4</v>
      </c>
    </row>
    <row r="285" spans="1:9" x14ac:dyDescent="0.35">
      <c r="A285" t="s">
        <v>67</v>
      </c>
      <c r="B285" t="s">
        <v>52</v>
      </c>
      <c r="C285" t="s">
        <v>11</v>
      </c>
      <c r="D285">
        <v>3</v>
      </c>
      <c r="E285" t="s">
        <v>7</v>
      </c>
      <c r="F285" t="s">
        <v>8</v>
      </c>
      <c r="G285" s="5">
        <v>8.6181155500000006</v>
      </c>
      <c r="I285">
        <f t="shared" ref="I285:I316" si="8">(G285/$K$10)*100</f>
        <v>0.11278303804004039</v>
      </c>
    </row>
    <row r="286" spans="1:9" x14ac:dyDescent="0.35">
      <c r="A286" t="s">
        <v>67</v>
      </c>
      <c r="B286" t="s">
        <v>52</v>
      </c>
      <c r="C286" t="s">
        <v>12</v>
      </c>
      <c r="D286">
        <v>3</v>
      </c>
      <c r="E286" t="s">
        <v>7</v>
      </c>
      <c r="F286" t="s">
        <v>8</v>
      </c>
      <c r="G286" s="5">
        <v>62.418952050000001</v>
      </c>
      <c r="I286">
        <f t="shared" si="8"/>
        <v>0.81686060051429765</v>
      </c>
    </row>
    <row r="287" spans="1:9" x14ac:dyDescent="0.35">
      <c r="A287" t="s">
        <v>67</v>
      </c>
      <c r="B287" t="s">
        <v>52</v>
      </c>
      <c r="C287" t="s">
        <v>13</v>
      </c>
      <c r="D287">
        <v>3</v>
      </c>
      <c r="E287" t="s">
        <v>7</v>
      </c>
      <c r="F287" t="s">
        <v>8</v>
      </c>
      <c r="G287" s="5">
        <v>142.59032274999998</v>
      </c>
      <c r="I287">
        <f t="shared" si="8"/>
        <v>1.8660424893995398</v>
      </c>
    </row>
    <row r="288" spans="1:9" x14ac:dyDescent="0.35">
      <c r="A288" t="s">
        <v>67</v>
      </c>
      <c r="B288" t="s">
        <v>52</v>
      </c>
      <c r="C288" t="s">
        <v>14</v>
      </c>
      <c r="D288">
        <v>3</v>
      </c>
      <c r="E288" t="s">
        <v>15</v>
      </c>
      <c r="F288" t="s">
        <v>8</v>
      </c>
      <c r="G288" s="5">
        <v>0</v>
      </c>
      <c r="I288">
        <f t="shared" si="8"/>
        <v>0</v>
      </c>
    </row>
    <row r="289" spans="1:9" x14ac:dyDescent="0.35">
      <c r="A289" t="s">
        <v>67</v>
      </c>
      <c r="B289" t="s">
        <v>52</v>
      </c>
      <c r="C289" t="s">
        <v>16</v>
      </c>
      <c r="D289">
        <v>3</v>
      </c>
      <c r="E289" t="s">
        <v>7</v>
      </c>
      <c r="F289" t="s">
        <v>8</v>
      </c>
      <c r="G289" s="5">
        <v>8.4729387000000003</v>
      </c>
      <c r="I289">
        <f t="shared" si="8"/>
        <v>0.11088314634085294</v>
      </c>
    </row>
    <row r="290" spans="1:9" x14ac:dyDescent="0.35">
      <c r="A290" t="s">
        <v>67</v>
      </c>
      <c r="B290" t="s">
        <v>52</v>
      </c>
      <c r="C290" t="s">
        <v>17</v>
      </c>
      <c r="D290">
        <v>3</v>
      </c>
      <c r="E290" t="s">
        <v>15</v>
      </c>
      <c r="F290" t="s">
        <v>8</v>
      </c>
      <c r="G290" s="5">
        <v>0</v>
      </c>
      <c r="I290">
        <f t="shared" si="8"/>
        <v>0</v>
      </c>
    </row>
    <row r="291" spans="1:9" x14ac:dyDescent="0.35">
      <c r="A291" t="s">
        <v>67</v>
      </c>
      <c r="B291" t="s">
        <v>52</v>
      </c>
      <c r="C291" t="s">
        <v>18</v>
      </c>
      <c r="D291">
        <v>3</v>
      </c>
      <c r="E291" t="s">
        <v>7</v>
      </c>
      <c r="F291" t="s">
        <v>8</v>
      </c>
      <c r="G291" s="5">
        <v>2611.2072978000001</v>
      </c>
      <c r="I291">
        <f t="shared" si="8"/>
        <v>34.1721911582177</v>
      </c>
    </row>
    <row r="292" spans="1:9" x14ac:dyDescent="0.35">
      <c r="A292" t="s">
        <v>67</v>
      </c>
      <c r="B292" t="s">
        <v>52</v>
      </c>
      <c r="C292" t="s">
        <v>19</v>
      </c>
      <c r="D292">
        <v>3</v>
      </c>
      <c r="E292" t="s">
        <v>15</v>
      </c>
      <c r="F292" t="s">
        <v>8</v>
      </c>
      <c r="G292" s="5">
        <v>72.837325800000002</v>
      </c>
      <c r="I292">
        <f t="shared" si="8"/>
        <v>0.95320314966491881</v>
      </c>
    </row>
    <row r="293" spans="1:9" x14ac:dyDescent="0.35">
      <c r="A293" t="s">
        <v>67</v>
      </c>
      <c r="B293" t="s">
        <v>52</v>
      </c>
      <c r="C293" t="s">
        <v>20</v>
      </c>
      <c r="D293">
        <v>3</v>
      </c>
      <c r="E293" t="s">
        <v>7</v>
      </c>
      <c r="F293" t="s">
        <v>8</v>
      </c>
      <c r="G293" s="5">
        <v>11.485589750000001</v>
      </c>
      <c r="I293">
        <f t="shared" si="8"/>
        <v>0.15030892753422737</v>
      </c>
    </row>
    <row r="294" spans="1:9" x14ac:dyDescent="0.35">
      <c r="A294" t="s">
        <v>67</v>
      </c>
      <c r="B294" t="s">
        <v>52</v>
      </c>
      <c r="C294" t="s">
        <v>21</v>
      </c>
      <c r="D294">
        <v>3</v>
      </c>
      <c r="E294" t="s">
        <v>15</v>
      </c>
      <c r="F294" t="s">
        <v>8</v>
      </c>
      <c r="G294" s="5">
        <v>9.8282163499999999</v>
      </c>
      <c r="I294">
        <f t="shared" si="8"/>
        <v>0.12861931266027141</v>
      </c>
    </row>
    <row r="295" spans="1:9" x14ac:dyDescent="0.35">
      <c r="A295" t="s">
        <v>67</v>
      </c>
      <c r="B295" t="s">
        <v>52</v>
      </c>
      <c r="C295" t="s">
        <v>22</v>
      </c>
      <c r="D295">
        <v>3</v>
      </c>
      <c r="E295" t="s">
        <v>7</v>
      </c>
      <c r="F295" t="s">
        <v>8</v>
      </c>
      <c r="G295" s="5">
        <v>135.03685319999997</v>
      </c>
      <c r="I295">
        <f t="shared" si="8"/>
        <v>1.7671921968211421</v>
      </c>
    </row>
    <row r="296" spans="1:9" x14ac:dyDescent="0.35">
      <c r="A296" t="s">
        <v>67</v>
      </c>
      <c r="B296" t="s">
        <v>52</v>
      </c>
      <c r="C296" t="s">
        <v>23</v>
      </c>
      <c r="D296">
        <v>3</v>
      </c>
      <c r="E296" t="s">
        <v>15</v>
      </c>
      <c r="F296" t="s">
        <v>8</v>
      </c>
      <c r="G296" s="5">
        <v>1050.6625667999999</v>
      </c>
      <c r="I296">
        <f t="shared" si="8"/>
        <v>13.749747906159238</v>
      </c>
    </row>
    <row r="297" spans="1:9" x14ac:dyDescent="0.35">
      <c r="A297" t="s">
        <v>67</v>
      </c>
      <c r="B297" t="s">
        <v>52</v>
      </c>
      <c r="C297" t="s">
        <v>24</v>
      </c>
      <c r="D297">
        <v>3</v>
      </c>
      <c r="E297" t="s">
        <v>25</v>
      </c>
      <c r="F297" t="s">
        <v>8</v>
      </c>
      <c r="G297" s="5">
        <v>0</v>
      </c>
      <c r="I297">
        <f t="shared" si="8"/>
        <v>0</v>
      </c>
    </row>
    <row r="298" spans="1:9" x14ac:dyDescent="0.35">
      <c r="A298" t="s">
        <v>67</v>
      </c>
      <c r="B298" t="s">
        <v>52</v>
      </c>
      <c r="C298" t="s">
        <v>26</v>
      </c>
      <c r="D298">
        <v>3</v>
      </c>
      <c r="E298" t="s">
        <v>25</v>
      </c>
      <c r="F298" t="s">
        <v>8</v>
      </c>
      <c r="G298" s="5">
        <v>1123.0390218</v>
      </c>
      <c r="I298">
        <f t="shared" si="8"/>
        <v>14.696919759461702</v>
      </c>
    </row>
    <row r="299" spans="1:9" x14ac:dyDescent="0.35">
      <c r="A299" t="s">
        <v>67</v>
      </c>
      <c r="B299" t="s">
        <v>52</v>
      </c>
      <c r="C299" t="s">
        <v>27</v>
      </c>
      <c r="D299">
        <v>3</v>
      </c>
      <c r="E299" t="s">
        <v>25</v>
      </c>
      <c r="F299" t="s">
        <v>8</v>
      </c>
      <c r="G299" s="5">
        <v>0</v>
      </c>
      <c r="I299">
        <f t="shared" si="8"/>
        <v>0</v>
      </c>
    </row>
    <row r="300" spans="1:9" x14ac:dyDescent="0.35">
      <c r="A300" t="s">
        <v>67</v>
      </c>
      <c r="B300" t="s">
        <v>52</v>
      </c>
      <c r="C300" t="s">
        <v>28</v>
      </c>
      <c r="D300">
        <v>3</v>
      </c>
      <c r="E300" t="s">
        <v>25</v>
      </c>
      <c r="F300" t="s">
        <v>8</v>
      </c>
      <c r="G300" s="5">
        <v>1884.18616595</v>
      </c>
      <c r="I300">
        <f t="shared" si="8"/>
        <v>24.657854585026616</v>
      </c>
    </row>
    <row r="301" spans="1:9" x14ac:dyDescent="0.35">
      <c r="A301" t="s">
        <v>67</v>
      </c>
      <c r="B301" t="s">
        <v>52</v>
      </c>
      <c r="C301" t="s">
        <v>29</v>
      </c>
      <c r="D301">
        <v>3</v>
      </c>
      <c r="E301" t="s">
        <v>25</v>
      </c>
      <c r="F301" t="s">
        <v>8</v>
      </c>
      <c r="G301" s="5">
        <v>172.89905075000001</v>
      </c>
      <c r="I301">
        <f t="shared" si="8"/>
        <v>2.2626849343908049</v>
      </c>
    </row>
    <row r="302" spans="1:9" x14ac:dyDescent="0.35">
      <c r="A302" t="s">
        <v>67</v>
      </c>
      <c r="B302" t="s">
        <v>52</v>
      </c>
      <c r="C302" t="s">
        <v>30</v>
      </c>
      <c r="D302">
        <v>3</v>
      </c>
      <c r="E302" t="s">
        <v>7</v>
      </c>
      <c r="F302" t="s">
        <v>8</v>
      </c>
      <c r="G302" s="5">
        <v>10.308421900000001</v>
      </c>
      <c r="I302">
        <f t="shared" si="8"/>
        <v>0.13490363787017054</v>
      </c>
    </row>
    <row r="303" spans="1:9" x14ac:dyDescent="0.35">
      <c r="A303" t="s">
        <v>67</v>
      </c>
      <c r="B303" t="s">
        <v>52</v>
      </c>
      <c r="C303" t="s">
        <v>31</v>
      </c>
      <c r="D303">
        <v>3</v>
      </c>
      <c r="E303" t="s">
        <v>15</v>
      </c>
      <c r="F303" t="s">
        <v>8</v>
      </c>
      <c r="G303" s="5">
        <v>17.656741449999998</v>
      </c>
      <c r="I303">
        <f t="shared" si="8"/>
        <v>0.23106918572454133</v>
      </c>
    </row>
    <row r="304" spans="1:9" x14ac:dyDescent="0.35">
      <c r="A304" t="s">
        <v>67</v>
      </c>
      <c r="B304" t="s">
        <v>52</v>
      </c>
      <c r="C304" t="s">
        <v>32</v>
      </c>
      <c r="D304">
        <v>3</v>
      </c>
      <c r="E304" t="s">
        <v>25</v>
      </c>
      <c r="F304" t="s">
        <v>8</v>
      </c>
      <c r="G304" s="5">
        <v>8.4649577499999999</v>
      </c>
      <c r="I304">
        <f t="shared" si="8"/>
        <v>0.11077870172274315</v>
      </c>
    </row>
    <row r="305" spans="1:9" x14ac:dyDescent="0.35">
      <c r="A305" t="s">
        <v>67</v>
      </c>
      <c r="B305" t="s">
        <v>52</v>
      </c>
      <c r="C305" t="s">
        <v>33</v>
      </c>
      <c r="D305">
        <v>3</v>
      </c>
      <c r="E305" t="s">
        <v>25</v>
      </c>
      <c r="F305" t="s">
        <v>8</v>
      </c>
      <c r="G305" s="5">
        <v>0</v>
      </c>
      <c r="I305">
        <f t="shared" si="8"/>
        <v>0</v>
      </c>
    </row>
    <row r="306" spans="1:9" x14ac:dyDescent="0.35">
      <c r="A306" t="s">
        <v>67</v>
      </c>
      <c r="B306" t="s">
        <v>52</v>
      </c>
      <c r="C306" t="s">
        <v>34</v>
      </c>
      <c r="D306">
        <v>3</v>
      </c>
      <c r="E306" t="s">
        <v>25</v>
      </c>
      <c r="F306" t="s">
        <v>8</v>
      </c>
      <c r="G306" s="5">
        <v>79.072020600000002</v>
      </c>
      <c r="I306">
        <f t="shared" si="8"/>
        <v>1.0347949798877618</v>
      </c>
    </row>
    <row r="307" spans="1:9" x14ac:dyDescent="0.35">
      <c r="A307" t="s">
        <v>67</v>
      </c>
      <c r="B307" t="s">
        <v>52</v>
      </c>
      <c r="C307" t="s">
        <v>35</v>
      </c>
      <c r="D307">
        <v>3</v>
      </c>
      <c r="E307" t="s">
        <v>25</v>
      </c>
      <c r="F307" t="s">
        <v>8</v>
      </c>
      <c r="G307" s="5">
        <v>0</v>
      </c>
      <c r="I307">
        <f t="shared" si="8"/>
        <v>0</v>
      </c>
    </row>
    <row r="308" spans="1:9" x14ac:dyDescent="0.35">
      <c r="A308" t="s">
        <v>67</v>
      </c>
      <c r="B308" t="s">
        <v>52</v>
      </c>
      <c r="C308" t="s">
        <v>36</v>
      </c>
      <c r="D308">
        <v>3</v>
      </c>
      <c r="E308" t="s">
        <v>7</v>
      </c>
      <c r="F308" t="s">
        <v>8</v>
      </c>
      <c r="G308" s="5">
        <v>0</v>
      </c>
      <c r="I308">
        <f t="shared" si="8"/>
        <v>0</v>
      </c>
    </row>
    <row r="309" spans="1:9" x14ac:dyDescent="0.35">
      <c r="A309" t="s">
        <v>67</v>
      </c>
      <c r="B309" t="s">
        <v>52</v>
      </c>
      <c r="C309" t="s">
        <v>37</v>
      </c>
      <c r="D309">
        <v>3</v>
      </c>
      <c r="E309" t="s">
        <v>25</v>
      </c>
      <c r="F309" t="s">
        <v>8</v>
      </c>
      <c r="G309" s="5">
        <v>164.55418814999999</v>
      </c>
      <c r="I309">
        <f t="shared" si="8"/>
        <v>2.1534778866789983</v>
      </c>
    </row>
    <row r="310" spans="1:9" x14ac:dyDescent="0.35">
      <c r="A310" t="s">
        <v>67</v>
      </c>
      <c r="B310" t="s">
        <v>52</v>
      </c>
      <c r="C310" t="s">
        <v>38</v>
      </c>
      <c r="D310">
        <v>3</v>
      </c>
      <c r="E310" t="s">
        <v>7</v>
      </c>
      <c r="F310" t="s">
        <v>8</v>
      </c>
      <c r="G310" s="5">
        <v>3.3791093999999999</v>
      </c>
      <c r="I310">
        <f t="shared" si="8"/>
        <v>4.4221526363922799E-2</v>
      </c>
    </row>
    <row r="311" spans="1:9" x14ac:dyDescent="0.35">
      <c r="A311" t="s">
        <v>67</v>
      </c>
      <c r="B311" t="s">
        <v>52</v>
      </c>
      <c r="C311" t="s">
        <v>39</v>
      </c>
      <c r="D311">
        <v>3</v>
      </c>
      <c r="E311" t="s">
        <v>15</v>
      </c>
      <c r="F311" t="s">
        <v>8</v>
      </c>
      <c r="G311" s="5">
        <v>0</v>
      </c>
      <c r="I311">
        <f t="shared" si="8"/>
        <v>0</v>
      </c>
    </row>
    <row r="312" spans="1:9" x14ac:dyDescent="0.35">
      <c r="A312" t="s">
        <v>67</v>
      </c>
      <c r="B312" t="s">
        <v>52</v>
      </c>
      <c r="C312" t="s">
        <v>40</v>
      </c>
      <c r="D312">
        <v>3</v>
      </c>
      <c r="E312" t="s">
        <v>25</v>
      </c>
      <c r="F312" t="s">
        <v>8</v>
      </c>
      <c r="G312" s="5">
        <v>4.4298999999999866E-3</v>
      </c>
      <c r="I312">
        <f t="shared" si="8"/>
        <v>5.7972949807289764E-5</v>
      </c>
    </row>
    <row r="313" spans="1:9" x14ac:dyDescent="0.35">
      <c r="A313" t="s">
        <v>67</v>
      </c>
      <c r="B313" t="s">
        <v>52</v>
      </c>
      <c r="C313" t="s">
        <v>41</v>
      </c>
      <c r="D313">
        <v>3</v>
      </c>
      <c r="E313" t="s">
        <v>25</v>
      </c>
      <c r="F313" t="s">
        <v>8</v>
      </c>
      <c r="G313" s="5">
        <v>0.78068119999999996</v>
      </c>
      <c r="I313">
        <f t="shared" si="8"/>
        <v>1.0216571936859719E-2</v>
      </c>
    </row>
    <row r="314" spans="1:9" x14ac:dyDescent="0.35">
      <c r="A314" t="s">
        <v>67</v>
      </c>
      <c r="B314" t="s">
        <v>52</v>
      </c>
      <c r="C314" t="s">
        <v>42</v>
      </c>
      <c r="D314">
        <v>3</v>
      </c>
      <c r="E314" t="s">
        <v>25</v>
      </c>
      <c r="F314" t="s">
        <v>8</v>
      </c>
      <c r="G314" s="5">
        <v>13.062642050000001</v>
      </c>
      <c r="I314">
        <f t="shared" si="8"/>
        <v>0.17094740105086909</v>
      </c>
    </row>
    <row r="315" spans="1:9" x14ac:dyDescent="0.35">
      <c r="A315" t="s">
        <v>67</v>
      </c>
      <c r="B315" t="s">
        <v>52</v>
      </c>
      <c r="C315" t="s">
        <v>43</v>
      </c>
      <c r="D315">
        <v>3</v>
      </c>
      <c r="E315" t="s">
        <v>7</v>
      </c>
      <c r="F315" t="s">
        <v>8</v>
      </c>
      <c r="G315" s="5">
        <v>49.006427450000004</v>
      </c>
      <c r="I315">
        <f t="shared" si="8"/>
        <v>0.64133437747882471</v>
      </c>
    </row>
    <row r="316" spans="1:9" x14ac:dyDescent="0.35">
      <c r="A316" t="s">
        <v>67</v>
      </c>
      <c r="B316" t="s">
        <v>52</v>
      </c>
      <c r="C316" t="s">
        <v>44</v>
      </c>
      <c r="D316">
        <v>3</v>
      </c>
      <c r="E316" t="s">
        <v>15</v>
      </c>
      <c r="F316" t="s">
        <v>8</v>
      </c>
      <c r="G316" s="5">
        <v>0</v>
      </c>
      <c r="I316">
        <f t="shared" si="8"/>
        <v>0</v>
      </c>
    </row>
    <row r="317" spans="1:9" x14ac:dyDescent="0.35">
      <c r="A317" t="s">
        <v>68</v>
      </c>
      <c r="B317" t="s">
        <v>53</v>
      </c>
      <c r="C317" t="s">
        <v>6</v>
      </c>
      <c r="D317">
        <v>3</v>
      </c>
      <c r="E317" t="s">
        <v>7</v>
      </c>
      <c r="F317" t="s">
        <v>71</v>
      </c>
      <c r="G317" s="5">
        <v>8.8986449999999717E-2</v>
      </c>
      <c r="I317">
        <f>(G317/$K$11)*100</f>
        <v>1.220449726387062E-3</v>
      </c>
    </row>
    <row r="318" spans="1:9" x14ac:dyDescent="0.35">
      <c r="A318" t="s">
        <v>68</v>
      </c>
      <c r="B318" t="s">
        <v>53</v>
      </c>
      <c r="C318" t="s">
        <v>9</v>
      </c>
      <c r="D318">
        <v>3</v>
      </c>
      <c r="E318" t="s">
        <v>7</v>
      </c>
      <c r="F318" t="s">
        <v>71</v>
      </c>
      <c r="G318" s="5">
        <v>2.0623581</v>
      </c>
      <c r="I318">
        <f>(G318/$K$11)*100</f>
        <v>2.8285254427580255E-2</v>
      </c>
    </row>
    <row r="319" spans="1:9" x14ac:dyDescent="0.35">
      <c r="A319" t="s">
        <v>68</v>
      </c>
      <c r="B319" t="s">
        <v>53</v>
      </c>
      <c r="C319" t="s">
        <v>10</v>
      </c>
      <c r="D319">
        <v>3</v>
      </c>
      <c r="E319" t="s">
        <v>7</v>
      </c>
      <c r="F319" t="s">
        <v>71</v>
      </c>
      <c r="G319" s="5" t="e">
        <v>#N/A</v>
      </c>
      <c r="I319" t="e">
        <f>(G319/$K$11)*100</f>
        <v>#N/A</v>
      </c>
    </row>
    <row r="320" spans="1:9" x14ac:dyDescent="0.35">
      <c r="A320" t="s">
        <v>68</v>
      </c>
      <c r="B320" t="s">
        <v>53</v>
      </c>
      <c r="C320" t="s">
        <v>11</v>
      </c>
      <c r="D320">
        <v>3</v>
      </c>
      <c r="E320" t="s">
        <v>7</v>
      </c>
      <c r="F320" t="s">
        <v>71</v>
      </c>
      <c r="G320" s="5">
        <v>7.1205307499999995</v>
      </c>
      <c r="I320">
        <f t="shared" ref="I320:I351" si="9">(G320/$K$11)*100</f>
        <v>9.7658124417461176E-2</v>
      </c>
    </row>
    <row r="321" spans="1:9" x14ac:dyDescent="0.35">
      <c r="A321" t="s">
        <v>68</v>
      </c>
      <c r="B321" t="s">
        <v>53</v>
      </c>
      <c r="C321" t="s">
        <v>12</v>
      </c>
      <c r="D321">
        <v>3</v>
      </c>
      <c r="E321" t="s">
        <v>7</v>
      </c>
      <c r="F321" t="s">
        <v>71</v>
      </c>
      <c r="G321" s="5">
        <v>58.364571400000003</v>
      </c>
      <c r="I321">
        <f t="shared" si="9"/>
        <v>0.80047046708603808</v>
      </c>
    </row>
    <row r="322" spans="1:9" x14ac:dyDescent="0.35">
      <c r="A322" t="s">
        <v>68</v>
      </c>
      <c r="B322" t="s">
        <v>53</v>
      </c>
      <c r="C322" t="s">
        <v>13</v>
      </c>
      <c r="D322">
        <v>3</v>
      </c>
      <c r="E322" t="s">
        <v>7</v>
      </c>
      <c r="F322" t="s">
        <v>71</v>
      </c>
      <c r="G322" s="5">
        <v>153.5744861</v>
      </c>
      <c r="I322">
        <f t="shared" si="9"/>
        <v>2.1062750513227488</v>
      </c>
    </row>
    <row r="323" spans="1:9" x14ac:dyDescent="0.35">
      <c r="A323" t="s">
        <v>68</v>
      </c>
      <c r="B323" t="s">
        <v>53</v>
      </c>
      <c r="C323" t="s">
        <v>14</v>
      </c>
      <c r="D323">
        <v>3</v>
      </c>
      <c r="E323" t="s">
        <v>15</v>
      </c>
      <c r="F323" t="s">
        <v>71</v>
      </c>
      <c r="G323" s="5">
        <v>0</v>
      </c>
      <c r="I323">
        <f t="shared" si="9"/>
        <v>0</v>
      </c>
    </row>
    <row r="324" spans="1:9" x14ac:dyDescent="0.35">
      <c r="A324" t="s">
        <v>68</v>
      </c>
      <c r="B324" t="s">
        <v>53</v>
      </c>
      <c r="C324" t="s">
        <v>16</v>
      </c>
      <c r="D324">
        <v>3</v>
      </c>
      <c r="E324" t="s">
        <v>7</v>
      </c>
      <c r="F324" t="s">
        <v>71</v>
      </c>
      <c r="G324" s="5">
        <v>7.9384686000000002</v>
      </c>
      <c r="I324">
        <f t="shared" si="9"/>
        <v>0.10887614722019266</v>
      </c>
    </row>
    <row r="325" spans="1:9" x14ac:dyDescent="0.35">
      <c r="A325" t="s">
        <v>68</v>
      </c>
      <c r="B325" t="s">
        <v>53</v>
      </c>
      <c r="C325" t="s">
        <v>17</v>
      </c>
      <c r="D325">
        <v>3</v>
      </c>
      <c r="E325" t="s">
        <v>15</v>
      </c>
      <c r="F325" t="s">
        <v>71</v>
      </c>
      <c r="G325" s="5">
        <v>0</v>
      </c>
      <c r="I325">
        <f t="shared" si="9"/>
        <v>0</v>
      </c>
    </row>
    <row r="326" spans="1:9" x14ac:dyDescent="0.35">
      <c r="A326" t="s">
        <v>68</v>
      </c>
      <c r="B326" t="s">
        <v>53</v>
      </c>
      <c r="C326" t="s">
        <v>18</v>
      </c>
      <c r="D326">
        <v>3</v>
      </c>
      <c r="E326" t="s">
        <v>7</v>
      </c>
      <c r="F326" t="s">
        <v>71</v>
      </c>
      <c r="G326" s="5">
        <v>2301.6029805500002</v>
      </c>
      <c r="I326">
        <f t="shared" si="9"/>
        <v>31.566499482380777</v>
      </c>
    </row>
    <row r="327" spans="1:9" x14ac:dyDescent="0.35">
      <c r="A327" t="s">
        <v>68</v>
      </c>
      <c r="B327" t="s">
        <v>53</v>
      </c>
      <c r="C327" t="s">
        <v>19</v>
      </c>
      <c r="D327">
        <v>3</v>
      </c>
      <c r="E327" t="s">
        <v>15</v>
      </c>
      <c r="F327" t="s">
        <v>71</v>
      </c>
      <c r="G327" s="5">
        <v>474.86462375000002</v>
      </c>
      <c r="I327">
        <f t="shared" si="9"/>
        <v>6.5127713278435584</v>
      </c>
    </row>
    <row r="328" spans="1:9" x14ac:dyDescent="0.35">
      <c r="A328" t="s">
        <v>68</v>
      </c>
      <c r="B328" t="s">
        <v>53</v>
      </c>
      <c r="C328" t="s">
        <v>20</v>
      </c>
      <c r="D328">
        <v>3</v>
      </c>
      <c r="E328" t="s">
        <v>7</v>
      </c>
      <c r="F328" t="s">
        <v>71</v>
      </c>
      <c r="G328" s="5">
        <v>8.1869511500000005</v>
      </c>
      <c r="I328">
        <f t="shared" si="9"/>
        <v>0.11228408697011483</v>
      </c>
    </row>
    <row r="329" spans="1:9" x14ac:dyDescent="0.35">
      <c r="A329" t="s">
        <v>68</v>
      </c>
      <c r="B329" t="s">
        <v>53</v>
      </c>
      <c r="C329" t="s">
        <v>21</v>
      </c>
      <c r="D329">
        <v>3</v>
      </c>
      <c r="E329" t="s">
        <v>15</v>
      </c>
      <c r="F329" t="s">
        <v>71</v>
      </c>
      <c r="G329" s="5">
        <v>10.485744500000001</v>
      </c>
      <c r="I329">
        <f t="shared" si="9"/>
        <v>0.14381205235167469</v>
      </c>
    </row>
    <row r="330" spans="1:9" x14ac:dyDescent="0.35">
      <c r="A330" t="s">
        <v>68</v>
      </c>
      <c r="B330" t="s">
        <v>53</v>
      </c>
      <c r="C330" t="s">
        <v>22</v>
      </c>
      <c r="D330">
        <v>3</v>
      </c>
      <c r="E330" t="s">
        <v>7</v>
      </c>
      <c r="F330" t="s">
        <v>71</v>
      </c>
      <c r="G330" s="5">
        <v>137.58565999999999</v>
      </c>
      <c r="I330">
        <f t="shared" si="9"/>
        <v>1.8869881999089055</v>
      </c>
    </row>
    <row r="331" spans="1:9" x14ac:dyDescent="0.35">
      <c r="A331" t="s">
        <v>68</v>
      </c>
      <c r="B331" t="s">
        <v>53</v>
      </c>
      <c r="C331" t="s">
        <v>23</v>
      </c>
      <c r="D331">
        <v>3</v>
      </c>
      <c r="E331" t="s">
        <v>15</v>
      </c>
      <c r="F331" t="s">
        <v>71</v>
      </c>
      <c r="G331" s="5">
        <v>968.63367019999998</v>
      </c>
      <c r="I331">
        <f t="shared" si="9"/>
        <v>13.284816932970012</v>
      </c>
    </row>
    <row r="332" spans="1:9" x14ac:dyDescent="0.35">
      <c r="A332" t="s">
        <v>68</v>
      </c>
      <c r="B332" t="s">
        <v>53</v>
      </c>
      <c r="C332" t="s">
        <v>24</v>
      </c>
      <c r="D332">
        <v>3</v>
      </c>
      <c r="E332" t="s">
        <v>25</v>
      </c>
      <c r="F332" t="s">
        <v>71</v>
      </c>
      <c r="G332" s="5">
        <v>0</v>
      </c>
      <c r="I332">
        <f t="shared" si="9"/>
        <v>0</v>
      </c>
    </row>
    <row r="333" spans="1:9" x14ac:dyDescent="0.35">
      <c r="A333" t="s">
        <v>68</v>
      </c>
      <c r="B333" t="s">
        <v>53</v>
      </c>
      <c r="C333" t="s">
        <v>26</v>
      </c>
      <c r="D333">
        <v>3</v>
      </c>
      <c r="E333" t="s">
        <v>25</v>
      </c>
      <c r="F333" t="s">
        <v>71</v>
      </c>
      <c r="G333" s="5">
        <v>953.7674806</v>
      </c>
      <c r="I333">
        <f t="shared" si="9"/>
        <v>13.080927048277024</v>
      </c>
    </row>
    <row r="334" spans="1:9" x14ac:dyDescent="0.35">
      <c r="A334" t="s">
        <v>68</v>
      </c>
      <c r="B334" t="s">
        <v>53</v>
      </c>
      <c r="C334" t="s">
        <v>27</v>
      </c>
      <c r="D334">
        <v>3</v>
      </c>
      <c r="E334" t="s">
        <v>25</v>
      </c>
      <c r="F334" t="s">
        <v>71</v>
      </c>
      <c r="G334" s="5">
        <v>78.766340599999992</v>
      </c>
      <c r="I334">
        <f t="shared" si="9"/>
        <v>1.0802808611173995</v>
      </c>
    </row>
    <row r="335" spans="1:9" x14ac:dyDescent="0.35">
      <c r="A335" t="s">
        <v>68</v>
      </c>
      <c r="B335" t="s">
        <v>53</v>
      </c>
      <c r="C335" t="s">
        <v>28</v>
      </c>
      <c r="D335">
        <v>3</v>
      </c>
      <c r="E335" t="s">
        <v>25</v>
      </c>
      <c r="F335" t="s">
        <v>71</v>
      </c>
      <c r="G335" s="5">
        <v>1659.5863363499998</v>
      </c>
      <c r="I335">
        <f t="shared" si="9"/>
        <v>22.761237133452006</v>
      </c>
    </row>
    <row r="336" spans="1:9" x14ac:dyDescent="0.35">
      <c r="A336" t="s">
        <v>68</v>
      </c>
      <c r="B336" t="s">
        <v>53</v>
      </c>
      <c r="C336" t="s">
        <v>29</v>
      </c>
      <c r="D336">
        <v>3</v>
      </c>
      <c r="E336" t="s">
        <v>25</v>
      </c>
      <c r="F336" t="s">
        <v>71</v>
      </c>
      <c r="G336" s="5">
        <v>160.95339395000002</v>
      </c>
      <c r="I336">
        <f t="shared" si="9"/>
        <v>2.2074768193061653</v>
      </c>
    </row>
    <row r="337" spans="1:9" x14ac:dyDescent="0.35">
      <c r="A337" t="s">
        <v>68</v>
      </c>
      <c r="B337" t="s">
        <v>53</v>
      </c>
      <c r="C337" t="s">
        <v>30</v>
      </c>
      <c r="D337">
        <v>3</v>
      </c>
      <c r="E337" t="s">
        <v>7</v>
      </c>
      <c r="F337" t="s">
        <v>71</v>
      </c>
      <c r="G337" s="5">
        <v>13.597396999999999</v>
      </c>
      <c r="I337">
        <f t="shared" si="9"/>
        <v>0.18648838613324059</v>
      </c>
    </row>
    <row r="338" spans="1:9" x14ac:dyDescent="0.35">
      <c r="A338" t="s">
        <v>68</v>
      </c>
      <c r="B338" t="s">
        <v>53</v>
      </c>
      <c r="C338" t="s">
        <v>31</v>
      </c>
      <c r="D338">
        <v>3</v>
      </c>
      <c r="E338" t="s">
        <v>15</v>
      </c>
      <c r="F338" t="s">
        <v>71</v>
      </c>
      <c r="G338" s="5">
        <v>14.83980365</v>
      </c>
      <c r="I338">
        <f t="shared" si="9"/>
        <v>0.20352800122131268</v>
      </c>
    </row>
    <row r="339" spans="1:9" x14ac:dyDescent="0.35">
      <c r="A339" t="s">
        <v>68</v>
      </c>
      <c r="B339" t="s">
        <v>53</v>
      </c>
      <c r="C339" t="s">
        <v>32</v>
      </c>
      <c r="D339">
        <v>3</v>
      </c>
      <c r="E339" t="s">
        <v>25</v>
      </c>
      <c r="F339" t="s">
        <v>71</v>
      </c>
      <c r="G339" s="5">
        <v>9.8023465000000005</v>
      </c>
      <c r="I339">
        <f t="shared" si="9"/>
        <v>0.13443924444537581</v>
      </c>
    </row>
    <row r="340" spans="1:9" x14ac:dyDescent="0.35">
      <c r="A340" t="s">
        <v>68</v>
      </c>
      <c r="B340" t="s">
        <v>53</v>
      </c>
      <c r="C340" t="s">
        <v>33</v>
      </c>
      <c r="D340">
        <v>3</v>
      </c>
      <c r="E340" t="s">
        <v>25</v>
      </c>
      <c r="F340" t="s">
        <v>71</v>
      </c>
      <c r="G340" s="5">
        <v>2.1011308000000004</v>
      </c>
      <c r="I340">
        <f t="shared" si="9"/>
        <v>2.8817022254100905E-2</v>
      </c>
    </row>
    <row r="341" spans="1:9" x14ac:dyDescent="0.35">
      <c r="A341" t="s">
        <v>68</v>
      </c>
      <c r="B341" t="s">
        <v>53</v>
      </c>
      <c r="C341" t="s">
        <v>34</v>
      </c>
      <c r="D341">
        <v>3</v>
      </c>
      <c r="E341" t="s">
        <v>25</v>
      </c>
      <c r="F341" t="s">
        <v>71</v>
      </c>
      <c r="G341" s="5">
        <v>56.199507999999994</v>
      </c>
      <c r="I341">
        <f t="shared" si="9"/>
        <v>0.77077660881727172</v>
      </c>
    </row>
    <row r="342" spans="1:9" x14ac:dyDescent="0.35">
      <c r="A342" t="s">
        <v>68</v>
      </c>
      <c r="B342" t="s">
        <v>53</v>
      </c>
      <c r="C342" t="s">
        <v>35</v>
      </c>
      <c r="D342">
        <v>3</v>
      </c>
      <c r="E342" t="s">
        <v>25</v>
      </c>
      <c r="F342" t="s">
        <v>71</v>
      </c>
      <c r="G342" s="5" t="e">
        <v>#N/A</v>
      </c>
      <c r="I342" t="e">
        <f t="shared" si="9"/>
        <v>#N/A</v>
      </c>
    </row>
    <row r="343" spans="1:9" x14ac:dyDescent="0.35">
      <c r="A343" t="s">
        <v>68</v>
      </c>
      <c r="B343" t="s">
        <v>53</v>
      </c>
      <c r="C343" t="s">
        <v>36</v>
      </c>
      <c r="D343">
        <v>3</v>
      </c>
      <c r="E343" t="s">
        <v>7</v>
      </c>
      <c r="F343" t="s">
        <v>71</v>
      </c>
      <c r="G343" s="5">
        <v>0</v>
      </c>
      <c r="I343">
        <f t="shared" si="9"/>
        <v>0</v>
      </c>
    </row>
    <row r="344" spans="1:9" x14ac:dyDescent="0.35">
      <c r="A344" t="s">
        <v>68</v>
      </c>
      <c r="B344" t="s">
        <v>53</v>
      </c>
      <c r="C344" t="s">
        <v>37</v>
      </c>
      <c r="D344">
        <v>3</v>
      </c>
      <c r="E344" t="s">
        <v>25</v>
      </c>
      <c r="F344" t="s">
        <v>71</v>
      </c>
      <c r="G344" s="5">
        <v>147.0075047</v>
      </c>
      <c r="I344">
        <f t="shared" si="9"/>
        <v>2.0162088597529206</v>
      </c>
    </row>
    <row r="345" spans="1:9" x14ac:dyDescent="0.35">
      <c r="A345" t="s">
        <v>68</v>
      </c>
      <c r="B345" t="s">
        <v>53</v>
      </c>
      <c r="C345" t="s">
        <v>38</v>
      </c>
      <c r="D345">
        <v>3</v>
      </c>
      <c r="E345" t="s">
        <v>7</v>
      </c>
      <c r="F345" t="s">
        <v>71</v>
      </c>
      <c r="G345" s="5">
        <v>0.79410154999999993</v>
      </c>
      <c r="I345">
        <f t="shared" si="9"/>
        <v>1.0891107796985324E-2</v>
      </c>
    </row>
    <row r="346" spans="1:9" x14ac:dyDescent="0.35">
      <c r="A346" t="s">
        <v>68</v>
      </c>
      <c r="B346" t="s">
        <v>53</v>
      </c>
      <c r="C346" t="s">
        <v>39</v>
      </c>
      <c r="D346">
        <v>3</v>
      </c>
      <c r="E346" t="s">
        <v>15</v>
      </c>
      <c r="F346" t="s">
        <v>71</v>
      </c>
      <c r="G346" s="5">
        <v>0</v>
      </c>
      <c r="I346">
        <f t="shared" si="9"/>
        <v>0</v>
      </c>
    </row>
    <row r="347" spans="1:9" x14ac:dyDescent="0.35">
      <c r="A347" t="s">
        <v>68</v>
      </c>
      <c r="B347" t="s">
        <v>53</v>
      </c>
      <c r="C347" t="s">
        <v>40</v>
      </c>
      <c r="D347">
        <v>3</v>
      </c>
      <c r="E347" t="s">
        <v>25</v>
      </c>
      <c r="F347" t="s">
        <v>71</v>
      </c>
      <c r="G347" s="5">
        <v>2.3331500000000061E-3</v>
      </c>
      <c r="I347">
        <f t="shared" si="9"/>
        <v>3.1999167054309835E-5</v>
      </c>
    </row>
    <row r="348" spans="1:9" x14ac:dyDescent="0.35">
      <c r="A348" t="s">
        <v>68</v>
      </c>
      <c r="B348" t="s">
        <v>53</v>
      </c>
      <c r="C348" t="s">
        <v>41</v>
      </c>
      <c r="D348">
        <v>3</v>
      </c>
      <c r="E348" t="s">
        <v>25</v>
      </c>
      <c r="F348" t="s">
        <v>71</v>
      </c>
      <c r="G348" s="5">
        <v>0.39816869999999999</v>
      </c>
      <c r="I348">
        <f t="shared" si="9"/>
        <v>5.4608862469611233E-3</v>
      </c>
    </row>
    <row r="349" spans="1:9" x14ac:dyDescent="0.35">
      <c r="A349" t="s">
        <v>68</v>
      </c>
      <c r="B349" t="s">
        <v>53</v>
      </c>
      <c r="C349" t="s">
        <v>42</v>
      </c>
      <c r="D349">
        <v>3</v>
      </c>
      <c r="E349" t="s">
        <v>25</v>
      </c>
      <c r="F349" t="s">
        <v>71</v>
      </c>
      <c r="G349" s="5">
        <v>8.5147973999999991</v>
      </c>
      <c r="I349">
        <f t="shared" si="9"/>
        <v>0.11678050036911572</v>
      </c>
    </row>
    <row r="350" spans="1:9" x14ac:dyDescent="0.35">
      <c r="A350" t="s">
        <v>68</v>
      </c>
      <c r="B350" t="s">
        <v>53</v>
      </c>
      <c r="C350" t="s">
        <v>43</v>
      </c>
      <c r="D350">
        <v>3</v>
      </c>
      <c r="E350" t="s">
        <v>7</v>
      </c>
      <c r="F350" t="s">
        <v>71</v>
      </c>
      <c r="G350" s="5">
        <v>54.443864350000005</v>
      </c>
      <c r="I350">
        <f t="shared" si="9"/>
        <v>0.746697945017607</v>
      </c>
    </row>
    <row r="351" spans="1:9" x14ac:dyDescent="0.35">
      <c r="A351" t="s">
        <v>68</v>
      </c>
      <c r="B351" t="s">
        <v>53</v>
      </c>
      <c r="C351" t="s">
        <v>44</v>
      </c>
      <c r="D351">
        <v>3</v>
      </c>
      <c r="E351" t="s">
        <v>15</v>
      </c>
      <c r="F351" t="s">
        <v>71</v>
      </c>
      <c r="G351" s="5">
        <v>0</v>
      </c>
      <c r="I351">
        <f t="shared" si="9"/>
        <v>0</v>
      </c>
    </row>
    <row r="352" spans="1:9" x14ac:dyDescent="0.35">
      <c r="A352" t="s">
        <v>69</v>
      </c>
      <c r="B352" t="s">
        <v>54</v>
      </c>
      <c r="C352" t="s">
        <v>6</v>
      </c>
      <c r="D352">
        <v>3</v>
      </c>
      <c r="E352" t="s">
        <v>7</v>
      </c>
      <c r="F352" t="s">
        <v>55</v>
      </c>
      <c r="G352" s="5">
        <v>0.1718263999999996</v>
      </c>
      <c r="I352">
        <f>(G352/$K$12)*100</f>
        <v>2.0820738523860904E-3</v>
      </c>
    </row>
    <row r="353" spans="1:9" x14ac:dyDescent="0.35">
      <c r="A353" t="s">
        <v>69</v>
      </c>
      <c r="B353" t="s">
        <v>54</v>
      </c>
      <c r="C353" t="s">
        <v>9</v>
      </c>
      <c r="D353">
        <v>3</v>
      </c>
      <c r="E353" t="s">
        <v>7</v>
      </c>
      <c r="F353" t="s">
        <v>55</v>
      </c>
      <c r="G353" s="5">
        <v>2.0263417499999998</v>
      </c>
      <c r="I353">
        <f>(G353/$K$12)*100</f>
        <v>2.4553812299351441E-2</v>
      </c>
    </row>
    <row r="354" spans="1:9" x14ac:dyDescent="0.35">
      <c r="A354" t="s">
        <v>69</v>
      </c>
      <c r="B354" t="s">
        <v>54</v>
      </c>
      <c r="C354" t="s">
        <v>10</v>
      </c>
      <c r="D354">
        <v>3</v>
      </c>
      <c r="E354" t="s">
        <v>7</v>
      </c>
      <c r="F354" t="s">
        <v>55</v>
      </c>
      <c r="G354" s="5">
        <v>0</v>
      </c>
      <c r="I354">
        <f>(G354/$K$12)*100</f>
        <v>0</v>
      </c>
    </row>
    <row r="355" spans="1:9" x14ac:dyDescent="0.35">
      <c r="A355" t="s">
        <v>69</v>
      </c>
      <c r="B355" t="s">
        <v>54</v>
      </c>
      <c r="C355" t="s">
        <v>11</v>
      </c>
      <c r="D355">
        <v>3</v>
      </c>
      <c r="E355" t="s">
        <v>7</v>
      </c>
      <c r="F355" t="s">
        <v>55</v>
      </c>
      <c r="G355" s="5">
        <v>10.632292100000001</v>
      </c>
      <c r="I355">
        <f t="shared" ref="I355:I386" si="10">(G355/$K$12)*100</f>
        <v>0.12883478541330812</v>
      </c>
    </row>
    <row r="356" spans="1:9" x14ac:dyDescent="0.35">
      <c r="A356" t="s">
        <v>69</v>
      </c>
      <c r="B356" t="s">
        <v>54</v>
      </c>
      <c r="C356" t="s">
        <v>12</v>
      </c>
      <c r="D356">
        <v>3</v>
      </c>
      <c r="E356" t="s">
        <v>7</v>
      </c>
      <c r="F356" t="s">
        <v>55</v>
      </c>
      <c r="G356" s="5">
        <v>65.807062200000004</v>
      </c>
      <c r="I356">
        <f t="shared" si="10"/>
        <v>0.79740461017029618</v>
      </c>
    </row>
    <row r="357" spans="1:9" x14ac:dyDescent="0.35">
      <c r="A357" t="s">
        <v>69</v>
      </c>
      <c r="B357" t="s">
        <v>54</v>
      </c>
      <c r="C357" t="s">
        <v>13</v>
      </c>
      <c r="D357">
        <v>3</v>
      </c>
      <c r="E357" t="s">
        <v>7</v>
      </c>
      <c r="F357" t="s">
        <v>55</v>
      </c>
      <c r="G357" s="5">
        <v>199.00868969999999</v>
      </c>
      <c r="I357">
        <f t="shared" si="10"/>
        <v>2.4114500985994467</v>
      </c>
    </row>
    <row r="358" spans="1:9" x14ac:dyDescent="0.35">
      <c r="A358" t="s">
        <v>69</v>
      </c>
      <c r="B358" t="s">
        <v>54</v>
      </c>
      <c r="C358" t="s">
        <v>14</v>
      </c>
      <c r="D358">
        <v>3</v>
      </c>
      <c r="E358" t="s">
        <v>15</v>
      </c>
      <c r="F358" t="s">
        <v>55</v>
      </c>
      <c r="G358" s="5">
        <v>0</v>
      </c>
      <c r="I358">
        <f t="shared" si="10"/>
        <v>0</v>
      </c>
    </row>
    <row r="359" spans="1:9" x14ac:dyDescent="0.35">
      <c r="A359" t="s">
        <v>69</v>
      </c>
      <c r="B359" t="s">
        <v>54</v>
      </c>
      <c r="C359" t="s">
        <v>16</v>
      </c>
      <c r="D359">
        <v>3</v>
      </c>
      <c r="E359" t="s">
        <v>7</v>
      </c>
      <c r="F359" t="s">
        <v>55</v>
      </c>
      <c r="G359" s="5">
        <v>12.669988200000001</v>
      </c>
      <c r="I359">
        <f t="shared" si="10"/>
        <v>0.15352618189789441</v>
      </c>
    </row>
    <row r="360" spans="1:9" x14ac:dyDescent="0.35">
      <c r="A360" t="s">
        <v>69</v>
      </c>
      <c r="B360" t="s">
        <v>54</v>
      </c>
      <c r="C360" t="s">
        <v>17</v>
      </c>
      <c r="D360">
        <v>3</v>
      </c>
      <c r="E360" t="s">
        <v>15</v>
      </c>
      <c r="F360" t="s">
        <v>55</v>
      </c>
      <c r="G360" s="5">
        <v>0</v>
      </c>
      <c r="I360">
        <f t="shared" si="10"/>
        <v>0</v>
      </c>
    </row>
    <row r="361" spans="1:9" x14ac:dyDescent="0.35">
      <c r="A361" t="s">
        <v>69</v>
      </c>
      <c r="B361" t="s">
        <v>54</v>
      </c>
      <c r="C361" t="s">
        <v>18</v>
      </c>
      <c r="D361">
        <v>3</v>
      </c>
      <c r="E361" t="s">
        <v>7</v>
      </c>
      <c r="F361" t="s">
        <v>55</v>
      </c>
      <c r="G361" s="5">
        <v>3166.7039482499999</v>
      </c>
      <c r="I361">
        <f t="shared" si="10"/>
        <v>38.371935214257732</v>
      </c>
    </row>
    <row r="362" spans="1:9" x14ac:dyDescent="0.35">
      <c r="A362" t="s">
        <v>69</v>
      </c>
      <c r="B362" t="s">
        <v>54</v>
      </c>
      <c r="C362" t="s">
        <v>19</v>
      </c>
      <c r="D362">
        <v>3</v>
      </c>
      <c r="E362" t="s">
        <v>15</v>
      </c>
      <c r="F362" t="s">
        <v>55</v>
      </c>
      <c r="G362" s="5">
        <v>626.21996584999999</v>
      </c>
      <c r="I362">
        <f t="shared" si="10"/>
        <v>7.5881018093750336</v>
      </c>
    </row>
    <row r="363" spans="1:9" x14ac:dyDescent="0.35">
      <c r="A363" t="s">
        <v>69</v>
      </c>
      <c r="B363" t="s">
        <v>54</v>
      </c>
      <c r="C363" t="s">
        <v>20</v>
      </c>
      <c r="D363">
        <v>3</v>
      </c>
      <c r="E363" t="s">
        <v>7</v>
      </c>
      <c r="F363" t="s">
        <v>55</v>
      </c>
      <c r="G363" s="5">
        <v>10.14394085</v>
      </c>
      <c r="I363">
        <f t="shared" si="10"/>
        <v>0.12291728165134215</v>
      </c>
    </row>
    <row r="364" spans="1:9" x14ac:dyDescent="0.35">
      <c r="A364" t="s">
        <v>69</v>
      </c>
      <c r="B364" t="s">
        <v>54</v>
      </c>
      <c r="C364" t="s">
        <v>21</v>
      </c>
      <c r="D364">
        <v>3</v>
      </c>
      <c r="E364" t="s">
        <v>15</v>
      </c>
      <c r="F364" t="s">
        <v>55</v>
      </c>
      <c r="G364" s="5">
        <v>0</v>
      </c>
      <c r="I364">
        <f t="shared" si="10"/>
        <v>0</v>
      </c>
    </row>
    <row r="365" spans="1:9" x14ac:dyDescent="0.35">
      <c r="A365" t="s">
        <v>69</v>
      </c>
      <c r="B365" t="s">
        <v>54</v>
      </c>
      <c r="C365" t="s">
        <v>22</v>
      </c>
      <c r="D365">
        <v>3</v>
      </c>
      <c r="E365" t="s">
        <v>7</v>
      </c>
      <c r="F365" t="s">
        <v>55</v>
      </c>
      <c r="G365" s="5">
        <v>100.33430000000001</v>
      </c>
      <c r="I365">
        <f t="shared" si="10"/>
        <v>1.215781873608841</v>
      </c>
    </row>
    <row r="366" spans="1:9" x14ac:dyDescent="0.35">
      <c r="A366" t="s">
        <v>69</v>
      </c>
      <c r="B366" t="s">
        <v>54</v>
      </c>
      <c r="C366" t="s">
        <v>23</v>
      </c>
      <c r="D366">
        <v>3</v>
      </c>
      <c r="E366" t="s">
        <v>15</v>
      </c>
      <c r="F366" t="s">
        <v>55</v>
      </c>
      <c r="G366" s="5">
        <v>1333.74183425</v>
      </c>
      <c r="I366">
        <f t="shared" si="10"/>
        <v>16.161364021625278</v>
      </c>
    </row>
    <row r="367" spans="1:9" x14ac:dyDescent="0.35">
      <c r="A367" t="s">
        <v>69</v>
      </c>
      <c r="B367" t="s">
        <v>54</v>
      </c>
      <c r="C367" t="s">
        <v>24</v>
      </c>
      <c r="D367">
        <v>3</v>
      </c>
      <c r="E367" t="s">
        <v>25</v>
      </c>
      <c r="F367" t="s">
        <v>55</v>
      </c>
      <c r="G367" s="5">
        <v>0</v>
      </c>
      <c r="I367">
        <f t="shared" si="10"/>
        <v>0</v>
      </c>
    </row>
    <row r="368" spans="1:9" x14ac:dyDescent="0.35">
      <c r="A368" t="s">
        <v>69</v>
      </c>
      <c r="B368" t="s">
        <v>54</v>
      </c>
      <c r="C368" t="s">
        <v>26</v>
      </c>
      <c r="D368">
        <v>3</v>
      </c>
      <c r="E368" t="s">
        <v>25</v>
      </c>
      <c r="F368" t="s">
        <v>55</v>
      </c>
      <c r="G368" s="5">
        <v>0</v>
      </c>
      <c r="I368">
        <f t="shared" si="10"/>
        <v>0</v>
      </c>
    </row>
    <row r="369" spans="1:9" x14ac:dyDescent="0.35">
      <c r="A369" t="s">
        <v>69</v>
      </c>
      <c r="B369" t="s">
        <v>54</v>
      </c>
      <c r="C369" t="s">
        <v>27</v>
      </c>
      <c r="D369">
        <v>3</v>
      </c>
      <c r="E369" t="s">
        <v>25</v>
      </c>
      <c r="F369" t="s">
        <v>55</v>
      </c>
      <c r="G369" s="5">
        <v>102.01952355</v>
      </c>
      <c r="I369">
        <f t="shared" si="10"/>
        <v>1.2362022507387831</v>
      </c>
    </row>
    <row r="370" spans="1:9" x14ac:dyDescent="0.35">
      <c r="A370" t="s">
        <v>69</v>
      </c>
      <c r="B370" t="s">
        <v>54</v>
      </c>
      <c r="C370" t="s">
        <v>28</v>
      </c>
      <c r="D370">
        <v>3</v>
      </c>
      <c r="E370" t="s">
        <v>25</v>
      </c>
      <c r="F370" t="s">
        <v>55</v>
      </c>
      <c r="G370" s="5">
        <v>2063.7329700999999</v>
      </c>
      <c r="I370">
        <f t="shared" si="10"/>
        <v>25.006893325777092</v>
      </c>
    </row>
    <row r="371" spans="1:9" x14ac:dyDescent="0.35">
      <c r="A371" t="s">
        <v>69</v>
      </c>
      <c r="B371" t="s">
        <v>54</v>
      </c>
      <c r="C371" t="s">
        <v>29</v>
      </c>
      <c r="D371">
        <v>3</v>
      </c>
      <c r="E371" t="s">
        <v>25</v>
      </c>
      <c r="F371" t="s">
        <v>55</v>
      </c>
      <c r="G371" s="5">
        <v>190.49993775000002</v>
      </c>
      <c r="I371">
        <f t="shared" si="10"/>
        <v>2.3083469086848925</v>
      </c>
    </row>
    <row r="372" spans="1:9" x14ac:dyDescent="0.35">
      <c r="A372" t="s">
        <v>69</v>
      </c>
      <c r="B372" t="s">
        <v>54</v>
      </c>
      <c r="C372" t="s">
        <v>30</v>
      </c>
      <c r="D372">
        <v>3</v>
      </c>
      <c r="E372" t="s">
        <v>7</v>
      </c>
      <c r="F372" t="s">
        <v>55</v>
      </c>
      <c r="G372" s="5">
        <v>10.796135799999998</v>
      </c>
      <c r="I372">
        <f t="shared" si="10"/>
        <v>0.13082013041063209</v>
      </c>
    </row>
    <row r="373" spans="1:9" x14ac:dyDescent="0.35">
      <c r="A373" t="s">
        <v>69</v>
      </c>
      <c r="B373" t="s">
        <v>54</v>
      </c>
      <c r="C373" t="s">
        <v>31</v>
      </c>
      <c r="D373">
        <v>3</v>
      </c>
      <c r="E373" t="s">
        <v>15</v>
      </c>
      <c r="F373" t="s">
        <v>55</v>
      </c>
      <c r="G373" s="5">
        <v>19.421702749999998</v>
      </c>
      <c r="I373">
        <f t="shared" si="10"/>
        <v>0.23533880395905465</v>
      </c>
    </row>
    <row r="374" spans="1:9" x14ac:dyDescent="0.35">
      <c r="A374" t="s">
        <v>69</v>
      </c>
      <c r="B374" t="s">
        <v>54</v>
      </c>
      <c r="C374" t="s">
        <v>32</v>
      </c>
      <c r="D374">
        <v>3</v>
      </c>
      <c r="E374" t="s">
        <v>25</v>
      </c>
      <c r="F374" t="s">
        <v>55</v>
      </c>
      <c r="G374" s="5">
        <v>12.103731700000001</v>
      </c>
      <c r="I374">
        <f t="shared" si="10"/>
        <v>0.14666467602688935</v>
      </c>
    </row>
    <row r="375" spans="1:9" x14ac:dyDescent="0.35">
      <c r="A375" t="s">
        <v>69</v>
      </c>
      <c r="B375" t="s">
        <v>54</v>
      </c>
      <c r="C375" t="s">
        <v>33</v>
      </c>
      <c r="D375">
        <v>3</v>
      </c>
      <c r="E375" t="s">
        <v>25</v>
      </c>
      <c r="F375" t="s">
        <v>55</v>
      </c>
      <c r="G375" s="5">
        <v>2.5211561499999999</v>
      </c>
      <c r="I375">
        <f t="shared" si="10"/>
        <v>3.0549632057107614E-2</v>
      </c>
    </row>
    <row r="376" spans="1:9" x14ac:dyDescent="0.35">
      <c r="A376" t="s">
        <v>69</v>
      </c>
      <c r="B376" t="s">
        <v>54</v>
      </c>
      <c r="C376" t="s">
        <v>34</v>
      </c>
      <c r="D376">
        <v>3</v>
      </c>
      <c r="E376" t="s">
        <v>25</v>
      </c>
      <c r="F376" t="s">
        <v>55</v>
      </c>
      <c r="G376" s="5">
        <v>71.878821549999998</v>
      </c>
      <c r="I376">
        <f t="shared" si="10"/>
        <v>0.8709780039015026</v>
      </c>
    </row>
    <row r="377" spans="1:9" x14ac:dyDescent="0.35">
      <c r="A377" t="s">
        <v>69</v>
      </c>
      <c r="B377" t="s">
        <v>54</v>
      </c>
      <c r="C377" t="s">
        <v>35</v>
      </c>
      <c r="D377">
        <v>3</v>
      </c>
      <c r="E377" t="s">
        <v>25</v>
      </c>
      <c r="F377" t="s">
        <v>55</v>
      </c>
      <c r="G377" s="5">
        <v>1.7893261500000002</v>
      </c>
      <c r="I377">
        <f t="shared" si="10"/>
        <v>2.1681820664959984E-2</v>
      </c>
    </row>
    <row r="378" spans="1:9" x14ac:dyDescent="0.35">
      <c r="A378" t="s">
        <v>69</v>
      </c>
      <c r="B378" t="s">
        <v>54</v>
      </c>
      <c r="C378" t="s">
        <v>36</v>
      </c>
      <c r="D378">
        <v>3</v>
      </c>
      <c r="E378" t="s">
        <v>7</v>
      </c>
      <c r="F378" t="s">
        <v>55</v>
      </c>
      <c r="G378" s="5">
        <v>0</v>
      </c>
      <c r="I378">
        <f t="shared" si="10"/>
        <v>0</v>
      </c>
    </row>
    <row r="379" spans="1:9" x14ac:dyDescent="0.35">
      <c r="A379" t="s">
        <v>69</v>
      </c>
      <c r="B379" t="s">
        <v>54</v>
      </c>
      <c r="C379" t="s">
        <v>37</v>
      </c>
      <c r="D379">
        <v>3</v>
      </c>
      <c r="E379" t="s">
        <v>25</v>
      </c>
      <c r="F379" t="s">
        <v>55</v>
      </c>
      <c r="G379" s="5">
        <v>158.72114894999999</v>
      </c>
      <c r="I379">
        <f t="shared" si="10"/>
        <v>1.9232734553565323</v>
      </c>
    </row>
    <row r="380" spans="1:9" x14ac:dyDescent="0.35">
      <c r="A380" t="s">
        <v>69</v>
      </c>
      <c r="B380" t="s">
        <v>54</v>
      </c>
      <c r="C380" t="s">
        <v>38</v>
      </c>
      <c r="D380">
        <v>3</v>
      </c>
      <c r="E380" t="s">
        <v>7</v>
      </c>
      <c r="F380" t="s">
        <v>55</v>
      </c>
      <c r="G380" s="5">
        <v>6.0177026500000004</v>
      </c>
      <c r="I380">
        <f t="shared" si="10"/>
        <v>7.2918371909086802E-2</v>
      </c>
    </row>
    <row r="381" spans="1:9" x14ac:dyDescent="0.35">
      <c r="A381" t="s">
        <v>69</v>
      </c>
      <c r="B381" t="s">
        <v>54</v>
      </c>
      <c r="C381" t="s">
        <v>39</v>
      </c>
      <c r="D381">
        <v>3</v>
      </c>
      <c r="E381" t="s">
        <v>15</v>
      </c>
      <c r="F381" t="s">
        <v>55</v>
      </c>
      <c r="G381" s="5">
        <v>7.7659147000000033</v>
      </c>
      <c r="I381">
        <f t="shared" si="10"/>
        <v>9.410200025566974E-2</v>
      </c>
    </row>
    <row r="382" spans="1:9" x14ac:dyDescent="0.35">
      <c r="A382" t="s">
        <v>69</v>
      </c>
      <c r="B382" t="s">
        <v>54</v>
      </c>
      <c r="C382" t="s">
        <v>40</v>
      </c>
      <c r="D382">
        <v>3</v>
      </c>
      <c r="E382" t="s">
        <v>25</v>
      </c>
      <c r="F382" t="s">
        <v>55</v>
      </c>
      <c r="G382" s="5">
        <v>4.9643499999999507E-3</v>
      </c>
      <c r="I382">
        <f t="shared" si="10"/>
        <v>6.0154570712607646E-5</v>
      </c>
    </row>
    <row r="383" spans="1:9" x14ac:dyDescent="0.35">
      <c r="A383" t="s">
        <v>69</v>
      </c>
      <c r="B383" t="s">
        <v>54</v>
      </c>
      <c r="C383" t="s">
        <v>41</v>
      </c>
      <c r="D383">
        <v>3</v>
      </c>
      <c r="E383" t="s">
        <v>25</v>
      </c>
      <c r="F383" t="s">
        <v>55</v>
      </c>
      <c r="G383" s="5">
        <v>0.41858744999999997</v>
      </c>
      <c r="I383">
        <f t="shared" si="10"/>
        <v>5.0721541310413988E-3</v>
      </c>
    </row>
    <row r="384" spans="1:9" x14ac:dyDescent="0.35">
      <c r="A384" t="s">
        <v>69</v>
      </c>
      <c r="B384" t="s">
        <v>54</v>
      </c>
      <c r="C384" t="s">
        <v>42</v>
      </c>
      <c r="D384">
        <v>3</v>
      </c>
      <c r="E384" t="s">
        <v>25</v>
      </c>
      <c r="F384" t="s">
        <v>55</v>
      </c>
      <c r="G384" s="5">
        <v>9.341974350000001</v>
      </c>
      <c r="I384">
        <f t="shared" si="10"/>
        <v>0.11319960450662171</v>
      </c>
    </row>
    <row r="385" spans="1:9" x14ac:dyDescent="0.35">
      <c r="A385" t="s">
        <v>69</v>
      </c>
      <c r="B385" t="s">
        <v>54</v>
      </c>
      <c r="C385" t="s">
        <v>43</v>
      </c>
      <c r="D385">
        <v>3</v>
      </c>
      <c r="E385" t="s">
        <v>7</v>
      </c>
      <c r="F385" t="s">
        <v>55</v>
      </c>
      <c r="G385" s="5">
        <v>68.162562950000009</v>
      </c>
      <c r="I385">
        <f t="shared" si="10"/>
        <v>0.82594694429852578</v>
      </c>
    </row>
    <row r="386" spans="1:9" x14ac:dyDescent="0.35">
      <c r="A386" t="s">
        <v>69</v>
      </c>
      <c r="B386" t="s">
        <v>54</v>
      </c>
      <c r="C386" t="s">
        <v>44</v>
      </c>
      <c r="D386">
        <v>3</v>
      </c>
      <c r="E386" t="s">
        <v>15</v>
      </c>
      <c r="F386" t="s">
        <v>55</v>
      </c>
      <c r="G386" s="5">
        <v>0</v>
      </c>
      <c r="I386">
        <f t="shared" si="10"/>
        <v>0</v>
      </c>
    </row>
    <row r="387" spans="1:9" x14ac:dyDescent="0.35">
      <c r="A387" t="s">
        <v>70</v>
      </c>
      <c r="B387" t="s">
        <v>56</v>
      </c>
      <c r="C387" t="s">
        <v>6</v>
      </c>
      <c r="D387">
        <v>3</v>
      </c>
      <c r="E387" t="s">
        <v>7</v>
      </c>
      <c r="F387" t="s">
        <v>72</v>
      </c>
      <c r="G387" s="5">
        <v>0.15526839999999975</v>
      </c>
      <c r="I387">
        <f>(G387/$K$13)*100</f>
        <v>1.6962162983066606E-3</v>
      </c>
    </row>
    <row r="388" spans="1:9" x14ac:dyDescent="0.35">
      <c r="A388" t="s">
        <v>70</v>
      </c>
      <c r="B388" t="s">
        <v>56</v>
      </c>
      <c r="C388" t="s">
        <v>9</v>
      </c>
      <c r="D388">
        <v>3</v>
      </c>
      <c r="E388" t="s">
        <v>7</v>
      </c>
      <c r="F388" t="s">
        <v>72</v>
      </c>
      <c r="G388" s="5">
        <v>0</v>
      </c>
      <c r="I388">
        <f>(G388/$K$13)*100</f>
        <v>0</v>
      </c>
    </row>
    <row r="389" spans="1:9" x14ac:dyDescent="0.35">
      <c r="A389" t="s">
        <v>70</v>
      </c>
      <c r="B389" t="s">
        <v>56</v>
      </c>
      <c r="C389" t="s">
        <v>10</v>
      </c>
      <c r="D389">
        <v>3</v>
      </c>
      <c r="E389" t="s">
        <v>7</v>
      </c>
      <c r="F389" t="s">
        <v>72</v>
      </c>
      <c r="G389" s="5" t="e">
        <v>#N/A</v>
      </c>
      <c r="I389" t="e">
        <f>(G389/$K$13)*100</f>
        <v>#N/A</v>
      </c>
    </row>
    <row r="390" spans="1:9" x14ac:dyDescent="0.35">
      <c r="A390" t="s">
        <v>70</v>
      </c>
      <c r="B390" t="s">
        <v>56</v>
      </c>
      <c r="C390" t="s">
        <v>11</v>
      </c>
      <c r="D390">
        <v>3</v>
      </c>
      <c r="E390" t="s">
        <v>7</v>
      </c>
      <c r="F390" t="s">
        <v>72</v>
      </c>
      <c r="G390" s="5">
        <v>7.0310163000000001</v>
      </c>
      <c r="I390">
        <f t="shared" ref="I390:I421" si="11">(G390/$K$13)*100</f>
        <v>7.6809733607867484E-2</v>
      </c>
    </row>
    <row r="391" spans="1:9" x14ac:dyDescent="0.35">
      <c r="A391" t="s">
        <v>70</v>
      </c>
      <c r="B391" t="s">
        <v>56</v>
      </c>
      <c r="C391" t="s">
        <v>12</v>
      </c>
      <c r="D391">
        <v>3</v>
      </c>
      <c r="E391" t="s">
        <v>7</v>
      </c>
      <c r="F391" t="s">
        <v>72</v>
      </c>
      <c r="G391" s="5">
        <v>52.33002415</v>
      </c>
      <c r="I391">
        <f t="shared" si="11"/>
        <v>0.57167485369857152</v>
      </c>
    </row>
    <row r="392" spans="1:9" x14ac:dyDescent="0.35">
      <c r="A392" t="s">
        <v>70</v>
      </c>
      <c r="B392" t="s">
        <v>56</v>
      </c>
      <c r="C392" t="s">
        <v>13</v>
      </c>
      <c r="D392">
        <v>3</v>
      </c>
      <c r="E392" t="s">
        <v>7</v>
      </c>
      <c r="F392" t="s">
        <v>72</v>
      </c>
      <c r="G392" s="5">
        <v>114.2277053</v>
      </c>
      <c r="I392">
        <f t="shared" si="11"/>
        <v>1.247870754435741</v>
      </c>
    </row>
    <row r="393" spans="1:9" x14ac:dyDescent="0.35">
      <c r="A393" t="s">
        <v>70</v>
      </c>
      <c r="B393" t="s">
        <v>56</v>
      </c>
      <c r="C393" t="s">
        <v>14</v>
      </c>
      <c r="D393">
        <v>3</v>
      </c>
      <c r="E393" t="s">
        <v>15</v>
      </c>
      <c r="F393" t="s">
        <v>72</v>
      </c>
      <c r="G393" s="5">
        <v>0</v>
      </c>
      <c r="I393">
        <f t="shared" si="11"/>
        <v>0</v>
      </c>
    </row>
    <row r="394" spans="1:9" x14ac:dyDescent="0.35">
      <c r="A394" t="s">
        <v>70</v>
      </c>
      <c r="B394" t="s">
        <v>56</v>
      </c>
      <c r="C394" t="s">
        <v>16</v>
      </c>
      <c r="D394">
        <v>3</v>
      </c>
      <c r="E394" t="s">
        <v>7</v>
      </c>
      <c r="F394" t="s">
        <v>72</v>
      </c>
      <c r="G394" s="5">
        <v>9.1093284000000008</v>
      </c>
      <c r="I394">
        <f t="shared" si="11"/>
        <v>9.9514075618140962E-2</v>
      </c>
    </row>
    <row r="395" spans="1:9" x14ac:dyDescent="0.35">
      <c r="A395" t="s">
        <v>70</v>
      </c>
      <c r="B395" t="s">
        <v>56</v>
      </c>
      <c r="C395" t="s">
        <v>17</v>
      </c>
      <c r="D395">
        <v>3</v>
      </c>
      <c r="E395" t="s">
        <v>15</v>
      </c>
      <c r="F395" t="s">
        <v>72</v>
      </c>
      <c r="G395" s="5">
        <v>1.8082197499999999</v>
      </c>
      <c r="I395">
        <f t="shared" si="11"/>
        <v>1.975374133352311E-2</v>
      </c>
    </row>
    <row r="396" spans="1:9" x14ac:dyDescent="0.35">
      <c r="A396" t="s">
        <v>70</v>
      </c>
      <c r="B396" t="s">
        <v>56</v>
      </c>
      <c r="C396" t="s">
        <v>18</v>
      </c>
      <c r="D396">
        <v>3</v>
      </c>
      <c r="E396" t="s">
        <v>7</v>
      </c>
      <c r="F396" t="s">
        <v>72</v>
      </c>
      <c r="G396" s="5">
        <v>3165.2920854000004</v>
      </c>
      <c r="I396">
        <f t="shared" si="11"/>
        <v>34.578961489630643</v>
      </c>
    </row>
    <row r="397" spans="1:9" x14ac:dyDescent="0.35">
      <c r="A397" t="s">
        <v>70</v>
      </c>
      <c r="B397" t="s">
        <v>56</v>
      </c>
      <c r="C397" t="s">
        <v>19</v>
      </c>
      <c r="D397">
        <v>3</v>
      </c>
      <c r="E397" t="s">
        <v>15</v>
      </c>
      <c r="F397" t="s">
        <v>72</v>
      </c>
      <c r="G397" s="5">
        <v>336.0391338</v>
      </c>
      <c r="I397">
        <f t="shared" si="11"/>
        <v>3.671030651571173</v>
      </c>
    </row>
    <row r="398" spans="1:9" x14ac:dyDescent="0.35">
      <c r="A398" t="s">
        <v>70</v>
      </c>
      <c r="B398" t="s">
        <v>56</v>
      </c>
      <c r="C398" t="s">
        <v>20</v>
      </c>
      <c r="D398">
        <v>3</v>
      </c>
      <c r="E398" t="s">
        <v>7</v>
      </c>
      <c r="F398" t="s">
        <v>72</v>
      </c>
      <c r="G398" s="5">
        <v>16.893481699999999</v>
      </c>
      <c r="I398">
        <f t="shared" si="11"/>
        <v>0.18455138968834195</v>
      </c>
    </row>
    <row r="399" spans="1:9" x14ac:dyDescent="0.35">
      <c r="A399" t="s">
        <v>70</v>
      </c>
      <c r="B399" t="s">
        <v>56</v>
      </c>
      <c r="C399" t="s">
        <v>21</v>
      </c>
      <c r="D399">
        <v>3</v>
      </c>
      <c r="E399" t="s">
        <v>15</v>
      </c>
      <c r="F399" t="s">
        <v>72</v>
      </c>
      <c r="G399" s="5">
        <v>17.933117300000003</v>
      </c>
      <c r="I399">
        <f t="shared" si="11"/>
        <v>0.19590879949626058</v>
      </c>
    </row>
    <row r="400" spans="1:9" x14ac:dyDescent="0.35">
      <c r="A400" t="s">
        <v>70</v>
      </c>
      <c r="B400" t="s">
        <v>56</v>
      </c>
      <c r="C400" t="s">
        <v>22</v>
      </c>
      <c r="D400">
        <v>3</v>
      </c>
      <c r="E400" t="s">
        <v>7</v>
      </c>
      <c r="F400" t="s">
        <v>72</v>
      </c>
      <c r="G400" s="5">
        <v>188.5580841</v>
      </c>
      <c r="I400">
        <f t="shared" si="11"/>
        <v>2.0598865926865897</v>
      </c>
    </row>
    <row r="401" spans="1:9" x14ac:dyDescent="0.35">
      <c r="A401" t="s">
        <v>70</v>
      </c>
      <c r="B401" t="s">
        <v>56</v>
      </c>
      <c r="C401" t="s">
        <v>23</v>
      </c>
      <c r="D401">
        <v>3</v>
      </c>
      <c r="E401" t="s">
        <v>15</v>
      </c>
      <c r="F401" t="s">
        <v>72</v>
      </c>
      <c r="G401" s="5">
        <v>1227.0303974499998</v>
      </c>
      <c r="I401">
        <f t="shared" si="11"/>
        <v>13.404588175523108</v>
      </c>
    </row>
    <row r="402" spans="1:9" x14ac:dyDescent="0.35">
      <c r="A402" t="s">
        <v>70</v>
      </c>
      <c r="B402" t="s">
        <v>56</v>
      </c>
      <c r="C402" t="s">
        <v>24</v>
      </c>
      <c r="D402">
        <v>3</v>
      </c>
      <c r="E402" t="s">
        <v>25</v>
      </c>
      <c r="F402" t="s">
        <v>72</v>
      </c>
      <c r="G402" s="5">
        <v>1.7235695500000001</v>
      </c>
      <c r="I402">
        <f t="shared" si="11"/>
        <v>1.8828987495041371E-2</v>
      </c>
    </row>
    <row r="403" spans="1:9" x14ac:dyDescent="0.35">
      <c r="A403" t="s">
        <v>70</v>
      </c>
      <c r="B403" t="s">
        <v>56</v>
      </c>
      <c r="C403" t="s">
        <v>26</v>
      </c>
      <c r="D403">
        <v>3</v>
      </c>
      <c r="E403" t="s">
        <v>25</v>
      </c>
      <c r="F403" t="s">
        <v>72</v>
      </c>
      <c r="G403" s="5">
        <v>1156.0604329</v>
      </c>
      <c r="I403">
        <f t="shared" si="11"/>
        <v>12.629282894088151</v>
      </c>
    </row>
    <row r="404" spans="1:9" x14ac:dyDescent="0.35">
      <c r="A404" t="s">
        <v>70</v>
      </c>
      <c r="B404" t="s">
        <v>56</v>
      </c>
      <c r="C404" t="s">
        <v>27</v>
      </c>
      <c r="D404">
        <v>3</v>
      </c>
      <c r="E404" t="s">
        <v>25</v>
      </c>
      <c r="F404" t="s">
        <v>72</v>
      </c>
      <c r="G404" s="5">
        <v>0</v>
      </c>
      <c r="I404">
        <f t="shared" si="11"/>
        <v>0</v>
      </c>
    </row>
    <row r="405" spans="1:9" x14ac:dyDescent="0.35">
      <c r="A405" t="s">
        <v>70</v>
      </c>
      <c r="B405" t="s">
        <v>56</v>
      </c>
      <c r="C405" t="s">
        <v>28</v>
      </c>
      <c r="D405">
        <v>3</v>
      </c>
      <c r="E405" t="s">
        <v>25</v>
      </c>
      <c r="F405" t="s">
        <v>72</v>
      </c>
      <c r="G405" s="5">
        <v>2330.1505310499997</v>
      </c>
      <c r="I405">
        <f t="shared" si="11"/>
        <v>25.455529317458904</v>
      </c>
    </row>
    <row r="406" spans="1:9" x14ac:dyDescent="0.35">
      <c r="A406" t="s">
        <v>70</v>
      </c>
      <c r="B406" t="s">
        <v>56</v>
      </c>
      <c r="C406" t="s">
        <v>29</v>
      </c>
      <c r="D406">
        <v>3</v>
      </c>
      <c r="E406" t="s">
        <v>25</v>
      </c>
      <c r="F406" t="s">
        <v>72</v>
      </c>
      <c r="G406" s="5">
        <v>217.78373655000001</v>
      </c>
      <c r="I406">
        <f t="shared" si="11"/>
        <v>2.3791597224047814</v>
      </c>
    </row>
    <row r="407" spans="1:9" x14ac:dyDescent="0.35">
      <c r="A407" t="s">
        <v>70</v>
      </c>
      <c r="B407" t="s">
        <v>56</v>
      </c>
      <c r="C407" t="s">
        <v>30</v>
      </c>
      <c r="D407">
        <v>3</v>
      </c>
      <c r="E407" t="s">
        <v>7</v>
      </c>
      <c r="F407" t="s">
        <v>72</v>
      </c>
      <c r="G407" s="5">
        <v>13.107390449999999</v>
      </c>
      <c r="I407">
        <f t="shared" si="11"/>
        <v>0.14319056105143807</v>
      </c>
    </row>
    <row r="408" spans="1:9" x14ac:dyDescent="0.35">
      <c r="A408" t="s">
        <v>70</v>
      </c>
      <c r="B408" t="s">
        <v>56</v>
      </c>
      <c r="C408" t="s">
        <v>31</v>
      </c>
      <c r="D408">
        <v>3</v>
      </c>
      <c r="E408" t="s">
        <v>15</v>
      </c>
      <c r="F408" t="s">
        <v>72</v>
      </c>
      <c r="G408" s="5">
        <v>20.401859649999999</v>
      </c>
      <c r="I408">
        <f t="shared" si="11"/>
        <v>0.22287836323485699</v>
      </c>
    </row>
    <row r="409" spans="1:9" x14ac:dyDescent="0.35">
      <c r="A409" t="s">
        <v>70</v>
      </c>
      <c r="B409" t="s">
        <v>56</v>
      </c>
      <c r="C409" t="s">
        <v>32</v>
      </c>
      <c r="D409">
        <v>3</v>
      </c>
      <c r="E409" t="s">
        <v>25</v>
      </c>
      <c r="F409" t="s">
        <v>72</v>
      </c>
      <c r="G409" s="5">
        <v>5.383563950000001</v>
      </c>
      <c r="I409">
        <f t="shared" si="11"/>
        <v>5.8812281925789148E-2</v>
      </c>
    </row>
    <row r="410" spans="1:9" x14ac:dyDescent="0.35">
      <c r="A410" t="s">
        <v>70</v>
      </c>
      <c r="B410" t="s">
        <v>56</v>
      </c>
      <c r="C410" t="s">
        <v>33</v>
      </c>
      <c r="D410">
        <v>3</v>
      </c>
      <c r="E410" t="s">
        <v>25</v>
      </c>
      <c r="F410" t="s">
        <v>72</v>
      </c>
      <c r="G410" s="5">
        <v>0</v>
      </c>
      <c r="I410">
        <f t="shared" si="11"/>
        <v>0</v>
      </c>
    </row>
    <row r="411" spans="1:9" x14ac:dyDescent="0.35">
      <c r="A411" t="s">
        <v>70</v>
      </c>
      <c r="B411" t="s">
        <v>56</v>
      </c>
      <c r="C411" t="s">
        <v>34</v>
      </c>
      <c r="D411">
        <v>3</v>
      </c>
      <c r="E411" t="s">
        <v>25</v>
      </c>
      <c r="F411" t="s">
        <v>72</v>
      </c>
      <c r="G411" s="5">
        <v>35.088396899999999</v>
      </c>
      <c r="I411">
        <f t="shared" si="11"/>
        <v>0.38332017785481781</v>
      </c>
    </row>
    <row r="412" spans="1:9" x14ac:dyDescent="0.35">
      <c r="A412" t="s">
        <v>70</v>
      </c>
      <c r="B412" t="s">
        <v>56</v>
      </c>
      <c r="C412" t="s">
        <v>35</v>
      </c>
      <c r="D412">
        <v>3</v>
      </c>
      <c r="E412" t="s">
        <v>25</v>
      </c>
      <c r="F412" t="s">
        <v>72</v>
      </c>
      <c r="G412" s="5">
        <v>1.9652810999999999</v>
      </c>
      <c r="I412">
        <f t="shared" si="11"/>
        <v>2.1469544560091088E-2</v>
      </c>
    </row>
    <row r="413" spans="1:9" x14ac:dyDescent="0.35">
      <c r="A413" t="s">
        <v>70</v>
      </c>
      <c r="B413" t="s">
        <v>56</v>
      </c>
      <c r="C413" t="s">
        <v>36</v>
      </c>
      <c r="D413">
        <v>3</v>
      </c>
      <c r="E413" t="s">
        <v>7</v>
      </c>
      <c r="F413" t="s">
        <v>72</v>
      </c>
      <c r="G413" s="5">
        <v>0</v>
      </c>
      <c r="I413">
        <f t="shared" si="11"/>
        <v>0</v>
      </c>
    </row>
    <row r="414" spans="1:9" x14ac:dyDescent="0.35">
      <c r="A414" t="s">
        <v>70</v>
      </c>
      <c r="B414" t="s">
        <v>56</v>
      </c>
      <c r="C414" t="s">
        <v>37</v>
      </c>
      <c r="D414">
        <v>3</v>
      </c>
      <c r="E414" t="s">
        <v>25</v>
      </c>
      <c r="F414" t="s">
        <v>72</v>
      </c>
      <c r="G414" s="5">
        <v>122.5827559</v>
      </c>
      <c r="I414">
        <f t="shared" si="11"/>
        <v>1.3391447870199427</v>
      </c>
    </row>
    <row r="415" spans="1:9" x14ac:dyDescent="0.35">
      <c r="A415" t="s">
        <v>70</v>
      </c>
      <c r="B415" t="s">
        <v>56</v>
      </c>
      <c r="C415" t="s">
        <v>38</v>
      </c>
      <c r="D415">
        <v>3</v>
      </c>
      <c r="E415" t="s">
        <v>7</v>
      </c>
      <c r="F415" t="s">
        <v>72</v>
      </c>
      <c r="G415" s="5">
        <v>4.0274412000000002</v>
      </c>
      <c r="I415">
        <f t="shared" si="11"/>
        <v>4.3997435433814902E-2</v>
      </c>
    </row>
    <row r="416" spans="1:9" x14ac:dyDescent="0.35">
      <c r="A416" t="s">
        <v>70</v>
      </c>
      <c r="B416" t="s">
        <v>56</v>
      </c>
      <c r="C416" t="s">
        <v>39</v>
      </c>
      <c r="D416">
        <v>3</v>
      </c>
      <c r="E416" t="s">
        <v>15</v>
      </c>
      <c r="F416" t="s">
        <v>72</v>
      </c>
      <c r="G416" s="5">
        <v>27.16988465</v>
      </c>
      <c r="I416">
        <f t="shared" si="11"/>
        <v>0.29681507097672177</v>
      </c>
    </row>
    <row r="417" spans="1:9" x14ac:dyDescent="0.35">
      <c r="A417" t="s">
        <v>70</v>
      </c>
      <c r="B417" t="s">
        <v>56</v>
      </c>
      <c r="C417" t="s">
        <v>40</v>
      </c>
      <c r="D417">
        <v>3</v>
      </c>
      <c r="E417" t="s">
        <v>25</v>
      </c>
      <c r="F417" t="s">
        <v>72</v>
      </c>
      <c r="G417" s="5">
        <v>4.224650000000052E-3</v>
      </c>
      <c r="I417">
        <f t="shared" si="11"/>
        <v>4.6151826029258577E-5</v>
      </c>
    </row>
    <row r="418" spans="1:9" x14ac:dyDescent="0.35">
      <c r="A418" t="s">
        <v>70</v>
      </c>
      <c r="B418" t="s">
        <v>56</v>
      </c>
      <c r="C418" t="s">
        <v>41</v>
      </c>
      <c r="D418">
        <v>3</v>
      </c>
      <c r="E418" t="s">
        <v>25</v>
      </c>
      <c r="F418" t="s">
        <v>72</v>
      </c>
      <c r="G418" s="5">
        <v>7.7449400000000002E-2</v>
      </c>
      <c r="I418">
        <f t="shared" si="11"/>
        <v>8.4608931742757745E-4</v>
      </c>
    </row>
    <row r="419" spans="1:9" x14ac:dyDescent="0.35">
      <c r="A419" t="s">
        <v>70</v>
      </c>
      <c r="B419" t="s">
        <v>56</v>
      </c>
      <c r="C419" t="s">
        <v>42</v>
      </c>
      <c r="D419">
        <v>3</v>
      </c>
      <c r="E419" t="s">
        <v>25</v>
      </c>
      <c r="F419" t="s">
        <v>72</v>
      </c>
      <c r="G419" s="5">
        <v>6.3256070499999995</v>
      </c>
      <c r="I419">
        <f t="shared" si="11"/>
        <v>6.9103550850614356E-2</v>
      </c>
    </row>
    <row r="420" spans="1:9" x14ac:dyDescent="0.35">
      <c r="A420" t="s">
        <v>70</v>
      </c>
      <c r="B420" t="s">
        <v>56</v>
      </c>
      <c r="C420" t="s">
        <v>43</v>
      </c>
      <c r="D420">
        <v>3</v>
      </c>
      <c r="E420" t="s">
        <v>7</v>
      </c>
      <c r="F420" t="s">
        <v>72</v>
      </c>
      <c r="G420" s="5">
        <v>75.54900275</v>
      </c>
      <c r="I420">
        <f t="shared" si="11"/>
        <v>0.82532859091331467</v>
      </c>
    </row>
    <row r="421" spans="1:9" x14ac:dyDescent="0.35">
      <c r="A421" t="s">
        <v>70</v>
      </c>
      <c r="B421" t="s">
        <v>56</v>
      </c>
      <c r="C421" t="s">
        <v>44</v>
      </c>
      <c r="D421">
        <v>3</v>
      </c>
      <c r="E421" t="s">
        <v>15</v>
      </c>
      <c r="F421" t="s">
        <v>72</v>
      </c>
      <c r="G421" s="5">
        <v>0</v>
      </c>
      <c r="I421">
        <f t="shared" si="11"/>
        <v>0</v>
      </c>
    </row>
    <row r="1050" ht="15" customHeight="1" x14ac:dyDescent="0.35"/>
  </sheetData>
  <autoFilter ref="A1:K421" xr:uid="{B6E9A0CD-D5D1-45B4-9CC5-BE7D5CB11F25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8EEB-4EE2-4BB1-9132-C947DFF48831}">
  <dimension ref="A1:E421"/>
  <sheetViews>
    <sheetView tabSelected="1" workbookViewId="0">
      <selection activeCell="G5" sqref="G5"/>
    </sheetView>
  </sheetViews>
  <sheetFormatPr baseColWidth="10" defaultRowHeight="14.5" x14ac:dyDescent="0.35"/>
  <sheetData>
    <row r="1" spans="1:5" x14ac:dyDescent="0.35">
      <c r="A1" t="s">
        <v>86</v>
      </c>
      <c r="B1" t="s">
        <v>87</v>
      </c>
      <c r="C1" t="s">
        <v>88</v>
      </c>
      <c r="D1" t="s">
        <v>89</v>
      </c>
      <c r="E1" t="s">
        <v>90</v>
      </c>
    </row>
    <row r="2" spans="1:5" x14ac:dyDescent="0.35">
      <c r="A2" t="s">
        <v>74</v>
      </c>
      <c r="B2" t="s">
        <v>6</v>
      </c>
      <c r="C2">
        <v>1</v>
      </c>
      <c r="D2" t="s">
        <v>8</v>
      </c>
      <c r="E2">
        <v>2.1630188178012232E-2</v>
      </c>
    </row>
    <row r="3" spans="1:5" x14ac:dyDescent="0.35">
      <c r="A3" t="s">
        <v>74</v>
      </c>
      <c r="B3" t="s">
        <v>9</v>
      </c>
      <c r="C3">
        <v>1</v>
      </c>
      <c r="D3" t="s">
        <v>8</v>
      </c>
      <c r="E3">
        <v>4.2791477504867427E-2</v>
      </c>
    </row>
    <row r="4" spans="1:5" x14ac:dyDescent="0.35">
      <c r="A4" t="s">
        <v>74</v>
      </c>
      <c r="B4" t="s">
        <v>10</v>
      </c>
      <c r="C4">
        <v>1</v>
      </c>
      <c r="D4" t="s">
        <v>8</v>
      </c>
      <c r="E4">
        <v>3.1798826819618166E-3</v>
      </c>
    </row>
    <row r="5" spans="1:5" x14ac:dyDescent="0.35">
      <c r="A5" t="s">
        <v>74</v>
      </c>
      <c r="B5" t="s">
        <v>11</v>
      </c>
      <c r="C5">
        <v>1</v>
      </c>
      <c r="D5" t="s">
        <v>8</v>
      </c>
      <c r="E5">
        <v>0.21042188463124115</v>
      </c>
    </row>
    <row r="6" spans="1:5" x14ac:dyDescent="0.35">
      <c r="A6" t="s">
        <v>74</v>
      </c>
      <c r="B6" t="s">
        <v>12</v>
      </c>
      <c r="C6">
        <v>1</v>
      </c>
      <c r="D6" t="s">
        <v>8</v>
      </c>
      <c r="E6">
        <v>1.0915944476875479</v>
      </c>
    </row>
    <row r="7" spans="1:5" x14ac:dyDescent="0.35">
      <c r="A7" t="s">
        <v>74</v>
      </c>
      <c r="B7" t="s">
        <v>13</v>
      </c>
      <c r="C7">
        <v>1</v>
      </c>
      <c r="D7" t="s">
        <v>8</v>
      </c>
      <c r="E7">
        <v>3.162099166635949</v>
      </c>
    </row>
    <row r="8" spans="1:5" x14ac:dyDescent="0.35">
      <c r="A8" t="s">
        <v>74</v>
      </c>
      <c r="B8" t="s">
        <v>14</v>
      </c>
      <c r="C8">
        <v>1</v>
      </c>
      <c r="D8" t="s">
        <v>8</v>
      </c>
      <c r="E8">
        <v>0</v>
      </c>
    </row>
    <row r="9" spans="1:5" x14ac:dyDescent="0.35">
      <c r="A9" t="s">
        <v>74</v>
      </c>
      <c r="B9" t="s">
        <v>16</v>
      </c>
      <c r="C9">
        <v>1</v>
      </c>
      <c r="D9" t="s">
        <v>8</v>
      </c>
      <c r="E9">
        <v>0.13407491958989001</v>
      </c>
    </row>
    <row r="10" spans="1:5" x14ac:dyDescent="0.35">
      <c r="A10" t="s">
        <v>74</v>
      </c>
      <c r="B10" t="s">
        <v>17</v>
      </c>
      <c r="C10">
        <v>1</v>
      </c>
      <c r="D10" t="s">
        <v>8</v>
      </c>
      <c r="E10">
        <v>0</v>
      </c>
    </row>
    <row r="11" spans="1:5" x14ac:dyDescent="0.35">
      <c r="A11" t="s">
        <v>74</v>
      </c>
      <c r="B11" t="s">
        <v>18</v>
      </c>
      <c r="C11">
        <v>1</v>
      </c>
      <c r="D11" t="s">
        <v>8</v>
      </c>
      <c r="E11">
        <v>31.948607165827614</v>
      </c>
    </row>
    <row r="12" spans="1:5" x14ac:dyDescent="0.35">
      <c r="A12" t="s">
        <v>74</v>
      </c>
      <c r="B12" t="s">
        <v>19</v>
      </c>
      <c r="C12">
        <v>1</v>
      </c>
      <c r="D12" t="s">
        <v>8</v>
      </c>
      <c r="E12">
        <v>5.0089529989656016</v>
      </c>
    </row>
    <row r="13" spans="1:5" x14ac:dyDescent="0.35">
      <c r="A13" t="s">
        <v>74</v>
      </c>
      <c r="B13" t="s">
        <v>20</v>
      </c>
      <c r="C13">
        <v>1</v>
      </c>
      <c r="D13" t="s">
        <v>8</v>
      </c>
      <c r="E13">
        <v>0.14009932244229423</v>
      </c>
    </row>
    <row r="14" spans="1:5" x14ac:dyDescent="0.35">
      <c r="A14" t="s">
        <v>74</v>
      </c>
      <c r="B14" t="s">
        <v>21</v>
      </c>
      <c r="C14">
        <v>1</v>
      </c>
      <c r="D14" t="s">
        <v>8</v>
      </c>
      <c r="E14">
        <v>0.16911774633005666</v>
      </c>
    </row>
    <row r="15" spans="1:5" x14ac:dyDescent="0.35">
      <c r="A15" t="s">
        <v>74</v>
      </c>
      <c r="B15" t="s">
        <v>22</v>
      </c>
      <c r="C15">
        <v>1</v>
      </c>
      <c r="D15" t="s">
        <v>8</v>
      </c>
      <c r="E15">
        <v>3.3699801588501686</v>
      </c>
    </row>
    <row r="16" spans="1:5" x14ac:dyDescent="0.35">
      <c r="A16" t="s">
        <v>74</v>
      </c>
      <c r="B16" t="s">
        <v>23</v>
      </c>
      <c r="C16">
        <v>1</v>
      </c>
      <c r="D16" t="s">
        <v>8</v>
      </c>
      <c r="E16">
        <v>14.713490510379716</v>
      </c>
    </row>
    <row r="17" spans="1:5" x14ac:dyDescent="0.35">
      <c r="A17" t="s">
        <v>74</v>
      </c>
      <c r="B17" t="s">
        <v>24</v>
      </c>
      <c r="C17">
        <v>1</v>
      </c>
      <c r="D17" t="s">
        <v>8</v>
      </c>
      <c r="E17">
        <v>0</v>
      </c>
    </row>
    <row r="18" spans="1:5" x14ac:dyDescent="0.35">
      <c r="A18" t="s">
        <v>74</v>
      </c>
      <c r="B18" t="s">
        <v>26</v>
      </c>
      <c r="C18">
        <v>1</v>
      </c>
      <c r="D18" t="s">
        <v>8</v>
      </c>
      <c r="E18">
        <v>14.520877983256863</v>
      </c>
    </row>
    <row r="19" spans="1:5" x14ac:dyDescent="0.35">
      <c r="A19" t="s">
        <v>74</v>
      </c>
      <c r="B19" t="s">
        <v>27</v>
      </c>
      <c r="C19">
        <v>1</v>
      </c>
      <c r="D19" t="s">
        <v>8</v>
      </c>
      <c r="E19">
        <v>1.2670748498730064</v>
      </c>
    </row>
    <row r="20" spans="1:5" x14ac:dyDescent="0.35">
      <c r="A20" t="s">
        <v>74</v>
      </c>
      <c r="B20" t="s">
        <v>28</v>
      </c>
      <c r="C20">
        <v>1</v>
      </c>
      <c r="D20" t="s">
        <v>8</v>
      </c>
      <c r="E20">
        <v>19.260701678838995</v>
      </c>
    </row>
    <row r="21" spans="1:5" x14ac:dyDescent="0.35">
      <c r="A21" t="s">
        <v>74</v>
      </c>
      <c r="B21" t="s">
        <v>29</v>
      </c>
      <c r="C21">
        <v>1</v>
      </c>
      <c r="D21" t="s">
        <v>8</v>
      </c>
      <c r="E21">
        <v>1.4462013577946049</v>
      </c>
    </row>
    <row r="22" spans="1:5" x14ac:dyDescent="0.35">
      <c r="A22" t="s">
        <v>74</v>
      </c>
      <c r="B22" t="s">
        <v>30</v>
      </c>
      <c r="C22">
        <v>1</v>
      </c>
      <c r="D22" t="s">
        <v>8</v>
      </c>
      <c r="E22">
        <v>0.44306816995326459</v>
      </c>
    </row>
    <row r="23" spans="1:5" x14ac:dyDescent="0.35">
      <c r="A23" t="s">
        <v>74</v>
      </c>
      <c r="B23" t="s">
        <v>31</v>
      </c>
      <c r="C23">
        <v>1</v>
      </c>
      <c r="D23" t="s">
        <v>8</v>
      </c>
      <c r="E23">
        <v>0.31184189703487009</v>
      </c>
    </row>
    <row r="24" spans="1:5" x14ac:dyDescent="0.35">
      <c r="A24" t="s">
        <v>74</v>
      </c>
      <c r="B24" t="s">
        <v>32</v>
      </c>
      <c r="C24">
        <v>1</v>
      </c>
      <c r="D24" t="s">
        <v>8</v>
      </c>
      <c r="E24">
        <v>0.20692824110068059</v>
      </c>
    </row>
    <row r="25" spans="1:5" x14ac:dyDescent="0.35">
      <c r="A25" t="s">
        <v>74</v>
      </c>
      <c r="B25" t="s">
        <v>33</v>
      </c>
      <c r="C25">
        <v>1</v>
      </c>
      <c r="D25" t="s">
        <v>8</v>
      </c>
      <c r="E25">
        <v>5.4098061279500106E-2</v>
      </c>
    </row>
    <row r="26" spans="1:5" x14ac:dyDescent="0.35">
      <c r="A26" t="s">
        <v>74</v>
      </c>
      <c r="B26" t="s">
        <v>34</v>
      </c>
      <c r="C26">
        <v>1</v>
      </c>
      <c r="D26" t="s">
        <v>8</v>
      </c>
      <c r="E26">
        <v>0.41034913825063729</v>
      </c>
    </row>
    <row r="27" spans="1:5" x14ac:dyDescent="0.35">
      <c r="A27" t="s">
        <v>74</v>
      </c>
      <c r="B27" t="s">
        <v>35</v>
      </c>
      <c r="C27">
        <v>1</v>
      </c>
      <c r="D27" t="s">
        <v>8</v>
      </c>
      <c r="E27">
        <v>0</v>
      </c>
    </row>
    <row r="28" spans="1:5" x14ac:dyDescent="0.35">
      <c r="A28" t="s">
        <v>74</v>
      </c>
      <c r="B28" t="s">
        <v>36</v>
      </c>
      <c r="C28">
        <v>1</v>
      </c>
      <c r="D28" t="s">
        <v>8</v>
      </c>
      <c r="E28">
        <v>0</v>
      </c>
    </row>
    <row r="29" spans="1:5" x14ac:dyDescent="0.35">
      <c r="A29" t="s">
        <v>74</v>
      </c>
      <c r="B29" t="s">
        <v>37</v>
      </c>
      <c r="C29">
        <v>1</v>
      </c>
      <c r="D29" t="s">
        <v>8</v>
      </c>
      <c r="E29">
        <v>1.1233992701846223</v>
      </c>
    </row>
    <row r="30" spans="1:5" x14ac:dyDescent="0.35">
      <c r="A30" t="s">
        <v>74</v>
      </c>
      <c r="B30" t="s">
        <v>38</v>
      </c>
      <c r="C30">
        <v>1</v>
      </c>
      <c r="D30" t="s">
        <v>8</v>
      </c>
      <c r="E30">
        <v>9.4002916658735156E-2</v>
      </c>
    </row>
    <row r="31" spans="1:5" x14ac:dyDescent="0.35">
      <c r="A31" t="s">
        <v>74</v>
      </c>
      <c r="B31" t="s">
        <v>39</v>
      </c>
      <c r="C31">
        <v>1</v>
      </c>
      <c r="D31" t="s">
        <v>8</v>
      </c>
      <c r="E31">
        <v>0</v>
      </c>
    </row>
    <row r="32" spans="1:5" x14ac:dyDescent="0.35">
      <c r="A32" t="s">
        <v>74</v>
      </c>
      <c r="B32" t="s">
        <v>40</v>
      </c>
      <c r="C32">
        <v>1</v>
      </c>
      <c r="D32" t="s">
        <v>8</v>
      </c>
      <c r="E32">
        <v>9.7995302788820542E-6</v>
      </c>
    </row>
    <row r="33" spans="1:5" x14ac:dyDescent="0.35">
      <c r="A33" t="s">
        <v>74</v>
      </c>
      <c r="B33" t="s">
        <v>41</v>
      </c>
      <c r="C33">
        <v>1</v>
      </c>
      <c r="D33" t="s">
        <v>8</v>
      </c>
      <c r="E33">
        <v>0</v>
      </c>
    </row>
    <row r="34" spans="1:5" x14ac:dyDescent="0.35">
      <c r="A34" t="s">
        <v>74</v>
      </c>
      <c r="B34" t="s">
        <v>42</v>
      </c>
      <c r="C34">
        <v>1</v>
      </c>
      <c r="D34" t="s">
        <v>8</v>
      </c>
      <c r="E34">
        <v>6.8671229137852743E-2</v>
      </c>
    </row>
    <row r="35" spans="1:5" x14ac:dyDescent="0.35">
      <c r="A35" t="s">
        <v>74</v>
      </c>
      <c r="B35" t="s">
        <v>43</v>
      </c>
      <c r="C35">
        <v>1</v>
      </c>
      <c r="D35" t="s">
        <v>8</v>
      </c>
      <c r="E35">
        <v>0.77673553740117329</v>
      </c>
    </row>
    <row r="36" spans="1:5" x14ac:dyDescent="0.35">
      <c r="A36" t="s">
        <v>74</v>
      </c>
      <c r="B36" t="s">
        <v>44</v>
      </c>
      <c r="C36">
        <v>1</v>
      </c>
      <c r="D36" t="s">
        <v>8</v>
      </c>
      <c r="E36">
        <v>0</v>
      </c>
    </row>
    <row r="37" spans="1:5" x14ac:dyDescent="0.35">
      <c r="A37" t="s">
        <v>75</v>
      </c>
      <c r="B37" t="s">
        <v>6</v>
      </c>
      <c r="C37">
        <v>1</v>
      </c>
      <c r="D37" t="s">
        <v>71</v>
      </c>
      <c r="E37">
        <v>6.5191708775215839E-5</v>
      </c>
    </row>
    <row r="38" spans="1:5" x14ac:dyDescent="0.35">
      <c r="A38" t="s">
        <v>75</v>
      </c>
      <c r="B38" t="s">
        <v>9</v>
      </c>
      <c r="C38">
        <v>1</v>
      </c>
      <c r="D38" t="s">
        <v>71</v>
      </c>
      <c r="E38">
        <v>0</v>
      </c>
    </row>
    <row r="39" spans="1:5" x14ac:dyDescent="0.35">
      <c r="A39" t="s">
        <v>75</v>
      </c>
      <c r="B39" t="s">
        <v>10</v>
      </c>
      <c r="C39">
        <v>1</v>
      </c>
      <c r="D39" t="s">
        <v>71</v>
      </c>
      <c r="E39">
        <v>0</v>
      </c>
    </row>
    <row r="40" spans="1:5" x14ac:dyDescent="0.35">
      <c r="A40" t="s">
        <v>75</v>
      </c>
      <c r="B40" t="s">
        <v>11</v>
      </c>
      <c r="C40">
        <v>1</v>
      </c>
      <c r="D40" t="s">
        <v>71</v>
      </c>
      <c r="E40">
        <v>4.985311023351955E-2</v>
      </c>
    </row>
    <row r="41" spans="1:5" x14ac:dyDescent="0.35">
      <c r="A41" t="s">
        <v>75</v>
      </c>
      <c r="B41" t="s">
        <v>12</v>
      </c>
      <c r="C41">
        <v>1</v>
      </c>
      <c r="D41" t="s">
        <v>71</v>
      </c>
      <c r="E41">
        <v>1.0964642220013576</v>
      </c>
    </row>
    <row r="42" spans="1:5" x14ac:dyDescent="0.35">
      <c r="A42" t="s">
        <v>75</v>
      </c>
      <c r="B42" t="s">
        <v>13</v>
      </c>
      <c r="C42">
        <v>1</v>
      </c>
      <c r="D42" t="s">
        <v>71</v>
      </c>
      <c r="E42">
        <v>3.8487236933667228</v>
      </c>
    </row>
    <row r="43" spans="1:5" x14ac:dyDescent="0.35">
      <c r="A43" t="s">
        <v>75</v>
      </c>
      <c r="B43" t="s">
        <v>14</v>
      </c>
      <c r="C43">
        <v>1</v>
      </c>
      <c r="D43" t="s">
        <v>71</v>
      </c>
      <c r="E43">
        <v>0</v>
      </c>
    </row>
    <row r="44" spans="1:5" x14ac:dyDescent="0.35">
      <c r="A44" t="s">
        <v>75</v>
      </c>
      <c r="B44" t="s">
        <v>16</v>
      </c>
      <c r="C44">
        <v>1</v>
      </c>
      <c r="D44" t="s">
        <v>71</v>
      </c>
      <c r="E44">
        <v>0.1651583894209793</v>
      </c>
    </row>
    <row r="45" spans="1:5" x14ac:dyDescent="0.35">
      <c r="A45" t="s">
        <v>75</v>
      </c>
      <c r="B45" t="s">
        <v>17</v>
      </c>
      <c r="C45">
        <v>1</v>
      </c>
      <c r="D45" t="s">
        <v>71</v>
      </c>
      <c r="E45">
        <v>0</v>
      </c>
    </row>
    <row r="46" spans="1:5" x14ac:dyDescent="0.35">
      <c r="A46" t="s">
        <v>75</v>
      </c>
      <c r="B46" t="s">
        <v>18</v>
      </c>
      <c r="C46">
        <v>1</v>
      </c>
      <c r="D46" t="s">
        <v>71</v>
      </c>
      <c r="E46">
        <v>30.257449487635778</v>
      </c>
    </row>
    <row r="47" spans="1:5" x14ac:dyDescent="0.35">
      <c r="A47" t="s">
        <v>75</v>
      </c>
      <c r="B47" t="s">
        <v>19</v>
      </c>
      <c r="C47">
        <v>1</v>
      </c>
      <c r="D47" t="s">
        <v>71</v>
      </c>
      <c r="E47">
        <v>7.4867118005675302</v>
      </c>
    </row>
    <row r="48" spans="1:5" x14ac:dyDescent="0.35">
      <c r="A48" t="s">
        <v>75</v>
      </c>
      <c r="B48" t="s">
        <v>20</v>
      </c>
      <c r="C48">
        <v>1</v>
      </c>
      <c r="D48" t="s">
        <v>71</v>
      </c>
      <c r="E48">
        <v>0.1025884609224668</v>
      </c>
    </row>
    <row r="49" spans="1:5" x14ac:dyDescent="0.35">
      <c r="A49" t="s">
        <v>75</v>
      </c>
      <c r="B49" t="s">
        <v>21</v>
      </c>
      <c r="C49">
        <v>1</v>
      </c>
      <c r="D49" t="s">
        <v>71</v>
      </c>
      <c r="E49">
        <v>0.18332997567660259</v>
      </c>
    </row>
    <row r="50" spans="1:5" x14ac:dyDescent="0.35">
      <c r="A50" t="s">
        <v>75</v>
      </c>
      <c r="B50" t="s">
        <v>22</v>
      </c>
      <c r="C50">
        <v>1</v>
      </c>
      <c r="D50" t="s">
        <v>71</v>
      </c>
      <c r="E50">
        <v>1.1740899043795743</v>
      </c>
    </row>
    <row r="51" spans="1:5" x14ac:dyDescent="0.35">
      <c r="A51" t="s">
        <v>75</v>
      </c>
      <c r="B51" t="s">
        <v>23</v>
      </c>
      <c r="C51">
        <v>1</v>
      </c>
      <c r="D51" t="s">
        <v>71</v>
      </c>
      <c r="E51">
        <v>12.264158712277048</v>
      </c>
    </row>
    <row r="52" spans="1:5" x14ac:dyDescent="0.35">
      <c r="A52" t="s">
        <v>75</v>
      </c>
      <c r="B52" t="s">
        <v>24</v>
      </c>
      <c r="C52">
        <v>1</v>
      </c>
      <c r="D52" t="s">
        <v>71</v>
      </c>
      <c r="E52">
        <v>0</v>
      </c>
    </row>
    <row r="53" spans="1:5" x14ac:dyDescent="0.35">
      <c r="A53" t="s">
        <v>75</v>
      </c>
      <c r="B53" t="s">
        <v>26</v>
      </c>
      <c r="C53">
        <v>1</v>
      </c>
      <c r="D53" t="s">
        <v>71</v>
      </c>
      <c r="E53">
        <v>15.123896852414839</v>
      </c>
    </row>
    <row r="54" spans="1:5" x14ac:dyDescent="0.35">
      <c r="A54" t="s">
        <v>75</v>
      </c>
      <c r="B54" t="s">
        <v>27</v>
      </c>
      <c r="C54">
        <v>1</v>
      </c>
      <c r="D54" t="s">
        <v>71</v>
      </c>
      <c r="E54">
        <v>2.0757275239357793</v>
      </c>
    </row>
    <row r="55" spans="1:5" x14ac:dyDescent="0.35">
      <c r="A55" t="s">
        <v>75</v>
      </c>
      <c r="B55" t="s">
        <v>28</v>
      </c>
      <c r="C55">
        <v>1</v>
      </c>
      <c r="D55" t="s">
        <v>71</v>
      </c>
      <c r="E55">
        <v>18.195094025558063</v>
      </c>
    </row>
    <row r="56" spans="1:5" x14ac:dyDescent="0.35">
      <c r="A56" t="s">
        <v>75</v>
      </c>
      <c r="B56" t="s">
        <v>29</v>
      </c>
      <c r="C56">
        <v>1</v>
      </c>
      <c r="D56" t="s">
        <v>71</v>
      </c>
      <c r="E56">
        <v>1.8889017256303406</v>
      </c>
    </row>
    <row r="57" spans="1:5" x14ac:dyDescent="0.35">
      <c r="A57" t="s">
        <v>75</v>
      </c>
      <c r="B57" t="s">
        <v>30</v>
      </c>
      <c r="C57">
        <v>1</v>
      </c>
      <c r="D57" t="s">
        <v>71</v>
      </c>
      <c r="E57">
        <v>0.45040157295442229</v>
      </c>
    </row>
    <row r="58" spans="1:5" x14ac:dyDescent="0.35">
      <c r="A58" t="s">
        <v>75</v>
      </c>
      <c r="B58" t="s">
        <v>31</v>
      </c>
      <c r="C58">
        <v>1</v>
      </c>
      <c r="D58" t="s">
        <v>71</v>
      </c>
      <c r="E58">
        <v>0.17374374655143165</v>
      </c>
    </row>
    <row r="59" spans="1:5" x14ac:dyDescent="0.35">
      <c r="A59" t="s">
        <v>75</v>
      </c>
      <c r="B59" t="s">
        <v>32</v>
      </c>
      <c r="C59">
        <v>1</v>
      </c>
      <c r="D59" t="s">
        <v>71</v>
      </c>
      <c r="E59">
        <v>0.73132989907108581</v>
      </c>
    </row>
    <row r="60" spans="1:5" x14ac:dyDescent="0.35">
      <c r="A60" t="s">
        <v>75</v>
      </c>
      <c r="B60" t="s">
        <v>33</v>
      </c>
      <c r="C60">
        <v>1</v>
      </c>
      <c r="D60" t="s">
        <v>71</v>
      </c>
      <c r="E60">
        <v>0.14907078408658417</v>
      </c>
    </row>
    <row r="61" spans="1:5" x14ac:dyDescent="0.35">
      <c r="A61" t="s">
        <v>75</v>
      </c>
      <c r="B61" t="s">
        <v>34</v>
      </c>
      <c r="C61">
        <v>1</v>
      </c>
      <c r="D61" t="s">
        <v>71</v>
      </c>
      <c r="E61">
        <v>0.78496653151058393</v>
      </c>
    </row>
    <row r="62" spans="1:5" x14ac:dyDescent="0.35">
      <c r="A62" t="s">
        <v>75</v>
      </c>
      <c r="B62" t="s">
        <v>35</v>
      </c>
      <c r="C62">
        <v>1</v>
      </c>
      <c r="D62" t="s">
        <v>71</v>
      </c>
      <c r="E62">
        <v>0.13171477771914034</v>
      </c>
    </row>
    <row r="63" spans="1:5" x14ac:dyDescent="0.35">
      <c r="A63" t="s">
        <v>75</v>
      </c>
      <c r="B63" t="s">
        <v>36</v>
      </c>
      <c r="C63">
        <v>1</v>
      </c>
      <c r="D63" t="s">
        <v>71</v>
      </c>
      <c r="E63">
        <v>0</v>
      </c>
    </row>
    <row r="64" spans="1:5" x14ac:dyDescent="0.35">
      <c r="A64" t="s">
        <v>75</v>
      </c>
      <c r="B64" t="s">
        <v>37</v>
      </c>
      <c r="C64">
        <v>1</v>
      </c>
      <c r="D64" t="s">
        <v>71</v>
      </c>
      <c r="E64">
        <v>1.9098758775667044</v>
      </c>
    </row>
    <row r="65" spans="1:5" x14ac:dyDescent="0.35">
      <c r="A65" t="s">
        <v>75</v>
      </c>
      <c r="B65" t="s">
        <v>38</v>
      </c>
      <c r="C65">
        <v>1</v>
      </c>
      <c r="D65" t="s">
        <v>71</v>
      </c>
      <c r="E65">
        <v>0.13584956478580532</v>
      </c>
    </row>
    <row r="66" spans="1:5" x14ac:dyDescent="0.35">
      <c r="A66" t="s">
        <v>75</v>
      </c>
      <c r="B66" t="s">
        <v>39</v>
      </c>
      <c r="C66">
        <v>1</v>
      </c>
      <c r="D66" t="s">
        <v>71</v>
      </c>
      <c r="E66">
        <v>0</v>
      </c>
    </row>
    <row r="67" spans="1:5" x14ac:dyDescent="0.35">
      <c r="A67" t="s">
        <v>75</v>
      </c>
      <c r="B67" t="s">
        <v>40</v>
      </c>
      <c r="C67">
        <v>1</v>
      </c>
      <c r="D67" t="s">
        <v>71</v>
      </c>
      <c r="E67">
        <v>1.0638683876753762E-4</v>
      </c>
    </row>
    <row r="68" spans="1:5" x14ac:dyDescent="0.35">
      <c r="A68" t="s">
        <v>75</v>
      </c>
      <c r="B68" t="s">
        <v>41</v>
      </c>
      <c r="C68">
        <v>1</v>
      </c>
      <c r="D68" t="s">
        <v>71</v>
      </c>
      <c r="E68">
        <v>6.3211138406241724E-3</v>
      </c>
    </row>
    <row r="69" spans="1:5" x14ac:dyDescent="0.35">
      <c r="A69" t="s">
        <v>75</v>
      </c>
      <c r="B69" t="s">
        <v>42</v>
      </c>
      <c r="C69">
        <v>1</v>
      </c>
      <c r="D69" t="s">
        <v>71</v>
      </c>
      <c r="E69">
        <v>0.20898892440462699</v>
      </c>
    </row>
    <row r="70" spans="1:5" x14ac:dyDescent="0.35">
      <c r="A70" t="s">
        <v>75</v>
      </c>
      <c r="B70" t="s">
        <v>43</v>
      </c>
      <c r="C70">
        <v>1</v>
      </c>
      <c r="D70" t="s">
        <v>71</v>
      </c>
      <c r="E70">
        <v>1.4054177449408474</v>
      </c>
    </row>
    <row r="71" spans="1:5" x14ac:dyDescent="0.35">
      <c r="A71" t="s">
        <v>75</v>
      </c>
      <c r="B71" t="s">
        <v>44</v>
      </c>
      <c r="C71">
        <v>1</v>
      </c>
      <c r="D71" t="s">
        <v>71</v>
      </c>
      <c r="E71">
        <v>0</v>
      </c>
    </row>
    <row r="72" spans="1:5" x14ac:dyDescent="0.35">
      <c r="A72" t="s">
        <v>76</v>
      </c>
      <c r="B72" t="s">
        <v>6</v>
      </c>
      <c r="C72">
        <v>1</v>
      </c>
      <c r="D72" t="s">
        <v>55</v>
      </c>
      <c r="E72">
        <v>0</v>
      </c>
    </row>
    <row r="73" spans="1:5" x14ac:dyDescent="0.35">
      <c r="A73" t="s">
        <v>76</v>
      </c>
      <c r="B73" t="s">
        <v>9</v>
      </c>
      <c r="C73">
        <v>1</v>
      </c>
      <c r="D73" t="s">
        <v>55</v>
      </c>
      <c r="E73">
        <v>0.11948501627668721</v>
      </c>
    </row>
    <row r="74" spans="1:5" x14ac:dyDescent="0.35">
      <c r="A74" t="s">
        <v>76</v>
      </c>
      <c r="B74" t="s">
        <v>10</v>
      </c>
      <c r="C74">
        <v>1</v>
      </c>
      <c r="D74" t="s">
        <v>55</v>
      </c>
      <c r="E74">
        <v>1.1514453942051738E-2</v>
      </c>
    </row>
    <row r="75" spans="1:5" x14ac:dyDescent="0.35">
      <c r="A75" t="s">
        <v>76</v>
      </c>
      <c r="B75" t="s">
        <v>11</v>
      </c>
      <c r="C75">
        <v>1</v>
      </c>
      <c r="D75" t="s">
        <v>55</v>
      </c>
      <c r="E75">
        <v>0.26780325733145632</v>
      </c>
    </row>
    <row r="76" spans="1:5" x14ac:dyDescent="0.35">
      <c r="A76" t="s">
        <v>76</v>
      </c>
      <c r="B76" t="s">
        <v>12</v>
      </c>
      <c r="C76">
        <v>1</v>
      </c>
      <c r="D76" t="s">
        <v>55</v>
      </c>
      <c r="E76">
        <v>1.0045413513746286</v>
      </c>
    </row>
    <row r="77" spans="1:5" x14ac:dyDescent="0.35">
      <c r="A77" t="s">
        <v>76</v>
      </c>
      <c r="B77" t="s">
        <v>13</v>
      </c>
      <c r="C77">
        <v>1</v>
      </c>
      <c r="D77" t="s">
        <v>55</v>
      </c>
      <c r="E77">
        <v>3.0576745593633232</v>
      </c>
    </row>
    <row r="78" spans="1:5" x14ac:dyDescent="0.35">
      <c r="A78" t="s">
        <v>76</v>
      </c>
      <c r="B78" t="s">
        <v>14</v>
      </c>
      <c r="C78">
        <v>1</v>
      </c>
      <c r="D78" t="s">
        <v>55</v>
      </c>
      <c r="E78">
        <v>0</v>
      </c>
    </row>
    <row r="79" spans="1:5" x14ac:dyDescent="0.35">
      <c r="A79" t="s">
        <v>76</v>
      </c>
      <c r="B79" t="s">
        <v>16</v>
      </c>
      <c r="C79">
        <v>1</v>
      </c>
      <c r="D79" t="s">
        <v>55</v>
      </c>
      <c r="E79">
        <v>0.17441632691267839</v>
      </c>
    </row>
    <row r="80" spans="1:5" x14ac:dyDescent="0.35">
      <c r="A80" t="s">
        <v>76</v>
      </c>
      <c r="B80" t="s">
        <v>17</v>
      </c>
      <c r="C80">
        <v>1</v>
      </c>
      <c r="D80" t="s">
        <v>55</v>
      </c>
      <c r="E80">
        <v>0</v>
      </c>
    </row>
    <row r="81" spans="1:5" x14ac:dyDescent="0.35">
      <c r="A81" t="s">
        <v>76</v>
      </c>
      <c r="B81" t="s">
        <v>18</v>
      </c>
      <c r="C81">
        <v>1</v>
      </c>
      <c r="D81" t="s">
        <v>55</v>
      </c>
      <c r="E81">
        <v>32.411651141567241</v>
      </c>
    </row>
    <row r="82" spans="1:5" x14ac:dyDescent="0.35">
      <c r="A82" t="s">
        <v>76</v>
      </c>
      <c r="B82" t="s">
        <v>19</v>
      </c>
      <c r="C82">
        <v>1</v>
      </c>
      <c r="D82" t="s">
        <v>55</v>
      </c>
      <c r="E82">
        <v>4.355348875138966</v>
      </c>
    </row>
    <row r="83" spans="1:5" x14ac:dyDescent="0.35">
      <c r="A83" t="s">
        <v>76</v>
      </c>
      <c r="B83" t="s">
        <v>20</v>
      </c>
      <c r="C83">
        <v>1</v>
      </c>
      <c r="D83" t="s">
        <v>55</v>
      </c>
      <c r="E83">
        <v>0.2182030994004496</v>
      </c>
    </row>
    <row r="84" spans="1:5" x14ac:dyDescent="0.35">
      <c r="A84" t="s">
        <v>76</v>
      </c>
      <c r="B84" t="s">
        <v>21</v>
      </c>
      <c r="C84">
        <v>1</v>
      </c>
      <c r="D84" t="s">
        <v>55</v>
      </c>
      <c r="E84">
        <v>0.11577847326379419</v>
      </c>
    </row>
    <row r="85" spans="1:5" x14ac:dyDescent="0.35">
      <c r="A85" t="s">
        <v>76</v>
      </c>
      <c r="B85" t="s">
        <v>22</v>
      </c>
      <c r="C85">
        <v>1</v>
      </c>
      <c r="D85" t="s">
        <v>55</v>
      </c>
      <c r="E85">
        <v>9.3330438431286549</v>
      </c>
    </row>
    <row r="86" spans="1:5" x14ac:dyDescent="0.35">
      <c r="A86" t="s">
        <v>76</v>
      </c>
      <c r="B86" t="s">
        <v>23</v>
      </c>
      <c r="C86">
        <v>1</v>
      </c>
      <c r="D86" t="s">
        <v>55</v>
      </c>
      <c r="E86">
        <v>9.7818644219814033</v>
      </c>
    </row>
    <row r="87" spans="1:5" x14ac:dyDescent="0.35">
      <c r="A87" t="s">
        <v>76</v>
      </c>
      <c r="B87" t="s">
        <v>24</v>
      </c>
      <c r="C87">
        <v>1</v>
      </c>
      <c r="D87" t="s">
        <v>55</v>
      </c>
      <c r="E87">
        <v>1.7248864168738161E-4</v>
      </c>
    </row>
    <row r="88" spans="1:5" x14ac:dyDescent="0.35">
      <c r="A88" t="s">
        <v>76</v>
      </c>
      <c r="B88" t="s">
        <v>26</v>
      </c>
      <c r="C88">
        <v>1</v>
      </c>
      <c r="D88" t="s">
        <v>55</v>
      </c>
      <c r="E88">
        <v>12.899369656297155</v>
      </c>
    </row>
    <row r="89" spans="1:5" x14ac:dyDescent="0.35">
      <c r="A89" t="s">
        <v>76</v>
      </c>
      <c r="B89" t="s">
        <v>27</v>
      </c>
      <c r="C89">
        <v>1</v>
      </c>
      <c r="D89" t="s">
        <v>55</v>
      </c>
      <c r="E89">
        <v>6.6508226280004537E-2</v>
      </c>
    </row>
    <row r="90" spans="1:5" x14ac:dyDescent="0.35">
      <c r="A90" t="s">
        <v>76</v>
      </c>
      <c r="B90" t="s">
        <v>28</v>
      </c>
      <c r="C90">
        <v>1</v>
      </c>
      <c r="D90" t="s">
        <v>55</v>
      </c>
      <c r="E90">
        <v>20.504031901636587</v>
      </c>
    </row>
    <row r="91" spans="1:5" x14ac:dyDescent="0.35">
      <c r="A91" t="s">
        <v>76</v>
      </c>
      <c r="B91" t="s">
        <v>29</v>
      </c>
      <c r="C91">
        <v>1</v>
      </c>
      <c r="D91" t="s">
        <v>55</v>
      </c>
      <c r="E91">
        <v>1.6348818854559799</v>
      </c>
    </row>
    <row r="92" spans="1:5" x14ac:dyDescent="0.35">
      <c r="A92" t="s">
        <v>76</v>
      </c>
      <c r="B92" t="s">
        <v>30</v>
      </c>
      <c r="C92">
        <v>1</v>
      </c>
      <c r="D92" t="s">
        <v>55</v>
      </c>
      <c r="E92">
        <v>0.57360325365735465</v>
      </c>
    </row>
    <row r="93" spans="1:5" x14ac:dyDescent="0.35">
      <c r="A93" t="s">
        <v>76</v>
      </c>
      <c r="B93" t="s">
        <v>31</v>
      </c>
      <c r="C93">
        <v>1</v>
      </c>
      <c r="D93" t="s">
        <v>55</v>
      </c>
      <c r="E93">
        <v>0</v>
      </c>
    </row>
    <row r="94" spans="1:5" x14ac:dyDescent="0.35">
      <c r="A94" t="s">
        <v>76</v>
      </c>
      <c r="B94" t="s">
        <v>32</v>
      </c>
      <c r="C94">
        <v>1</v>
      </c>
      <c r="D94" t="s">
        <v>55</v>
      </c>
      <c r="E94">
        <v>0.21137971081724144</v>
      </c>
    </row>
    <row r="95" spans="1:5" x14ac:dyDescent="0.35">
      <c r="A95" t="s">
        <v>76</v>
      </c>
      <c r="B95" t="s">
        <v>33</v>
      </c>
      <c r="C95">
        <v>1</v>
      </c>
      <c r="D95" t="s">
        <v>55</v>
      </c>
      <c r="E95">
        <v>5.1387849060530948E-2</v>
      </c>
    </row>
    <row r="96" spans="1:5" x14ac:dyDescent="0.35">
      <c r="A96" t="s">
        <v>76</v>
      </c>
      <c r="B96" t="s">
        <v>34</v>
      </c>
      <c r="C96">
        <v>1</v>
      </c>
      <c r="D96" t="s">
        <v>55</v>
      </c>
      <c r="E96">
        <v>0.43546705186891876</v>
      </c>
    </row>
    <row r="97" spans="1:5" x14ac:dyDescent="0.35">
      <c r="A97" t="s">
        <v>76</v>
      </c>
      <c r="B97" t="s">
        <v>35</v>
      </c>
      <c r="C97">
        <v>1</v>
      </c>
      <c r="D97" t="s">
        <v>55</v>
      </c>
      <c r="E97">
        <v>8.2700064354571071E-2</v>
      </c>
    </row>
    <row r="98" spans="1:5" x14ac:dyDescent="0.35">
      <c r="A98" t="s">
        <v>76</v>
      </c>
      <c r="B98" t="s">
        <v>36</v>
      </c>
      <c r="C98">
        <v>1</v>
      </c>
      <c r="D98" t="s">
        <v>55</v>
      </c>
      <c r="E98">
        <v>0</v>
      </c>
    </row>
    <row r="99" spans="1:5" x14ac:dyDescent="0.35">
      <c r="A99" t="s">
        <v>76</v>
      </c>
      <c r="B99" t="s">
        <v>37</v>
      </c>
      <c r="C99">
        <v>1</v>
      </c>
      <c r="D99" t="s">
        <v>55</v>
      </c>
      <c r="E99">
        <v>1.5196978954505633</v>
      </c>
    </row>
    <row r="100" spans="1:5" x14ac:dyDescent="0.35">
      <c r="A100" t="s">
        <v>76</v>
      </c>
      <c r="B100" t="s">
        <v>38</v>
      </c>
      <c r="C100">
        <v>1</v>
      </c>
      <c r="D100" t="s">
        <v>55</v>
      </c>
      <c r="E100">
        <v>0.12711010577550574</v>
      </c>
    </row>
    <row r="101" spans="1:5" x14ac:dyDescent="0.35">
      <c r="A101" t="s">
        <v>76</v>
      </c>
      <c r="B101" t="s">
        <v>39</v>
      </c>
      <c r="C101">
        <v>1</v>
      </c>
      <c r="D101" t="s">
        <v>55</v>
      </c>
      <c r="E101">
        <v>0</v>
      </c>
    </row>
    <row r="102" spans="1:5" x14ac:dyDescent="0.35">
      <c r="A102" t="s">
        <v>76</v>
      </c>
      <c r="B102" t="s">
        <v>40</v>
      </c>
      <c r="C102">
        <v>1</v>
      </c>
      <c r="D102" t="s">
        <v>55</v>
      </c>
      <c r="E102">
        <v>4.1855035380655974E-4</v>
      </c>
    </row>
    <row r="103" spans="1:5" x14ac:dyDescent="0.35">
      <c r="A103" t="s">
        <v>76</v>
      </c>
      <c r="B103" t="s">
        <v>41</v>
      </c>
      <c r="C103">
        <v>1</v>
      </c>
      <c r="D103" t="s">
        <v>55</v>
      </c>
      <c r="E103">
        <v>1.7958885405241541E-3</v>
      </c>
    </row>
    <row r="104" spans="1:5" x14ac:dyDescent="0.35">
      <c r="A104" t="s">
        <v>76</v>
      </c>
      <c r="B104" t="s">
        <v>42</v>
      </c>
      <c r="C104">
        <v>1</v>
      </c>
      <c r="D104" t="s">
        <v>55</v>
      </c>
      <c r="E104">
        <v>0.13383929926788934</v>
      </c>
    </row>
    <row r="105" spans="1:5" x14ac:dyDescent="0.35">
      <c r="A105" t="s">
        <v>76</v>
      </c>
      <c r="B105" t="s">
        <v>43</v>
      </c>
      <c r="C105">
        <v>1</v>
      </c>
      <c r="D105" t="s">
        <v>55</v>
      </c>
      <c r="E105">
        <v>0.90631135286035991</v>
      </c>
    </row>
    <row r="106" spans="1:5" x14ac:dyDescent="0.35">
      <c r="A106" t="s">
        <v>76</v>
      </c>
      <c r="B106" t="s">
        <v>44</v>
      </c>
      <c r="C106">
        <v>1</v>
      </c>
      <c r="D106" t="s">
        <v>55</v>
      </c>
      <c r="E106">
        <v>0</v>
      </c>
    </row>
    <row r="107" spans="1:5" x14ac:dyDescent="0.35">
      <c r="A107" t="s">
        <v>77</v>
      </c>
      <c r="B107" t="s">
        <v>6</v>
      </c>
      <c r="C107">
        <v>1</v>
      </c>
      <c r="D107" t="s">
        <v>72</v>
      </c>
      <c r="E107">
        <v>4.8219236707736156E-4</v>
      </c>
    </row>
    <row r="108" spans="1:5" x14ac:dyDescent="0.35">
      <c r="A108" t="s">
        <v>77</v>
      </c>
      <c r="B108" t="s">
        <v>9</v>
      </c>
      <c r="C108">
        <v>1</v>
      </c>
      <c r="D108" t="s">
        <v>72</v>
      </c>
      <c r="E108">
        <v>0</v>
      </c>
    </row>
    <row r="109" spans="1:5" x14ac:dyDescent="0.35">
      <c r="A109" t="s">
        <v>77</v>
      </c>
      <c r="B109" t="s">
        <v>10</v>
      </c>
      <c r="C109">
        <v>1</v>
      </c>
      <c r="D109" t="s">
        <v>72</v>
      </c>
      <c r="E109">
        <v>0</v>
      </c>
    </row>
    <row r="110" spans="1:5" x14ac:dyDescent="0.35">
      <c r="A110" t="s">
        <v>77</v>
      </c>
      <c r="B110" t="s">
        <v>11</v>
      </c>
      <c r="C110">
        <v>1</v>
      </c>
      <c r="D110" t="s">
        <v>72</v>
      </c>
      <c r="E110">
        <v>0.12224047285625481</v>
      </c>
    </row>
    <row r="111" spans="1:5" x14ac:dyDescent="0.35">
      <c r="A111" t="s">
        <v>77</v>
      </c>
      <c r="B111" t="s">
        <v>12</v>
      </c>
      <c r="C111">
        <v>1</v>
      </c>
      <c r="D111" t="s">
        <v>72</v>
      </c>
      <c r="E111">
        <v>1.4735524198829228</v>
      </c>
    </row>
    <row r="112" spans="1:5" x14ac:dyDescent="0.35">
      <c r="A112" t="s">
        <v>77</v>
      </c>
      <c r="B112" t="s">
        <v>13</v>
      </c>
      <c r="C112">
        <v>1</v>
      </c>
      <c r="D112" t="s">
        <v>72</v>
      </c>
      <c r="E112">
        <v>4.4552875285019624</v>
      </c>
    </row>
    <row r="113" spans="1:5" x14ac:dyDescent="0.35">
      <c r="A113" t="s">
        <v>77</v>
      </c>
      <c r="B113" t="s">
        <v>14</v>
      </c>
      <c r="C113">
        <v>1</v>
      </c>
      <c r="D113" t="s">
        <v>72</v>
      </c>
      <c r="E113">
        <v>0</v>
      </c>
    </row>
    <row r="114" spans="1:5" x14ac:dyDescent="0.35">
      <c r="A114" t="s">
        <v>77</v>
      </c>
      <c r="B114" t="s">
        <v>16</v>
      </c>
      <c r="C114">
        <v>1</v>
      </c>
      <c r="D114" t="s">
        <v>72</v>
      </c>
      <c r="E114">
        <v>0.15768118410171031</v>
      </c>
    </row>
    <row r="115" spans="1:5" x14ac:dyDescent="0.35">
      <c r="A115" t="s">
        <v>77</v>
      </c>
      <c r="B115" t="s">
        <v>17</v>
      </c>
      <c r="C115">
        <v>1</v>
      </c>
      <c r="D115" t="s">
        <v>72</v>
      </c>
      <c r="E115">
        <v>0</v>
      </c>
    </row>
    <row r="116" spans="1:5" x14ac:dyDescent="0.35">
      <c r="A116" t="s">
        <v>77</v>
      </c>
      <c r="B116" t="s">
        <v>18</v>
      </c>
      <c r="C116">
        <v>1</v>
      </c>
      <c r="D116" t="s">
        <v>72</v>
      </c>
      <c r="E116">
        <v>34.227341643989725</v>
      </c>
    </row>
    <row r="117" spans="1:5" x14ac:dyDescent="0.35">
      <c r="A117" t="s">
        <v>77</v>
      </c>
      <c r="B117" t="s">
        <v>19</v>
      </c>
      <c r="C117">
        <v>1</v>
      </c>
      <c r="D117" t="s">
        <v>72</v>
      </c>
      <c r="E117">
        <v>4.1335911637508111</v>
      </c>
    </row>
    <row r="118" spans="1:5" x14ac:dyDescent="0.35">
      <c r="A118" t="s">
        <v>77</v>
      </c>
      <c r="B118" t="s">
        <v>20</v>
      </c>
      <c r="C118">
        <v>1</v>
      </c>
      <c r="D118" t="s">
        <v>72</v>
      </c>
      <c r="E118">
        <v>0.14845136493961295</v>
      </c>
    </row>
    <row r="119" spans="1:5" x14ac:dyDescent="0.35">
      <c r="A119" t="s">
        <v>77</v>
      </c>
      <c r="B119" t="s">
        <v>21</v>
      </c>
      <c r="C119">
        <v>1</v>
      </c>
      <c r="D119" t="s">
        <v>72</v>
      </c>
      <c r="E119">
        <v>0.24148703788001252</v>
      </c>
    </row>
    <row r="120" spans="1:5" x14ac:dyDescent="0.35">
      <c r="A120" t="s">
        <v>77</v>
      </c>
      <c r="B120" t="s">
        <v>22</v>
      </c>
      <c r="C120">
        <v>1</v>
      </c>
      <c r="D120" t="s">
        <v>72</v>
      </c>
      <c r="E120">
        <v>2.4340281400482127</v>
      </c>
    </row>
    <row r="121" spans="1:5" x14ac:dyDescent="0.35">
      <c r="A121" t="s">
        <v>77</v>
      </c>
      <c r="B121" t="s">
        <v>23</v>
      </c>
      <c r="C121">
        <v>1</v>
      </c>
      <c r="D121" t="s">
        <v>72</v>
      </c>
      <c r="E121">
        <v>0</v>
      </c>
    </row>
    <row r="122" spans="1:5" x14ac:dyDescent="0.35">
      <c r="A122" t="s">
        <v>77</v>
      </c>
      <c r="B122" t="s">
        <v>24</v>
      </c>
      <c r="C122">
        <v>1</v>
      </c>
      <c r="D122" t="s">
        <v>72</v>
      </c>
      <c r="E122">
        <v>0</v>
      </c>
    </row>
    <row r="123" spans="1:5" x14ac:dyDescent="0.35">
      <c r="A123" t="s">
        <v>77</v>
      </c>
      <c r="B123" t="s">
        <v>26</v>
      </c>
      <c r="C123">
        <v>1</v>
      </c>
      <c r="D123" t="s">
        <v>72</v>
      </c>
      <c r="E123">
        <v>18.559989191316053</v>
      </c>
    </row>
    <row r="124" spans="1:5" x14ac:dyDescent="0.35">
      <c r="A124" t="s">
        <v>77</v>
      </c>
      <c r="B124" t="s">
        <v>27</v>
      </c>
      <c r="C124">
        <v>1</v>
      </c>
      <c r="D124" t="s">
        <v>72</v>
      </c>
      <c r="E124">
        <v>2.2971160354096321</v>
      </c>
    </row>
    <row r="125" spans="1:5" x14ac:dyDescent="0.35">
      <c r="A125" t="s">
        <v>77</v>
      </c>
      <c r="B125" t="s">
        <v>28</v>
      </c>
      <c r="C125">
        <v>1</v>
      </c>
      <c r="D125" t="s">
        <v>72</v>
      </c>
      <c r="E125">
        <v>24.984053449768496</v>
      </c>
    </row>
    <row r="126" spans="1:5" x14ac:dyDescent="0.35">
      <c r="A126" t="s">
        <v>77</v>
      </c>
      <c r="B126" t="s">
        <v>29</v>
      </c>
      <c r="C126">
        <v>1</v>
      </c>
      <c r="D126" t="s">
        <v>72</v>
      </c>
      <c r="E126">
        <v>2.3498515293407558</v>
      </c>
    </row>
    <row r="127" spans="1:5" x14ac:dyDescent="0.35">
      <c r="A127" t="s">
        <v>77</v>
      </c>
      <c r="B127" t="s">
        <v>30</v>
      </c>
      <c r="C127">
        <v>1</v>
      </c>
      <c r="D127" t="s">
        <v>72</v>
      </c>
      <c r="E127">
        <v>0.64978553311539489</v>
      </c>
    </row>
    <row r="128" spans="1:5" x14ac:dyDescent="0.35">
      <c r="A128" t="s">
        <v>77</v>
      </c>
      <c r="B128" t="s">
        <v>31</v>
      </c>
      <c r="C128">
        <v>1</v>
      </c>
      <c r="D128" t="s">
        <v>72</v>
      </c>
      <c r="E128">
        <v>0.2031467244500193</v>
      </c>
    </row>
    <row r="129" spans="1:5" x14ac:dyDescent="0.35">
      <c r="A129" t="s">
        <v>77</v>
      </c>
      <c r="B129" t="s">
        <v>32</v>
      </c>
      <c r="C129">
        <v>1</v>
      </c>
      <c r="D129" t="s">
        <v>72</v>
      </c>
      <c r="E129">
        <v>0.3987172698905847</v>
      </c>
    </row>
    <row r="130" spans="1:5" x14ac:dyDescent="0.35">
      <c r="A130" t="s">
        <v>77</v>
      </c>
      <c r="B130" t="s">
        <v>33</v>
      </c>
      <c r="C130">
        <v>1</v>
      </c>
      <c r="D130" t="s">
        <v>72</v>
      </c>
      <c r="E130">
        <v>0.14312268237567169</v>
      </c>
    </row>
    <row r="131" spans="1:5" x14ac:dyDescent="0.35">
      <c r="A131" t="s">
        <v>77</v>
      </c>
      <c r="B131" t="s">
        <v>34</v>
      </c>
      <c r="C131">
        <v>1</v>
      </c>
      <c r="D131" t="s">
        <v>72</v>
      </c>
      <c r="E131">
        <v>0.35980830183568718</v>
      </c>
    </row>
    <row r="132" spans="1:5" x14ac:dyDescent="0.35">
      <c r="A132" t="s">
        <v>77</v>
      </c>
      <c r="B132" t="s">
        <v>35</v>
      </c>
      <c r="C132">
        <v>1</v>
      </c>
      <c r="D132" t="s">
        <v>72</v>
      </c>
      <c r="E132">
        <v>0</v>
      </c>
    </row>
    <row r="133" spans="1:5" x14ac:dyDescent="0.35">
      <c r="A133" t="s">
        <v>77</v>
      </c>
      <c r="B133" t="s">
        <v>36</v>
      </c>
      <c r="C133">
        <v>1</v>
      </c>
      <c r="D133" t="s">
        <v>72</v>
      </c>
      <c r="E133">
        <v>0</v>
      </c>
    </row>
    <row r="134" spans="1:5" x14ac:dyDescent="0.35">
      <c r="A134" t="s">
        <v>77</v>
      </c>
      <c r="B134" t="s">
        <v>37</v>
      </c>
      <c r="C134">
        <v>1</v>
      </c>
      <c r="D134" t="s">
        <v>72</v>
      </c>
      <c r="E134">
        <v>0.88125805240765609</v>
      </c>
    </row>
    <row r="135" spans="1:5" x14ac:dyDescent="0.35">
      <c r="A135" t="s">
        <v>77</v>
      </c>
      <c r="B135" t="s">
        <v>38</v>
      </c>
      <c r="C135">
        <v>1</v>
      </c>
      <c r="D135" t="s">
        <v>72</v>
      </c>
      <c r="E135">
        <v>0.1895175740115565</v>
      </c>
    </row>
    <row r="136" spans="1:5" x14ac:dyDescent="0.35">
      <c r="A136" t="s">
        <v>77</v>
      </c>
      <c r="B136" t="s">
        <v>39</v>
      </c>
      <c r="C136">
        <v>1</v>
      </c>
      <c r="D136" t="s">
        <v>72</v>
      </c>
      <c r="E136">
        <v>0</v>
      </c>
    </row>
    <row r="137" spans="1:5" x14ac:dyDescent="0.35">
      <c r="A137" t="s">
        <v>77</v>
      </c>
      <c r="B137" t="s">
        <v>40</v>
      </c>
      <c r="C137">
        <v>1</v>
      </c>
      <c r="D137" t="s">
        <v>72</v>
      </c>
      <c r="E137">
        <v>0</v>
      </c>
    </row>
    <row r="138" spans="1:5" x14ac:dyDescent="0.35">
      <c r="A138" t="s">
        <v>77</v>
      </c>
      <c r="B138" t="s">
        <v>41</v>
      </c>
      <c r="C138">
        <v>1</v>
      </c>
      <c r="D138" t="s">
        <v>72</v>
      </c>
      <c r="E138">
        <v>4.2611369168450135E-3</v>
      </c>
    </row>
    <row r="139" spans="1:5" x14ac:dyDescent="0.35">
      <c r="A139" t="s">
        <v>77</v>
      </c>
      <c r="B139" t="s">
        <v>42</v>
      </c>
      <c r="C139">
        <v>1</v>
      </c>
      <c r="D139" t="s">
        <v>72</v>
      </c>
      <c r="E139">
        <v>0.18629670428231654</v>
      </c>
    </row>
    <row r="140" spans="1:5" x14ac:dyDescent="0.35">
      <c r="A140" t="s">
        <v>77</v>
      </c>
      <c r="B140" t="s">
        <v>43</v>
      </c>
      <c r="C140">
        <v>1</v>
      </c>
      <c r="D140" t="s">
        <v>72</v>
      </c>
      <c r="E140">
        <v>1.398932666561012</v>
      </c>
    </row>
    <row r="141" spans="1:5" x14ac:dyDescent="0.35">
      <c r="A141" t="s">
        <v>77</v>
      </c>
      <c r="B141" t="s">
        <v>44</v>
      </c>
      <c r="C141">
        <v>1</v>
      </c>
      <c r="D141" t="s">
        <v>72</v>
      </c>
      <c r="E141">
        <v>0</v>
      </c>
    </row>
    <row r="142" spans="1:5" x14ac:dyDescent="0.35">
      <c r="A142" t="s">
        <v>78</v>
      </c>
      <c r="B142" t="s">
        <v>6</v>
      </c>
      <c r="C142">
        <v>2</v>
      </c>
      <c r="D142" t="s">
        <v>8</v>
      </c>
      <c r="E142">
        <v>1.1867806608024326E-3</v>
      </c>
    </row>
    <row r="143" spans="1:5" x14ac:dyDescent="0.35">
      <c r="A143" t="s">
        <v>78</v>
      </c>
      <c r="B143" t="s">
        <v>9</v>
      </c>
      <c r="C143">
        <v>2</v>
      </c>
      <c r="D143" t="s">
        <v>8</v>
      </c>
      <c r="E143">
        <v>1.1406669693688257E-2</v>
      </c>
    </row>
    <row r="144" spans="1:5" x14ac:dyDescent="0.35">
      <c r="A144" t="s">
        <v>78</v>
      </c>
      <c r="B144" t="s">
        <v>10</v>
      </c>
      <c r="C144">
        <v>2</v>
      </c>
      <c r="D144" t="s">
        <v>8</v>
      </c>
      <c r="E144">
        <v>0</v>
      </c>
    </row>
    <row r="145" spans="1:5" x14ac:dyDescent="0.35">
      <c r="A145" t="s">
        <v>78</v>
      </c>
      <c r="B145" t="s">
        <v>11</v>
      </c>
      <c r="C145">
        <v>2</v>
      </c>
      <c r="D145" t="s">
        <v>8</v>
      </c>
      <c r="E145">
        <v>0.25114408420644918</v>
      </c>
    </row>
    <row r="146" spans="1:5" x14ac:dyDescent="0.35">
      <c r="A146" t="s">
        <v>78</v>
      </c>
      <c r="B146" t="s">
        <v>12</v>
      </c>
      <c r="C146">
        <v>2</v>
      </c>
      <c r="D146" t="s">
        <v>8</v>
      </c>
      <c r="E146">
        <v>0.97555407829195995</v>
      </c>
    </row>
    <row r="147" spans="1:5" x14ac:dyDescent="0.35">
      <c r="A147" t="s">
        <v>78</v>
      </c>
      <c r="B147" t="s">
        <v>13</v>
      </c>
      <c r="C147">
        <v>2</v>
      </c>
      <c r="D147" t="s">
        <v>8</v>
      </c>
      <c r="E147">
        <v>1.9828645034628671</v>
      </c>
    </row>
    <row r="148" spans="1:5" x14ac:dyDescent="0.35">
      <c r="A148" t="s">
        <v>78</v>
      </c>
      <c r="B148" t="s">
        <v>14</v>
      </c>
      <c r="C148">
        <v>2</v>
      </c>
      <c r="D148" t="s">
        <v>8</v>
      </c>
      <c r="E148">
        <v>0</v>
      </c>
    </row>
    <row r="149" spans="1:5" x14ac:dyDescent="0.35">
      <c r="A149" t="s">
        <v>78</v>
      </c>
      <c r="B149" t="s">
        <v>16</v>
      </c>
      <c r="C149">
        <v>2</v>
      </c>
      <c r="D149" t="s">
        <v>8</v>
      </c>
      <c r="E149">
        <v>0.11764034642002025</v>
      </c>
    </row>
    <row r="150" spans="1:5" x14ac:dyDescent="0.35">
      <c r="A150" t="s">
        <v>78</v>
      </c>
      <c r="B150" t="s">
        <v>17</v>
      </c>
      <c r="C150">
        <v>2</v>
      </c>
      <c r="D150" t="s">
        <v>8</v>
      </c>
      <c r="E150">
        <v>0</v>
      </c>
    </row>
    <row r="151" spans="1:5" x14ac:dyDescent="0.35">
      <c r="A151" t="s">
        <v>78</v>
      </c>
      <c r="B151" t="s">
        <v>18</v>
      </c>
      <c r="C151">
        <v>2</v>
      </c>
      <c r="D151" t="s">
        <v>8</v>
      </c>
      <c r="E151">
        <v>40.644685319886129</v>
      </c>
    </row>
    <row r="152" spans="1:5" x14ac:dyDescent="0.35">
      <c r="A152" t="s">
        <v>78</v>
      </c>
      <c r="B152" t="s">
        <v>19</v>
      </c>
      <c r="C152">
        <v>2</v>
      </c>
      <c r="D152" t="s">
        <v>8</v>
      </c>
      <c r="E152">
        <v>7.5934180082334279</v>
      </c>
    </row>
    <row r="153" spans="1:5" x14ac:dyDescent="0.35">
      <c r="A153" t="s">
        <v>78</v>
      </c>
      <c r="B153" t="s">
        <v>20</v>
      </c>
      <c r="C153">
        <v>2</v>
      </c>
      <c r="D153" t="s">
        <v>8</v>
      </c>
      <c r="E153">
        <v>0.15764438935173281</v>
      </c>
    </row>
    <row r="154" spans="1:5" x14ac:dyDescent="0.35">
      <c r="A154" t="s">
        <v>78</v>
      </c>
      <c r="B154" t="s">
        <v>21</v>
      </c>
      <c r="C154">
        <v>2</v>
      </c>
      <c r="D154" t="s">
        <v>8</v>
      </c>
      <c r="E154">
        <v>0.1812615375198135</v>
      </c>
    </row>
    <row r="155" spans="1:5" x14ac:dyDescent="0.35">
      <c r="A155" t="s">
        <v>78</v>
      </c>
      <c r="B155" t="s">
        <v>22</v>
      </c>
      <c r="C155">
        <v>2</v>
      </c>
      <c r="D155" t="s">
        <v>8</v>
      </c>
      <c r="E155">
        <v>0</v>
      </c>
    </row>
    <row r="156" spans="1:5" x14ac:dyDescent="0.35">
      <c r="A156" t="s">
        <v>78</v>
      </c>
      <c r="B156" t="s">
        <v>23</v>
      </c>
      <c r="C156">
        <v>2</v>
      </c>
      <c r="D156" t="s">
        <v>8</v>
      </c>
      <c r="E156">
        <v>0</v>
      </c>
    </row>
    <row r="157" spans="1:5" x14ac:dyDescent="0.35">
      <c r="A157" t="s">
        <v>78</v>
      </c>
      <c r="B157" t="s">
        <v>24</v>
      </c>
      <c r="C157">
        <v>2</v>
      </c>
      <c r="D157" t="s">
        <v>8</v>
      </c>
      <c r="E157">
        <v>5.3237829059679893E-2</v>
      </c>
    </row>
    <row r="158" spans="1:5" x14ac:dyDescent="0.35">
      <c r="A158" t="s">
        <v>78</v>
      </c>
      <c r="B158" t="s">
        <v>26</v>
      </c>
      <c r="C158">
        <v>2</v>
      </c>
      <c r="D158" t="s">
        <v>8</v>
      </c>
      <c r="E158">
        <v>14.480575082324787</v>
      </c>
    </row>
    <row r="159" spans="1:5" x14ac:dyDescent="0.35">
      <c r="A159" t="s">
        <v>78</v>
      </c>
      <c r="B159" t="s">
        <v>27</v>
      </c>
      <c r="C159">
        <v>2</v>
      </c>
      <c r="D159" t="s">
        <v>8</v>
      </c>
      <c r="E159">
        <v>0</v>
      </c>
    </row>
    <row r="160" spans="1:5" x14ac:dyDescent="0.35">
      <c r="A160" t="s">
        <v>78</v>
      </c>
      <c r="B160" t="s">
        <v>28</v>
      </c>
      <c r="C160">
        <v>2</v>
      </c>
      <c r="D160" t="s">
        <v>8</v>
      </c>
      <c r="E160">
        <v>27.109813883716289</v>
      </c>
    </row>
    <row r="161" spans="1:5" x14ac:dyDescent="0.35">
      <c r="A161" t="s">
        <v>78</v>
      </c>
      <c r="B161" t="s">
        <v>29</v>
      </c>
      <c r="C161">
        <v>2</v>
      </c>
      <c r="D161" t="s">
        <v>8</v>
      </c>
      <c r="E161">
        <v>1.7709853016015884</v>
      </c>
    </row>
    <row r="162" spans="1:5" x14ac:dyDescent="0.35">
      <c r="A162" t="s">
        <v>78</v>
      </c>
      <c r="B162" t="s">
        <v>30</v>
      </c>
      <c r="C162">
        <v>2</v>
      </c>
      <c r="D162" t="s">
        <v>8</v>
      </c>
      <c r="E162">
        <v>0.17494626522692508</v>
      </c>
    </row>
    <row r="163" spans="1:5" x14ac:dyDescent="0.35">
      <c r="A163" t="s">
        <v>78</v>
      </c>
      <c r="B163" t="s">
        <v>31</v>
      </c>
      <c r="C163">
        <v>2</v>
      </c>
      <c r="D163" t="s">
        <v>8</v>
      </c>
      <c r="E163">
        <v>0.34575931777637431</v>
      </c>
    </row>
    <row r="164" spans="1:5" x14ac:dyDescent="0.35">
      <c r="A164" t="s">
        <v>78</v>
      </c>
      <c r="B164" t="s">
        <v>32</v>
      </c>
      <c r="C164">
        <v>2</v>
      </c>
      <c r="D164" t="s">
        <v>8</v>
      </c>
      <c r="E164">
        <v>0.13053736510223582</v>
      </c>
    </row>
    <row r="165" spans="1:5" x14ac:dyDescent="0.35">
      <c r="A165" t="s">
        <v>78</v>
      </c>
      <c r="B165" t="s">
        <v>33</v>
      </c>
      <c r="C165">
        <v>2</v>
      </c>
      <c r="D165" t="s">
        <v>8</v>
      </c>
      <c r="E165">
        <v>0</v>
      </c>
    </row>
    <row r="166" spans="1:5" x14ac:dyDescent="0.35">
      <c r="A166" t="s">
        <v>78</v>
      </c>
      <c r="B166" t="s">
        <v>34</v>
      </c>
      <c r="C166">
        <v>2</v>
      </c>
      <c r="D166" t="s">
        <v>8</v>
      </c>
      <c r="E166">
        <v>1.1261921565367972</v>
      </c>
    </row>
    <row r="167" spans="1:5" x14ac:dyDescent="0.35">
      <c r="A167" t="s">
        <v>78</v>
      </c>
      <c r="B167" t="s">
        <v>35</v>
      </c>
      <c r="C167">
        <v>2</v>
      </c>
      <c r="D167" t="s">
        <v>8</v>
      </c>
      <c r="E167">
        <v>0</v>
      </c>
    </row>
    <row r="168" spans="1:5" x14ac:dyDescent="0.35">
      <c r="A168" t="s">
        <v>78</v>
      </c>
      <c r="B168" t="s">
        <v>36</v>
      </c>
      <c r="C168">
        <v>2</v>
      </c>
      <c r="D168" t="s">
        <v>8</v>
      </c>
      <c r="E168">
        <v>0</v>
      </c>
    </row>
    <row r="169" spans="1:5" x14ac:dyDescent="0.35">
      <c r="A169" t="s">
        <v>78</v>
      </c>
      <c r="B169" t="s">
        <v>37</v>
      </c>
      <c r="C169">
        <v>2</v>
      </c>
      <c r="D169" t="s">
        <v>8</v>
      </c>
      <c r="E169">
        <v>2.4018154624025576</v>
      </c>
    </row>
    <row r="170" spans="1:5" x14ac:dyDescent="0.35">
      <c r="A170" t="s">
        <v>78</v>
      </c>
      <c r="B170" t="s">
        <v>38</v>
      </c>
      <c r="C170">
        <v>2</v>
      </c>
      <c r="D170" t="s">
        <v>8</v>
      </c>
      <c r="E170">
        <v>0</v>
      </c>
    </row>
    <row r="171" spans="1:5" x14ac:dyDescent="0.35">
      <c r="A171" t="s">
        <v>78</v>
      </c>
      <c r="B171" t="s">
        <v>39</v>
      </c>
      <c r="C171">
        <v>2</v>
      </c>
      <c r="D171" t="s">
        <v>8</v>
      </c>
      <c r="E171">
        <v>0</v>
      </c>
    </row>
    <row r="172" spans="1:5" x14ac:dyDescent="0.35">
      <c r="A172" t="s">
        <v>78</v>
      </c>
      <c r="B172" t="s">
        <v>40</v>
      </c>
      <c r="C172">
        <v>2</v>
      </c>
      <c r="D172" t="s">
        <v>8</v>
      </c>
      <c r="E172">
        <v>0</v>
      </c>
    </row>
    <row r="173" spans="1:5" x14ac:dyDescent="0.35">
      <c r="A173" t="s">
        <v>78</v>
      </c>
      <c r="B173" t="s">
        <v>41</v>
      </c>
      <c r="C173">
        <v>2</v>
      </c>
      <c r="D173" t="s">
        <v>8</v>
      </c>
      <c r="E173">
        <v>3.2523512515239259E-3</v>
      </c>
    </row>
    <row r="174" spans="1:5" x14ac:dyDescent="0.35">
      <c r="A174" t="s">
        <v>78</v>
      </c>
      <c r="B174" t="s">
        <v>42</v>
      </c>
      <c r="C174">
        <v>2</v>
      </c>
      <c r="D174" t="s">
        <v>8</v>
      </c>
      <c r="E174">
        <v>9.0644948215943974E-2</v>
      </c>
    </row>
    <row r="175" spans="1:5" x14ac:dyDescent="0.35">
      <c r="A175" t="s">
        <v>78</v>
      </c>
      <c r="B175" t="s">
        <v>43</v>
      </c>
      <c r="C175">
        <v>2</v>
      </c>
      <c r="D175" t="s">
        <v>8</v>
      </c>
      <c r="E175">
        <v>0.39543431905840742</v>
      </c>
    </row>
    <row r="176" spans="1:5" x14ac:dyDescent="0.35">
      <c r="A176" t="s">
        <v>78</v>
      </c>
      <c r="B176" t="s">
        <v>44</v>
      </c>
      <c r="C176">
        <v>2</v>
      </c>
      <c r="D176" t="s">
        <v>8</v>
      </c>
      <c r="E176">
        <v>0</v>
      </c>
    </row>
    <row r="177" spans="1:5" x14ac:dyDescent="0.35">
      <c r="A177" t="s">
        <v>79</v>
      </c>
      <c r="B177" t="s">
        <v>6</v>
      </c>
      <c r="C177">
        <v>2</v>
      </c>
      <c r="D177" t="s">
        <v>71</v>
      </c>
      <c r="E177">
        <v>2.1153967531628575E-3</v>
      </c>
    </row>
    <row r="178" spans="1:5" x14ac:dyDescent="0.35">
      <c r="A178" t="s">
        <v>79</v>
      </c>
      <c r="B178" t="s">
        <v>9</v>
      </c>
      <c r="C178">
        <v>2</v>
      </c>
      <c r="D178" t="s">
        <v>71</v>
      </c>
      <c r="E178">
        <v>0</v>
      </c>
    </row>
    <row r="179" spans="1:5" x14ac:dyDescent="0.35">
      <c r="A179" t="s">
        <v>79</v>
      </c>
      <c r="B179" t="s">
        <v>10</v>
      </c>
      <c r="C179">
        <v>2</v>
      </c>
      <c r="D179" t="s">
        <v>71</v>
      </c>
      <c r="E179">
        <v>0</v>
      </c>
    </row>
    <row r="180" spans="1:5" x14ac:dyDescent="0.35">
      <c r="A180" t="s">
        <v>79</v>
      </c>
      <c r="B180" t="s">
        <v>11</v>
      </c>
      <c r="C180">
        <v>2</v>
      </c>
      <c r="D180" t="s">
        <v>71</v>
      </c>
      <c r="E180">
        <v>5.6290448021522548E-2</v>
      </c>
    </row>
    <row r="181" spans="1:5" x14ac:dyDescent="0.35">
      <c r="A181" t="s">
        <v>79</v>
      </c>
      <c r="B181" t="s">
        <v>12</v>
      </c>
      <c r="C181">
        <v>2</v>
      </c>
      <c r="D181" t="s">
        <v>71</v>
      </c>
      <c r="E181">
        <v>0.95225197055675537</v>
      </c>
    </row>
    <row r="182" spans="1:5" x14ac:dyDescent="0.35">
      <c r="A182" t="s">
        <v>79</v>
      </c>
      <c r="B182" t="s">
        <v>13</v>
      </c>
      <c r="C182">
        <v>2</v>
      </c>
      <c r="D182" t="s">
        <v>71</v>
      </c>
      <c r="E182">
        <v>1.4018422099318746</v>
      </c>
    </row>
    <row r="183" spans="1:5" x14ac:dyDescent="0.35">
      <c r="A183" t="s">
        <v>79</v>
      </c>
      <c r="B183" t="s">
        <v>14</v>
      </c>
      <c r="C183">
        <v>2</v>
      </c>
      <c r="D183" t="s">
        <v>71</v>
      </c>
      <c r="E183">
        <v>6.4589180489475512E-2</v>
      </c>
    </row>
    <row r="184" spans="1:5" x14ac:dyDescent="0.35">
      <c r="A184" t="s">
        <v>79</v>
      </c>
      <c r="B184" t="s">
        <v>16</v>
      </c>
      <c r="C184">
        <v>2</v>
      </c>
      <c r="D184" t="s">
        <v>71</v>
      </c>
      <c r="E184">
        <v>8.8145365680680002E-2</v>
      </c>
    </row>
    <row r="185" spans="1:5" x14ac:dyDescent="0.35">
      <c r="A185" t="s">
        <v>79</v>
      </c>
      <c r="B185" t="s">
        <v>17</v>
      </c>
      <c r="C185">
        <v>2</v>
      </c>
      <c r="D185" t="s">
        <v>71</v>
      </c>
      <c r="E185">
        <v>0</v>
      </c>
    </row>
    <row r="186" spans="1:5" x14ac:dyDescent="0.35">
      <c r="A186" t="s">
        <v>79</v>
      </c>
      <c r="B186" t="s">
        <v>18</v>
      </c>
      <c r="C186">
        <v>2</v>
      </c>
      <c r="D186" t="s">
        <v>71</v>
      </c>
      <c r="E186">
        <v>30.706782297878014</v>
      </c>
    </row>
    <row r="187" spans="1:5" x14ac:dyDescent="0.35">
      <c r="A187" t="s">
        <v>79</v>
      </c>
      <c r="B187" t="s">
        <v>19</v>
      </c>
      <c r="C187">
        <v>2</v>
      </c>
      <c r="D187" t="s">
        <v>71</v>
      </c>
      <c r="E187">
        <v>4.9086630759490175</v>
      </c>
    </row>
    <row r="188" spans="1:5" x14ac:dyDescent="0.35">
      <c r="A188" t="s">
        <v>79</v>
      </c>
      <c r="B188" t="s">
        <v>20</v>
      </c>
      <c r="C188">
        <v>2</v>
      </c>
      <c r="D188" t="s">
        <v>71</v>
      </c>
      <c r="E188">
        <v>0.15446566484356603</v>
      </c>
    </row>
    <row r="189" spans="1:5" x14ac:dyDescent="0.35">
      <c r="A189" t="s">
        <v>79</v>
      </c>
      <c r="B189" t="s">
        <v>21</v>
      </c>
      <c r="C189">
        <v>2</v>
      </c>
      <c r="D189" t="s">
        <v>71</v>
      </c>
      <c r="E189">
        <v>0.16746384041713439</v>
      </c>
    </row>
    <row r="190" spans="1:5" x14ac:dyDescent="0.35">
      <c r="A190" t="s">
        <v>79</v>
      </c>
      <c r="B190" t="s">
        <v>22</v>
      </c>
      <c r="C190">
        <v>2</v>
      </c>
      <c r="D190" t="s">
        <v>71</v>
      </c>
      <c r="E190">
        <v>2.5907849797651488</v>
      </c>
    </row>
    <row r="191" spans="1:5" x14ac:dyDescent="0.35">
      <c r="A191" t="s">
        <v>79</v>
      </c>
      <c r="B191" t="s">
        <v>23</v>
      </c>
      <c r="C191">
        <v>2</v>
      </c>
      <c r="D191" t="s">
        <v>71</v>
      </c>
      <c r="E191">
        <v>18.011246109049864</v>
      </c>
    </row>
    <row r="192" spans="1:5" x14ac:dyDescent="0.35">
      <c r="A192" t="s">
        <v>79</v>
      </c>
      <c r="B192" t="s">
        <v>24</v>
      </c>
      <c r="C192">
        <v>2</v>
      </c>
      <c r="D192" t="s">
        <v>71</v>
      </c>
      <c r="E192">
        <v>0</v>
      </c>
    </row>
    <row r="193" spans="1:5" x14ac:dyDescent="0.35">
      <c r="A193" t="s">
        <v>79</v>
      </c>
      <c r="B193" t="s">
        <v>26</v>
      </c>
      <c r="C193">
        <v>2</v>
      </c>
      <c r="D193" t="s">
        <v>71</v>
      </c>
      <c r="E193">
        <v>14.518406067583831</v>
      </c>
    </row>
    <row r="194" spans="1:5" x14ac:dyDescent="0.35">
      <c r="A194" t="s">
        <v>79</v>
      </c>
      <c r="B194" t="s">
        <v>27</v>
      </c>
      <c r="C194">
        <v>2</v>
      </c>
      <c r="D194" t="s">
        <v>71</v>
      </c>
      <c r="E194">
        <v>3.0284961136496464E-3</v>
      </c>
    </row>
    <row r="195" spans="1:5" x14ac:dyDescent="0.35">
      <c r="A195" t="s">
        <v>79</v>
      </c>
      <c r="B195" t="s">
        <v>28</v>
      </c>
      <c r="C195">
        <v>2</v>
      </c>
      <c r="D195" t="s">
        <v>71</v>
      </c>
      <c r="E195">
        <v>22.752339642718923</v>
      </c>
    </row>
    <row r="196" spans="1:5" x14ac:dyDescent="0.35">
      <c r="A196" t="s">
        <v>79</v>
      </c>
      <c r="B196" t="s">
        <v>29</v>
      </c>
      <c r="C196">
        <v>2</v>
      </c>
      <c r="D196" t="s">
        <v>71</v>
      </c>
      <c r="E196">
        <v>1.3743833722679322</v>
      </c>
    </row>
    <row r="197" spans="1:5" x14ac:dyDescent="0.35">
      <c r="A197" t="s">
        <v>79</v>
      </c>
      <c r="B197" t="s">
        <v>30</v>
      </c>
      <c r="C197">
        <v>2</v>
      </c>
      <c r="D197" t="s">
        <v>71</v>
      </c>
      <c r="E197">
        <v>0.13243514289640518</v>
      </c>
    </row>
    <row r="198" spans="1:5" x14ac:dyDescent="0.35">
      <c r="A198" t="s">
        <v>79</v>
      </c>
      <c r="B198" t="s">
        <v>31</v>
      </c>
      <c r="C198">
        <v>2</v>
      </c>
      <c r="D198" t="s">
        <v>71</v>
      </c>
      <c r="E198">
        <v>1.337918149234631E-4</v>
      </c>
    </row>
    <row r="199" spans="1:5" x14ac:dyDescent="0.35">
      <c r="A199" t="s">
        <v>79</v>
      </c>
      <c r="B199" t="s">
        <v>32</v>
      </c>
      <c r="C199">
        <v>2</v>
      </c>
      <c r="D199" t="s">
        <v>71</v>
      </c>
      <c r="E199">
        <v>1.111458097630183E-2</v>
      </c>
    </row>
    <row r="200" spans="1:5" x14ac:dyDescent="0.35">
      <c r="A200" t="s">
        <v>79</v>
      </c>
      <c r="B200" t="s">
        <v>33</v>
      </c>
      <c r="C200">
        <v>2</v>
      </c>
      <c r="D200" t="s">
        <v>71</v>
      </c>
      <c r="E200">
        <v>0</v>
      </c>
    </row>
    <row r="201" spans="1:5" x14ac:dyDescent="0.35">
      <c r="A201" t="s">
        <v>79</v>
      </c>
      <c r="B201" t="s">
        <v>34</v>
      </c>
      <c r="C201">
        <v>2</v>
      </c>
      <c r="D201" t="s">
        <v>71</v>
      </c>
      <c r="E201">
        <v>0.53812032467296</v>
      </c>
    </row>
    <row r="202" spans="1:5" x14ac:dyDescent="0.35">
      <c r="A202" t="s">
        <v>79</v>
      </c>
      <c r="B202" t="s">
        <v>35</v>
      </c>
      <c r="C202">
        <v>2</v>
      </c>
      <c r="D202" t="s">
        <v>71</v>
      </c>
      <c r="E202">
        <v>3.1893576601500627E-2</v>
      </c>
    </row>
    <row r="203" spans="1:5" x14ac:dyDescent="0.35">
      <c r="A203" t="s">
        <v>79</v>
      </c>
      <c r="B203" t="s">
        <v>36</v>
      </c>
      <c r="C203">
        <v>2</v>
      </c>
      <c r="D203" t="s">
        <v>71</v>
      </c>
      <c r="E203">
        <v>0</v>
      </c>
    </row>
    <row r="204" spans="1:5" x14ac:dyDescent="0.35">
      <c r="A204" t="s">
        <v>79</v>
      </c>
      <c r="B204" t="s">
        <v>37</v>
      </c>
      <c r="C204">
        <v>2</v>
      </c>
      <c r="D204" t="s">
        <v>71</v>
      </c>
      <c r="E204">
        <v>1.4301843745772405</v>
      </c>
    </row>
    <row r="205" spans="1:5" x14ac:dyDescent="0.35">
      <c r="A205" t="s">
        <v>79</v>
      </c>
      <c r="B205" t="s">
        <v>38</v>
      </c>
      <c r="C205">
        <v>2</v>
      </c>
      <c r="D205" t="s">
        <v>71</v>
      </c>
      <c r="E205">
        <v>3.0136012528415173E-2</v>
      </c>
    </row>
    <row r="206" spans="1:5" x14ac:dyDescent="0.35">
      <c r="A206" t="s">
        <v>79</v>
      </c>
      <c r="B206" t="s">
        <v>39</v>
      </c>
      <c r="C206">
        <v>2</v>
      </c>
      <c r="D206" t="s">
        <v>71</v>
      </c>
      <c r="E206">
        <v>0</v>
      </c>
    </row>
    <row r="207" spans="1:5" x14ac:dyDescent="0.35">
      <c r="A207" t="s">
        <v>79</v>
      </c>
      <c r="B207" t="s">
        <v>40</v>
      </c>
      <c r="C207">
        <v>2</v>
      </c>
      <c r="D207" t="s">
        <v>71</v>
      </c>
      <c r="E207">
        <v>7.0947984964403845E-5</v>
      </c>
    </row>
    <row r="208" spans="1:5" x14ac:dyDescent="0.35">
      <c r="A208" t="s">
        <v>79</v>
      </c>
      <c r="B208" t="s">
        <v>41</v>
      </c>
      <c r="C208">
        <v>2</v>
      </c>
      <c r="D208" t="s">
        <v>71</v>
      </c>
      <c r="E208">
        <v>0</v>
      </c>
    </row>
    <row r="209" spans="1:5" x14ac:dyDescent="0.35">
      <c r="A209" t="s">
        <v>79</v>
      </c>
      <c r="B209" t="s">
        <v>42</v>
      </c>
      <c r="C209">
        <v>2</v>
      </c>
      <c r="D209" t="s">
        <v>71</v>
      </c>
      <c r="E209">
        <v>7.3113129926740128E-2</v>
      </c>
    </row>
    <row r="210" spans="1:5" x14ac:dyDescent="0.35">
      <c r="A210" t="s">
        <v>79</v>
      </c>
      <c r="B210" t="s">
        <v>43</v>
      </c>
      <c r="C210">
        <v>2</v>
      </c>
      <c r="D210" t="s">
        <v>71</v>
      </c>
      <c r="E210">
        <v>0</v>
      </c>
    </row>
    <row r="211" spans="1:5" x14ac:dyDescent="0.35">
      <c r="A211" t="s">
        <v>79</v>
      </c>
      <c r="B211" t="s">
        <v>44</v>
      </c>
      <c r="C211">
        <v>2</v>
      </c>
      <c r="D211" t="s">
        <v>71</v>
      </c>
      <c r="E211">
        <v>0</v>
      </c>
    </row>
    <row r="212" spans="1:5" x14ac:dyDescent="0.35">
      <c r="A212" t="s">
        <v>80</v>
      </c>
      <c r="B212" t="s">
        <v>6</v>
      </c>
      <c r="C212">
        <v>2</v>
      </c>
      <c r="D212" t="s">
        <v>55</v>
      </c>
      <c r="E212">
        <v>2.1600116769639687E-3</v>
      </c>
    </row>
    <row r="213" spans="1:5" x14ac:dyDescent="0.35">
      <c r="A213" t="s">
        <v>80</v>
      </c>
      <c r="B213" t="s">
        <v>9</v>
      </c>
      <c r="C213">
        <v>2</v>
      </c>
      <c r="D213" t="s">
        <v>55</v>
      </c>
      <c r="E213">
        <v>1.3407375894699381E-2</v>
      </c>
    </row>
    <row r="214" spans="1:5" x14ac:dyDescent="0.35">
      <c r="A214" t="s">
        <v>80</v>
      </c>
      <c r="B214" t="s">
        <v>10</v>
      </c>
      <c r="C214">
        <v>2</v>
      </c>
      <c r="D214" t="s">
        <v>55</v>
      </c>
      <c r="E214">
        <v>0</v>
      </c>
    </row>
    <row r="215" spans="1:5" x14ac:dyDescent="0.35">
      <c r="A215" t="s">
        <v>80</v>
      </c>
      <c r="B215" t="s">
        <v>11</v>
      </c>
      <c r="C215">
        <v>2</v>
      </c>
      <c r="D215" t="s">
        <v>55</v>
      </c>
      <c r="E215">
        <v>0.22499935323161704</v>
      </c>
    </row>
    <row r="216" spans="1:5" x14ac:dyDescent="0.35">
      <c r="A216" t="s">
        <v>80</v>
      </c>
      <c r="B216" t="s">
        <v>12</v>
      </c>
      <c r="C216">
        <v>2</v>
      </c>
      <c r="D216" t="s">
        <v>55</v>
      </c>
      <c r="E216">
        <v>1.2883429240257718</v>
      </c>
    </row>
    <row r="217" spans="1:5" x14ac:dyDescent="0.35">
      <c r="A217" t="s">
        <v>80</v>
      </c>
      <c r="B217" t="s">
        <v>13</v>
      </c>
      <c r="C217">
        <v>2</v>
      </c>
      <c r="D217" t="s">
        <v>55</v>
      </c>
      <c r="E217">
        <v>2.7677287317298203</v>
      </c>
    </row>
    <row r="218" spans="1:5" x14ac:dyDescent="0.35">
      <c r="A218" t="s">
        <v>80</v>
      </c>
      <c r="B218" t="s">
        <v>14</v>
      </c>
      <c r="C218">
        <v>2</v>
      </c>
      <c r="D218" t="s">
        <v>55</v>
      </c>
      <c r="E218">
        <v>0</v>
      </c>
    </row>
    <row r="219" spans="1:5" x14ac:dyDescent="0.35">
      <c r="A219" t="s">
        <v>80</v>
      </c>
      <c r="B219" t="s">
        <v>16</v>
      </c>
      <c r="C219">
        <v>2</v>
      </c>
      <c r="D219" t="s">
        <v>55</v>
      </c>
      <c r="E219">
        <v>0.13983903313735102</v>
      </c>
    </row>
    <row r="220" spans="1:5" x14ac:dyDescent="0.35">
      <c r="A220" t="s">
        <v>80</v>
      </c>
      <c r="B220" t="s">
        <v>17</v>
      </c>
      <c r="C220">
        <v>2</v>
      </c>
      <c r="D220" t="s">
        <v>55</v>
      </c>
      <c r="E220">
        <v>0</v>
      </c>
    </row>
    <row r="221" spans="1:5" x14ac:dyDescent="0.35">
      <c r="A221" t="s">
        <v>80</v>
      </c>
      <c r="B221" t="s">
        <v>18</v>
      </c>
      <c r="C221">
        <v>2</v>
      </c>
      <c r="D221" t="s">
        <v>55</v>
      </c>
      <c r="E221">
        <v>40.892256307186784</v>
      </c>
    </row>
    <row r="222" spans="1:5" x14ac:dyDescent="0.35">
      <c r="A222" t="s">
        <v>80</v>
      </c>
      <c r="B222" t="s">
        <v>19</v>
      </c>
      <c r="C222">
        <v>2</v>
      </c>
      <c r="D222" t="s">
        <v>55</v>
      </c>
      <c r="E222">
        <v>10.179445648903092</v>
      </c>
    </row>
    <row r="223" spans="1:5" x14ac:dyDescent="0.35">
      <c r="A223" t="s">
        <v>80</v>
      </c>
      <c r="B223" t="s">
        <v>20</v>
      </c>
      <c r="C223">
        <v>2</v>
      </c>
      <c r="D223" t="s">
        <v>55</v>
      </c>
      <c r="E223">
        <v>0.13751897826930784</v>
      </c>
    </row>
    <row r="224" spans="1:5" x14ac:dyDescent="0.35">
      <c r="A224" t="s">
        <v>80</v>
      </c>
      <c r="B224" t="s">
        <v>21</v>
      </c>
      <c r="C224">
        <v>2</v>
      </c>
      <c r="D224" t="s">
        <v>55</v>
      </c>
      <c r="E224">
        <v>0.16566774735987036</v>
      </c>
    </row>
    <row r="225" spans="1:5" x14ac:dyDescent="0.35">
      <c r="A225" t="s">
        <v>80</v>
      </c>
      <c r="B225" t="s">
        <v>22</v>
      </c>
      <c r="C225">
        <v>2</v>
      </c>
      <c r="D225" t="s">
        <v>55</v>
      </c>
      <c r="E225">
        <v>8.7625910463859202E-2</v>
      </c>
    </row>
    <row r="226" spans="1:5" x14ac:dyDescent="0.35">
      <c r="A226" t="s">
        <v>80</v>
      </c>
      <c r="B226" t="s">
        <v>23</v>
      </c>
      <c r="C226">
        <v>2</v>
      </c>
      <c r="D226" t="s">
        <v>55</v>
      </c>
      <c r="E226">
        <v>0</v>
      </c>
    </row>
    <row r="227" spans="1:5" x14ac:dyDescent="0.35">
      <c r="A227" t="s">
        <v>80</v>
      </c>
      <c r="B227" t="s">
        <v>24</v>
      </c>
      <c r="C227">
        <v>2</v>
      </c>
      <c r="D227" t="s">
        <v>55</v>
      </c>
      <c r="E227">
        <v>1.5430987090989871E-4</v>
      </c>
    </row>
    <row r="228" spans="1:5" x14ac:dyDescent="0.35">
      <c r="A228" t="s">
        <v>80</v>
      </c>
      <c r="B228" t="s">
        <v>26</v>
      </c>
      <c r="C228">
        <v>2</v>
      </c>
      <c r="D228" t="s">
        <v>55</v>
      </c>
      <c r="E228">
        <v>14.299385793788542</v>
      </c>
    </row>
    <row r="229" spans="1:5" x14ac:dyDescent="0.35">
      <c r="A229" t="s">
        <v>80</v>
      </c>
      <c r="B229" t="s">
        <v>27</v>
      </c>
      <c r="C229">
        <v>2</v>
      </c>
      <c r="D229" t="s">
        <v>55</v>
      </c>
      <c r="E229">
        <v>1.0793690139885308</v>
      </c>
    </row>
    <row r="230" spans="1:5" x14ac:dyDescent="0.35">
      <c r="A230" t="s">
        <v>80</v>
      </c>
      <c r="B230" t="s">
        <v>28</v>
      </c>
      <c r="C230">
        <v>2</v>
      </c>
      <c r="D230" t="s">
        <v>55</v>
      </c>
      <c r="E230">
        <v>22.073064640288717</v>
      </c>
    </row>
    <row r="231" spans="1:5" x14ac:dyDescent="0.35">
      <c r="A231" t="s">
        <v>80</v>
      </c>
      <c r="B231" t="s">
        <v>29</v>
      </c>
      <c r="C231">
        <v>2</v>
      </c>
      <c r="D231" t="s">
        <v>55</v>
      </c>
      <c r="E231">
        <v>1.5605217659624429</v>
      </c>
    </row>
    <row r="232" spans="1:5" x14ac:dyDescent="0.35">
      <c r="A232" t="s">
        <v>80</v>
      </c>
      <c r="B232" t="s">
        <v>30</v>
      </c>
      <c r="C232">
        <v>2</v>
      </c>
      <c r="D232" t="s">
        <v>55</v>
      </c>
      <c r="E232">
        <v>0.16336620742040919</v>
      </c>
    </row>
    <row r="233" spans="1:5" x14ac:dyDescent="0.35">
      <c r="A233" t="s">
        <v>80</v>
      </c>
      <c r="B233" t="s">
        <v>31</v>
      </c>
      <c r="C233">
        <v>2</v>
      </c>
      <c r="D233" t="s">
        <v>55</v>
      </c>
      <c r="E233">
        <v>0.24376763876060498</v>
      </c>
    </row>
    <row r="234" spans="1:5" x14ac:dyDescent="0.35">
      <c r="A234" t="s">
        <v>80</v>
      </c>
      <c r="B234" t="s">
        <v>32</v>
      </c>
      <c r="C234">
        <v>2</v>
      </c>
      <c r="D234" t="s">
        <v>55</v>
      </c>
      <c r="E234">
        <v>6.8442290932937994E-2</v>
      </c>
    </row>
    <row r="235" spans="1:5" x14ac:dyDescent="0.35">
      <c r="A235" t="s">
        <v>80</v>
      </c>
      <c r="B235" t="s">
        <v>33</v>
      </c>
      <c r="C235">
        <v>2</v>
      </c>
      <c r="D235" t="s">
        <v>55</v>
      </c>
      <c r="E235">
        <v>3.0010955340382249E-2</v>
      </c>
    </row>
    <row r="236" spans="1:5" x14ac:dyDescent="0.35">
      <c r="A236" t="s">
        <v>80</v>
      </c>
      <c r="B236" t="s">
        <v>34</v>
      </c>
      <c r="C236">
        <v>2</v>
      </c>
      <c r="D236" t="s">
        <v>55</v>
      </c>
      <c r="E236">
        <v>1.1041698966250226</v>
      </c>
    </row>
    <row r="237" spans="1:5" x14ac:dyDescent="0.35">
      <c r="A237" t="s">
        <v>80</v>
      </c>
      <c r="B237" t="s">
        <v>35</v>
      </c>
      <c r="C237">
        <v>2</v>
      </c>
      <c r="D237" t="s">
        <v>55</v>
      </c>
      <c r="E237">
        <v>8.7158942444661922E-2</v>
      </c>
    </row>
    <row r="238" spans="1:5" x14ac:dyDescent="0.35">
      <c r="A238" t="s">
        <v>80</v>
      </c>
      <c r="B238" t="s">
        <v>36</v>
      </c>
      <c r="C238">
        <v>2</v>
      </c>
      <c r="D238" t="s">
        <v>55</v>
      </c>
      <c r="E238">
        <v>0</v>
      </c>
    </row>
    <row r="239" spans="1:5" x14ac:dyDescent="0.35">
      <c r="A239" t="s">
        <v>80</v>
      </c>
      <c r="B239" t="s">
        <v>37</v>
      </c>
      <c r="C239">
        <v>2</v>
      </c>
      <c r="D239" t="s">
        <v>55</v>
      </c>
      <c r="E239">
        <v>2.7877914430381399</v>
      </c>
    </row>
    <row r="240" spans="1:5" x14ac:dyDescent="0.35">
      <c r="A240" t="s">
        <v>80</v>
      </c>
      <c r="B240" t="s">
        <v>38</v>
      </c>
      <c r="C240">
        <v>2</v>
      </c>
      <c r="D240" t="s">
        <v>55</v>
      </c>
      <c r="E240">
        <v>1.8644525661279013E-2</v>
      </c>
    </row>
    <row r="241" spans="1:5" x14ac:dyDescent="0.35">
      <c r="A241" t="s">
        <v>80</v>
      </c>
      <c r="B241" t="s">
        <v>39</v>
      </c>
      <c r="C241">
        <v>2</v>
      </c>
      <c r="D241" t="s">
        <v>55</v>
      </c>
      <c r="E241">
        <v>0</v>
      </c>
    </row>
    <row r="242" spans="1:5" x14ac:dyDescent="0.35">
      <c r="A242" t="s">
        <v>80</v>
      </c>
      <c r="B242" t="s">
        <v>40</v>
      </c>
      <c r="C242">
        <v>2</v>
      </c>
      <c r="D242" t="s">
        <v>55</v>
      </c>
      <c r="E242">
        <v>0</v>
      </c>
    </row>
    <row r="243" spans="1:5" x14ac:dyDescent="0.35">
      <c r="A243" t="s">
        <v>80</v>
      </c>
      <c r="B243" t="s">
        <v>41</v>
      </c>
      <c r="C243">
        <v>2</v>
      </c>
      <c r="D243" t="s">
        <v>55</v>
      </c>
      <c r="E243">
        <v>0</v>
      </c>
    </row>
    <row r="244" spans="1:5" x14ac:dyDescent="0.35">
      <c r="A244" t="s">
        <v>80</v>
      </c>
      <c r="B244" t="s">
        <v>42</v>
      </c>
      <c r="C244">
        <v>2</v>
      </c>
      <c r="D244" t="s">
        <v>55</v>
      </c>
      <c r="E244">
        <v>6.5974840907593188E-2</v>
      </c>
    </row>
    <row r="245" spans="1:5" x14ac:dyDescent="0.35">
      <c r="A245" t="s">
        <v>80</v>
      </c>
      <c r="B245" t="s">
        <v>43</v>
      </c>
      <c r="C245">
        <v>2</v>
      </c>
      <c r="D245" t="s">
        <v>55</v>
      </c>
      <c r="E245">
        <v>0.5191857130907005</v>
      </c>
    </row>
    <row r="246" spans="1:5" x14ac:dyDescent="0.35">
      <c r="A246" t="s">
        <v>80</v>
      </c>
      <c r="B246" t="s">
        <v>44</v>
      </c>
      <c r="C246">
        <v>2</v>
      </c>
      <c r="D246" t="s">
        <v>55</v>
      </c>
      <c r="E246">
        <v>0</v>
      </c>
    </row>
    <row r="247" spans="1:5" x14ac:dyDescent="0.35">
      <c r="A247" t="s">
        <v>81</v>
      </c>
      <c r="B247" t="s">
        <v>6</v>
      </c>
      <c r="C247">
        <v>2</v>
      </c>
      <c r="D247" t="s">
        <v>72</v>
      </c>
      <c r="E247">
        <v>1.2054235811275946E-3</v>
      </c>
    </row>
    <row r="248" spans="1:5" x14ac:dyDescent="0.35">
      <c r="A248" t="s">
        <v>81</v>
      </c>
      <c r="B248" t="s">
        <v>9</v>
      </c>
      <c r="C248">
        <v>2</v>
      </c>
      <c r="D248" t="s">
        <v>72</v>
      </c>
      <c r="E248">
        <v>0</v>
      </c>
    </row>
    <row r="249" spans="1:5" x14ac:dyDescent="0.35">
      <c r="A249" t="s">
        <v>81</v>
      </c>
      <c r="B249" t="s">
        <v>10</v>
      </c>
      <c r="C249">
        <v>2</v>
      </c>
      <c r="D249" t="s">
        <v>72</v>
      </c>
      <c r="E249">
        <v>0</v>
      </c>
    </row>
    <row r="250" spans="1:5" x14ac:dyDescent="0.35">
      <c r="A250" t="s">
        <v>81</v>
      </c>
      <c r="B250" t="s">
        <v>11</v>
      </c>
      <c r="C250">
        <v>2</v>
      </c>
      <c r="D250" t="s">
        <v>72</v>
      </c>
      <c r="E250">
        <v>0.25152198428782996</v>
      </c>
    </row>
    <row r="251" spans="1:5" x14ac:dyDescent="0.35">
      <c r="A251" t="s">
        <v>81</v>
      </c>
      <c r="B251" t="s">
        <v>12</v>
      </c>
      <c r="C251">
        <v>2</v>
      </c>
      <c r="D251" t="s">
        <v>72</v>
      </c>
      <c r="E251">
        <v>1.5136121138784793</v>
      </c>
    </row>
    <row r="252" spans="1:5" x14ac:dyDescent="0.35">
      <c r="A252" t="s">
        <v>81</v>
      </c>
      <c r="B252" t="s">
        <v>13</v>
      </c>
      <c r="C252">
        <v>2</v>
      </c>
      <c r="D252" t="s">
        <v>72</v>
      </c>
      <c r="E252">
        <v>2.2228827905691579</v>
      </c>
    </row>
    <row r="253" spans="1:5" x14ac:dyDescent="0.35">
      <c r="A253" t="s">
        <v>81</v>
      </c>
      <c r="B253" t="s">
        <v>14</v>
      </c>
      <c r="C253">
        <v>2</v>
      </c>
      <c r="D253" t="s">
        <v>72</v>
      </c>
      <c r="E253">
        <v>0</v>
      </c>
    </row>
    <row r="254" spans="1:5" x14ac:dyDescent="0.35">
      <c r="A254" t="s">
        <v>81</v>
      </c>
      <c r="B254" t="s">
        <v>16</v>
      </c>
      <c r="C254">
        <v>2</v>
      </c>
      <c r="D254" t="s">
        <v>72</v>
      </c>
      <c r="E254">
        <v>0.11542156399938193</v>
      </c>
    </row>
    <row r="255" spans="1:5" x14ac:dyDescent="0.35">
      <c r="A255" t="s">
        <v>81</v>
      </c>
      <c r="B255" t="s">
        <v>17</v>
      </c>
      <c r="C255">
        <v>2</v>
      </c>
      <c r="D255" t="s">
        <v>72</v>
      </c>
      <c r="E255">
        <v>0</v>
      </c>
    </row>
    <row r="256" spans="1:5" x14ac:dyDescent="0.35">
      <c r="A256" t="s">
        <v>81</v>
      </c>
      <c r="B256" t="s">
        <v>18</v>
      </c>
      <c r="C256">
        <v>2</v>
      </c>
      <c r="D256" t="s">
        <v>72</v>
      </c>
      <c r="E256">
        <v>33.674719113947951</v>
      </c>
    </row>
    <row r="257" spans="1:5" x14ac:dyDescent="0.35">
      <c r="A257" t="s">
        <v>81</v>
      </c>
      <c r="B257" t="s">
        <v>19</v>
      </c>
      <c r="C257">
        <v>2</v>
      </c>
      <c r="D257" t="s">
        <v>72</v>
      </c>
      <c r="E257">
        <v>6.8211481766832023</v>
      </c>
    </row>
    <row r="258" spans="1:5" x14ac:dyDescent="0.35">
      <c r="A258" t="s">
        <v>81</v>
      </c>
      <c r="B258" t="s">
        <v>20</v>
      </c>
      <c r="C258">
        <v>2</v>
      </c>
      <c r="D258" t="s">
        <v>72</v>
      </c>
      <c r="E258">
        <v>0.12624693707977308</v>
      </c>
    </row>
    <row r="259" spans="1:5" x14ac:dyDescent="0.35">
      <c r="A259" t="s">
        <v>81</v>
      </c>
      <c r="B259" t="s">
        <v>21</v>
      </c>
      <c r="C259">
        <v>2</v>
      </c>
      <c r="D259" t="s">
        <v>72</v>
      </c>
      <c r="E259">
        <v>0.1589660962999809</v>
      </c>
    </row>
    <row r="260" spans="1:5" x14ac:dyDescent="0.35">
      <c r="A260" t="s">
        <v>81</v>
      </c>
      <c r="B260" t="s">
        <v>22</v>
      </c>
      <c r="C260">
        <v>2</v>
      </c>
      <c r="D260" t="s">
        <v>72</v>
      </c>
      <c r="E260">
        <v>1.4432676372196047</v>
      </c>
    </row>
    <row r="261" spans="1:5" x14ac:dyDescent="0.35">
      <c r="A261" t="s">
        <v>81</v>
      </c>
      <c r="B261" t="s">
        <v>23</v>
      </c>
      <c r="C261">
        <v>2</v>
      </c>
      <c r="D261" t="s">
        <v>72</v>
      </c>
      <c r="E261">
        <v>16.587503273745654</v>
      </c>
    </row>
    <row r="262" spans="1:5" x14ac:dyDescent="0.35">
      <c r="A262" t="s">
        <v>81</v>
      </c>
      <c r="B262" t="s">
        <v>24</v>
      </c>
      <c r="C262">
        <v>2</v>
      </c>
      <c r="D262" t="s">
        <v>72</v>
      </c>
      <c r="E262">
        <v>9.0216016618454285E-5</v>
      </c>
    </row>
    <row r="263" spans="1:5" x14ac:dyDescent="0.35">
      <c r="A263" t="s">
        <v>81</v>
      </c>
      <c r="B263" t="s">
        <v>26</v>
      </c>
      <c r="C263">
        <v>2</v>
      </c>
      <c r="D263" t="s">
        <v>72</v>
      </c>
      <c r="E263">
        <v>11.779739031850568</v>
      </c>
    </row>
    <row r="264" spans="1:5" x14ac:dyDescent="0.35">
      <c r="A264" t="s">
        <v>81</v>
      </c>
      <c r="B264" t="s">
        <v>27</v>
      </c>
      <c r="C264">
        <v>2</v>
      </c>
      <c r="D264" t="s">
        <v>72</v>
      </c>
      <c r="E264">
        <v>0</v>
      </c>
    </row>
    <row r="265" spans="1:5" x14ac:dyDescent="0.35">
      <c r="A265" t="s">
        <v>81</v>
      </c>
      <c r="B265" t="s">
        <v>28</v>
      </c>
      <c r="C265">
        <v>2</v>
      </c>
      <c r="D265" t="s">
        <v>72</v>
      </c>
      <c r="E265">
        <v>20.352568846180954</v>
      </c>
    </row>
    <row r="266" spans="1:5" x14ac:dyDescent="0.35">
      <c r="A266" t="s">
        <v>81</v>
      </c>
      <c r="B266" t="s">
        <v>29</v>
      </c>
      <c r="C266">
        <v>2</v>
      </c>
      <c r="D266" t="s">
        <v>72</v>
      </c>
      <c r="E266">
        <v>1.3421052287901676</v>
      </c>
    </row>
    <row r="267" spans="1:5" x14ac:dyDescent="0.35">
      <c r="A267" t="s">
        <v>81</v>
      </c>
      <c r="B267" t="s">
        <v>30</v>
      </c>
      <c r="C267">
        <v>2</v>
      </c>
      <c r="D267" t="s">
        <v>72</v>
      </c>
      <c r="E267">
        <v>0.12668539743991625</v>
      </c>
    </row>
    <row r="268" spans="1:5" x14ac:dyDescent="0.35">
      <c r="A268" t="s">
        <v>81</v>
      </c>
      <c r="B268" t="s">
        <v>31</v>
      </c>
      <c r="C268">
        <v>2</v>
      </c>
      <c r="D268" t="s">
        <v>72</v>
      </c>
      <c r="E268">
        <v>0.24378771615153494</v>
      </c>
    </row>
    <row r="269" spans="1:5" x14ac:dyDescent="0.35">
      <c r="A269" t="s">
        <v>81</v>
      </c>
      <c r="B269" t="s">
        <v>32</v>
      </c>
      <c r="C269">
        <v>2</v>
      </c>
      <c r="D269" t="s">
        <v>72</v>
      </c>
      <c r="E269">
        <v>5.5283928086746856E-2</v>
      </c>
    </row>
    <row r="270" spans="1:5" x14ac:dyDescent="0.35">
      <c r="A270" t="s">
        <v>81</v>
      </c>
      <c r="B270" t="s">
        <v>33</v>
      </c>
      <c r="C270">
        <v>2</v>
      </c>
      <c r="D270" t="s">
        <v>72</v>
      </c>
      <c r="E270">
        <v>4.0285893915617266E-2</v>
      </c>
    </row>
    <row r="271" spans="1:5" x14ac:dyDescent="0.35">
      <c r="A271" t="s">
        <v>81</v>
      </c>
      <c r="B271" t="s">
        <v>34</v>
      </c>
      <c r="C271">
        <v>2</v>
      </c>
      <c r="D271" t="s">
        <v>72</v>
      </c>
      <c r="E271">
        <v>0.85350440428506569</v>
      </c>
    </row>
    <row r="272" spans="1:5" x14ac:dyDescent="0.35">
      <c r="A272" t="s">
        <v>81</v>
      </c>
      <c r="B272" t="s">
        <v>35</v>
      </c>
      <c r="C272">
        <v>2</v>
      </c>
      <c r="D272" t="s">
        <v>72</v>
      </c>
      <c r="E272">
        <v>0</v>
      </c>
    </row>
    <row r="273" spans="1:5" x14ac:dyDescent="0.35">
      <c r="A273" t="s">
        <v>81</v>
      </c>
      <c r="B273" t="s">
        <v>36</v>
      </c>
      <c r="C273">
        <v>2</v>
      </c>
      <c r="D273" t="s">
        <v>72</v>
      </c>
      <c r="E273">
        <v>0</v>
      </c>
    </row>
    <row r="274" spans="1:5" x14ac:dyDescent="0.35">
      <c r="A274" t="s">
        <v>81</v>
      </c>
      <c r="B274" t="s">
        <v>37</v>
      </c>
      <c r="C274">
        <v>2</v>
      </c>
      <c r="D274" t="s">
        <v>72</v>
      </c>
      <c r="E274">
        <v>1.8333061468818677</v>
      </c>
    </row>
    <row r="275" spans="1:5" x14ac:dyDescent="0.35">
      <c r="A275" t="s">
        <v>81</v>
      </c>
      <c r="B275" t="s">
        <v>38</v>
      </c>
      <c r="C275">
        <v>2</v>
      </c>
      <c r="D275" t="s">
        <v>72</v>
      </c>
      <c r="E275">
        <v>0</v>
      </c>
    </row>
    <row r="276" spans="1:5" x14ac:dyDescent="0.35">
      <c r="A276" t="s">
        <v>81</v>
      </c>
      <c r="B276" t="s">
        <v>39</v>
      </c>
      <c r="C276">
        <v>2</v>
      </c>
      <c r="D276" t="s">
        <v>72</v>
      </c>
      <c r="E276">
        <v>0</v>
      </c>
    </row>
    <row r="277" spans="1:5" x14ac:dyDescent="0.35">
      <c r="A277" t="s">
        <v>81</v>
      </c>
      <c r="B277" t="s">
        <v>40</v>
      </c>
      <c r="C277">
        <v>2</v>
      </c>
      <c r="D277" t="s">
        <v>72</v>
      </c>
      <c r="E277">
        <v>9.9146897474763427E-5</v>
      </c>
    </row>
    <row r="278" spans="1:5" x14ac:dyDescent="0.35">
      <c r="A278" t="s">
        <v>81</v>
      </c>
      <c r="B278" t="s">
        <v>41</v>
      </c>
      <c r="C278">
        <v>2</v>
      </c>
      <c r="D278" t="s">
        <v>72</v>
      </c>
      <c r="E278">
        <v>3.5555938799460292E-2</v>
      </c>
    </row>
    <row r="279" spans="1:5" x14ac:dyDescent="0.35">
      <c r="A279" t="s">
        <v>81</v>
      </c>
      <c r="B279" t="s">
        <v>42</v>
      </c>
      <c r="C279">
        <v>2</v>
      </c>
      <c r="D279" t="s">
        <v>72</v>
      </c>
      <c r="E279">
        <v>8.9479331907566878E-2</v>
      </c>
    </row>
    <row r="280" spans="1:5" x14ac:dyDescent="0.35">
      <c r="A280" t="s">
        <v>81</v>
      </c>
      <c r="B280" t="s">
        <v>43</v>
      </c>
      <c r="C280">
        <v>2</v>
      </c>
      <c r="D280" t="s">
        <v>72</v>
      </c>
      <c r="E280">
        <v>0.33101366150432365</v>
      </c>
    </row>
    <row r="281" spans="1:5" x14ac:dyDescent="0.35">
      <c r="A281" t="s">
        <v>81</v>
      </c>
      <c r="B281" t="s">
        <v>44</v>
      </c>
      <c r="C281">
        <v>2</v>
      </c>
      <c r="D281" t="s">
        <v>72</v>
      </c>
      <c r="E281">
        <v>0</v>
      </c>
    </row>
    <row r="282" spans="1:5" x14ac:dyDescent="0.35">
      <c r="A282" t="s">
        <v>82</v>
      </c>
      <c r="B282" t="s">
        <v>6</v>
      </c>
      <c r="C282">
        <v>3</v>
      </c>
      <c r="D282" t="s">
        <v>8</v>
      </c>
      <c r="E282">
        <v>7.8478628246484946E-4</v>
      </c>
    </row>
    <row r="283" spans="1:5" x14ac:dyDescent="0.35">
      <c r="A283" t="s">
        <v>82</v>
      </c>
      <c r="B283" t="s">
        <v>9</v>
      </c>
      <c r="C283">
        <v>3</v>
      </c>
      <c r="D283" t="s">
        <v>8</v>
      </c>
      <c r="E283">
        <v>2.1174228950753254E-2</v>
      </c>
    </row>
    <row r="284" spans="1:5" x14ac:dyDescent="0.35">
      <c r="A284" t="s">
        <v>82</v>
      </c>
      <c r="B284" t="s">
        <v>10</v>
      </c>
      <c r="C284">
        <v>3</v>
      </c>
      <c r="D284" t="s">
        <v>8</v>
      </c>
      <c r="E284">
        <v>9.4753887092754335E-4</v>
      </c>
    </row>
    <row r="285" spans="1:5" x14ac:dyDescent="0.35">
      <c r="A285" t="s">
        <v>82</v>
      </c>
      <c r="B285" t="s">
        <v>11</v>
      </c>
      <c r="C285">
        <v>3</v>
      </c>
      <c r="D285" t="s">
        <v>8</v>
      </c>
      <c r="E285">
        <v>0.11278303804004039</v>
      </c>
    </row>
    <row r="286" spans="1:5" x14ac:dyDescent="0.35">
      <c r="A286" t="s">
        <v>82</v>
      </c>
      <c r="B286" t="s">
        <v>12</v>
      </c>
      <c r="C286">
        <v>3</v>
      </c>
      <c r="D286" t="s">
        <v>8</v>
      </c>
      <c r="E286">
        <v>0.81686060051429765</v>
      </c>
    </row>
    <row r="287" spans="1:5" x14ac:dyDescent="0.35">
      <c r="A287" t="s">
        <v>82</v>
      </c>
      <c r="B287" t="s">
        <v>13</v>
      </c>
      <c r="C287">
        <v>3</v>
      </c>
      <c r="D287" t="s">
        <v>8</v>
      </c>
      <c r="E287">
        <v>1.8660424893995398</v>
      </c>
    </row>
    <row r="288" spans="1:5" x14ac:dyDescent="0.35">
      <c r="A288" t="s">
        <v>82</v>
      </c>
      <c r="B288" t="s">
        <v>14</v>
      </c>
      <c r="C288">
        <v>3</v>
      </c>
      <c r="D288" t="s">
        <v>8</v>
      </c>
      <c r="E288">
        <v>0</v>
      </c>
    </row>
    <row r="289" spans="1:5" x14ac:dyDescent="0.35">
      <c r="A289" t="s">
        <v>82</v>
      </c>
      <c r="B289" t="s">
        <v>16</v>
      </c>
      <c r="C289">
        <v>3</v>
      </c>
      <c r="D289" t="s">
        <v>8</v>
      </c>
      <c r="E289">
        <v>0.11088314634085294</v>
      </c>
    </row>
    <row r="290" spans="1:5" x14ac:dyDescent="0.35">
      <c r="A290" t="s">
        <v>82</v>
      </c>
      <c r="B290" t="s">
        <v>17</v>
      </c>
      <c r="C290">
        <v>3</v>
      </c>
      <c r="D290" t="s">
        <v>8</v>
      </c>
      <c r="E290">
        <v>0</v>
      </c>
    </row>
    <row r="291" spans="1:5" x14ac:dyDescent="0.35">
      <c r="A291" t="s">
        <v>82</v>
      </c>
      <c r="B291" t="s">
        <v>18</v>
      </c>
      <c r="C291">
        <v>3</v>
      </c>
      <c r="D291" t="s">
        <v>8</v>
      </c>
      <c r="E291">
        <v>34.1721911582177</v>
      </c>
    </row>
    <row r="292" spans="1:5" x14ac:dyDescent="0.35">
      <c r="A292" t="s">
        <v>82</v>
      </c>
      <c r="B292" t="s">
        <v>19</v>
      </c>
      <c r="C292">
        <v>3</v>
      </c>
      <c r="D292" t="s">
        <v>8</v>
      </c>
      <c r="E292">
        <v>0.95320314966491881</v>
      </c>
    </row>
    <row r="293" spans="1:5" x14ac:dyDescent="0.35">
      <c r="A293" t="s">
        <v>82</v>
      </c>
      <c r="B293" t="s">
        <v>20</v>
      </c>
      <c r="C293">
        <v>3</v>
      </c>
      <c r="D293" t="s">
        <v>8</v>
      </c>
      <c r="E293">
        <v>0.15030892753422737</v>
      </c>
    </row>
    <row r="294" spans="1:5" x14ac:dyDescent="0.35">
      <c r="A294" t="s">
        <v>82</v>
      </c>
      <c r="B294" t="s">
        <v>21</v>
      </c>
      <c r="C294">
        <v>3</v>
      </c>
      <c r="D294" t="s">
        <v>8</v>
      </c>
      <c r="E294">
        <v>0.12861931266027141</v>
      </c>
    </row>
    <row r="295" spans="1:5" x14ac:dyDescent="0.35">
      <c r="A295" t="s">
        <v>82</v>
      </c>
      <c r="B295" t="s">
        <v>22</v>
      </c>
      <c r="C295">
        <v>3</v>
      </c>
      <c r="D295" t="s">
        <v>8</v>
      </c>
      <c r="E295">
        <v>1.7671921968211421</v>
      </c>
    </row>
    <row r="296" spans="1:5" x14ac:dyDescent="0.35">
      <c r="A296" t="s">
        <v>82</v>
      </c>
      <c r="B296" t="s">
        <v>23</v>
      </c>
      <c r="C296">
        <v>3</v>
      </c>
      <c r="D296" t="s">
        <v>8</v>
      </c>
      <c r="E296">
        <v>13.749747906159238</v>
      </c>
    </row>
    <row r="297" spans="1:5" x14ac:dyDescent="0.35">
      <c r="A297" t="s">
        <v>82</v>
      </c>
      <c r="B297" t="s">
        <v>24</v>
      </c>
      <c r="C297">
        <v>3</v>
      </c>
      <c r="D297" t="s">
        <v>8</v>
      </c>
      <c r="E297">
        <v>0</v>
      </c>
    </row>
    <row r="298" spans="1:5" x14ac:dyDescent="0.35">
      <c r="A298" t="s">
        <v>82</v>
      </c>
      <c r="B298" t="s">
        <v>26</v>
      </c>
      <c r="C298">
        <v>3</v>
      </c>
      <c r="D298" t="s">
        <v>8</v>
      </c>
      <c r="E298">
        <v>14.696919759461702</v>
      </c>
    </row>
    <row r="299" spans="1:5" x14ac:dyDescent="0.35">
      <c r="A299" t="s">
        <v>82</v>
      </c>
      <c r="B299" t="s">
        <v>27</v>
      </c>
      <c r="C299">
        <v>3</v>
      </c>
      <c r="D299" t="s">
        <v>8</v>
      </c>
      <c r="E299">
        <v>0</v>
      </c>
    </row>
    <row r="300" spans="1:5" x14ac:dyDescent="0.35">
      <c r="A300" t="s">
        <v>82</v>
      </c>
      <c r="B300" t="s">
        <v>28</v>
      </c>
      <c r="C300">
        <v>3</v>
      </c>
      <c r="D300" t="s">
        <v>8</v>
      </c>
      <c r="E300">
        <v>24.657854585026616</v>
      </c>
    </row>
    <row r="301" spans="1:5" x14ac:dyDescent="0.35">
      <c r="A301" t="s">
        <v>82</v>
      </c>
      <c r="B301" t="s">
        <v>29</v>
      </c>
      <c r="C301">
        <v>3</v>
      </c>
      <c r="D301" t="s">
        <v>8</v>
      </c>
      <c r="E301">
        <v>2.2626849343908049</v>
      </c>
    </row>
    <row r="302" spans="1:5" x14ac:dyDescent="0.35">
      <c r="A302" t="s">
        <v>82</v>
      </c>
      <c r="B302" t="s">
        <v>30</v>
      </c>
      <c r="C302">
        <v>3</v>
      </c>
      <c r="D302" t="s">
        <v>8</v>
      </c>
      <c r="E302">
        <v>0.13490363787017054</v>
      </c>
    </row>
    <row r="303" spans="1:5" x14ac:dyDescent="0.35">
      <c r="A303" t="s">
        <v>82</v>
      </c>
      <c r="B303" t="s">
        <v>31</v>
      </c>
      <c r="C303">
        <v>3</v>
      </c>
      <c r="D303" t="s">
        <v>8</v>
      </c>
      <c r="E303">
        <v>0.23106918572454133</v>
      </c>
    </row>
    <row r="304" spans="1:5" x14ac:dyDescent="0.35">
      <c r="A304" t="s">
        <v>82</v>
      </c>
      <c r="B304" t="s">
        <v>32</v>
      </c>
      <c r="C304">
        <v>3</v>
      </c>
      <c r="D304" t="s">
        <v>8</v>
      </c>
      <c r="E304">
        <v>0.11077870172274315</v>
      </c>
    </row>
    <row r="305" spans="1:5" x14ac:dyDescent="0.35">
      <c r="A305" t="s">
        <v>82</v>
      </c>
      <c r="B305" t="s">
        <v>33</v>
      </c>
      <c r="C305">
        <v>3</v>
      </c>
      <c r="D305" t="s">
        <v>8</v>
      </c>
      <c r="E305">
        <v>0</v>
      </c>
    </row>
    <row r="306" spans="1:5" x14ac:dyDescent="0.35">
      <c r="A306" t="s">
        <v>82</v>
      </c>
      <c r="B306" t="s">
        <v>34</v>
      </c>
      <c r="C306">
        <v>3</v>
      </c>
      <c r="D306" t="s">
        <v>8</v>
      </c>
      <c r="E306">
        <v>1.0347949798877618</v>
      </c>
    </row>
    <row r="307" spans="1:5" x14ac:dyDescent="0.35">
      <c r="A307" t="s">
        <v>82</v>
      </c>
      <c r="B307" t="s">
        <v>35</v>
      </c>
      <c r="C307">
        <v>3</v>
      </c>
      <c r="D307" t="s">
        <v>8</v>
      </c>
      <c r="E307">
        <v>0</v>
      </c>
    </row>
    <row r="308" spans="1:5" x14ac:dyDescent="0.35">
      <c r="A308" t="s">
        <v>82</v>
      </c>
      <c r="B308" t="s">
        <v>36</v>
      </c>
      <c r="C308">
        <v>3</v>
      </c>
      <c r="D308" t="s">
        <v>8</v>
      </c>
      <c r="E308">
        <v>0</v>
      </c>
    </row>
    <row r="309" spans="1:5" x14ac:dyDescent="0.35">
      <c r="A309" t="s">
        <v>82</v>
      </c>
      <c r="B309" t="s">
        <v>37</v>
      </c>
      <c r="C309">
        <v>3</v>
      </c>
      <c r="D309" t="s">
        <v>8</v>
      </c>
      <c r="E309">
        <v>2.1534778866789983</v>
      </c>
    </row>
    <row r="310" spans="1:5" x14ac:dyDescent="0.35">
      <c r="A310" t="s">
        <v>82</v>
      </c>
      <c r="B310" t="s">
        <v>38</v>
      </c>
      <c r="C310">
        <v>3</v>
      </c>
      <c r="D310" t="s">
        <v>8</v>
      </c>
      <c r="E310">
        <v>4.4221526363922799E-2</v>
      </c>
    </row>
    <row r="311" spans="1:5" x14ac:dyDescent="0.35">
      <c r="A311" t="s">
        <v>82</v>
      </c>
      <c r="B311" t="s">
        <v>39</v>
      </c>
      <c r="C311">
        <v>3</v>
      </c>
      <c r="D311" t="s">
        <v>8</v>
      </c>
      <c r="E311">
        <v>0</v>
      </c>
    </row>
    <row r="312" spans="1:5" x14ac:dyDescent="0.35">
      <c r="A312" t="s">
        <v>82</v>
      </c>
      <c r="B312" t="s">
        <v>40</v>
      </c>
      <c r="C312">
        <v>3</v>
      </c>
      <c r="D312" t="s">
        <v>8</v>
      </c>
      <c r="E312">
        <v>5.7972949807289764E-5</v>
      </c>
    </row>
    <row r="313" spans="1:5" x14ac:dyDescent="0.35">
      <c r="A313" t="s">
        <v>82</v>
      </c>
      <c r="B313" t="s">
        <v>41</v>
      </c>
      <c r="C313">
        <v>3</v>
      </c>
      <c r="D313" t="s">
        <v>8</v>
      </c>
      <c r="E313">
        <v>1.0216571936859719E-2</v>
      </c>
    </row>
    <row r="314" spans="1:5" x14ac:dyDescent="0.35">
      <c r="A314" t="s">
        <v>82</v>
      </c>
      <c r="B314" t="s">
        <v>42</v>
      </c>
      <c r="C314">
        <v>3</v>
      </c>
      <c r="D314" t="s">
        <v>8</v>
      </c>
      <c r="E314">
        <v>0.17094740105086909</v>
      </c>
    </row>
    <row r="315" spans="1:5" x14ac:dyDescent="0.35">
      <c r="A315" t="s">
        <v>82</v>
      </c>
      <c r="B315" t="s">
        <v>43</v>
      </c>
      <c r="C315">
        <v>3</v>
      </c>
      <c r="D315" t="s">
        <v>8</v>
      </c>
      <c r="E315">
        <v>0.64133437747882471</v>
      </c>
    </row>
    <row r="316" spans="1:5" x14ac:dyDescent="0.35">
      <c r="A316" t="s">
        <v>82</v>
      </c>
      <c r="B316" t="s">
        <v>44</v>
      </c>
      <c r="C316">
        <v>3</v>
      </c>
      <c r="D316" t="s">
        <v>8</v>
      </c>
      <c r="E316">
        <v>0</v>
      </c>
    </row>
    <row r="317" spans="1:5" x14ac:dyDescent="0.35">
      <c r="A317" t="s">
        <v>83</v>
      </c>
      <c r="B317" t="s">
        <v>6</v>
      </c>
      <c r="C317">
        <v>3</v>
      </c>
      <c r="D317" t="s">
        <v>71</v>
      </c>
      <c r="E317">
        <v>1.220449726387062E-3</v>
      </c>
    </row>
    <row r="318" spans="1:5" x14ac:dyDescent="0.35">
      <c r="A318" t="s">
        <v>83</v>
      </c>
      <c r="B318" t="s">
        <v>9</v>
      </c>
      <c r="C318">
        <v>3</v>
      </c>
      <c r="D318" t="s">
        <v>71</v>
      </c>
      <c r="E318">
        <v>2.8285254427580255E-2</v>
      </c>
    </row>
    <row r="319" spans="1:5" x14ac:dyDescent="0.35">
      <c r="A319" t="s">
        <v>83</v>
      </c>
      <c r="B319" t="s">
        <v>10</v>
      </c>
      <c r="C319">
        <v>3</v>
      </c>
      <c r="D319" t="s">
        <v>71</v>
      </c>
      <c r="E319" t="e">
        <v>#N/A</v>
      </c>
    </row>
    <row r="320" spans="1:5" x14ac:dyDescent="0.35">
      <c r="A320" t="s">
        <v>83</v>
      </c>
      <c r="B320" t="s">
        <v>11</v>
      </c>
      <c r="C320">
        <v>3</v>
      </c>
      <c r="D320" t="s">
        <v>71</v>
      </c>
      <c r="E320">
        <v>9.7658124417461176E-2</v>
      </c>
    </row>
    <row r="321" spans="1:5" x14ac:dyDescent="0.35">
      <c r="A321" t="s">
        <v>83</v>
      </c>
      <c r="B321" t="s">
        <v>12</v>
      </c>
      <c r="C321">
        <v>3</v>
      </c>
      <c r="D321" t="s">
        <v>71</v>
      </c>
      <c r="E321">
        <v>0.80047046708603808</v>
      </c>
    </row>
    <row r="322" spans="1:5" x14ac:dyDescent="0.35">
      <c r="A322" t="s">
        <v>83</v>
      </c>
      <c r="B322" t="s">
        <v>13</v>
      </c>
      <c r="C322">
        <v>3</v>
      </c>
      <c r="D322" t="s">
        <v>71</v>
      </c>
      <c r="E322">
        <v>2.1062750513227488</v>
      </c>
    </row>
    <row r="323" spans="1:5" x14ac:dyDescent="0.35">
      <c r="A323" t="s">
        <v>83</v>
      </c>
      <c r="B323" t="s">
        <v>14</v>
      </c>
      <c r="C323">
        <v>3</v>
      </c>
      <c r="D323" t="s">
        <v>71</v>
      </c>
      <c r="E323">
        <v>0</v>
      </c>
    </row>
    <row r="324" spans="1:5" x14ac:dyDescent="0.35">
      <c r="A324" t="s">
        <v>83</v>
      </c>
      <c r="B324" t="s">
        <v>16</v>
      </c>
      <c r="C324">
        <v>3</v>
      </c>
      <c r="D324" t="s">
        <v>71</v>
      </c>
      <c r="E324">
        <v>0.10887614722019266</v>
      </c>
    </row>
    <row r="325" spans="1:5" x14ac:dyDescent="0.35">
      <c r="A325" t="s">
        <v>83</v>
      </c>
      <c r="B325" t="s">
        <v>17</v>
      </c>
      <c r="C325">
        <v>3</v>
      </c>
      <c r="D325" t="s">
        <v>71</v>
      </c>
      <c r="E325">
        <v>0</v>
      </c>
    </row>
    <row r="326" spans="1:5" x14ac:dyDescent="0.35">
      <c r="A326" t="s">
        <v>83</v>
      </c>
      <c r="B326" t="s">
        <v>18</v>
      </c>
      <c r="C326">
        <v>3</v>
      </c>
      <c r="D326" t="s">
        <v>71</v>
      </c>
      <c r="E326">
        <v>31.566499482380777</v>
      </c>
    </row>
    <row r="327" spans="1:5" x14ac:dyDescent="0.35">
      <c r="A327" t="s">
        <v>83</v>
      </c>
      <c r="B327" t="s">
        <v>19</v>
      </c>
      <c r="C327">
        <v>3</v>
      </c>
      <c r="D327" t="s">
        <v>71</v>
      </c>
      <c r="E327">
        <v>6.5127713278435584</v>
      </c>
    </row>
    <row r="328" spans="1:5" x14ac:dyDescent="0.35">
      <c r="A328" t="s">
        <v>83</v>
      </c>
      <c r="B328" t="s">
        <v>20</v>
      </c>
      <c r="C328">
        <v>3</v>
      </c>
      <c r="D328" t="s">
        <v>71</v>
      </c>
      <c r="E328">
        <v>0.11228408697011483</v>
      </c>
    </row>
    <row r="329" spans="1:5" x14ac:dyDescent="0.35">
      <c r="A329" t="s">
        <v>83</v>
      </c>
      <c r="B329" t="s">
        <v>21</v>
      </c>
      <c r="C329">
        <v>3</v>
      </c>
      <c r="D329" t="s">
        <v>71</v>
      </c>
      <c r="E329">
        <v>0.14381205235167469</v>
      </c>
    </row>
    <row r="330" spans="1:5" x14ac:dyDescent="0.35">
      <c r="A330" t="s">
        <v>83</v>
      </c>
      <c r="B330" t="s">
        <v>22</v>
      </c>
      <c r="C330">
        <v>3</v>
      </c>
      <c r="D330" t="s">
        <v>71</v>
      </c>
      <c r="E330">
        <v>1.8869881999089055</v>
      </c>
    </row>
    <row r="331" spans="1:5" x14ac:dyDescent="0.35">
      <c r="A331" t="s">
        <v>83</v>
      </c>
      <c r="B331" t="s">
        <v>23</v>
      </c>
      <c r="C331">
        <v>3</v>
      </c>
      <c r="D331" t="s">
        <v>71</v>
      </c>
      <c r="E331">
        <v>13.284816932970012</v>
      </c>
    </row>
    <row r="332" spans="1:5" x14ac:dyDescent="0.35">
      <c r="A332" t="s">
        <v>83</v>
      </c>
      <c r="B332" t="s">
        <v>24</v>
      </c>
      <c r="C332">
        <v>3</v>
      </c>
      <c r="D332" t="s">
        <v>71</v>
      </c>
      <c r="E332">
        <v>0</v>
      </c>
    </row>
    <row r="333" spans="1:5" x14ac:dyDescent="0.35">
      <c r="A333" t="s">
        <v>83</v>
      </c>
      <c r="B333" t="s">
        <v>26</v>
      </c>
      <c r="C333">
        <v>3</v>
      </c>
      <c r="D333" t="s">
        <v>71</v>
      </c>
      <c r="E333">
        <v>13.080927048277024</v>
      </c>
    </row>
    <row r="334" spans="1:5" x14ac:dyDescent="0.35">
      <c r="A334" t="s">
        <v>83</v>
      </c>
      <c r="B334" t="s">
        <v>27</v>
      </c>
      <c r="C334">
        <v>3</v>
      </c>
      <c r="D334" t="s">
        <v>71</v>
      </c>
      <c r="E334">
        <v>1.0802808611173995</v>
      </c>
    </row>
    <row r="335" spans="1:5" x14ac:dyDescent="0.35">
      <c r="A335" t="s">
        <v>83</v>
      </c>
      <c r="B335" t="s">
        <v>28</v>
      </c>
      <c r="C335">
        <v>3</v>
      </c>
      <c r="D335" t="s">
        <v>71</v>
      </c>
      <c r="E335">
        <v>22.761237133452006</v>
      </c>
    </row>
    <row r="336" spans="1:5" x14ac:dyDescent="0.35">
      <c r="A336" t="s">
        <v>83</v>
      </c>
      <c r="B336" t="s">
        <v>29</v>
      </c>
      <c r="C336">
        <v>3</v>
      </c>
      <c r="D336" t="s">
        <v>71</v>
      </c>
      <c r="E336">
        <v>2.2074768193061653</v>
      </c>
    </row>
    <row r="337" spans="1:5" x14ac:dyDescent="0.35">
      <c r="A337" t="s">
        <v>83</v>
      </c>
      <c r="B337" t="s">
        <v>30</v>
      </c>
      <c r="C337">
        <v>3</v>
      </c>
      <c r="D337" t="s">
        <v>71</v>
      </c>
      <c r="E337">
        <v>0.18648838613324059</v>
      </c>
    </row>
    <row r="338" spans="1:5" x14ac:dyDescent="0.35">
      <c r="A338" t="s">
        <v>83</v>
      </c>
      <c r="B338" t="s">
        <v>31</v>
      </c>
      <c r="C338">
        <v>3</v>
      </c>
      <c r="D338" t="s">
        <v>71</v>
      </c>
      <c r="E338">
        <v>0.20352800122131268</v>
      </c>
    </row>
    <row r="339" spans="1:5" x14ac:dyDescent="0.35">
      <c r="A339" t="s">
        <v>83</v>
      </c>
      <c r="B339" t="s">
        <v>32</v>
      </c>
      <c r="C339">
        <v>3</v>
      </c>
      <c r="D339" t="s">
        <v>71</v>
      </c>
      <c r="E339">
        <v>0.13443924444537581</v>
      </c>
    </row>
    <row r="340" spans="1:5" x14ac:dyDescent="0.35">
      <c r="A340" t="s">
        <v>83</v>
      </c>
      <c r="B340" t="s">
        <v>33</v>
      </c>
      <c r="C340">
        <v>3</v>
      </c>
      <c r="D340" t="s">
        <v>71</v>
      </c>
      <c r="E340">
        <v>2.8817022254100905E-2</v>
      </c>
    </row>
    <row r="341" spans="1:5" x14ac:dyDescent="0.35">
      <c r="A341" t="s">
        <v>83</v>
      </c>
      <c r="B341" t="s">
        <v>34</v>
      </c>
      <c r="C341">
        <v>3</v>
      </c>
      <c r="D341" t="s">
        <v>71</v>
      </c>
      <c r="E341">
        <v>0.77077660881727172</v>
      </c>
    </row>
    <row r="342" spans="1:5" x14ac:dyDescent="0.35">
      <c r="A342" t="s">
        <v>83</v>
      </c>
      <c r="B342" t="s">
        <v>35</v>
      </c>
      <c r="C342">
        <v>3</v>
      </c>
      <c r="D342" t="s">
        <v>71</v>
      </c>
      <c r="E342" t="e">
        <v>#N/A</v>
      </c>
    </row>
    <row r="343" spans="1:5" x14ac:dyDescent="0.35">
      <c r="A343" t="s">
        <v>83</v>
      </c>
      <c r="B343" t="s">
        <v>36</v>
      </c>
      <c r="C343">
        <v>3</v>
      </c>
      <c r="D343" t="s">
        <v>71</v>
      </c>
      <c r="E343">
        <v>0</v>
      </c>
    </row>
    <row r="344" spans="1:5" x14ac:dyDescent="0.35">
      <c r="A344" t="s">
        <v>83</v>
      </c>
      <c r="B344" t="s">
        <v>37</v>
      </c>
      <c r="C344">
        <v>3</v>
      </c>
      <c r="D344" t="s">
        <v>71</v>
      </c>
      <c r="E344">
        <v>2.0162088597529206</v>
      </c>
    </row>
    <row r="345" spans="1:5" x14ac:dyDescent="0.35">
      <c r="A345" t="s">
        <v>83</v>
      </c>
      <c r="B345" t="s">
        <v>38</v>
      </c>
      <c r="C345">
        <v>3</v>
      </c>
      <c r="D345" t="s">
        <v>71</v>
      </c>
      <c r="E345">
        <v>1.0891107796985324E-2</v>
      </c>
    </row>
    <row r="346" spans="1:5" x14ac:dyDescent="0.35">
      <c r="A346" t="s">
        <v>83</v>
      </c>
      <c r="B346" t="s">
        <v>39</v>
      </c>
      <c r="C346">
        <v>3</v>
      </c>
      <c r="D346" t="s">
        <v>71</v>
      </c>
      <c r="E346">
        <v>0</v>
      </c>
    </row>
    <row r="347" spans="1:5" x14ac:dyDescent="0.35">
      <c r="A347" t="s">
        <v>83</v>
      </c>
      <c r="B347" t="s">
        <v>40</v>
      </c>
      <c r="C347">
        <v>3</v>
      </c>
      <c r="D347" t="s">
        <v>71</v>
      </c>
      <c r="E347">
        <v>3.1999167054309835E-5</v>
      </c>
    </row>
    <row r="348" spans="1:5" x14ac:dyDescent="0.35">
      <c r="A348" t="s">
        <v>83</v>
      </c>
      <c r="B348" t="s">
        <v>41</v>
      </c>
      <c r="C348">
        <v>3</v>
      </c>
      <c r="D348" t="s">
        <v>71</v>
      </c>
      <c r="E348">
        <v>5.4608862469611233E-3</v>
      </c>
    </row>
    <row r="349" spans="1:5" x14ac:dyDescent="0.35">
      <c r="A349" t="s">
        <v>83</v>
      </c>
      <c r="B349" t="s">
        <v>42</v>
      </c>
      <c r="C349">
        <v>3</v>
      </c>
      <c r="D349" t="s">
        <v>71</v>
      </c>
      <c r="E349">
        <v>0.11678050036911572</v>
      </c>
    </row>
    <row r="350" spans="1:5" x14ac:dyDescent="0.35">
      <c r="A350" t="s">
        <v>83</v>
      </c>
      <c r="B350" t="s">
        <v>43</v>
      </c>
      <c r="C350">
        <v>3</v>
      </c>
      <c r="D350" t="s">
        <v>71</v>
      </c>
      <c r="E350">
        <v>0.746697945017607</v>
      </c>
    </row>
    <row r="351" spans="1:5" x14ac:dyDescent="0.35">
      <c r="A351" t="s">
        <v>83</v>
      </c>
      <c r="B351" t="s">
        <v>44</v>
      </c>
      <c r="C351">
        <v>3</v>
      </c>
      <c r="D351" t="s">
        <v>71</v>
      </c>
      <c r="E351">
        <v>0</v>
      </c>
    </row>
    <row r="352" spans="1:5" x14ac:dyDescent="0.35">
      <c r="A352" t="s">
        <v>84</v>
      </c>
      <c r="B352" t="s">
        <v>6</v>
      </c>
      <c r="C352">
        <v>3</v>
      </c>
      <c r="D352" t="s">
        <v>55</v>
      </c>
      <c r="E352">
        <v>2.0820738523860904E-3</v>
      </c>
    </row>
    <row r="353" spans="1:5" x14ac:dyDescent="0.35">
      <c r="A353" t="s">
        <v>84</v>
      </c>
      <c r="B353" t="s">
        <v>9</v>
      </c>
      <c r="C353">
        <v>3</v>
      </c>
      <c r="D353" t="s">
        <v>55</v>
      </c>
      <c r="E353">
        <v>2.4553812299351441E-2</v>
      </c>
    </row>
    <row r="354" spans="1:5" x14ac:dyDescent="0.35">
      <c r="A354" t="s">
        <v>84</v>
      </c>
      <c r="B354" t="s">
        <v>10</v>
      </c>
      <c r="C354">
        <v>3</v>
      </c>
      <c r="D354" t="s">
        <v>55</v>
      </c>
      <c r="E354">
        <v>0</v>
      </c>
    </row>
    <row r="355" spans="1:5" x14ac:dyDescent="0.35">
      <c r="A355" t="s">
        <v>84</v>
      </c>
      <c r="B355" t="s">
        <v>11</v>
      </c>
      <c r="C355">
        <v>3</v>
      </c>
      <c r="D355" t="s">
        <v>55</v>
      </c>
      <c r="E355">
        <v>0.12883478541330812</v>
      </c>
    </row>
    <row r="356" spans="1:5" x14ac:dyDescent="0.35">
      <c r="A356" t="s">
        <v>84</v>
      </c>
      <c r="B356" t="s">
        <v>12</v>
      </c>
      <c r="C356">
        <v>3</v>
      </c>
      <c r="D356" t="s">
        <v>55</v>
      </c>
      <c r="E356">
        <v>0.79740461017029618</v>
      </c>
    </row>
    <row r="357" spans="1:5" x14ac:dyDescent="0.35">
      <c r="A357" t="s">
        <v>84</v>
      </c>
      <c r="B357" t="s">
        <v>13</v>
      </c>
      <c r="C357">
        <v>3</v>
      </c>
      <c r="D357" t="s">
        <v>55</v>
      </c>
      <c r="E357">
        <v>2.4114500985994467</v>
      </c>
    </row>
    <row r="358" spans="1:5" x14ac:dyDescent="0.35">
      <c r="A358" t="s">
        <v>84</v>
      </c>
      <c r="B358" t="s">
        <v>14</v>
      </c>
      <c r="C358">
        <v>3</v>
      </c>
      <c r="D358" t="s">
        <v>55</v>
      </c>
      <c r="E358">
        <v>0</v>
      </c>
    </row>
    <row r="359" spans="1:5" x14ac:dyDescent="0.35">
      <c r="A359" t="s">
        <v>84</v>
      </c>
      <c r="B359" t="s">
        <v>16</v>
      </c>
      <c r="C359">
        <v>3</v>
      </c>
      <c r="D359" t="s">
        <v>55</v>
      </c>
      <c r="E359">
        <v>0.15352618189789441</v>
      </c>
    </row>
    <row r="360" spans="1:5" x14ac:dyDescent="0.35">
      <c r="A360" t="s">
        <v>84</v>
      </c>
      <c r="B360" t="s">
        <v>17</v>
      </c>
      <c r="C360">
        <v>3</v>
      </c>
      <c r="D360" t="s">
        <v>55</v>
      </c>
      <c r="E360">
        <v>0</v>
      </c>
    </row>
    <row r="361" spans="1:5" x14ac:dyDescent="0.35">
      <c r="A361" t="s">
        <v>84</v>
      </c>
      <c r="B361" t="s">
        <v>18</v>
      </c>
      <c r="C361">
        <v>3</v>
      </c>
      <c r="D361" t="s">
        <v>55</v>
      </c>
      <c r="E361">
        <v>38.371935214257732</v>
      </c>
    </row>
    <row r="362" spans="1:5" x14ac:dyDescent="0.35">
      <c r="A362" t="s">
        <v>84</v>
      </c>
      <c r="B362" t="s">
        <v>19</v>
      </c>
      <c r="C362">
        <v>3</v>
      </c>
      <c r="D362" t="s">
        <v>55</v>
      </c>
      <c r="E362">
        <v>7.5881018093750336</v>
      </c>
    </row>
    <row r="363" spans="1:5" x14ac:dyDescent="0.35">
      <c r="A363" t="s">
        <v>84</v>
      </c>
      <c r="B363" t="s">
        <v>20</v>
      </c>
      <c r="C363">
        <v>3</v>
      </c>
      <c r="D363" t="s">
        <v>55</v>
      </c>
      <c r="E363">
        <v>0.12291728165134215</v>
      </c>
    </row>
    <row r="364" spans="1:5" x14ac:dyDescent="0.35">
      <c r="A364" t="s">
        <v>84</v>
      </c>
      <c r="B364" t="s">
        <v>21</v>
      </c>
      <c r="C364">
        <v>3</v>
      </c>
      <c r="D364" t="s">
        <v>55</v>
      </c>
      <c r="E364">
        <v>0</v>
      </c>
    </row>
    <row r="365" spans="1:5" x14ac:dyDescent="0.35">
      <c r="A365" t="s">
        <v>84</v>
      </c>
      <c r="B365" t="s">
        <v>22</v>
      </c>
      <c r="C365">
        <v>3</v>
      </c>
      <c r="D365" t="s">
        <v>55</v>
      </c>
      <c r="E365">
        <v>1.215781873608841</v>
      </c>
    </row>
    <row r="366" spans="1:5" x14ac:dyDescent="0.35">
      <c r="A366" t="s">
        <v>84</v>
      </c>
      <c r="B366" t="s">
        <v>23</v>
      </c>
      <c r="C366">
        <v>3</v>
      </c>
      <c r="D366" t="s">
        <v>55</v>
      </c>
      <c r="E366">
        <v>16.161364021625278</v>
      </c>
    </row>
    <row r="367" spans="1:5" x14ac:dyDescent="0.35">
      <c r="A367" t="s">
        <v>84</v>
      </c>
      <c r="B367" t="s">
        <v>24</v>
      </c>
      <c r="C367">
        <v>3</v>
      </c>
      <c r="D367" t="s">
        <v>55</v>
      </c>
      <c r="E367">
        <v>0</v>
      </c>
    </row>
    <row r="368" spans="1:5" x14ac:dyDescent="0.35">
      <c r="A368" t="s">
        <v>84</v>
      </c>
      <c r="B368" t="s">
        <v>26</v>
      </c>
      <c r="C368">
        <v>3</v>
      </c>
      <c r="D368" t="s">
        <v>55</v>
      </c>
      <c r="E368">
        <v>0</v>
      </c>
    </row>
    <row r="369" spans="1:5" x14ac:dyDescent="0.35">
      <c r="A369" t="s">
        <v>84</v>
      </c>
      <c r="B369" t="s">
        <v>27</v>
      </c>
      <c r="C369">
        <v>3</v>
      </c>
      <c r="D369" t="s">
        <v>55</v>
      </c>
      <c r="E369">
        <v>1.2362022507387831</v>
      </c>
    </row>
    <row r="370" spans="1:5" x14ac:dyDescent="0.35">
      <c r="A370" t="s">
        <v>84</v>
      </c>
      <c r="B370" t="s">
        <v>28</v>
      </c>
      <c r="C370">
        <v>3</v>
      </c>
      <c r="D370" t="s">
        <v>55</v>
      </c>
      <c r="E370">
        <v>25.006893325777092</v>
      </c>
    </row>
    <row r="371" spans="1:5" x14ac:dyDescent="0.35">
      <c r="A371" t="s">
        <v>84</v>
      </c>
      <c r="B371" t="s">
        <v>29</v>
      </c>
      <c r="C371">
        <v>3</v>
      </c>
      <c r="D371" t="s">
        <v>55</v>
      </c>
      <c r="E371">
        <v>2.3083469086848925</v>
      </c>
    </row>
    <row r="372" spans="1:5" x14ac:dyDescent="0.35">
      <c r="A372" t="s">
        <v>84</v>
      </c>
      <c r="B372" t="s">
        <v>30</v>
      </c>
      <c r="C372">
        <v>3</v>
      </c>
      <c r="D372" t="s">
        <v>55</v>
      </c>
      <c r="E372">
        <v>0.13082013041063209</v>
      </c>
    </row>
    <row r="373" spans="1:5" x14ac:dyDescent="0.35">
      <c r="A373" t="s">
        <v>84</v>
      </c>
      <c r="B373" t="s">
        <v>31</v>
      </c>
      <c r="C373">
        <v>3</v>
      </c>
      <c r="D373" t="s">
        <v>55</v>
      </c>
      <c r="E373">
        <v>0.23533880395905465</v>
      </c>
    </row>
    <row r="374" spans="1:5" x14ac:dyDescent="0.35">
      <c r="A374" t="s">
        <v>84</v>
      </c>
      <c r="B374" t="s">
        <v>32</v>
      </c>
      <c r="C374">
        <v>3</v>
      </c>
      <c r="D374" t="s">
        <v>55</v>
      </c>
      <c r="E374">
        <v>0.14666467602688935</v>
      </c>
    </row>
    <row r="375" spans="1:5" x14ac:dyDescent="0.35">
      <c r="A375" t="s">
        <v>84</v>
      </c>
      <c r="B375" t="s">
        <v>33</v>
      </c>
      <c r="C375">
        <v>3</v>
      </c>
      <c r="D375" t="s">
        <v>55</v>
      </c>
      <c r="E375">
        <v>3.0549632057107614E-2</v>
      </c>
    </row>
    <row r="376" spans="1:5" x14ac:dyDescent="0.35">
      <c r="A376" t="s">
        <v>84</v>
      </c>
      <c r="B376" t="s">
        <v>34</v>
      </c>
      <c r="C376">
        <v>3</v>
      </c>
      <c r="D376" t="s">
        <v>55</v>
      </c>
      <c r="E376">
        <v>0.8709780039015026</v>
      </c>
    </row>
    <row r="377" spans="1:5" x14ac:dyDescent="0.35">
      <c r="A377" t="s">
        <v>84</v>
      </c>
      <c r="B377" t="s">
        <v>35</v>
      </c>
      <c r="C377">
        <v>3</v>
      </c>
      <c r="D377" t="s">
        <v>55</v>
      </c>
      <c r="E377">
        <v>2.1681820664959984E-2</v>
      </c>
    </row>
    <row r="378" spans="1:5" x14ac:dyDescent="0.35">
      <c r="A378" t="s">
        <v>84</v>
      </c>
      <c r="B378" t="s">
        <v>36</v>
      </c>
      <c r="C378">
        <v>3</v>
      </c>
      <c r="D378" t="s">
        <v>55</v>
      </c>
      <c r="E378">
        <v>0</v>
      </c>
    </row>
    <row r="379" spans="1:5" x14ac:dyDescent="0.35">
      <c r="A379" t="s">
        <v>84</v>
      </c>
      <c r="B379" t="s">
        <v>37</v>
      </c>
      <c r="C379">
        <v>3</v>
      </c>
      <c r="D379" t="s">
        <v>55</v>
      </c>
      <c r="E379">
        <v>1.9232734553565323</v>
      </c>
    </row>
    <row r="380" spans="1:5" x14ac:dyDescent="0.35">
      <c r="A380" t="s">
        <v>84</v>
      </c>
      <c r="B380" t="s">
        <v>38</v>
      </c>
      <c r="C380">
        <v>3</v>
      </c>
      <c r="D380" t="s">
        <v>55</v>
      </c>
      <c r="E380">
        <v>7.2918371909086802E-2</v>
      </c>
    </row>
    <row r="381" spans="1:5" x14ac:dyDescent="0.35">
      <c r="A381" t="s">
        <v>84</v>
      </c>
      <c r="B381" t="s">
        <v>39</v>
      </c>
      <c r="C381">
        <v>3</v>
      </c>
      <c r="D381" t="s">
        <v>55</v>
      </c>
      <c r="E381">
        <v>9.410200025566974E-2</v>
      </c>
    </row>
    <row r="382" spans="1:5" x14ac:dyDescent="0.35">
      <c r="A382" t="s">
        <v>84</v>
      </c>
      <c r="B382" t="s">
        <v>40</v>
      </c>
      <c r="C382">
        <v>3</v>
      </c>
      <c r="D382" t="s">
        <v>55</v>
      </c>
      <c r="E382">
        <v>6.0154570712607646E-5</v>
      </c>
    </row>
    <row r="383" spans="1:5" x14ac:dyDescent="0.35">
      <c r="A383" t="s">
        <v>84</v>
      </c>
      <c r="B383" t="s">
        <v>41</v>
      </c>
      <c r="C383">
        <v>3</v>
      </c>
      <c r="D383" t="s">
        <v>55</v>
      </c>
      <c r="E383">
        <v>5.0721541310413988E-3</v>
      </c>
    </row>
    <row r="384" spans="1:5" x14ac:dyDescent="0.35">
      <c r="A384" t="s">
        <v>84</v>
      </c>
      <c r="B384" t="s">
        <v>42</v>
      </c>
      <c r="C384">
        <v>3</v>
      </c>
      <c r="D384" t="s">
        <v>55</v>
      </c>
      <c r="E384">
        <v>0.11319960450662171</v>
      </c>
    </row>
    <row r="385" spans="1:5" x14ac:dyDescent="0.35">
      <c r="A385" t="s">
        <v>84</v>
      </c>
      <c r="B385" t="s">
        <v>43</v>
      </c>
      <c r="C385">
        <v>3</v>
      </c>
      <c r="D385" t="s">
        <v>55</v>
      </c>
      <c r="E385">
        <v>0.82594694429852578</v>
      </c>
    </row>
    <row r="386" spans="1:5" x14ac:dyDescent="0.35">
      <c r="A386" t="s">
        <v>84</v>
      </c>
      <c r="B386" t="s">
        <v>44</v>
      </c>
      <c r="C386">
        <v>3</v>
      </c>
      <c r="D386" t="s">
        <v>55</v>
      </c>
      <c r="E386">
        <v>0</v>
      </c>
    </row>
    <row r="387" spans="1:5" x14ac:dyDescent="0.35">
      <c r="A387" t="s">
        <v>85</v>
      </c>
      <c r="B387" t="s">
        <v>6</v>
      </c>
      <c r="C387">
        <v>3</v>
      </c>
      <c r="D387" t="s">
        <v>72</v>
      </c>
      <c r="E387">
        <v>1.6962162983066606E-3</v>
      </c>
    </row>
    <row r="388" spans="1:5" x14ac:dyDescent="0.35">
      <c r="A388" t="s">
        <v>85</v>
      </c>
      <c r="B388" t="s">
        <v>9</v>
      </c>
      <c r="C388">
        <v>3</v>
      </c>
      <c r="D388" t="s">
        <v>72</v>
      </c>
      <c r="E388">
        <v>0</v>
      </c>
    </row>
    <row r="389" spans="1:5" x14ac:dyDescent="0.35">
      <c r="A389" t="s">
        <v>85</v>
      </c>
      <c r="B389" t="s">
        <v>10</v>
      </c>
      <c r="C389">
        <v>3</v>
      </c>
      <c r="D389" t="s">
        <v>72</v>
      </c>
      <c r="E389" t="e">
        <v>#N/A</v>
      </c>
    </row>
    <row r="390" spans="1:5" x14ac:dyDescent="0.35">
      <c r="A390" t="s">
        <v>85</v>
      </c>
      <c r="B390" t="s">
        <v>11</v>
      </c>
      <c r="C390">
        <v>3</v>
      </c>
      <c r="D390" t="s">
        <v>72</v>
      </c>
      <c r="E390">
        <v>7.6809733607867484E-2</v>
      </c>
    </row>
    <row r="391" spans="1:5" x14ac:dyDescent="0.35">
      <c r="A391" t="s">
        <v>85</v>
      </c>
      <c r="B391" t="s">
        <v>12</v>
      </c>
      <c r="C391">
        <v>3</v>
      </c>
      <c r="D391" t="s">
        <v>72</v>
      </c>
      <c r="E391">
        <v>0.57167485369857152</v>
      </c>
    </row>
    <row r="392" spans="1:5" x14ac:dyDescent="0.35">
      <c r="A392" t="s">
        <v>85</v>
      </c>
      <c r="B392" t="s">
        <v>13</v>
      </c>
      <c r="C392">
        <v>3</v>
      </c>
      <c r="D392" t="s">
        <v>72</v>
      </c>
      <c r="E392">
        <v>1.247870754435741</v>
      </c>
    </row>
    <row r="393" spans="1:5" x14ac:dyDescent="0.35">
      <c r="A393" t="s">
        <v>85</v>
      </c>
      <c r="B393" t="s">
        <v>14</v>
      </c>
      <c r="C393">
        <v>3</v>
      </c>
      <c r="D393" t="s">
        <v>72</v>
      </c>
      <c r="E393">
        <v>0</v>
      </c>
    </row>
    <row r="394" spans="1:5" x14ac:dyDescent="0.35">
      <c r="A394" t="s">
        <v>85</v>
      </c>
      <c r="B394" t="s">
        <v>16</v>
      </c>
      <c r="C394">
        <v>3</v>
      </c>
      <c r="D394" t="s">
        <v>72</v>
      </c>
      <c r="E394">
        <v>9.9514075618140962E-2</v>
      </c>
    </row>
    <row r="395" spans="1:5" x14ac:dyDescent="0.35">
      <c r="A395" t="s">
        <v>85</v>
      </c>
      <c r="B395" t="s">
        <v>17</v>
      </c>
      <c r="C395">
        <v>3</v>
      </c>
      <c r="D395" t="s">
        <v>72</v>
      </c>
      <c r="E395">
        <v>1.975374133352311E-2</v>
      </c>
    </row>
    <row r="396" spans="1:5" x14ac:dyDescent="0.35">
      <c r="A396" t="s">
        <v>85</v>
      </c>
      <c r="B396" t="s">
        <v>18</v>
      </c>
      <c r="C396">
        <v>3</v>
      </c>
      <c r="D396" t="s">
        <v>72</v>
      </c>
      <c r="E396">
        <v>34.578961489630643</v>
      </c>
    </row>
    <row r="397" spans="1:5" x14ac:dyDescent="0.35">
      <c r="A397" t="s">
        <v>85</v>
      </c>
      <c r="B397" t="s">
        <v>19</v>
      </c>
      <c r="C397">
        <v>3</v>
      </c>
      <c r="D397" t="s">
        <v>72</v>
      </c>
      <c r="E397">
        <v>3.671030651571173</v>
      </c>
    </row>
    <row r="398" spans="1:5" x14ac:dyDescent="0.35">
      <c r="A398" t="s">
        <v>85</v>
      </c>
      <c r="B398" t="s">
        <v>20</v>
      </c>
      <c r="C398">
        <v>3</v>
      </c>
      <c r="D398" t="s">
        <v>72</v>
      </c>
      <c r="E398">
        <v>0.18455138968834195</v>
      </c>
    </row>
    <row r="399" spans="1:5" x14ac:dyDescent="0.35">
      <c r="A399" t="s">
        <v>85</v>
      </c>
      <c r="B399" t="s">
        <v>21</v>
      </c>
      <c r="C399">
        <v>3</v>
      </c>
      <c r="D399" t="s">
        <v>72</v>
      </c>
      <c r="E399">
        <v>0.19590879949626058</v>
      </c>
    </row>
    <row r="400" spans="1:5" x14ac:dyDescent="0.35">
      <c r="A400" t="s">
        <v>85</v>
      </c>
      <c r="B400" t="s">
        <v>22</v>
      </c>
      <c r="C400">
        <v>3</v>
      </c>
      <c r="D400" t="s">
        <v>72</v>
      </c>
      <c r="E400">
        <v>2.0598865926865897</v>
      </c>
    </row>
    <row r="401" spans="1:5" x14ac:dyDescent="0.35">
      <c r="A401" t="s">
        <v>85</v>
      </c>
      <c r="B401" t="s">
        <v>23</v>
      </c>
      <c r="C401">
        <v>3</v>
      </c>
      <c r="D401" t="s">
        <v>72</v>
      </c>
      <c r="E401">
        <v>13.404588175523108</v>
      </c>
    </row>
    <row r="402" spans="1:5" x14ac:dyDescent="0.35">
      <c r="A402" t="s">
        <v>85</v>
      </c>
      <c r="B402" t="s">
        <v>24</v>
      </c>
      <c r="C402">
        <v>3</v>
      </c>
      <c r="D402" t="s">
        <v>72</v>
      </c>
      <c r="E402">
        <v>1.8828987495041371E-2</v>
      </c>
    </row>
    <row r="403" spans="1:5" x14ac:dyDescent="0.35">
      <c r="A403" t="s">
        <v>85</v>
      </c>
      <c r="B403" t="s">
        <v>26</v>
      </c>
      <c r="C403">
        <v>3</v>
      </c>
      <c r="D403" t="s">
        <v>72</v>
      </c>
      <c r="E403">
        <v>12.629282894088151</v>
      </c>
    </row>
    <row r="404" spans="1:5" x14ac:dyDescent="0.35">
      <c r="A404" t="s">
        <v>85</v>
      </c>
      <c r="B404" t="s">
        <v>27</v>
      </c>
      <c r="C404">
        <v>3</v>
      </c>
      <c r="D404" t="s">
        <v>72</v>
      </c>
      <c r="E404">
        <v>0</v>
      </c>
    </row>
    <row r="405" spans="1:5" x14ac:dyDescent="0.35">
      <c r="A405" t="s">
        <v>85</v>
      </c>
      <c r="B405" t="s">
        <v>28</v>
      </c>
      <c r="C405">
        <v>3</v>
      </c>
      <c r="D405" t="s">
        <v>72</v>
      </c>
      <c r="E405">
        <v>25.455529317458904</v>
      </c>
    </row>
    <row r="406" spans="1:5" x14ac:dyDescent="0.35">
      <c r="A406" t="s">
        <v>85</v>
      </c>
      <c r="B406" t="s">
        <v>29</v>
      </c>
      <c r="C406">
        <v>3</v>
      </c>
      <c r="D406" t="s">
        <v>72</v>
      </c>
      <c r="E406">
        <v>2.3791597224047814</v>
      </c>
    </row>
    <row r="407" spans="1:5" x14ac:dyDescent="0.35">
      <c r="A407" t="s">
        <v>85</v>
      </c>
      <c r="B407" t="s">
        <v>30</v>
      </c>
      <c r="C407">
        <v>3</v>
      </c>
      <c r="D407" t="s">
        <v>72</v>
      </c>
      <c r="E407">
        <v>0.14319056105143807</v>
      </c>
    </row>
    <row r="408" spans="1:5" x14ac:dyDescent="0.35">
      <c r="A408" t="s">
        <v>85</v>
      </c>
      <c r="B408" t="s">
        <v>31</v>
      </c>
      <c r="C408">
        <v>3</v>
      </c>
      <c r="D408" t="s">
        <v>72</v>
      </c>
      <c r="E408">
        <v>0.22287836323485699</v>
      </c>
    </row>
    <row r="409" spans="1:5" x14ac:dyDescent="0.35">
      <c r="A409" t="s">
        <v>85</v>
      </c>
      <c r="B409" t="s">
        <v>32</v>
      </c>
      <c r="C409">
        <v>3</v>
      </c>
      <c r="D409" t="s">
        <v>72</v>
      </c>
      <c r="E409">
        <v>5.8812281925789148E-2</v>
      </c>
    </row>
    <row r="410" spans="1:5" x14ac:dyDescent="0.35">
      <c r="A410" t="s">
        <v>85</v>
      </c>
      <c r="B410" t="s">
        <v>33</v>
      </c>
      <c r="C410">
        <v>3</v>
      </c>
      <c r="D410" t="s">
        <v>72</v>
      </c>
      <c r="E410">
        <v>0</v>
      </c>
    </row>
    <row r="411" spans="1:5" x14ac:dyDescent="0.35">
      <c r="A411" t="s">
        <v>85</v>
      </c>
      <c r="B411" t="s">
        <v>34</v>
      </c>
      <c r="C411">
        <v>3</v>
      </c>
      <c r="D411" t="s">
        <v>72</v>
      </c>
      <c r="E411">
        <v>0.38332017785481781</v>
      </c>
    </row>
    <row r="412" spans="1:5" x14ac:dyDescent="0.35">
      <c r="A412" t="s">
        <v>85</v>
      </c>
      <c r="B412" t="s">
        <v>35</v>
      </c>
      <c r="C412">
        <v>3</v>
      </c>
      <c r="D412" t="s">
        <v>72</v>
      </c>
      <c r="E412">
        <v>2.1469544560091088E-2</v>
      </c>
    </row>
    <row r="413" spans="1:5" x14ac:dyDescent="0.35">
      <c r="A413" t="s">
        <v>85</v>
      </c>
      <c r="B413" t="s">
        <v>36</v>
      </c>
      <c r="C413">
        <v>3</v>
      </c>
      <c r="D413" t="s">
        <v>72</v>
      </c>
      <c r="E413">
        <v>0</v>
      </c>
    </row>
    <row r="414" spans="1:5" x14ac:dyDescent="0.35">
      <c r="A414" t="s">
        <v>85</v>
      </c>
      <c r="B414" t="s">
        <v>37</v>
      </c>
      <c r="C414">
        <v>3</v>
      </c>
      <c r="D414" t="s">
        <v>72</v>
      </c>
      <c r="E414">
        <v>1.3391447870199427</v>
      </c>
    </row>
    <row r="415" spans="1:5" x14ac:dyDescent="0.35">
      <c r="A415" t="s">
        <v>85</v>
      </c>
      <c r="B415" t="s">
        <v>38</v>
      </c>
      <c r="C415">
        <v>3</v>
      </c>
      <c r="D415" t="s">
        <v>72</v>
      </c>
      <c r="E415">
        <v>4.3997435433814902E-2</v>
      </c>
    </row>
    <row r="416" spans="1:5" x14ac:dyDescent="0.35">
      <c r="A416" t="s">
        <v>85</v>
      </c>
      <c r="B416" t="s">
        <v>39</v>
      </c>
      <c r="C416">
        <v>3</v>
      </c>
      <c r="D416" t="s">
        <v>72</v>
      </c>
      <c r="E416">
        <v>0.29681507097672177</v>
      </c>
    </row>
    <row r="417" spans="1:5" x14ac:dyDescent="0.35">
      <c r="A417" t="s">
        <v>85</v>
      </c>
      <c r="B417" t="s">
        <v>40</v>
      </c>
      <c r="C417">
        <v>3</v>
      </c>
      <c r="D417" t="s">
        <v>72</v>
      </c>
      <c r="E417">
        <v>4.6151826029258577E-5</v>
      </c>
    </row>
    <row r="418" spans="1:5" x14ac:dyDescent="0.35">
      <c r="A418" t="s">
        <v>85</v>
      </c>
      <c r="B418" t="s">
        <v>41</v>
      </c>
      <c r="C418">
        <v>3</v>
      </c>
      <c r="D418" t="s">
        <v>72</v>
      </c>
      <c r="E418">
        <v>8.4608931742757745E-4</v>
      </c>
    </row>
    <row r="419" spans="1:5" x14ac:dyDescent="0.35">
      <c r="A419" t="s">
        <v>85</v>
      </c>
      <c r="B419" t="s">
        <v>42</v>
      </c>
      <c r="C419">
        <v>3</v>
      </c>
      <c r="D419" t="s">
        <v>72</v>
      </c>
      <c r="E419">
        <v>6.9103550850614356E-2</v>
      </c>
    </row>
    <row r="420" spans="1:5" x14ac:dyDescent="0.35">
      <c r="A420" t="s">
        <v>85</v>
      </c>
      <c r="B420" t="s">
        <v>43</v>
      </c>
      <c r="C420">
        <v>3</v>
      </c>
      <c r="D420" t="s">
        <v>72</v>
      </c>
      <c r="E420">
        <v>0.82532859091331467</v>
      </c>
    </row>
    <row r="421" spans="1:5" x14ac:dyDescent="0.35">
      <c r="A421" t="s">
        <v>85</v>
      </c>
      <c r="B421" t="s">
        <v>44</v>
      </c>
      <c r="C421">
        <v>3</v>
      </c>
      <c r="D421" t="s">
        <v>72</v>
      </c>
      <c r="E42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TU KL RHRK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ms007247@mslic.uni-kl.de</dc:creator>
  <cp:lastModifiedBy>ms007247@mslic.uni-kl.de</cp:lastModifiedBy>
  <dcterms:created xsi:type="dcterms:W3CDTF">2023-12-23T13:03:33Z</dcterms:created>
  <dcterms:modified xsi:type="dcterms:W3CDTF">2024-01-27T16:46:19Z</dcterms:modified>
</cp:coreProperties>
</file>