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FA_UFZ_Magdeburg/Snail experiment/"/>
    </mc:Choice>
  </mc:AlternateContent>
  <xr:revisionPtr revIDLastSave="766" documentId="13_ncr:1_{58064E10-A019-48E1-9ED8-C29222C4D00F}" xr6:coauthVersionLast="47" xr6:coauthVersionMax="47" xr10:uidLastSave="{6F57D8F4-923A-48F2-AF73-52C950D49E66}"/>
  <bookViews>
    <workbookView xWindow="-110" yWindow="-110" windowWidth="19420" windowHeight="10300" xr2:uid="{8BCB1F39-2EAA-4473-A2F5-C74738A2324B}"/>
  </bookViews>
  <sheets>
    <sheet name="FA absolute" sheetId="1" r:id="rId1"/>
    <sheet name="FA relative" sheetId="2" r:id="rId2"/>
    <sheet name="Dryweight snails" sheetId="3" r:id="rId3"/>
    <sheet name="AFDW after 7 days of feed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2" l="1"/>
  <c r="E77" i="2"/>
  <c r="D77" i="2"/>
  <c r="B77" i="2"/>
  <c r="E63" i="2"/>
  <c r="D63" i="2"/>
  <c r="C63" i="2"/>
  <c r="B63" i="2"/>
  <c r="E58" i="2"/>
  <c r="D58" i="2"/>
  <c r="C58" i="2"/>
  <c r="B58" i="2"/>
  <c r="K73" i="2" l="1"/>
  <c r="J73" i="2"/>
  <c r="I73" i="2"/>
  <c r="H73" i="2"/>
  <c r="K61" i="2"/>
  <c r="J61" i="2"/>
  <c r="I61" i="2"/>
  <c r="H61" i="2"/>
  <c r="K56" i="2"/>
  <c r="J56" i="2"/>
  <c r="I56" i="2"/>
  <c r="H56" i="2"/>
  <c r="E79" i="1" l="1"/>
  <c r="D79" i="1"/>
  <c r="C79" i="1"/>
  <c r="B79" i="1"/>
  <c r="E65" i="1"/>
  <c r="D65" i="1"/>
  <c r="C65" i="1"/>
  <c r="B65" i="1"/>
  <c r="E60" i="1"/>
  <c r="D60" i="1"/>
  <c r="C60" i="1"/>
  <c r="B60" i="1"/>
</calcChain>
</file>

<file path=xl/sharedStrings.xml><?xml version="1.0" encoding="utf-8"?>
<sst xmlns="http://schemas.openxmlformats.org/spreadsheetml/2006/main" count="480" uniqueCount="121">
  <si>
    <t>FAs of Periphyton</t>
  </si>
  <si>
    <t>Control</t>
  </si>
  <si>
    <t>Pro</t>
  </si>
  <si>
    <t>Cip</t>
  </si>
  <si>
    <t>Mix</t>
  </si>
  <si>
    <t>NLFAs of Snails</t>
  </si>
  <si>
    <t>C08:0</t>
  </si>
  <si>
    <t>C10:0</t>
  </si>
  <si>
    <t>C11:0</t>
  </si>
  <si>
    <t>C12:0</t>
  </si>
  <si>
    <t>C13:0</t>
  </si>
  <si>
    <t>C14:0</t>
  </si>
  <si>
    <t>C14:1</t>
  </si>
  <si>
    <t>C15:0</t>
  </si>
  <si>
    <t>C15:1</t>
  </si>
  <si>
    <t>C16:0</t>
  </si>
  <si>
    <t>C16:1</t>
  </si>
  <si>
    <t>C17:0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</si>
  <si>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</si>
  <si>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</si>
  <si>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</si>
  <si>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</si>
  <si>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</si>
  <si>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</si>
  <si>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</si>
  <si>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</si>
  <si>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</si>
  <si>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</si>
  <si>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</si>
  <si>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</si>
  <si>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</si>
  <si>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</si>
  <si>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</si>
  <si>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</si>
  <si>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</si>
  <si>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</si>
  <si>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</si>
  <si>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</si>
  <si>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</si>
  <si>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</si>
  <si>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</si>
  <si>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Fatty acid(s)</t>
  </si>
  <si>
    <t>not used</t>
  </si>
  <si>
    <t>0.000000</t>
  </si>
  <si>
    <t>comment</t>
  </si>
  <si>
    <t>no sifnificance (Kruskal Wallis)</t>
  </si>
  <si>
    <t>significance</t>
  </si>
  <si>
    <t>no significance (ANOVA)</t>
  </si>
  <si>
    <t xml:space="preserve">significance </t>
  </si>
  <si>
    <t>no significance (Kruskal Wallis)</t>
  </si>
  <si>
    <t>no significance</t>
  </si>
  <si>
    <t>Absolute values</t>
  </si>
  <si>
    <t>Relative values</t>
  </si>
  <si>
    <r>
      <t>Median (with 95 % CIs) FAs and NLFAs in %</t>
    </r>
    <r>
      <rPr>
        <sz val="9.9"/>
        <color theme="1"/>
        <rFont val="Calibri"/>
        <family val="2"/>
      </rPr>
      <t xml:space="preserve"> of periphyton and snails, respectively. Values printed in bold indicate a statistically significant difference relative to the control and asterisks denote p-value below 0.05 (*), 0.01 (**) and 0.001 (***).</t>
    </r>
  </si>
  <si>
    <t>in hübsch für R markdown dokument</t>
  </si>
  <si>
    <t>FA</t>
  </si>
  <si>
    <t>SAFAs</t>
  </si>
  <si>
    <t>MUFAs</t>
  </si>
  <si>
    <t>PUFAs</t>
  </si>
  <si>
    <t>45.83897**</t>
  </si>
  <si>
    <t>46.76478**</t>
  </si>
  <si>
    <t>47.39101**</t>
  </si>
  <si>
    <t>7.856233*</t>
  </si>
  <si>
    <t>7.082247**</t>
  </si>
  <si>
    <t>6.411105*</t>
  </si>
  <si>
    <t>6.666408**</t>
  </si>
  <si>
    <t>5.391621*</t>
  </si>
  <si>
    <t>4.133592*</t>
  </si>
  <si>
    <t>0.8085333*</t>
  </si>
  <si>
    <t>0.7254032*</t>
  </si>
  <si>
    <t>0.6686071**</t>
  </si>
  <si>
    <t>0.4630346**</t>
  </si>
  <si>
    <t>0.4958606**</t>
  </si>
  <si>
    <t xml:space="preserve">0.1606471	</t>
  </si>
  <si>
    <t>0.132427*</t>
  </si>
  <si>
    <t>45.84**</t>
  </si>
  <si>
    <t>46.77**</t>
  </si>
  <si>
    <t>47.39**</t>
  </si>
  <si>
    <t>6.41*</t>
  </si>
  <si>
    <t>6.67**</t>
  </si>
  <si>
    <t>7.08**</t>
  </si>
  <si>
    <t>7.86*</t>
  </si>
  <si>
    <t>0.50**</t>
  </si>
  <si>
    <t>0.46**</t>
  </si>
  <si>
    <t>5.39*</t>
  </si>
  <si>
    <t>4.13*</t>
  </si>
  <si>
    <t>0.81*</t>
  </si>
  <si>
    <t>0.73*</t>
  </si>
  <si>
    <t>0.67**</t>
  </si>
  <si>
    <t>0.13*</t>
  </si>
  <si>
    <t xml:space="preserve">1.634882	</t>
  </si>
  <si>
    <t xml:space="preserve">1.63	</t>
  </si>
  <si>
    <t>Treatment</t>
  </si>
  <si>
    <t>NC</t>
  </si>
  <si>
    <t>Culture</t>
  </si>
  <si>
    <t>Dryweight (mg)</t>
  </si>
  <si>
    <t>AFDW (mg/cm2)</t>
  </si>
  <si>
    <t>Week1</t>
  </si>
  <si>
    <t>Week2</t>
  </si>
  <si>
    <t>Week3</t>
  </si>
  <si>
    <t>0.183*</t>
  </si>
  <si>
    <t>0.133****</t>
  </si>
  <si>
    <t>0.181***</t>
  </si>
  <si>
    <t>0.161***</t>
  </si>
  <si>
    <t>0.285***</t>
  </si>
  <si>
    <t>0.509*</t>
  </si>
  <si>
    <t>FAs of Snails</t>
  </si>
  <si>
    <t>bei zu kleinen Werten 0.01&lt; schreiben</t>
  </si>
  <si>
    <t>noch ändern und anpassen zu oben!!</t>
  </si>
  <si>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(with 95 % CIs) FAs and FAs in </t>
    </r>
    <r>
      <rPr>
        <sz val="11"/>
        <color theme="1"/>
        <rFont val="Calibri"/>
        <family val="2"/>
      </rPr>
      <t>µ</t>
    </r>
    <r>
      <rPr>
        <sz val="9.9"/>
        <color theme="1"/>
        <rFont val="Calibri"/>
        <family val="2"/>
      </rPr>
      <t>g/mg of periphyton and snails, respectively. Values printed in bold indicate a statistically significant difference relative to the control and asterisks denote p-value below 0.05 (*), 0.01 (**) and 0.001 (***).</t>
    </r>
  </si>
  <si>
    <t>only Cip&amp;Pro with Mix significant (ANOVA)</t>
  </si>
  <si>
    <t>no significance (holm)</t>
  </si>
  <si>
    <t>290.9362*</t>
  </si>
  <si>
    <t>240.434*</t>
  </si>
  <si>
    <t>37.37075**</t>
  </si>
  <si>
    <t>46.01787*</t>
  </si>
  <si>
    <t>significance (ANOVA)</t>
  </si>
  <si>
    <t>24.57572**</t>
  </si>
  <si>
    <t>25.24416**</t>
  </si>
  <si>
    <t>6.753532*</t>
  </si>
  <si>
    <t>snails absolute angepasst! Datum 07.03.2024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</si>
</sst>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9.9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Segoe UI"/>
      <family val="2"/>
    </font>
    <font>
      <b/>
      <sz val="11"/>
      <name val="Segoe UI"/>
      <family val="2"/>
    </font>
    <font>
      <strike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65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 vertical="center"/>
    </xf>
    <xf numFmtId="2" fontId="10" fillId="0" borderId="0" xfId="0" applyNumberFormat="1" applyFont="1" applyAlignment="1">
      <alignment horizontal="right"/>
    </xf>
    <xf numFmtId="0" fontId="7" fillId="0" borderId="0" xfId="0" applyFont="1"/>
  </cellXfs>
  <cellStyles count="1">
    <cellStyle name="Standard" xfId="0" builtinId="0"/>
  </cellStyles>
  <dxfs count="31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7C60F-CBD4-41D3-8740-A5B669727553}" name="Tabelle1" displayName="Tabelle1" ref="G47:K75" totalsRowShown="0" headerRowDxfId="30" dataDxfId="29">
  <tableColumns count="5">
    <tableColumn id="1" xr3:uid="{E26FA15F-C63C-4D07-8DF4-F680EBC7A702}" name="FA" dataDxfId="9"/>
    <tableColumn id="2" xr3:uid="{E76FEDFE-6B7D-46AB-99A6-480EDF641579}" name="Control" dataDxfId="8"/>
    <tableColumn id="3" xr3:uid="{561A7D07-48ED-425A-968D-D276F0F9E62E}" name="Pro" dataDxfId="7"/>
    <tableColumn id="4" xr3:uid="{268727A7-7D0A-4CBA-A12D-08BAC8DB78C1}" name="Cip" dataDxfId="6"/>
    <tableColumn id="5" xr3:uid="{8FADE3E2-BD34-4AF6-BCFA-0360538F1D82}" name="Mix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1BEFDD-9DF4-4B14-B224-CE288AEBDC9A}" name="Tabelle3" displayName="Tabelle3" ref="A47:E79" totalsRowShown="0" headerRowDxfId="28" dataDxfId="26" headerRowBorderDxfId="27" tableBorderDxfId="25">
  <tableColumns count="5">
    <tableColumn id="1" xr3:uid="{3204585F-A977-4A84-8529-431C7874857B}" name="FA" dataDxfId="4"/>
    <tableColumn id="2" xr3:uid="{C603AD0D-9EB0-4F6B-89AB-FA8C7522E822}" name="Control" dataDxfId="3"/>
    <tableColumn id="3" xr3:uid="{026B6E95-452C-414B-BBF4-AFCF265F6CA1}" name="Pro" dataDxfId="2"/>
    <tableColumn id="4" xr3:uid="{969287B5-600A-4EB5-B547-D19B0E1A1595}" name="Cip" dataDxfId="1"/>
    <tableColumn id="5" xr3:uid="{60EB4A9A-92F7-4C65-AE07-2B8F7192DF2A}" name="Mix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AF9A09-9E80-4A71-8363-53C1D32B635F}" name="Tabelle2" displayName="Tabelle2" ref="G45:K73" totalsRowShown="0" headerRowDxfId="24" dataDxfId="23">
  <autoFilter ref="G45:K73" xr:uid="{4DAF9A09-9E80-4A71-8363-53C1D32B635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0D040FD-CFD0-4E55-81D7-0388FA800D13}" name="FA" dataDxfId="22"/>
    <tableColumn id="2" xr3:uid="{469955B2-FB07-4F70-8791-EF5C95F45064}" name="Control" dataDxfId="21"/>
    <tableColumn id="3" xr3:uid="{6B64436E-A251-4F8C-9188-A662AB5A05A8}" name="Pro" dataDxfId="20"/>
    <tableColumn id="4" xr3:uid="{F7BD9D90-4B54-4D39-A657-1F9214FD6281}" name="Cip" dataDxfId="19"/>
    <tableColumn id="5" xr3:uid="{6B88B169-4F9A-43AA-A27F-40A96D60223D}" name="Mix" dataDxfId="1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FA0F80-64C3-47E1-A5B1-71F0A5CA8B71}" name="Tabelle4" displayName="Tabelle4" ref="A45:E77" totalsRowShown="0" headerRowDxfId="17" dataDxfId="15" headerRowBorderDxfId="16">
  <autoFilter ref="A45:E77" xr:uid="{1BFA0F80-64C3-47E1-A5B1-71F0A5CA8B7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297ACB7-5C78-47C7-B1EC-6F9ABD4E0780}" name="FA" dataDxfId="14"/>
    <tableColumn id="2" xr3:uid="{6E6EB357-D3A1-4EA1-9C34-99458A9FE7A3}" name="Control" dataDxfId="13"/>
    <tableColumn id="3" xr3:uid="{D613134D-94B8-49BB-9E68-D801745C7290}" name="Pro" dataDxfId="12"/>
    <tableColumn id="4" xr3:uid="{D4629FEC-7F0F-43F3-91A1-D1C7B11D7802}" name="Cip" dataDxfId="11"/>
    <tableColumn id="5" xr3:uid="{AB6DCC3B-7444-437E-BB05-D4D5F3E8BDA7}" name="Mix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318E-CB4A-4828-B39D-C806A45AE03A}">
  <dimension ref="A1:O79"/>
  <sheetViews>
    <sheetView tabSelected="1" topLeftCell="A42" zoomScale="90" zoomScaleNormal="90" workbookViewId="0">
      <selection activeCell="M48" sqref="M48"/>
    </sheetView>
  </sheetViews>
  <sheetFormatPr baseColWidth="10" defaultRowHeight="14.5" x14ac:dyDescent="0.35"/>
  <cols>
    <col min="2" max="5" width="11.54296875" bestFit="1" customWidth="1"/>
    <col min="7" max="10" width="10.90625" style="4"/>
  </cols>
  <sheetData>
    <row r="1" spans="1:15" x14ac:dyDescent="0.35">
      <c r="A1" t="s">
        <v>51</v>
      </c>
    </row>
    <row r="2" spans="1:15" x14ac:dyDescent="0.35">
      <c r="A2" t="s">
        <v>109</v>
      </c>
    </row>
    <row r="4" spans="1:15" x14ac:dyDescent="0.35">
      <c r="A4" s="7" t="s">
        <v>41</v>
      </c>
      <c r="B4" s="7" t="s">
        <v>0</v>
      </c>
      <c r="C4" s="7"/>
      <c r="D4" s="7"/>
      <c r="E4" s="7"/>
      <c r="F4" s="7"/>
      <c r="G4" s="8" t="s">
        <v>106</v>
      </c>
      <c r="H4" s="8"/>
      <c r="I4" s="8"/>
      <c r="J4" s="8"/>
    </row>
    <row r="5" spans="1:15" x14ac:dyDescent="0.35">
      <c r="A5" s="7"/>
      <c r="B5" s="7" t="s">
        <v>1</v>
      </c>
      <c r="C5" s="7" t="s">
        <v>2</v>
      </c>
      <c r="D5" s="7" t="s">
        <v>3</v>
      </c>
      <c r="E5" s="7" t="s">
        <v>4</v>
      </c>
      <c r="F5" s="7"/>
      <c r="G5" s="8" t="s">
        <v>1</v>
      </c>
      <c r="H5" s="8" t="s">
        <v>2</v>
      </c>
      <c r="I5" s="8" t="s">
        <v>3</v>
      </c>
      <c r="J5" s="8" t="s">
        <v>4</v>
      </c>
      <c r="K5" s="8" t="s">
        <v>44</v>
      </c>
    </row>
    <row r="6" spans="1:15" ht="16.5" x14ac:dyDescent="0.45">
      <c r="A6" s="7" t="s">
        <v>6</v>
      </c>
      <c r="B6" s="32">
        <v>6.386E-2</v>
      </c>
      <c r="C6" s="32">
        <v>7.2770000000000001E-2</v>
      </c>
      <c r="D6" s="32">
        <v>8.899E-2</v>
      </c>
      <c r="E6" s="32">
        <v>3.415E-2</v>
      </c>
      <c r="F6" s="1"/>
      <c r="G6" s="30">
        <v>6.1244E-2</v>
      </c>
      <c r="H6" s="30">
        <v>0.1424513</v>
      </c>
      <c r="I6" s="30">
        <v>0.13047329999999999</v>
      </c>
      <c r="J6" s="30">
        <v>0.1697544</v>
      </c>
      <c r="K6" s="9" t="s">
        <v>49</v>
      </c>
      <c r="L6" s="1"/>
      <c r="M6" s="1"/>
      <c r="N6" s="2"/>
      <c r="O6" s="1"/>
    </row>
    <row r="7" spans="1:15" x14ac:dyDescent="0.35">
      <c r="A7" s="7" t="s">
        <v>7</v>
      </c>
      <c r="B7" s="32">
        <v>1.61799</v>
      </c>
      <c r="C7" s="32">
        <v>1.2390099999999999</v>
      </c>
      <c r="D7" s="28" t="s">
        <v>43</v>
      </c>
      <c r="E7" s="28" t="s">
        <v>43</v>
      </c>
      <c r="F7" s="1"/>
      <c r="G7" s="6" t="s">
        <v>42</v>
      </c>
      <c r="H7" s="6" t="s">
        <v>42</v>
      </c>
      <c r="I7" s="6" t="s">
        <v>42</v>
      </c>
      <c r="J7" s="6" t="s">
        <v>42</v>
      </c>
    </row>
    <row r="8" spans="1:15" x14ac:dyDescent="0.35">
      <c r="A8" s="7" t="s">
        <v>8</v>
      </c>
      <c r="B8" s="33" t="s">
        <v>42</v>
      </c>
      <c r="C8" s="33" t="s">
        <v>42</v>
      </c>
      <c r="D8" s="33" t="s">
        <v>42</v>
      </c>
      <c r="E8" s="33" t="s">
        <v>42</v>
      </c>
      <c r="F8" s="1"/>
      <c r="G8" s="6" t="s">
        <v>42</v>
      </c>
      <c r="H8" s="6" t="s">
        <v>42</v>
      </c>
      <c r="I8" s="6" t="s">
        <v>42</v>
      </c>
      <c r="J8" s="6" t="s">
        <v>42</v>
      </c>
    </row>
    <row r="9" spans="1:15" ht="16.5" x14ac:dyDescent="0.45">
      <c r="A9" s="7" t="s">
        <v>9</v>
      </c>
      <c r="B9" s="32">
        <v>8.6738800000000005</v>
      </c>
      <c r="C9" s="32">
        <v>10.632289999999999</v>
      </c>
      <c r="D9" s="34">
        <v>2.8238500000000002</v>
      </c>
      <c r="E9" s="34">
        <v>7.0310199999999998</v>
      </c>
      <c r="F9" s="1"/>
      <c r="G9" s="30">
        <v>7.7589860000000002</v>
      </c>
      <c r="H9" s="30">
        <v>6.1476259999999998</v>
      </c>
      <c r="I9" s="30">
        <v>13.178694999999999</v>
      </c>
      <c r="J9" s="30">
        <v>8.8484440000000006</v>
      </c>
      <c r="K9" s="9" t="s">
        <v>45</v>
      </c>
    </row>
    <row r="10" spans="1:15" ht="16.5" x14ac:dyDescent="0.45">
      <c r="A10" s="7" t="s">
        <v>10</v>
      </c>
      <c r="B10" s="32">
        <v>55.688870000000001</v>
      </c>
      <c r="C10" s="32">
        <v>46.125459999999997</v>
      </c>
      <c r="D10" s="32">
        <v>47.770319999999998</v>
      </c>
      <c r="E10" s="32">
        <v>52.330019999999998</v>
      </c>
      <c r="F10" s="1"/>
      <c r="G10" s="30">
        <v>75.885310000000004</v>
      </c>
      <c r="H10" s="30">
        <v>103.57177</v>
      </c>
      <c r="I10" s="30">
        <v>157.45862</v>
      </c>
      <c r="J10" s="30">
        <v>74.838920000000002</v>
      </c>
      <c r="K10" s="9" t="s">
        <v>49</v>
      </c>
    </row>
    <row r="11" spans="1:15" ht="16.5" x14ac:dyDescent="0.45">
      <c r="A11" s="7" t="s">
        <v>11</v>
      </c>
      <c r="B11" s="32">
        <v>130.346</v>
      </c>
      <c r="C11" s="32">
        <v>140.399</v>
      </c>
      <c r="D11" s="32">
        <v>134.29150000000001</v>
      </c>
      <c r="E11" s="32">
        <v>114.2277</v>
      </c>
      <c r="F11" s="1"/>
      <c r="G11" s="30">
        <v>120.75961</v>
      </c>
      <c r="H11" s="30">
        <v>109.75256</v>
      </c>
      <c r="I11" s="30">
        <v>136.77968000000001</v>
      </c>
      <c r="J11" s="30">
        <v>69.956050000000005</v>
      </c>
      <c r="K11" s="9" t="s">
        <v>49</v>
      </c>
    </row>
    <row r="12" spans="1:15" x14ac:dyDescent="0.35">
      <c r="A12" s="7" t="s">
        <v>12</v>
      </c>
      <c r="B12" s="33" t="s">
        <v>42</v>
      </c>
      <c r="C12" s="33" t="s">
        <v>42</v>
      </c>
      <c r="D12" s="33" t="s">
        <v>42</v>
      </c>
      <c r="E12" s="33" t="s">
        <v>42</v>
      </c>
      <c r="F12" s="1"/>
      <c r="G12" s="6" t="s">
        <v>42</v>
      </c>
      <c r="H12" s="6" t="s">
        <v>42</v>
      </c>
      <c r="I12" s="6" t="s">
        <v>42</v>
      </c>
      <c r="J12" s="6" t="s">
        <v>42</v>
      </c>
    </row>
    <row r="13" spans="1:15" ht="16.5" x14ac:dyDescent="0.45">
      <c r="A13" s="7" t="s">
        <v>13</v>
      </c>
      <c r="B13" s="32">
        <v>6.7154199999999999</v>
      </c>
      <c r="C13" s="32">
        <v>8.0086600000000008</v>
      </c>
      <c r="D13" s="32">
        <v>5.7627800000000002</v>
      </c>
      <c r="E13" s="32">
        <v>5.7968999999999999</v>
      </c>
      <c r="F13" s="1"/>
      <c r="G13" s="30">
        <v>19.93066</v>
      </c>
      <c r="H13" s="30">
        <v>20.99371</v>
      </c>
      <c r="I13" s="30">
        <v>23.271999999999998</v>
      </c>
      <c r="J13" s="30">
        <v>11.533390000000001</v>
      </c>
      <c r="K13" t="s">
        <v>110</v>
      </c>
    </row>
    <row r="14" spans="1:15" x14ac:dyDescent="0.35">
      <c r="A14" s="7" t="s">
        <v>14</v>
      </c>
      <c r="B14" s="33" t="s">
        <v>42</v>
      </c>
      <c r="C14" s="33" t="s">
        <v>42</v>
      </c>
      <c r="D14" s="33" t="s">
        <v>42</v>
      </c>
      <c r="E14" s="33" t="s">
        <v>42</v>
      </c>
      <c r="F14" s="1"/>
      <c r="G14" s="6" t="s">
        <v>42</v>
      </c>
      <c r="H14" s="6" t="s">
        <v>42</v>
      </c>
      <c r="I14" s="6" t="s">
        <v>42</v>
      </c>
      <c r="J14" s="6" t="s">
        <v>42</v>
      </c>
    </row>
    <row r="15" spans="1:15" ht="16.5" x14ac:dyDescent="0.45">
      <c r="A15" s="7" t="s">
        <v>15</v>
      </c>
      <c r="B15" s="32">
        <v>2320.1750000000002</v>
      </c>
      <c r="C15" s="32">
        <v>1488.2439999999999</v>
      </c>
      <c r="D15" s="32">
        <v>1540.425</v>
      </c>
      <c r="E15" s="32">
        <v>1258.3150000000001</v>
      </c>
      <c r="F15" s="1"/>
      <c r="G15" s="30">
        <v>2684.5210000000002</v>
      </c>
      <c r="H15" s="30">
        <v>2607.4459999999999</v>
      </c>
      <c r="I15" s="30">
        <v>2833.922</v>
      </c>
      <c r="J15" s="30">
        <v>2400.002</v>
      </c>
      <c r="K15" t="s">
        <v>47</v>
      </c>
    </row>
    <row r="16" spans="1:15" ht="16.5" x14ac:dyDescent="0.45">
      <c r="A16" s="7" t="s">
        <v>16</v>
      </c>
      <c r="B16" s="32">
        <v>206.4759</v>
      </c>
      <c r="C16" s="32">
        <v>342.9357</v>
      </c>
      <c r="D16" s="32">
        <v>261.22989999999999</v>
      </c>
      <c r="E16" s="32">
        <v>193.23410000000001</v>
      </c>
      <c r="F16" s="1"/>
      <c r="G16" s="30">
        <v>654.88379999999995</v>
      </c>
      <c r="H16" s="30">
        <v>436.33319999999998</v>
      </c>
      <c r="I16" s="30">
        <v>480.04719999999998</v>
      </c>
      <c r="J16" s="30">
        <v>403.88990000000001</v>
      </c>
      <c r="K16" t="s">
        <v>47</v>
      </c>
    </row>
    <row r="17" spans="1:11" ht="16.5" x14ac:dyDescent="0.45">
      <c r="A17" s="7" t="s">
        <v>17</v>
      </c>
      <c r="B17" s="32">
        <v>8.9990299999999994</v>
      </c>
      <c r="C17" s="32">
        <v>10.019220000000001</v>
      </c>
      <c r="D17" s="32">
        <v>7.7488700000000001</v>
      </c>
      <c r="E17" s="32">
        <v>5.4575800000000001</v>
      </c>
      <c r="F17" s="1"/>
      <c r="G17" s="30">
        <v>31.28951</v>
      </c>
      <c r="H17" s="30">
        <v>29.178059999999999</v>
      </c>
      <c r="I17" s="30">
        <v>31.180489999999999</v>
      </c>
      <c r="J17" s="30">
        <v>25.32076</v>
      </c>
      <c r="K17" t="s">
        <v>111</v>
      </c>
    </row>
    <row r="18" spans="1:11" x14ac:dyDescent="0.35">
      <c r="A18" s="7" t="s">
        <v>18</v>
      </c>
      <c r="B18" s="32">
        <v>9.82822</v>
      </c>
      <c r="C18" s="32">
        <v>5.3161899999999997</v>
      </c>
      <c r="D18" s="32">
        <v>8.4009300000000007</v>
      </c>
      <c r="E18" s="32">
        <v>6.6905950000000001</v>
      </c>
      <c r="F18" s="1"/>
      <c r="G18" s="6" t="s">
        <v>42</v>
      </c>
      <c r="H18" s="6" t="s">
        <v>42</v>
      </c>
      <c r="I18" s="6" t="s">
        <v>42</v>
      </c>
      <c r="J18" s="6" t="s">
        <v>42</v>
      </c>
    </row>
    <row r="19" spans="1:11" ht="16.5" x14ac:dyDescent="0.45">
      <c r="A19" s="7" t="s">
        <v>19</v>
      </c>
      <c r="B19" s="32">
        <v>135.03684999999999</v>
      </c>
      <c r="C19" s="32">
        <v>51.643160000000002</v>
      </c>
      <c r="D19" s="32">
        <v>129.96834999999999</v>
      </c>
      <c r="E19" s="32">
        <v>89.483249999999998</v>
      </c>
      <c r="F19" s="1"/>
      <c r="G19" s="30">
        <v>278.44929999999999</v>
      </c>
      <c r="H19" s="30">
        <v>386.06779999999998</v>
      </c>
      <c r="I19" s="30">
        <v>400.8175</v>
      </c>
      <c r="J19" s="30">
        <v>357.71730000000002</v>
      </c>
      <c r="K19" s="9" t="s">
        <v>49</v>
      </c>
    </row>
    <row r="20" spans="1:11" ht="16.5" x14ac:dyDescent="0.45">
      <c r="A20" s="7" t="s">
        <v>20</v>
      </c>
      <c r="B20" s="32">
        <v>606.51009999999997</v>
      </c>
      <c r="C20" s="32">
        <v>449.1533</v>
      </c>
      <c r="D20" s="32">
        <v>903.54539999999997</v>
      </c>
      <c r="E20" s="32">
        <v>469.90190000000001</v>
      </c>
      <c r="F20" s="1"/>
      <c r="G20" s="30">
        <v>757.94860000000006</v>
      </c>
      <c r="H20" s="30">
        <v>691.18060000000003</v>
      </c>
      <c r="I20" s="30">
        <v>697.30920000000003</v>
      </c>
      <c r="J20" s="30">
        <v>638.36829999999998</v>
      </c>
      <c r="K20" t="s">
        <v>47</v>
      </c>
    </row>
    <row r="21" spans="1:11" ht="16.5" x14ac:dyDescent="0.45">
      <c r="A21" s="7" t="s">
        <v>22</v>
      </c>
      <c r="B21" s="34">
        <v>826.61419999999998</v>
      </c>
      <c r="C21" s="32">
        <v>481.73239999999998</v>
      </c>
      <c r="D21" s="32">
        <v>728.32489999999996</v>
      </c>
      <c r="E21" s="32">
        <v>682.32899999999995</v>
      </c>
      <c r="F21" s="1"/>
      <c r="G21" s="30">
        <v>406.20209999999997</v>
      </c>
      <c r="H21" s="30">
        <v>336.21929999999998</v>
      </c>
      <c r="I21" s="30">
        <v>336.84469999999999</v>
      </c>
      <c r="J21" s="30" t="s">
        <v>112</v>
      </c>
      <c r="K21" t="s">
        <v>48</v>
      </c>
    </row>
    <row r="22" spans="1:11" ht="16.5" x14ac:dyDescent="0.45">
      <c r="A22" s="7" t="s">
        <v>21</v>
      </c>
      <c r="B22" s="32">
        <v>0</v>
      </c>
      <c r="C22" s="32">
        <v>5.1999999999999998E-3</v>
      </c>
      <c r="D22" s="32">
        <v>0</v>
      </c>
      <c r="E22" s="32">
        <v>1.2800000000000001E-3</v>
      </c>
      <c r="F22" s="1"/>
      <c r="G22" s="30">
        <v>0.59736800000000001</v>
      </c>
      <c r="H22" s="30">
        <v>0.3353814</v>
      </c>
      <c r="I22" s="30">
        <v>0.51074889999999995</v>
      </c>
      <c r="J22" s="30">
        <v>0.1193443</v>
      </c>
      <c r="K22" s="9" t="s">
        <v>49</v>
      </c>
    </row>
    <row r="23" spans="1:11" ht="16.5" x14ac:dyDescent="0.45">
      <c r="A23" s="7" t="s">
        <v>24</v>
      </c>
      <c r="B23" s="32">
        <v>1547.546</v>
      </c>
      <c r="C23" s="32">
        <v>941.48230000000001</v>
      </c>
      <c r="D23" s="32">
        <v>1141.3852999999999</v>
      </c>
      <c r="E23" s="32">
        <v>918.49969999999996</v>
      </c>
      <c r="F23" s="1"/>
      <c r="G23" s="30">
        <v>412.7482</v>
      </c>
      <c r="H23" s="30">
        <v>271.53829999999999</v>
      </c>
      <c r="I23" s="30">
        <v>292.67059999999998</v>
      </c>
      <c r="J23" s="31" t="s">
        <v>113</v>
      </c>
      <c r="K23" t="s">
        <v>48</v>
      </c>
    </row>
    <row r="24" spans="1:11" ht="16.5" x14ac:dyDescent="0.45">
      <c r="A24" s="7" t="s">
        <v>23</v>
      </c>
      <c r="B24" s="32">
        <v>0</v>
      </c>
      <c r="C24" s="32">
        <v>36.362900000000003</v>
      </c>
      <c r="D24" s="34">
        <v>72.427269999999993</v>
      </c>
      <c r="E24" s="32">
        <v>0</v>
      </c>
      <c r="F24" s="1"/>
      <c r="G24" s="30">
        <v>3.4671E-2</v>
      </c>
      <c r="H24" s="30">
        <v>0.26118429999999998</v>
      </c>
      <c r="I24" s="30">
        <v>0.2961762</v>
      </c>
      <c r="J24" s="30">
        <v>0.16542000000000001</v>
      </c>
      <c r="K24" t="s">
        <v>49</v>
      </c>
    </row>
    <row r="25" spans="1:11" ht="16.5" x14ac:dyDescent="0.45">
      <c r="A25" s="7" t="s">
        <v>25</v>
      </c>
      <c r="B25" s="32">
        <v>101.09554</v>
      </c>
      <c r="C25" s="32">
        <v>75.068770000000001</v>
      </c>
      <c r="D25" s="32">
        <v>68.946799999999996</v>
      </c>
      <c r="E25" s="32">
        <v>86.388620000000003</v>
      </c>
      <c r="F25" s="1"/>
      <c r="G25" s="30">
        <v>21.28126</v>
      </c>
      <c r="H25" s="30">
        <v>11.846880000000001</v>
      </c>
      <c r="I25" s="30">
        <v>13.24104</v>
      </c>
      <c r="J25" s="30">
        <v>12.340400000000001</v>
      </c>
      <c r="K25" t="s">
        <v>49</v>
      </c>
    </row>
    <row r="26" spans="1:11" ht="16.5" x14ac:dyDescent="0.45">
      <c r="A26" s="7" t="s">
        <v>26</v>
      </c>
      <c r="B26" s="32">
        <v>10.30842</v>
      </c>
      <c r="C26" s="32">
        <v>10.796139999999999</v>
      </c>
      <c r="D26" s="32">
        <v>13.5974</v>
      </c>
      <c r="E26" s="32">
        <v>13.107390000000001</v>
      </c>
      <c r="F26" s="1"/>
      <c r="G26" s="30">
        <v>7.8936249999999999E-2</v>
      </c>
      <c r="H26" s="30">
        <v>0.12408</v>
      </c>
      <c r="I26" s="30">
        <v>0.1370575</v>
      </c>
      <c r="J26" s="30">
        <v>9.4073749999999998E-2</v>
      </c>
      <c r="K26" t="s">
        <v>49</v>
      </c>
    </row>
    <row r="27" spans="1:11" ht="16.5" x14ac:dyDescent="0.45">
      <c r="A27" s="7" t="s">
        <v>27</v>
      </c>
      <c r="B27" s="32">
        <v>17.656739999999999</v>
      </c>
      <c r="C27" s="32">
        <v>8.2123000000000008</v>
      </c>
      <c r="D27" s="32">
        <v>6.0623500000000003</v>
      </c>
      <c r="E27" s="32">
        <v>7.4683700000000002</v>
      </c>
      <c r="F27" s="1"/>
      <c r="G27" s="30">
        <v>25.08541</v>
      </c>
      <c r="H27" s="30">
        <v>19.355039999999999</v>
      </c>
      <c r="I27" s="30">
        <v>15.45298</v>
      </c>
      <c r="J27" s="30">
        <v>11.61083</v>
      </c>
      <c r="K27" t="s">
        <v>49</v>
      </c>
    </row>
    <row r="28" spans="1:11" ht="16.5" x14ac:dyDescent="0.45">
      <c r="A28" s="7" t="s">
        <v>28</v>
      </c>
      <c r="B28" s="32">
        <v>8.4649599999999996</v>
      </c>
      <c r="C28" s="32">
        <v>9.7059099999999994</v>
      </c>
      <c r="D28" s="32">
        <v>5.1799600000000003</v>
      </c>
      <c r="E28" s="32">
        <v>5.3835600000000001</v>
      </c>
      <c r="F28" s="1"/>
      <c r="G28" s="30">
        <v>67.826560000000001</v>
      </c>
      <c r="H28" s="30">
        <v>48.021560000000001</v>
      </c>
      <c r="I28" s="31" t="s">
        <v>115</v>
      </c>
      <c r="J28" s="31" t="s">
        <v>114</v>
      </c>
      <c r="K28" t="s">
        <v>116</v>
      </c>
    </row>
    <row r="29" spans="1:11" x14ac:dyDescent="0.35">
      <c r="A29" s="7" t="s">
        <v>31</v>
      </c>
      <c r="B29" s="32">
        <v>0</v>
      </c>
      <c r="C29" s="32">
        <v>2.9363000000000001</v>
      </c>
      <c r="D29" s="32">
        <v>3.0979049999999999</v>
      </c>
      <c r="E29" s="32">
        <v>0</v>
      </c>
      <c r="F29" s="1"/>
      <c r="G29" s="6" t="s">
        <v>42</v>
      </c>
      <c r="H29" s="6" t="s">
        <v>42</v>
      </c>
      <c r="I29" s="6" t="s">
        <v>42</v>
      </c>
      <c r="J29" s="6" t="s">
        <v>42</v>
      </c>
    </row>
    <row r="30" spans="1:11" x14ac:dyDescent="0.35">
      <c r="A30" s="7" t="s">
        <v>29</v>
      </c>
      <c r="B30" s="32">
        <v>0</v>
      </c>
      <c r="C30" s="32">
        <v>2.3595700000000002</v>
      </c>
      <c r="D30" s="32">
        <v>2.1011299999999999</v>
      </c>
      <c r="E30" s="32">
        <v>1.1412500000000001</v>
      </c>
      <c r="F30" s="1"/>
      <c r="G30" s="6" t="s">
        <v>42</v>
      </c>
      <c r="H30" s="6" t="s">
        <v>42</v>
      </c>
      <c r="I30" s="6" t="s">
        <v>42</v>
      </c>
      <c r="J30" s="6" t="s">
        <v>42</v>
      </c>
    </row>
    <row r="31" spans="1:11" ht="16.5" x14ac:dyDescent="0.45">
      <c r="A31" s="7" t="s">
        <v>30</v>
      </c>
      <c r="B31" s="32">
        <v>64.287940000000006</v>
      </c>
      <c r="C31" s="32">
        <v>37.198410000000003</v>
      </c>
      <c r="D31" s="32">
        <v>27.389420000000001</v>
      </c>
      <c r="E31" s="32">
        <v>24.178650000000001</v>
      </c>
      <c r="F31" s="1"/>
      <c r="G31" s="30">
        <v>366.35599999999999</v>
      </c>
      <c r="H31" s="30">
        <v>328.04649999999998</v>
      </c>
      <c r="I31" s="30">
        <v>330.48340000000002</v>
      </c>
      <c r="J31" s="30">
        <v>357.4366</v>
      </c>
      <c r="K31" t="s">
        <v>50</v>
      </c>
    </row>
    <row r="32" spans="1:11" ht="16.5" x14ac:dyDescent="0.45">
      <c r="A32" s="7" t="s">
        <v>33</v>
      </c>
      <c r="B32" s="32">
        <v>137.10606999999999</v>
      </c>
      <c r="C32" s="32">
        <v>93.917990000000003</v>
      </c>
      <c r="D32" s="32">
        <v>71.746089999999995</v>
      </c>
      <c r="E32" s="32">
        <v>51.935130000000001</v>
      </c>
      <c r="F32" s="1"/>
      <c r="G32" s="30">
        <v>324.29180000000002</v>
      </c>
      <c r="H32" s="30">
        <v>283.53210000000001</v>
      </c>
      <c r="I32" s="30">
        <v>304.17959999999999</v>
      </c>
      <c r="J32" s="30">
        <v>301.60109999999997</v>
      </c>
      <c r="K32" t="s">
        <v>50</v>
      </c>
    </row>
    <row r="33" spans="1:13" x14ac:dyDescent="0.35">
      <c r="A33" s="7" t="s">
        <v>32</v>
      </c>
      <c r="B33" s="33" t="s">
        <v>42</v>
      </c>
      <c r="C33" s="33" t="s">
        <v>42</v>
      </c>
      <c r="D33" s="33" t="s">
        <v>42</v>
      </c>
      <c r="E33" s="33" t="s">
        <v>42</v>
      </c>
      <c r="F33" s="1"/>
      <c r="G33" s="6" t="s">
        <v>42</v>
      </c>
      <c r="H33" s="6" t="s">
        <v>42</v>
      </c>
      <c r="I33" s="6" t="s">
        <v>42</v>
      </c>
      <c r="J33" s="6" t="s">
        <v>42</v>
      </c>
    </row>
    <row r="34" spans="1:13" x14ac:dyDescent="0.35">
      <c r="A34" s="7" t="s">
        <v>34</v>
      </c>
      <c r="B34" s="32">
        <v>3.3791099999999998</v>
      </c>
      <c r="C34" s="32">
        <v>5.8365099999999996</v>
      </c>
      <c r="D34" s="32">
        <v>1.51179</v>
      </c>
      <c r="E34" s="32">
        <v>4.0274400000000004</v>
      </c>
      <c r="F34" s="1"/>
      <c r="G34" s="6" t="s">
        <v>42</v>
      </c>
      <c r="H34" s="6" t="s">
        <v>42</v>
      </c>
      <c r="I34" s="6" t="s">
        <v>42</v>
      </c>
      <c r="J34" s="6" t="s">
        <v>42</v>
      </c>
    </row>
    <row r="35" spans="1:13" ht="16.5" x14ac:dyDescent="0.45">
      <c r="A35" s="7" t="s">
        <v>35</v>
      </c>
      <c r="B35" s="33" t="s">
        <v>42</v>
      </c>
      <c r="C35" s="33" t="s">
        <v>42</v>
      </c>
      <c r="D35" s="33" t="s">
        <v>42</v>
      </c>
      <c r="E35" s="33" t="s">
        <v>42</v>
      </c>
      <c r="F35" s="1"/>
      <c r="G35" s="30">
        <v>0</v>
      </c>
      <c r="H35" s="30">
        <v>17.588570000000001</v>
      </c>
      <c r="I35" s="31" t="s">
        <v>118</v>
      </c>
      <c r="J35" s="31" t="s">
        <v>117</v>
      </c>
      <c r="K35" t="s">
        <v>46</v>
      </c>
    </row>
    <row r="36" spans="1:13" ht="16.5" x14ac:dyDescent="0.45">
      <c r="A36" s="7" t="s">
        <v>36</v>
      </c>
      <c r="B36" s="32">
        <v>4.0000000000000002E-4</v>
      </c>
      <c r="C36" s="32">
        <v>2.48E-3</v>
      </c>
      <c r="D36" s="32">
        <v>3.5599999999999998E-3</v>
      </c>
      <c r="E36" s="32">
        <v>2.81E-3</v>
      </c>
      <c r="F36" s="1"/>
      <c r="G36" s="30">
        <v>1.85525E-2</v>
      </c>
      <c r="H36" s="30">
        <v>1.7423749999999998E-2</v>
      </c>
      <c r="I36" s="30">
        <v>3.6727780000000002E-2</v>
      </c>
      <c r="J36" s="30">
        <v>4.3152860000000001E-2</v>
      </c>
      <c r="K36" t="s">
        <v>49</v>
      </c>
    </row>
    <row r="37" spans="1:13" ht="16.5" x14ac:dyDescent="0.45">
      <c r="A37" s="7" t="s">
        <v>37</v>
      </c>
      <c r="B37" s="32">
        <v>0.18565999999999999</v>
      </c>
      <c r="C37" s="32">
        <v>8.2460000000000006E-2</v>
      </c>
      <c r="D37" s="32">
        <v>0.22056000000000001</v>
      </c>
      <c r="E37" s="32">
        <v>0.11705</v>
      </c>
      <c r="F37" s="1"/>
      <c r="G37" s="30">
        <v>11.761507999999999</v>
      </c>
      <c r="H37" s="30">
        <v>8.9174520000000008</v>
      </c>
      <c r="I37" s="30">
        <v>9.42821</v>
      </c>
      <c r="J37" s="30">
        <v>9.3619800000000009</v>
      </c>
      <c r="K37" t="s">
        <v>47</v>
      </c>
    </row>
    <row r="38" spans="1:13" ht="16.5" x14ac:dyDescent="0.45">
      <c r="A38" s="7" t="s">
        <v>38</v>
      </c>
      <c r="B38" s="32">
        <v>5.17441</v>
      </c>
      <c r="C38" s="32">
        <v>6.1454899999999997</v>
      </c>
      <c r="D38" s="32">
        <v>7.2921399999999998</v>
      </c>
      <c r="E38" s="32">
        <v>6.3256100000000002</v>
      </c>
      <c r="F38" s="1"/>
      <c r="G38" s="30">
        <v>12.368551999999999</v>
      </c>
      <c r="H38" s="30">
        <v>7.4252399999999996</v>
      </c>
      <c r="I38" s="30">
        <v>7.5227959999999996</v>
      </c>
      <c r="J38" s="31" t="s">
        <v>119</v>
      </c>
      <c r="K38" t="s">
        <v>46</v>
      </c>
    </row>
    <row r="39" spans="1:13" ht="16.5" x14ac:dyDescent="0.45">
      <c r="A39" s="7" t="s">
        <v>39</v>
      </c>
      <c r="B39" s="32">
        <v>32.018099999999997</v>
      </c>
      <c r="C39" s="32">
        <v>41.61504</v>
      </c>
      <c r="D39" s="32">
        <v>49.038499999999999</v>
      </c>
      <c r="E39" s="32">
        <v>51.429580000000001</v>
      </c>
      <c r="F39" s="1"/>
      <c r="G39" s="30">
        <v>19.116857</v>
      </c>
      <c r="H39" s="30">
        <v>13.349194000000001</v>
      </c>
      <c r="I39" s="30">
        <v>14.136041000000001</v>
      </c>
      <c r="J39" s="30">
        <v>9.8007539999999995</v>
      </c>
      <c r="K39" t="s">
        <v>49</v>
      </c>
    </row>
    <row r="40" spans="1:13" x14ac:dyDescent="0.35">
      <c r="A40" s="7" t="s">
        <v>40</v>
      </c>
      <c r="B40" s="33" t="s">
        <v>42</v>
      </c>
      <c r="C40" s="33" t="s">
        <v>42</v>
      </c>
      <c r="D40" s="33" t="s">
        <v>42</v>
      </c>
      <c r="E40" s="33" t="s">
        <v>42</v>
      </c>
      <c r="F40" s="1"/>
      <c r="G40" s="6" t="s">
        <v>42</v>
      </c>
      <c r="H40" s="6" t="s">
        <v>42</v>
      </c>
      <c r="I40" s="6" t="s">
        <v>42</v>
      </c>
      <c r="J40" s="6" t="s">
        <v>42</v>
      </c>
    </row>
    <row r="43" spans="1:13" x14ac:dyDescent="0.35">
      <c r="A43" t="s">
        <v>54</v>
      </c>
      <c r="D43" t="s">
        <v>108</v>
      </c>
    </row>
    <row r="44" spans="1:13" x14ac:dyDescent="0.35">
      <c r="D44" t="s">
        <v>107</v>
      </c>
    </row>
    <row r="46" spans="1:13" x14ac:dyDescent="0.35">
      <c r="G46"/>
      <c r="H46"/>
      <c r="I46"/>
      <c r="J46"/>
    </row>
    <row r="47" spans="1:13" x14ac:dyDescent="0.35">
      <c r="A47" s="18" t="s">
        <v>55</v>
      </c>
      <c r="B47" s="18" t="s">
        <v>1</v>
      </c>
      <c r="C47" s="18" t="s">
        <v>2</v>
      </c>
      <c r="D47" s="18" t="s">
        <v>3</v>
      </c>
      <c r="E47" s="18" t="s">
        <v>4</v>
      </c>
      <c r="G47" s="12" t="s">
        <v>55</v>
      </c>
      <c r="H47" s="13" t="s">
        <v>1</v>
      </c>
      <c r="I47" s="13" t="s">
        <v>2</v>
      </c>
      <c r="J47" s="13" t="s">
        <v>3</v>
      </c>
      <c r="K47" s="13" t="s">
        <v>4</v>
      </c>
    </row>
    <row r="48" spans="1:13" ht="16.5" x14ac:dyDescent="0.45">
      <c r="A48" s="13" t="s">
        <v>6</v>
      </c>
      <c r="B48" s="29">
        <v>6.386E-2</v>
      </c>
      <c r="C48" s="29">
        <v>7.2770000000000001E-2</v>
      </c>
      <c r="D48" s="29">
        <v>8.899E-2</v>
      </c>
      <c r="E48" s="29">
        <v>3.415E-2</v>
      </c>
      <c r="G48" s="13" t="s">
        <v>6</v>
      </c>
      <c r="H48" s="30">
        <v>6.1244E-2</v>
      </c>
      <c r="I48" s="30">
        <v>0.1424513</v>
      </c>
      <c r="J48" s="30">
        <v>0.13047329999999999</v>
      </c>
      <c r="K48" s="30">
        <v>0.1697544</v>
      </c>
      <c r="M48" t="s">
        <v>120</v>
      </c>
    </row>
    <row r="49" spans="1:11" ht="16.5" x14ac:dyDescent="0.45">
      <c r="A49" s="13" t="s">
        <v>7</v>
      </c>
      <c r="B49" s="29">
        <v>1.61799</v>
      </c>
      <c r="C49" s="29">
        <v>1.2390099999999999</v>
      </c>
      <c r="D49" s="29">
        <v>0</v>
      </c>
      <c r="E49" s="29">
        <v>0</v>
      </c>
      <c r="G49" s="13" t="s">
        <v>9</v>
      </c>
      <c r="H49" s="30">
        <v>7.7589860000000002</v>
      </c>
      <c r="I49" s="30">
        <v>6.1476259999999998</v>
      </c>
      <c r="J49" s="30">
        <v>13.178694999999999</v>
      </c>
      <c r="K49" s="30">
        <v>8.8484440000000006</v>
      </c>
    </row>
    <row r="50" spans="1:11" ht="16.5" x14ac:dyDescent="0.45">
      <c r="A50" s="13" t="s">
        <v>9</v>
      </c>
      <c r="B50" s="29">
        <v>8.6738800000000005</v>
      </c>
      <c r="C50" s="29">
        <v>10.632289999999999</v>
      </c>
      <c r="D50" s="29">
        <v>2.8238500000000002</v>
      </c>
      <c r="E50" s="29">
        <v>7.0310199999999998</v>
      </c>
      <c r="G50" s="13" t="s">
        <v>10</v>
      </c>
      <c r="H50" s="30">
        <v>75.885310000000004</v>
      </c>
      <c r="I50" s="30">
        <v>103.57177</v>
      </c>
      <c r="J50" s="30">
        <v>157.45862</v>
      </c>
      <c r="K50" s="30">
        <v>74.838920000000002</v>
      </c>
    </row>
    <row r="51" spans="1:11" ht="16.5" x14ac:dyDescent="0.45">
      <c r="A51" s="13" t="s">
        <v>10</v>
      </c>
      <c r="B51" s="29">
        <v>55.688870000000001</v>
      </c>
      <c r="C51" s="29">
        <v>46.125459999999997</v>
      </c>
      <c r="D51" s="29">
        <v>47.770319999999998</v>
      </c>
      <c r="E51" s="29">
        <v>52.330019999999998</v>
      </c>
      <c r="G51" s="13" t="s">
        <v>11</v>
      </c>
      <c r="H51" s="30">
        <v>120.75961</v>
      </c>
      <c r="I51" s="30">
        <v>109.75256</v>
      </c>
      <c r="J51" s="30">
        <v>136.77968000000001</v>
      </c>
      <c r="K51" s="30">
        <v>69.956050000000005</v>
      </c>
    </row>
    <row r="52" spans="1:11" ht="16.5" x14ac:dyDescent="0.45">
      <c r="A52" s="13" t="s">
        <v>11</v>
      </c>
      <c r="B52" s="29">
        <v>130.346</v>
      </c>
      <c r="C52" s="29">
        <v>140.399</v>
      </c>
      <c r="D52" s="29">
        <v>134.29150000000001</v>
      </c>
      <c r="E52" s="29">
        <v>114.2277</v>
      </c>
      <c r="G52" s="13" t="s">
        <v>13</v>
      </c>
      <c r="H52" s="30">
        <v>19.93066</v>
      </c>
      <c r="I52" s="30">
        <v>20.99371</v>
      </c>
      <c r="J52" s="30">
        <v>23.271999999999998</v>
      </c>
      <c r="K52" s="30">
        <v>11.533390000000001</v>
      </c>
    </row>
    <row r="53" spans="1:11" ht="16.5" x14ac:dyDescent="0.45">
      <c r="A53" s="13" t="s">
        <v>13</v>
      </c>
      <c r="B53" s="29">
        <v>6.7154199999999999</v>
      </c>
      <c r="C53" s="29">
        <v>8.0086600000000008</v>
      </c>
      <c r="D53" s="29">
        <v>5.7627800000000002</v>
      </c>
      <c r="E53" s="29">
        <v>5.7968999999999999</v>
      </c>
      <c r="G53" s="13" t="s">
        <v>15</v>
      </c>
      <c r="H53" s="30">
        <v>2684.5210000000002</v>
      </c>
      <c r="I53" s="30">
        <v>2607.4459999999999</v>
      </c>
      <c r="J53" s="30">
        <v>2833.922</v>
      </c>
      <c r="K53" s="30">
        <v>2400.002</v>
      </c>
    </row>
    <row r="54" spans="1:11" ht="16.5" x14ac:dyDescent="0.45">
      <c r="A54" s="13" t="s">
        <v>15</v>
      </c>
      <c r="B54" s="29">
        <v>2320.1750000000002</v>
      </c>
      <c r="C54" s="29">
        <v>1488.2439999999999</v>
      </c>
      <c r="D54" s="29">
        <v>1540.425</v>
      </c>
      <c r="E54" s="29">
        <v>1258.3150000000001</v>
      </c>
      <c r="G54" s="13" t="s">
        <v>17</v>
      </c>
      <c r="H54" s="30">
        <v>31.28951</v>
      </c>
      <c r="I54" s="30">
        <v>29.178059999999999</v>
      </c>
      <c r="J54" s="30">
        <v>31.180489999999999</v>
      </c>
      <c r="K54" s="30">
        <v>25.32076</v>
      </c>
    </row>
    <row r="55" spans="1:11" ht="16.5" x14ac:dyDescent="0.45">
      <c r="A55" s="13" t="s">
        <v>17</v>
      </c>
      <c r="B55" s="29">
        <v>8.9990299999999994</v>
      </c>
      <c r="C55" s="29">
        <v>10.019220000000001</v>
      </c>
      <c r="D55" s="29">
        <v>7.7488700000000001</v>
      </c>
      <c r="E55" s="29">
        <v>5.4575800000000001</v>
      </c>
      <c r="G55" s="13" t="s">
        <v>19</v>
      </c>
      <c r="H55" s="30">
        <v>278.44929999999999</v>
      </c>
      <c r="I55" s="30">
        <v>386.06779999999998</v>
      </c>
      <c r="J55" s="30">
        <v>400.8175</v>
      </c>
      <c r="K55" s="30">
        <v>357.71730000000002</v>
      </c>
    </row>
    <row r="56" spans="1:11" ht="16.5" x14ac:dyDescent="0.45">
      <c r="A56" s="13" t="s">
        <v>19</v>
      </c>
      <c r="B56" s="29">
        <v>135.03684999999999</v>
      </c>
      <c r="C56" s="29">
        <v>51.643160000000002</v>
      </c>
      <c r="D56" s="29">
        <v>129.96834999999999</v>
      </c>
      <c r="E56" s="29">
        <v>89.483249999999998</v>
      </c>
      <c r="G56" s="13" t="s">
        <v>26</v>
      </c>
      <c r="H56" s="30">
        <v>7.8936249999999999E-2</v>
      </c>
      <c r="I56" s="30">
        <v>0.12408</v>
      </c>
      <c r="J56" s="30">
        <v>0.1370575</v>
      </c>
      <c r="K56" s="30">
        <v>9.4073749999999998E-2</v>
      </c>
    </row>
    <row r="57" spans="1:11" ht="16.5" x14ac:dyDescent="0.45">
      <c r="A57" s="13" t="s">
        <v>26</v>
      </c>
      <c r="B57" s="29">
        <v>10.30842</v>
      </c>
      <c r="C57" s="29">
        <v>10.796139999999999</v>
      </c>
      <c r="D57" s="29">
        <v>13.5974</v>
      </c>
      <c r="E57" s="29">
        <v>13.107390000000001</v>
      </c>
      <c r="G57" s="13" t="s">
        <v>39</v>
      </c>
      <c r="H57" s="30">
        <v>19.116857</v>
      </c>
      <c r="I57" s="30">
        <v>13.349194000000001</v>
      </c>
      <c r="J57" s="30">
        <v>14.136041000000001</v>
      </c>
      <c r="K57" s="30">
        <v>9.8007539999999995</v>
      </c>
    </row>
    <row r="58" spans="1:11" ht="16.5" x14ac:dyDescent="0.45">
      <c r="A58" s="13" t="s">
        <v>34</v>
      </c>
      <c r="B58" s="29">
        <v>3.3791099999999998</v>
      </c>
      <c r="C58" s="29">
        <v>5.8365099999999996</v>
      </c>
      <c r="D58" s="29">
        <v>1.51179</v>
      </c>
      <c r="E58" s="29">
        <v>4.0274400000000004</v>
      </c>
      <c r="G58" s="13" t="s">
        <v>56</v>
      </c>
      <c r="H58" s="30">
        <v>3237.835</v>
      </c>
      <c r="I58" s="30">
        <v>3273.11</v>
      </c>
      <c r="J58" s="30">
        <v>3610.973</v>
      </c>
      <c r="K58" s="30">
        <v>2958.2719999999999</v>
      </c>
    </row>
    <row r="59" spans="1:11" ht="16.5" x14ac:dyDescent="0.45">
      <c r="A59" s="13" t="s">
        <v>39</v>
      </c>
      <c r="B59" s="29">
        <v>32.018099999999997</v>
      </c>
      <c r="C59" s="29">
        <v>41.61504</v>
      </c>
      <c r="D59" s="29">
        <v>49.038499999999999</v>
      </c>
      <c r="E59" s="29">
        <v>51.429580000000001</v>
      </c>
      <c r="G59" s="13" t="s">
        <v>16</v>
      </c>
      <c r="H59" s="30">
        <v>654.88379999999995</v>
      </c>
      <c r="I59" s="30">
        <v>436.33319999999998</v>
      </c>
      <c r="J59" s="30">
        <v>480.04719999999998</v>
      </c>
      <c r="K59" s="30">
        <v>403.88990000000001</v>
      </c>
    </row>
    <row r="60" spans="1:11" ht="16.5" x14ac:dyDescent="0.45">
      <c r="A60" s="13" t="s">
        <v>56</v>
      </c>
      <c r="B60" s="29">
        <f>SUM(B48:B59)</f>
        <v>2713.0225299999997</v>
      </c>
      <c r="C60" s="29">
        <f>SUM(C48:C59)</f>
        <v>1814.6312599999999</v>
      </c>
      <c r="D60" s="29">
        <f>SUM(D48:D59)</f>
        <v>1933.0273500000003</v>
      </c>
      <c r="E60" s="29">
        <f>SUM(E48:E59)</f>
        <v>1601.2400299999999</v>
      </c>
      <c r="G60" s="13" t="s">
        <v>20</v>
      </c>
      <c r="H60" s="30">
        <v>757.94860000000006</v>
      </c>
      <c r="I60" s="30">
        <v>691.18060000000003</v>
      </c>
      <c r="J60" s="30">
        <v>697.30920000000003</v>
      </c>
      <c r="K60" s="30">
        <v>638.36829999999998</v>
      </c>
    </row>
    <row r="61" spans="1:11" ht="16.5" x14ac:dyDescent="0.45">
      <c r="A61" s="13" t="s">
        <v>16</v>
      </c>
      <c r="B61" s="29">
        <v>206.4759</v>
      </c>
      <c r="C61" s="29">
        <v>342.9357</v>
      </c>
      <c r="D61" s="29">
        <v>261.22989999999999</v>
      </c>
      <c r="E61" s="29">
        <v>193.23410000000001</v>
      </c>
      <c r="G61" s="13" t="s">
        <v>27</v>
      </c>
      <c r="H61" s="30">
        <v>25.08541</v>
      </c>
      <c r="I61" s="30">
        <v>19.355039999999999</v>
      </c>
      <c r="J61" s="30">
        <v>15.45298</v>
      </c>
      <c r="K61" s="30">
        <v>11.61083</v>
      </c>
    </row>
    <row r="62" spans="1:11" ht="16.5" x14ac:dyDescent="0.45">
      <c r="A62" s="13" t="s">
        <v>18</v>
      </c>
      <c r="B62" s="29">
        <v>9.82822</v>
      </c>
      <c r="C62" s="29">
        <v>5.3161899999999997</v>
      </c>
      <c r="D62" s="29">
        <v>8.4009300000000007</v>
      </c>
      <c r="E62" s="29">
        <v>6.6905950000000001</v>
      </c>
      <c r="G62" s="16" t="s">
        <v>35</v>
      </c>
      <c r="H62" s="30">
        <v>0</v>
      </c>
      <c r="I62" s="30">
        <v>17.588570000000001</v>
      </c>
      <c r="J62" s="31" t="s">
        <v>118</v>
      </c>
      <c r="K62" s="31" t="s">
        <v>117</v>
      </c>
    </row>
    <row r="63" spans="1:11" ht="16.5" x14ac:dyDescent="0.45">
      <c r="A63" s="13" t="s">
        <v>20</v>
      </c>
      <c r="B63" s="29">
        <v>606.51009999999997</v>
      </c>
      <c r="C63" s="29">
        <v>449.1533</v>
      </c>
      <c r="D63" s="29">
        <v>903.54539999999997</v>
      </c>
      <c r="E63" s="29">
        <v>469.90190000000001</v>
      </c>
      <c r="G63" s="13" t="s">
        <v>57</v>
      </c>
      <c r="H63" s="30">
        <v>1432.9006999999999</v>
      </c>
      <c r="I63" s="30">
        <v>1075.6405</v>
      </c>
      <c r="J63" s="30">
        <v>1218.0536</v>
      </c>
      <c r="K63" s="30">
        <v>936.58510000000001</v>
      </c>
    </row>
    <row r="64" spans="1:11" ht="16.5" x14ac:dyDescent="0.45">
      <c r="A64" s="13" t="s">
        <v>27</v>
      </c>
      <c r="B64" s="29">
        <v>17.656739999999999</v>
      </c>
      <c r="C64" s="29">
        <v>8.2123000000000008</v>
      </c>
      <c r="D64" s="29">
        <v>6.0623500000000003</v>
      </c>
      <c r="E64" s="29">
        <v>7.4683700000000002</v>
      </c>
      <c r="G64" s="16" t="s">
        <v>22</v>
      </c>
      <c r="H64" s="30">
        <v>406.20209999999997</v>
      </c>
      <c r="I64" s="30">
        <v>336.21929999999998</v>
      </c>
      <c r="J64" s="30">
        <v>336.84469999999999</v>
      </c>
      <c r="K64" s="30" t="s">
        <v>112</v>
      </c>
    </row>
    <row r="65" spans="1:11" ht="16.5" x14ac:dyDescent="0.45">
      <c r="A65" s="13" t="s">
        <v>57</v>
      </c>
      <c r="B65" s="29">
        <f>SUM(B61:B64)</f>
        <v>840.47095999999999</v>
      </c>
      <c r="C65" s="29">
        <f>SUM(C61:C64)</f>
        <v>805.61748999999998</v>
      </c>
      <c r="D65" s="29">
        <f>SUM(D61:D64)</f>
        <v>1179.23858</v>
      </c>
      <c r="E65" s="29">
        <f>SUM(E61:E64)</f>
        <v>677.29496500000005</v>
      </c>
      <c r="G65" s="13" t="s">
        <v>21</v>
      </c>
      <c r="H65" s="30">
        <v>0.59736800000000001</v>
      </c>
      <c r="I65" s="30">
        <v>0.3353814</v>
      </c>
      <c r="J65" s="30">
        <v>0.51074889999999995</v>
      </c>
      <c r="K65" s="30">
        <v>0.1193443</v>
      </c>
    </row>
    <row r="66" spans="1:11" ht="16.5" x14ac:dyDescent="0.45">
      <c r="A66" s="13" t="s">
        <v>22</v>
      </c>
      <c r="B66" s="29">
        <v>826.61419999999998</v>
      </c>
      <c r="C66" s="29">
        <v>481.73239999999998</v>
      </c>
      <c r="D66" s="29">
        <v>728.32489999999996</v>
      </c>
      <c r="E66" s="29">
        <v>682.32899999999995</v>
      </c>
      <c r="G66" s="16" t="s">
        <v>24</v>
      </c>
      <c r="H66" s="30">
        <v>412.7482</v>
      </c>
      <c r="I66" s="30">
        <v>271.53829999999999</v>
      </c>
      <c r="J66" s="30">
        <v>292.67059999999998</v>
      </c>
      <c r="K66" s="31" t="s">
        <v>113</v>
      </c>
    </row>
    <row r="67" spans="1:11" ht="16.5" x14ac:dyDescent="0.45">
      <c r="A67" s="13" t="s">
        <v>21</v>
      </c>
      <c r="B67" s="29">
        <v>0</v>
      </c>
      <c r="C67" s="29">
        <v>5.1999999999999998E-3</v>
      </c>
      <c r="D67" s="29">
        <v>0</v>
      </c>
      <c r="E67" s="29">
        <v>1.2800000000000001E-3</v>
      </c>
      <c r="G67" s="13" t="s">
        <v>23</v>
      </c>
      <c r="H67" s="30">
        <v>3.4671E-2</v>
      </c>
      <c r="I67" s="30">
        <v>0.26118429999999998</v>
      </c>
      <c r="J67" s="30">
        <v>0.2961762</v>
      </c>
      <c r="K67" s="30">
        <v>0.16542000000000001</v>
      </c>
    </row>
    <row r="68" spans="1:11" ht="16.5" x14ac:dyDescent="0.45">
      <c r="A68" s="13" t="s">
        <v>24</v>
      </c>
      <c r="B68" s="29">
        <v>1547.546</v>
      </c>
      <c r="C68" s="29">
        <v>941.48230000000001</v>
      </c>
      <c r="D68" s="29">
        <v>1141.3852999999999</v>
      </c>
      <c r="E68" s="29">
        <v>918.49969999999996</v>
      </c>
      <c r="G68" s="16" t="s">
        <v>25</v>
      </c>
      <c r="H68" s="30">
        <v>21.28126</v>
      </c>
      <c r="I68" s="30">
        <v>11.846880000000001</v>
      </c>
      <c r="J68" s="30">
        <v>13.24104</v>
      </c>
      <c r="K68" s="30">
        <v>12.340400000000001</v>
      </c>
    </row>
    <row r="69" spans="1:11" ht="16.5" x14ac:dyDescent="0.45">
      <c r="A69" s="13" t="s">
        <v>23</v>
      </c>
      <c r="B69" s="29">
        <v>0</v>
      </c>
      <c r="C69" s="29">
        <v>36.362900000000003</v>
      </c>
      <c r="D69" s="29">
        <v>72.427269999999993</v>
      </c>
      <c r="E69" s="29">
        <v>0</v>
      </c>
      <c r="G69" s="13" t="s">
        <v>28</v>
      </c>
      <c r="H69" s="30">
        <v>67.826560000000001</v>
      </c>
      <c r="I69" s="30">
        <v>48.021560000000001</v>
      </c>
      <c r="J69" s="31" t="s">
        <v>115</v>
      </c>
      <c r="K69" s="31" t="s">
        <v>114</v>
      </c>
    </row>
    <row r="70" spans="1:11" ht="16.5" x14ac:dyDescent="0.45">
      <c r="A70" s="13" t="s">
        <v>25</v>
      </c>
      <c r="B70" s="29">
        <v>101.09554</v>
      </c>
      <c r="C70" s="29">
        <v>75.068770000000001</v>
      </c>
      <c r="D70" s="29">
        <v>68.946799999999996</v>
      </c>
      <c r="E70" s="29">
        <v>86.388620000000003</v>
      </c>
      <c r="G70" s="16" t="s">
        <v>30</v>
      </c>
      <c r="H70" s="30">
        <v>366.35599999999999</v>
      </c>
      <c r="I70" s="30">
        <v>328.04649999999998</v>
      </c>
      <c r="J70" s="30">
        <v>330.48340000000002</v>
      </c>
      <c r="K70" s="30">
        <v>357.4366</v>
      </c>
    </row>
    <row r="71" spans="1:11" ht="16.5" x14ac:dyDescent="0.45">
      <c r="A71" s="13" t="s">
        <v>28</v>
      </c>
      <c r="B71" s="29">
        <v>8.4649599999999996</v>
      </c>
      <c r="C71" s="29">
        <v>9.7059099999999994</v>
      </c>
      <c r="D71" s="29">
        <v>5.1799600000000003</v>
      </c>
      <c r="E71" s="29">
        <v>5.3835600000000001</v>
      </c>
      <c r="G71" s="13" t="s">
        <v>33</v>
      </c>
      <c r="H71" s="30">
        <v>324.29180000000002</v>
      </c>
      <c r="I71" s="30">
        <v>283.53210000000001</v>
      </c>
      <c r="J71" s="30">
        <v>304.17959999999999</v>
      </c>
      <c r="K71" s="30">
        <v>301.60109999999997</v>
      </c>
    </row>
    <row r="72" spans="1:11" ht="16.5" x14ac:dyDescent="0.45">
      <c r="A72" s="13" t="s">
        <v>31</v>
      </c>
      <c r="B72" s="29">
        <v>0</v>
      </c>
      <c r="C72" s="29">
        <v>2.9363000000000001</v>
      </c>
      <c r="D72" s="29">
        <v>3.0979049999999999</v>
      </c>
      <c r="E72" s="29">
        <v>0</v>
      </c>
      <c r="G72" s="13" t="s">
        <v>36</v>
      </c>
      <c r="H72" s="30">
        <v>1.85525E-2</v>
      </c>
      <c r="I72" s="30">
        <v>1.7423749999999998E-2</v>
      </c>
      <c r="J72" s="30">
        <v>3.6727780000000002E-2</v>
      </c>
      <c r="K72" s="30">
        <v>4.3152860000000001E-2</v>
      </c>
    </row>
    <row r="73" spans="1:11" ht="16.5" x14ac:dyDescent="0.45">
      <c r="A73" s="13" t="s">
        <v>29</v>
      </c>
      <c r="B73" s="29">
        <v>0</v>
      </c>
      <c r="C73" s="29">
        <v>2.3595700000000002</v>
      </c>
      <c r="D73" s="29">
        <v>2.1011299999999999</v>
      </c>
      <c r="E73" s="29">
        <v>1.1412500000000001</v>
      </c>
      <c r="G73" s="13" t="s">
        <v>37</v>
      </c>
      <c r="H73" s="30">
        <v>11.761507999999999</v>
      </c>
      <c r="I73" s="30">
        <v>8.9174520000000008</v>
      </c>
      <c r="J73" s="30">
        <v>9.42821</v>
      </c>
      <c r="K73" s="30">
        <v>9.3619800000000009</v>
      </c>
    </row>
    <row r="74" spans="1:11" ht="16.5" x14ac:dyDescent="0.45">
      <c r="A74" s="13" t="s">
        <v>30</v>
      </c>
      <c r="B74" s="29">
        <v>64.287940000000006</v>
      </c>
      <c r="C74" s="29">
        <v>37.198410000000003</v>
      </c>
      <c r="D74" s="29">
        <v>27.389420000000001</v>
      </c>
      <c r="E74" s="29">
        <v>24.178650000000001</v>
      </c>
      <c r="G74" s="13" t="s">
        <v>38</v>
      </c>
      <c r="H74" s="30">
        <v>12.368551999999999</v>
      </c>
      <c r="I74" s="30">
        <v>7.4252399999999996</v>
      </c>
      <c r="J74" s="30">
        <v>7.5227959999999996</v>
      </c>
      <c r="K74" s="31" t="s">
        <v>119</v>
      </c>
    </row>
    <row r="75" spans="1:11" ht="16.5" x14ac:dyDescent="0.45">
      <c r="A75" s="13" t="s">
        <v>33</v>
      </c>
      <c r="B75" s="29">
        <v>137.10606999999999</v>
      </c>
      <c r="C75" s="29">
        <v>93.917990000000003</v>
      </c>
      <c r="D75" s="29">
        <v>71.746089999999995</v>
      </c>
      <c r="E75" s="29">
        <v>51.935130000000001</v>
      </c>
      <c r="G75" s="13" t="s">
        <v>58</v>
      </c>
      <c r="H75" s="30">
        <v>1581.626</v>
      </c>
      <c r="I75" s="30">
        <v>1296.087</v>
      </c>
      <c r="J75" s="30">
        <v>1341.1179999999999</v>
      </c>
      <c r="K75" s="30">
        <v>1256.49</v>
      </c>
    </row>
    <row r="76" spans="1:11" x14ac:dyDescent="0.35">
      <c r="A76" s="13" t="s">
        <v>36</v>
      </c>
      <c r="B76" s="29">
        <v>4.0000000000000002E-4</v>
      </c>
      <c r="C76" s="29">
        <v>2.48E-3</v>
      </c>
      <c r="D76" s="29">
        <v>3.5599999999999998E-3</v>
      </c>
      <c r="E76" s="29">
        <v>2.81E-3</v>
      </c>
    </row>
    <row r="77" spans="1:11" x14ac:dyDescent="0.35">
      <c r="A77" s="13" t="s">
        <v>37</v>
      </c>
      <c r="B77" s="29">
        <v>0.18565999999999999</v>
      </c>
      <c r="C77" s="29">
        <v>8.2460000000000006E-2</v>
      </c>
      <c r="D77" s="29">
        <v>0.22056000000000001</v>
      </c>
      <c r="E77" s="29">
        <v>0.11705</v>
      </c>
    </row>
    <row r="78" spans="1:11" x14ac:dyDescent="0.35">
      <c r="A78" s="13" t="s">
        <v>38</v>
      </c>
      <c r="B78" s="29">
        <v>5.17441</v>
      </c>
      <c r="C78" s="29">
        <v>6.1454899999999997</v>
      </c>
      <c r="D78" s="29">
        <v>7.2921399999999998</v>
      </c>
      <c r="E78" s="29">
        <v>6.3256100000000002</v>
      </c>
    </row>
    <row r="79" spans="1:11" x14ac:dyDescent="0.35">
      <c r="A79" s="13" t="s">
        <v>58</v>
      </c>
      <c r="B79" s="29">
        <f>SUM(B66:B78)</f>
        <v>2690.4751799999999</v>
      </c>
      <c r="C79" s="29">
        <f>SUM(C66:C78)</f>
        <v>1687.0001800000005</v>
      </c>
      <c r="D79" s="29">
        <f>SUM(D66:D78)</f>
        <v>2128.1150350000003</v>
      </c>
      <c r="E79" s="29">
        <f>SUM(E66:E78)</f>
        <v>1776.3026600000001</v>
      </c>
    </row>
  </sheetData>
  <pageMargins left="0.7" right="0.7" top="0.78740157499999996" bottom="0.78740157499999996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035D-3068-433F-98F4-FF40B4311586}">
  <dimension ref="A1:K82"/>
  <sheetViews>
    <sheetView topLeftCell="A42" workbookViewId="0">
      <selection activeCell="H78" sqref="H78"/>
    </sheetView>
  </sheetViews>
  <sheetFormatPr baseColWidth="10" defaultRowHeight="14.5" x14ac:dyDescent="0.35"/>
  <cols>
    <col min="7" max="7" width="11.90625" bestFit="1" customWidth="1"/>
    <col min="8" max="8" width="11.1796875" bestFit="1" customWidth="1"/>
    <col min="9" max="10" width="11.08984375" bestFit="1" customWidth="1"/>
  </cols>
  <sheetData>
    <row r="1" spans="1:11" x14ac:dyDescent="0.35">
      <c r="A1" t="s">
        <v>52</v>
      </c>
    </row>
    <row r="2" spans="1:11" x14ac:dyDescent="0.35">
      <c r="A2" t="s">
        <v>53</v>
      </c>
    </row>
    <row r="4" spans="1:11" x14ac:dyDescent="0.35">
      <c r="A4" s="7" t="s">
        <v>41</v>
      </c>
      <c r="B4" s="7" t="s">
        <v>0</v>
      </c>
      <c r="C4" s="7"/>
      <c r="D4" s="7"/>
      <c r="E4" s="7"/>
      <c r="F4" s="7"/>
      <c r="G4" s="8" t="s">
        <v>5</v>
      </c>
      <c r="H4" s="8"/>
      <c r="I4" s="8"/>
      <c r="J4" s="8"/>
    </row>
    <row r="5" spans="1:11" x14ac:dyDescent="0.35">
      <c r="A5" s="7"/>
      <c r="B5" s="7" t="s">
        <v>1</v>
      </c>
      <c r="C5" s="7" t="s">
        <v>2</v>
      </c>
      <c r="D5" s="7" t="s">
        <v>3</v>
      </c>
      <c r="E5" s="7" t="s">
        <v>4</v>
      </c>
      <c r="F5" s="7"/>
      <c r="G5" s="8" t="s">
        <v>1</v>
      </c>
      <c r="H5" s="8" t="s">
        <v>2</v>
      </c>
      <c r="I5" s="8" t="s">
        <v>3</v>
      </c>
      <c r="J5" s="8" t="s">
        <v>4</v>
      </c>
      <c r="K5" s="8" t="s">
        <v>44</v>
      </c>
    </row>
    <row r="6" spans="1:11" x14ac:dyDescent="0.35">
      <c r="A6" s="7" t="s">
        <v>6</v>
      </c>
      <c r="B6" s="3">
        <v>9.8578350000000001E-4</v>
      </c>
      <c r="C6" s="3">
        <v>2.0820740000000002E-3</v>
      </c>
      <c r="D6" s="3">
        <v>1.2204500000000001E-3</v>
      </c>
      <c r="E6" s="3">
        <v>1.2054240000000001E-3</v>
      </c>
      <c r="G6" s="2">
        <v>0</v>
      </c>
      <c r="H6" s="3">
        <v>8.2602350000000001E-4</v>
      </c>
      <c r="I6" s="2">
        <v>6.7199549999999995E-4</v>
      </c>
      <c r="J6" s="2">
        <v>1.6329175E-3</v>
      </c>
    </row>
    <row r="7" spans="1:11" x14ac:dyDescent="0.35">
      <c r="A7" s="7" t="s">
        <v>7</v>
      </c>
      <c r="B7" s="3">
        <v>2.1174229999999999E-2</v>
      </c>
      <c r="C7" s="3">
        <v>1.8980589999999999E-2</v>
      </c>
      <c r="D7" s="2">
        <v>0</v>
      </c>
      <c r="E7" s="2">
        <v>0</v>
      </c>
      <c r="G7" s="6" t="s">
        <v>42</v>
      </c>
      <c r="H7" s="6" t="s">
        <v>42</v>
      </c>
      <c r="I7" s="6" t="s">
        <v>42</v>
      </c>
      <c r="J7" s="6" t="s">
        <v>42</v>
      </c>
    </row>
    <row r="8" spans="1:11" x14ac:dyDescent="0.35">
      <c r="A8" s="7" t="s">
        <v>8</v>
      </c>
      <c r="B8" s="6" t="s">
        <v>42</v>
      </c>
      <c r="C8" s="6" t="s">
        <v>42</v>
      </c>
      <c r="D8" s="6" t="s">
        <v>42</v>
      </c>
      <c r="E8" s="6" t="s">
        <v>42</v>
      </c>
      <c r="G8" s="6" t="s">
        <v>42</v>
      </c>
      <c r="H8" s="6" t="s">
        <v>42</v>
      </c>
      <c r="I8" s="6" t="s">
        <v>42</v>
      </c>
      <c r="J8" s="6" t="s">
        <v>42</v>
      </c>
    </row>
    <row r="9" spans="1:11" x14ac:dyDescent="0.35">
      <c r="A9" s="7" t="s">
        <v>9</v>
      </c>
      <c r="B9" s="3">
        <v>0.21042189</v>
      </c>
      <c r="C9" s="3">
        <v>0.22499934999999999</v>
      </c>
      <c r="D9" s="3">
        <v>5.6290449999999999E-2</v>
      </c>
      <c r="E9" s="3">
        <v>0.12224047</v>
      </c>
      <c r="G9" s="3">
        <v>5.3225399999999999E-2</v>
      </c>
      <c r="H9" s="3">
        <v>7.8368419999999994E-2</v>
      </c>
      <c r="I9" s="2">
        <v>0.15095972999999999</v>
      </c>
      <c r="J9" s="2">
        <v>0</v>
      </c>
    </row>
    <row r="10" spans="1:11" x14ac:dyDescent="0.35">
      <c r="A10" s="7" t="s">
        <v>10</v>
      </c>
      <c r="B10" s="3">
        <v>0.97555409999999998</v>
      </c>
      <c r="C10" s="3">
        <v>1.0045413999999999</v>
      </c>
      <c r="D10" s="3">
        <v>0.95225199999999999</v>
      </c>
      <c r="E10" s="3">
        <v>1.4735524</v>
      </c>
      <c r="G10" s="3">
        <v>0.81298420999999998</v>
      </c>
      <c r="H10" s="3">
        <v>1.9537071100000001</v>
      </c>
      <c r="I10" s="3">
        <v>2.4735099800000002</v>
      </c>
      <c r="J10" s="3">
        <v>9.4560279999999997E-2</v>
      </c>
    </row>
    <row r="11" spans="1:11" x14ac:dyDescent="0.35">
      <c r="A11" s="7" t="s">
        <v>11</v>
      </c>
      <c r="B11" s="3">
        <v>1.9828650000000001</v>
      </c>
      <c r="C11" s="3">
        <v>2.7677290000000001</v>
      </c>
      <c r="D11" s="3">
        <v>2.1062750000000001</v>
      </c>
      <c r="E11" s="3">
        <v>2.2228829999999999</v>
      </c>
      <c r="G11" s="3">
        <v>2.0747507000000001</v>
      </c>
      <c r="H11" s="3">
        <v>1.9842588999999999</v>
      </c>
      <c r="I11" s="3">
        <v>2.2414272999999998</v>
      </c>
      <c r="J11" s="3">
        <v>0.4500479</v>
      </c>
    </row>
    <row r="12" spans="1:11" x14ac:dyDescent="0.35">
      <c r="A12" s="7" t="s">
        <v>12</v>
      </c>
      <c r="B12" s="6" t="s">
        <v>42</v>
      </c>
      <c r="C12" s="6" t="s">
        <v>42</v>
      </c>
      <c r="D12" s="6" t="s">
        <v>42</v>
      </c>
      <c r="E12" s="6" t="s">
        <v>42</v>
      </c>
      <c r="G12" s="6" t="s">
        <v>42</v>
      </c>
      <c r="H12" s="6" t="s">
        <v>42</v>
      </c>
      <c r="I12" s="6" t="s">
        <v>42</v>
      </c>
      <c r="J12" s="6" t="s">
        <v>42</v>
      </c>
    </row>
    <row r="13" spans="1:11" x14ac:dyDescent="0.35">
      <c r="A13" s="7" t="s">
        <v>13</v>
      </c>
      <c r="B13" s="3">
        <v>0.1176403</v>
      </c>
      <c r="C13" s="3">
        <v>0.1535262</v>
      </c>
      <c r="D13" s="3">
        <v>0.1088761</v>
      </c>
      <c r="E13" s="3">
        <v>0.1154216</v>
      </c>
      <c r="G13" s="3">
        <v>0.31100509999999998</v>
      </c>
      <c r="H13" s="3">
        <v>0.34782259999999998</v>
      </c>
      <c r="I13" s="3">
        <v>0.38204159999999998</v>
      </c>
      <c r="J13" s="3">
        <v>0.14913580000000001</v>
      </c>
    </row>
    <row r="14" spans="1:11" x14ac:dyDescent="0.35">
      <c r="A14" s="7" t="s">
        <v>14</v>
      </c>
      <c r="B14" s="6" t="s">
        <v>42</v>
      </c>
      <c r="C14" s="6" t="s">
        <v>42</v>
      </c>
      <c r="D14" s="6" t="s">
        <v>42</v>
      </c>
      <c r="E14" s="6" t="s">
        <v>42</v>
      </c>
      <c r="G14" s="6" t="s">
        <v>42</v>
      </c>
      <c r="H14" s="6" t="s">
        <v>42</v>
      </c>
      <c r="I14" s="6" t="s">
        <v>42</v>
      </c>
      <c r="J14" s="6" t="s">
        <v>42</v>
      </c>
    </row>
    <row r="15" spans="1:11" x14ac:dyDescent="0.35">
      <c r="A15" s="7" t="s">
        <v>15</v>
      </c>
      <c r="B15" s="3">
        <v>34.172190000000001</v>
      </c>
      <c r="C15" s="3">
        <v>38.371940000000002</v>
      </c>
      <c r="D15" s="3">
        <v>30.706779999999998</v>
      </c>
      <c r="E15" s="3">
        <v>34.227339999999998</v>
      </c>
      <c r="G15" s="3">
        <v>41.787619999999997</v>
      </c>
      <c r="H15" s="10" t="s">
        <v>59</v>
      </c>
      <c r="I15" s="10" t="s">
        <v>60</v>
      </c>
      <c r="J15" s="11" t="s">
        <v>61</v>
      </c>
    </row>
    <row r="16" spans="1:11" x14ac:dyDescent="0.35">
      <c r="A16" s="7" t="s">
        <v>16</v>
      </c>
      <c r="B16" s="3">
        <v>5.008953</v>
      </c>
      <c r="C16" s="3">
        <v>7.5881020000000001</v>
      </c>
      <c r="D16" s="3">
        <v>6.5127709999999999</v>
      </c>
      <c r="E16" s="3">
        <v>4.133591</v>
      </c>
      <c r="G16" s="3">
        <v>10.886728</v>
      </c>
      <c r="H16" s="10" t="s">
        <v>63</v>
      </c>
      <c r="I16" s="10" t="s">
        <v>62</v>
      </c>
      <c r="J16" s="3">
        <v>9.2633449999999993</v>
      </c>
    </row>
    <row r="17" spans="1:10" x14ac:dyDescent="0.35">
      <c r="A17" s="7" t="s">
        <v>17</v>
      </c>
      <c r="B17" s="3">
        <v>0.1503089</v>
      </c>
      <c r="C17" s="3">
        <v>0.1302181</v>
      </c>
      <c r="D17" s="3">
        <v>0.1122841</v>
      </c>
      <c r="E17" s="3">
        <v>0.14845140000000001</v>
      </c>
      <c r="G17" s="3">
        <v>0.51718209999999998</v>
      </c>
      <c r="H17" s="3">
        <v>0.55557319999999999</v>
      </c>
      <c r="I17" s="3">
        <v>0.51607939999999997</v>
      </c>
      <c r="J17" s="3">
        <v>0.48394969999999998</v>
      </c>
    </row>
    <row r="18" spans="1:10" x14ac:dyDescent="0.35">
      <c r="A18" s="7" t="s">
        <v>18</v>
      </c>
      <c r="B18" s="3">
        <v>0.16911770000000001</v>
      </c>
      <c r="C18" s="3">
        <v>0.14072309999999999</v>
      </c>
      <c r="D18" s="3">
        <v>0.1674638</v>
      </c>
      <c r="E18" s="3">
        <v>0.19590879999999999</v>
      </c>
      <c r="G18" s="6" t="s">
        <v>42</v>
      </c>
      <c r="H18" s="6" t="s">
        <v>42</v>
      </c>
      <c r="I18" s="6" t="s">
        <v>42</v>
      </c>
      <c r="J18" s="6" t="s">
        <v>42</v>
      </c>
    </row>
    <row r="19" spans="1:10" x14ac:dyDescent="0.35">
      <c r="A19" s="7" t="s">
        <v>19</v>
      </c>
      <c r="B19" s="3">
        <v>1.7671922</v>
      </c>
      <c r="C19" s="3">
        <v>0.6517039</v>
      </c>
      <c r="D19" s="3">
        <v>1.8869882</v>
      </c>
      <c r="E19" s="3">
        <v>2.0598866</v>
      </c>
      <c r="G19" s="3">
        <v>4.2274099999999999</v>
      </c>
      <c r="H19" s="3">
        <v>6.3477680000000003</v>
      </c>
      <c r="I19" s="10" t="s">
        <v>64</v>
      </c>
      <c r="J19" s="10" t="s">
        <v>65</v>
      </c>
    </row>
    <row r="20" spans="1:10" x14ac:dyDescent="0.35">
      <c r="A20" s="7" t="s">
        <v>20</v>
      </c>
      <c r="B20" s="3">
        <v>13.749748</v>
      </c>
      <c r="C20" s="3">
        <v>9.7818640000000006</v>
      </c>
      <c r="D20" s="3">
        <v>13.284817</v>
      </c>
      <c r="E20" s="3">
        <v>13.404588</v>
      </c>
      <c r="G20" s="3">
        <v>11.82335</v>
      </c>
      <c r="H20" s="3">
        <v>12.314170000000001</v>
      </c>
      <c r="I20" s="3">
        <v>11.26418</v>
      </c>
      <c r="J20" s="3">
        <v>10.57316</v>
      </c>
    </row>
    <row r="21" spans="1:10" x14ac:dyDescent="0.35">
      <c r="A21" s="7" t="s">
        <v>22</v>
      </c>
      <c r="B21" s="3">
        <v>14.52088</v>
      </c>
      <c r="C21" s="3">
        <v>13.59938</v>
      </c>
      <c r="D21" s="3">
        <v>14.518409999999999</v>
      </c>
      <c r="E21" s="3">
        <v>12.204510000000001</v>
      </c>
      <c r="G21" s="3">
        <v>6.3613330000000001</v>
      </c>
      <c r="H21" s="3">
        <v>5.5937270000000003</v>
      </c>
      <c r="I21" s="10" t="s">
        <v>66</v>
      </c>
      <c r="J21" s="3">
        <v>5.8117939999999999</v>
      </c>
    </row>
    <row r="22" spans="1:10" x14ac:dyDescent="0.35">
      <c r="A22" s="7" t="s">
        <v>21</v>
      </c>
      <c r="B22" s="3">
        <v>0</v>
      </c>
      <c r="C22" s="26">
        <v>1.5431E-4</v>
      </c>
      <c r="D22" s="3">
        <v>0</v>
      </c>
      <c r="E22" s="26">
        <v>4.5108000000000002E-5</v>
      </c>
      <c r="G22" s="3">
        <v>4.3506965E-3</v>
      </c>
      <c r="H22" s="3">
        <v>8.7935149999999996E-4</v>
      </c>
      <c r="I22" s="3">
        <v>6.2274849999999996E-4</v>
      </c>
      <c r="J22" s="3">
        <v>1.841035E-4</v>
      </c>
    </row>
    <row r="23" spans="1:10" x14ac:dyDescent="0.35">
      <c r="A23" s="7" t="s">
        <v>24</v>
      </c>
      <c r="B23" s="3">
        <v>24.65785</v>
      </c>
      <c r="C23" s="3">
        <v>22.073060000000002</v>
      </c>
      <c r="D23" s="3">
        <v>22.75234</v>
      </c>
      <c r="E23" s="3">
        <v>24.98405</v>
      </c>
      <c r="G23" s="3">
        <v>6.5231019999999997</v>
      </c>
      <c r="H23" s="3">
        <v>4.8642390000000004</v>
      </c>
      <c r="I23" s="3">
        <v>4.3811840000000002</v>
      </c>
      <c r="J23" s="10" t="s">
        <v>67</v>
      </c>
    </row>
    <row r="24" spans="1:10" x14ac:dyDescent="0.35">
      <c r="A24" s="7" t="s">
        <v>23</v>
      </c>
      <c r="B24" s="3">
        <v>0</v>
      </c>
      <c r="C24" s="3">
        <v>1.079369</v>
      </c>
      <c r="D24" s="3">
        <v>1.080281</v>
      </c>
      <c r="E24" s="3">
        <v>0</v>
      </c>
      <c r="G24" s="3">
        <v>0</v>
      </c>
      <c r="H24" s="3">
        <v>1.792748E-3</v>
      </c>
      <c r="I24" s="3">
        <v>4.5375980000000003E-3</v>
      </c>
      <c r="J24" s="3">
        <v>0</v>
      </c>
    </row>
    <row r="25" spans="1:10" x14ac:dyDescent="0.35">
      <c r="A25" s="7" t="s">
        <v>25</v>
      </c>
      <c r="B25" s="3">
        <v>1.770985</v>
      </c>
      <c r="C25" s="2" t="s">
        <v>90</v>
      </c>
      <c r="D25" s="3">
        <v>1.8889020000000001</v>
      </c>
      <c r="E25" s="3">
        <v>2.3498519999999998</v>
      </c>
      <c r="G25" s="3">
        <v>0.30947590000000003</v>
      </c>
      <c r="H25" s="3">
        <v>0.25170720000000002</v>
      </c>
      <c r="I25" s="3">
        <v>0.25170720000000002</v>
      </c>
      <c r="J25" s="3">
        <v>0.27499839999999998</v>
      </c>
    </row>
    <row r="26" spans="1:10" x14ac:dyDescent="0.35">
      <c r="A26" s="7" t="s">
        <v>26</v>
      </c>
      <c r="B26" s="3">
        <v>0.1749463</v>
      </c>
      <c r="C26" s="3">
        <v>0.16336619999999999</v>
      </c>
      <c r="D26" s="3">
        <v>0.1864884</v>
      </c>
      <c r="E26" s="3">
        <v>0.1431906</v>
      </c>
      <c r="G26" s="3">
        <v>5.1663000000000003E-5</v>
      </c>
      <c r="H26" s="3">
        <v>1.1406389999999999E-3</v>
      </c>
      <c r="I26" s="3">
        <v>1.1406389999999999E-3</v>
      </c>
      <c r="J26" s="3">
        <v>6.9448000000000003E-4</v>
      </c>
    </row>
    <row r="27" spans="1:10" x14ac:dyDescent="0.35">
      <c r="A27" s="7" t="s">
        <v>27</v>
      </c>
      <c r="B27" s="3">
        <v>0.27145550000000002</v>
      </c>
      <c r="C27" s="3">
        <v>0.23955319999999999</v>
      </c>
      <c r="D27" s="3">
        <v>0.1886359</v>
      </c>
      <c r="E27" s="3">
        <v>0.2228784</v>
      </c>
      <c r="G27" s="3">
        <v>0.41714980000000002</v>
      </c>
      <c r="H27" s="3">
        <v>0.2928539</v>
      </c>
      <c r="I27" s="3">
        <v>0.31613000000000002</v>
      </c>
      <c r="J27" s="3">
        <v>0.22088340000000001</v>
      </c>
    </row>
    <row r="28" spans="1:10" x14ac:dyDescent="0.35">
      <c r="A28" s="7" t="s">
        <v>28</v>
      </c>
      <c r="B28" s="3">
        <v>0.13053735999999999</v>
      </c>
      <c r="C28" s="3">
        <v>0.14666467999999999</v>
      </c>
      <c r="D28" s="3">
        <v>7.277691E-2</v>
      </c>
      <c r="E28" s="3">
        <v>5.8812280000000002E-2</v>
      </c>
      <c r="G28" s="3">
        <v>1.1455839999999999</v>
      </c>
      <c r="H28" s="10" t="s">
        <v>68</v>
      </c>
      <c r="I28" s="10" t="s">
        <v>69</v>
      </c>
      <c r="J28" s="10" t="s">
        <v>70</v>
      </c>
    </row>
    <row r="29" spans="1:10" x14ac:dyDescent="0.35">
      <c r="A29" s="7" t="s">
        <v>31</v>
      </c>
      <c r="B29" s="3">
        <v>0</v>
      </c>
      <c r="C29" s="3">
        <v>8.2700060000000006E-2</v>
      </c>
      <c r="D29" s="3">
        <v>8.1804180000000004E-2</v>
      </c>
      <c r="E29" s="3">
        <v>0</v>
      </c>
      <c r="G29" s="6" t="s">
        <v>42</v>
      </c>
      <c r="H29" s="6" t="s">
        <v>42</v>
      </c>
      <c r="I29" s="6" t="s">
        <v>42</v>
      </c>
      <c r="J29" s="6" t="s">
        <v>42</v>
      </c>
    </row>
    <row r="30" spans="1:10" x14ac:dyDescent="0.35">
      <c r="A30" s="7" t="s">
        <v>29</v>
      </c>
      <c r="B30" s="3">
        <v>0</v>
      </c>
      <c r="C30" s="3">
        <v>3.0549630000000001E-2</v>
      </c>
      <c r="D30" s="3">
        <v>1.4408509999999999E-2</v>
      </c>
      <c r="E30" s="3">
        <v>2.014295E-2</v>
      </c>
      <c r="G30" s="6" t="s">
        <v>42</v>
      </c>
      <c r="H30" s="6" t="s">
        <v>42</v>
      </c>
      <c r="I30" s="6" t="s">
        <v>42</v>
      </c>
      <c r="J30" s="6" t="s">
        <v>42</v>
      </c>
    </row>
    <row r="31" spans="1:10" x14ac:dyDescent="0.35">
      <c r="A31" s="7" t="s">
        <v>30</v>
      </c>
      <c r="B31" s="3">
        <v>1.0347949999999999</v>
      </c>
      <c r="C31" s="3">
        <v>0.87097800000000003</v>
      </c>
      <c r="D31" s="3">
        <v>0.77077660000000003</v>
      </c>
      <c r="E31" s="3">
        <v>0.3833202</v>
      </c>
      <c r="G31" s="3">
        <v>5.8185469999999997</v>
      </c>
      <c r="H31" s="3">
        <v>5.8176259999999997</v>
      </c>
      <c r="I31" s="3">
        <v>5.6603500000000002</v>
      </c>
      <c r="J31" s="3">
        <v>5.1602170000000003</v>
      </c>
    </row>
    <row r="32" spans="1:10" x14ac:dyDescent="0.35">
      <c r="A32" s="7" t="s">
        <v>33</v>
      </c>
      <c r="B32" s="3">
        <v>2.1534779999999998</v>
      </c>
      <c r="C32" s="3">
        <v>1.923273</v>
      </c>
      <c r="D32" s="3">
        <v>1.9098759999999999</v>
      </c>
      <c r="E32" s="3">
        <v>1.339145</v>
      </c>
      <c r="G32" s="3">
        <v>5.151173</v>
      </c>
      <c r="H32" s="3">
        <v>4.8211089999999999</v>
      </c>
      <c r="I32" s="3">
        <v>4.925306</v>
      </c>
      <c r="J32" s="3">
        <v>5.0295030000000001</v>
      </c>
    </row>
    <row r="33" spans="1:11" x14ac:dyDescent="0.35">
      <c r="A33" s="7" t="s">
        <v>32</v>
      </c>
      <c r="B33" s="6" t="s">
        <v>42</v>
      </c>
      <c r="C33" s="6" t="s">
        <v>42</v>
      </c>
      <c r="D33" s="6" t="s">
        <v>42</v>
      </c>
      <c r="E33" s="6" t="s">
        <v>42</v>
      </c>
      <c r="G33" s="6" t="s">
        <v>42</v>
      </c>
      <c r="H33" s="6" t="s">
        <v>42</v>
      </c>
      <c r="I33" s="6" t="s">
        <v>42</v>
      </c>
      <c r="J33" s="6" t="s">
        <v>42</v>
      </c>
    </row>
    <row r="34" spans="1:11" x14ac:dyDescent="0.35">
      <c r="A34" s="7" t="s">
        <v>34</v>
      </c>
      <c r="B34" s="3">
        <v>4.4221530000000002E-2</v>
      </c>
      <c r="C34" s="3">
        <v>7.2918369999999996E-2</v>
      </c>
      <c r="D34" s="3">
        <v>3.0136010000000001E-2</v>
      </c>
      <c r="E34" s="3">
        <v>4.3997439999999999E-2</v>
      </c>
      <c r="G34" s="6" t="s">
        <v>42</v>
      </c>
      <c r="H34" s="6" t="s">
        <v>42</v>
      </c>
      <c r="I34" s="6" t="s">
        <v>42</v>
      </c>
      <c r="J34" s="6" t="s">
        <v>42</v>
      </c>
    </row>
    <row r="35" spans="1:11" x14ac:dyDescent="0.35">
      <c r="A35" s="7" t="s">
        <v>35</v>
      </c>
      <c r="B35" s="6" t="s">
        <v>42</v>
      </c>
      <c r="C35" s="6" t="s">
        <v>42</v>
      </c>
      <c r="D35" s="6" t="s">
        <v>42</v>
      </c>
      <c r="E35" s="6" t="s">
        <v>42</v>
      </c>
      <c r="G35" s="5">
        <v>0</v>
      </c>
      <c r="H35" s="3">
        <v>0.30037920000000001</v>
      </c>
      <c r="I35" s="10" t="s">
        <v>72</v>
      </c>
      <c r="J35" s="10" t="s">
        <v>71</v>
      </c>
    </row>
    <row r="36" spans="1:11" x14ac:dyDescent="0.35">
      <c r="A36" s="7" t="s">
        <v>36</v>
      </c>
      <c r="B36" s="26">
        <v>9.7995300000000003E-6</v>
      </c>
      <c r="C36" s="26">
        <v>3.0077300000000001E-5</v>
      </c>
      <c r="D36" s="26">
        <v>7.0947999999999999E-5</v>
      </c>
      <c r="E36" s="26">
        <v>4.6151800000000001E-5</v>
      </c>
      <c r="G36" s="5">
        <v>0</v>
      </c>
      <c r="H36" s="19">
        <v>3.9174500000000002E-5</v>
      </c>
      <c r="I36" s="5">
        <v>5.4374700000000002E-4</v>
      </c>
      <c r="J36" s="3">
        <v>6.9880699999999997E-4</v>
      </c>
    </row>
    <row r="37" spans="1:11" x14ac:dyDescent="0.35">
      <c r="A37" s="7" t="s">
        <v>37</v>
      </c>
      <c r="B37" s="3">
        <v>3.2523510000000001E-3</v>
      </c>
      <c r="C37" s="3">
        <v>1.7958889999999999E-3</v>
      </c>
      <c r="D37" s="3">
        <v>5.4608859999999999E-3</v>
      </c>
      <c r="E37" s="3">
        <v>2.5536130000000002E-3</v>
      </c>
      <c r="G37" s="3">
        <v>0.1791732</v>
      </c>
      <c r="H37" s="5" t="s">
        <v>73</v>
      </c>
      <c r="I37" s="3">
        <v>0.1587143</v>
      </c>
      <c r="J37" s="3">
        <v>0.17059869999999999</v>
      </c>
    </row>
    <row r="38" spans="1:11" x14ac:dyDescent="0.35">
      <c r="A38" s="7" t="s">
        <v>38</v>
      </c>
      <c r="B38" s="3">
        <v>9.0644950000000002E-2</v>
      </c>
      <c r="C38" s="3">
        <v>0.1131996</v>
      </c>
      <c r="D38" s="3">
        <v>0.1167805</v>
      </c>
      <c r="E38" s="3">
        <v>8.9479329999999996E-2</v>
      </c>
      <c r="G38" s="3">
        <v>0.20534379999999999</v>
      </c>
      <c r="H38" s="3">
        <v>0.1129889</v>
      </c>
      <c r="I38" s="10" t="s">
        <v>74</v>
      </c>
      <c r="J38" s="3">
        <v>0.12133480000000001</v>
      </c>
    </row>
    <row r="39" spans="1:11" x14ac:dyDescent="0.35">
      <c r="A39" s="7" t="s">
        <v>39</v>
      </c>
      <c r="B39" s="3">
        <v>0.64133439999999997</v>
      </c>
      <c r="C39" s="3">
        <v>0.82594690000000004</v>
      </c>
      <c r="D39" s="3">
        <v>0.74669790000000003</v>
      </c>
      <c r="E39" s="3">
        <v>0.82532859999999997</v>
      </c>
      <c r="G39" s="3">
        <v>0.32498369999999999</v>
      </c>
      <c r="H39" s="3">
        <v>0.3773649</v>
      </c>
      <c r="I39" s="3">
        <v>0.29550399999999999</v>
      </c>
      <c r="J39" s="3">
        <v>0.1649352</v>
      </c>
    </row>
    <row r="40" spans="1:11" x14ac:dyDescent="0.35">
      <c r="A40" s="7" t="s">
        <v>40</v>
      </c>
      <c r="B40" s="6" t="s">
        <v>42</v>
      </c>
      <c r="C40" s="6" t="s">
        <v>42</v>
      </c>
      <c r="D40" s="6" t="s">
        <v>42</v>
      </c>
      <c r="E40" s="6" t="s">
        <v>42</v>
      </c>
      <c r="G40" s="6" t="s">
        <v>42</v>
      </c>
      <c r="H40" s="6" t="s">
        <v>42</v>
      </c>
      <c r="I40" s="6" t="s">
        <v>42</v>
      </c>
      <c r="J40" s="6" t="s">
        <v>42</v>
      </c>
    </row>
    <row r="41" spans="1:11" x14ac:dyDescent="0.35">
      <c r="G41" s="4"/>
      <c r="H41" s="4"/>
      <c r="I41" s="4"/>
      <c r="J41" s="4"/>
    </row>
    <row r="42" spans="1:11" x14ac:dyDescent="0.35">
      <c r="G42" s="4"/>
      <c r="H42" s="4"/>
      <c r="I42" s="4"/>
      <c r="J42" s="4"/>
    </row>
    <row r="43" spans="1:11" x14ac:dyDescent="0.35">
      <c r="A43" t="s">
        <v>54</v>
      </c>
      <c r="G43" s="4"/>
      <c r="H43" s="4"/>
      <c r="I43" s="4"/>
      <c r="J43" s="4"/>
    </row>
    <row r="44" spans="1:11" x14ac:dyDescent="0.35">
      <c r="G44" s="4"/>
      <c r="H44" s="4"/>
      <c r="I44" s="4"/>
      <c r="J44" s="4"/>
    </row>
    <row r="45" spans="1:11" x14ac:dyDescent="0.35">
      <c r="A45" s="24" t="s">
        <v>55</v>
      </c>
      <c r="B45" s="24" t="s">
        <v>1</v>
      </c>
      <c r="C45" s="24" t="s">
        <v>2</v>
      </c>
      <c r="D45" s="24" t="s">
        <v>3</v>
      </c>
      <c r="E45" s="24" t="s">
        <v>4</v>
      </c>
      <c r="G45" s="15" t="s">
        <v>55</v>
      </c>
      <c r="H45" s="15" t="s">
        <v>1</v>
      </c>
      <c r="I45" s="15" t="s">
        <v>2</v>
      </c>
      <c r="J45" s="15" t="s">
        <v>3</v>
      </c>
      <c r="K45" s="15" t="s">
        <v>4</v>
      </c>
    </row>
    <row r="46" spans="1:11" x14ac:dyDescent="0.35">
      <c r="A46" s="15" t="s">
        <v>6</v>
      </c>
      <c r="B46" s="21">
        <v>9.8578350000000001E-4</v>
      </c>
      <c r="C46" s="21">
        <v>2.0820740000000002E-3</v>
      </c>
      <c r="D46" s="21">
        <v>1.2204500000000001E-3</v>
      </c>
      <c r="E46" s="21">
        <v>1.2054240000000001E-3</v>
      </c>
      <c r="F46" s="13"/>
      <c r="G46" s="15" t="s">
        <v>6</v>
      </c>
      <c r="H46" s="20">
        <v>0</v>
      </c>
      <c r="I46" s="21">
        <v>8.2602350000000001E-4</v>
      </c>
      <c r="J46" s="20">
        <v>6.7199549999999995E-4</v>
      </c>
      <c r="K46" s="20">
        <v>1.6329175E-3</v>
      </c>
    </row>
    <row r="47" spans="1:11" x14ac:dyDescent="0.35">
      <c r="A47" s="15" t="s">
        <v>7</v>
      </c>
      <c r="B47" s="21">
        <v>2.1174229999999999E-2</v>
      </c>
      <c r="C47" s="21">
        <v>1.8980589999999999E-2</v>
      </c>
      <c r="D47" s="20">
        <v>0</v>
      </c>
      <c r="E47" s="20">
        <v>0</v>
      </c>
      <c r="F47" s="13"/>
      <c r="G47" s="15" t="s">
        <v>9</v>
      </c>
      <c r="H47" s="21">
        <v>5.3225399999999999E-2</v>
      </c>
      <c r="I47" s="21">
        <v>7.8368419999999994E-2</v>
      </c>
      <c r="J47" s="20">
        <v>0.15095972999999999</v>
      </c>
      <c r="K47" s="20">
        <v>0</v>
      </c>
    </row>
    <row r="48" spans="1:11" x14ac:dyDescent="0.35">
      <c r="A48" s="15" t="s">
        <v>9</v>
      </c>
      <c r="B48" s="21">
        <v>0.21042189</v>
      </c>
      <c r="C48" s="21">
        <v>0.22499934999999999</v>
      </c>
      <c r="D48" s="21">
        <v>5.6290449999999999E-2</v>
      </c>
      <c r="E48" s="21">
        <v>0.12224047</v>
      </c>
      <c r="F48" s="13"/>
      <c r="G48" s="15" t="s">
        <v>10</v>
      </c>
      <c r="H48" s="21">
        <v>0.81298420999999998</v>
      </c>
      <c r="I48" s="21">
        <v>1.9537071100000001</v>
      </c>
      <c r="J48" s="21">
        <v>2.4735099800000002</v>
      </c>
      <c r="K48" s="21">
        <v>9.4560279999999997E-2</v>
      </c>
    </row>
    <row r="49" spans="1:11" x14ac:dyDescent="0.35">
      <c r="A49" s="15" t="s">
        <v>10</v>
      </c>
      <c r="B49" s="21">
        <v>0.97555409999999998</v>
      </c>
      <c r="C49" s="21">
        <v>1.0045413999999999</v>
      </c>
      <c r="D49" s="21">
        <v>0.95225199999999999</v>
      </c>
      <c r="E49" s="21">
        <v>1.4735524</v>
      </c>
      <c r="F49" s="13"/>
      <c r="G49" s="15" t="s">
        <v>11</v>
      </c>
      <c r="H49" s="21">
        <v>2.0747507000000001</v>
      </c>
      <c r="I49" s="21">
        <v>1.9842588999999999</v>
      </c>
      <c r="J49" s="21">
        <v>2.2414272999999998</v>
      </c>
      <c r="K49" s="21">
        <v>0.4500479</v>
      </c>
    </row>
    <row r="50" spans="1:11" x14ac:dyDescent="0.35">
      <c r="A50" s="15" t="s">
        <v>11</v>
      </c>
      <c r="B50" s="21">
        <v>1.9828650000000001</v>
      </c>
      <c r="C50" s="21">
        <v>2.7677290000000001</v>
      </c>
      <c r="D50" s="21">
        <v>2.1062750000000001</v>
      </c>
      <c r="E50" s="21">
        <v>2.2228829999999999</v>
      </c>
      <c r="F50" s="13"/>
      <c r="G50" s="15" t="s">
        <v>13</v>
      </c>
      <c r="H50" s="21">
        <v>0.31100509999999998</v>
      </c>
      <c r="I50" s="21">
        <v>0.34782259999999998</v>
      </c>
      <c r="J50" s="21">
        <v>0.38204159999999998</v>
      </c>
      <c r="K50" s="21">
        <v>0.14913580000000001</v>
      </c>
    </row>
    <row r="51" spans="1:11" x14ac:dyDescent="0.35">
      <c r="A51" s="15" t="s">
        <v>13</v>
      </c>
      <c r="B51" s="21">
        <v>0.1176403</v>
      </c>
      <c r="C51" s="21">
        <v>0.1535262</v>
      </c>
      <c r="D51" s="21">
        <v>0.1088761</v>
      </c>
      <c r="E51" s="21">
        <v>0.1154216</v>
      </c>
      <c r="F51" s="13"/>
      <c r="G51" s="15" t="s">
        <v>15</v>
      </c>
      <c r="H51" s="21">
        <v>41.787619999999997</v>
      </c>
      <c r="I51" s="22" t="s">
        <v>75</v>
      </c>
      <c r="J51" s="22" t="s">
        <v>76</v>
      </c>
      <c r="K51" s="23" t="s">
        <v>77</v>
      </c>
    </row>
    <row r="52" spans="1:11" x14ac:dyDescent="0.35">
      <c r="A52" s="15" t="s">
        <v>15</v>
      </c>
      <c r="B52" s="21">
        <v>34.172190000000001</v>
      </c>
      <c r="C52" s="21">
        <v>38.371940000000002</v>
      </c>
      <c r="D52" s="21">
        <v>30.706779999999998</v>
      </c>
      <c r="E52" s="21">
        <v>34.227339999999998</v>
      </c>
      <c r="F52" s="13"/>
      <c r="G52" s="15" t="s">
        <v>17</v>
      </c>
      <c r="H52" s="21">
        <v>0.51718209999999998</v>
      </c>
      <c r="I52" s="21">
        <v>0.55557319999999999</v>
      </c>
      <c r="J52" s="21">
        <v>0.51607939999999997</v>
      </c>
      <c r="K52" s="21">
        <v>0.48394969999999998</v>
      </c>
    </row>
    <row r="53" spans="1:11" x14ac:dyDescent="0.35">
      <c r="A53" s="15" t="s">
        <v>17</v>
      </c>
      <c r="B53" s="21">
        <v>0.1503089</v>
      </c>
      <c r="C53" s="21">
        <v>0.1302181</v>
      </c>
      <c r="D53" s="21">
        <v>0.1122841</v>
      </c>
      <c r="E53" s="21">
        <v>0.14845140000000001</v>
      </c>
      <c r="F53" s="13"/>
      <c r="G53" s="15" t="s">
        <v>19</v>
      </c>
      <c r="H53" s="21">
        <v>4.2274099999999999</v>
      </c>
      <c r="I53" s="21">
        <v>6.3477680000000003</v>
      </c>
      <c r="J53" s="22" t="s">
        <v>78</v>
      </c>
      <c r="K53" s="22" t="s">
        <v>79</v>
      </c>
    </row>
    <row r="54" spans="1:11" x14ac:dyDescent="0.35">
      <c r="A54" s="15" t="s">
        <v>19</v>
      </c>
      <c r="B54" s="21">
        <v>1.7671922</v>
      </c>
      <c r="C54" s="21">
        <v>0.6517039</v>
      </c>
      <c r="D54" s="21">
        <v>1.8869882</v>
      </c>
      <c r="E54" s="21">
        <v>2.0598866</v>
      </c>
      <c r="F54" s="13"/>
      <c r="G54" s="15" t="s">
        <v>26</v>
      </c>
      <c r="H54" s="21">
        <v>5.1663000000000003E-5</v>
      </c>
      <c r="I54" s="21">
        <v>1.1406389999999999E-3</v>
      </c>
      <c r="J54" s="21">
        <v>1.1406389999999999E-3</v>
      </c>
      <c r="K54" s="21">
        <v>6.9448000000000003E-4</v>
      </c>
    </row>
    <row r="55" spans="1:11" x14ac:dyDescent="0.35">
      <c r="A55" s="15" t="s">
        <v>26</v>
      </c>
      <c r="B55" s="21">
        <v>0.1749463</v>
      </c>
      <c r="C55" s="21">
        <v>0.16336619999999999</v>
      </c>
      <c r="D55" s="21">
        <v>0.1864884</v>
      </c>
      <c r="E55" s="21">
        <v>0.1431906</v>
      </c>
      <c r="F55" s="13"/>
      <c r="G55" s="15" t="s">
        <v>39</v>
      </c>
      <c r="H55" s="21">
        <v>0.32498369999999999</v>
      </c>
      <c r="I55" s="21">
        <v>0.3773649</v>
      </c>
      <c r="J55" s="21">
        <v>0.29550399999999999</v>
      </c>
      <c r="K55" s="21">
        <v>0.1649352</v>
      </c>
    </row>
    <row r="56" spans="1:11" x14ac:dyDescent="0.35">
      <c r="A56" s="15" t="s">
        <v>34</v>
      </c>
      <c r="B56" s="21">
        <v>4.4221530000000002E-2</v>
      </c>
      <c r="C56" s="21">
        <v>7.2918369999999996E-2</v>
      </c>
      <c r="D56" s="21">
        <v>3.0136010000000001E-2</v>
      </c>
      <c r="E56" s="21">
        <v>4.3997439999999999E-2</v>
      </c>
      <c r="F56" s="13"/>
      <c r="G56" s="15" t="s">
        <v>56</v>
      </c>
      <c r="H56" s="14">
        <f>SUM(H46:H55)</f>
        <v>50.10921287299999</v>
      </c>
      <c r="I56" s="14">
        <f>SUM(I46:I55)</f>
        <v>11.6468297925</v>
      </c>
      <c r="J56" s="14">
        <f>SUM(J46:J55)</f>
        <v>6.0613346445000005</v>
      </c>
      <c r="K56" s="14">
        <f>SUM(K46:K55)</f>
        <v>1.3449562774999999</v>
      </c>
    </row>
    <row r="57" spans="1:11" x14ac:dyDescent="0.35">
      <c r="A57" s="15" t="s">
        <v>39</v>
      </c>
      <c r="B57" s="21">
        <v>0.64133439999999997</v>
      </c>
      <c r="C57" s="21">
        <v>0.82594690000000004</v>
      </c>
      <c r="D57" s="21">
        <v>0.74669790000000003</v>
      </c>
      <c r="E57" s="21">
        <v>0.82532859999999997</v>
      </c>
      <c r="F57" s="13"/>
      <c r="G57" s="15" t="s">
        <v>16</v>
      </c>
      <c r="H57" s="21">
        <v>10.886728</v>
      </c>
      <c r="I57" s="22" t="s">
        <v>80</v>
      </c>
      <c r="J57" s="22" t="s">
        <v>81</v>
      </c>
      <c r="K57" s="21">
        <v>9.2633449999999993</v>
      </c>
    </row>
    <row r="58" spans="1:11" x14ac:dyDescent="0.35">
      <c r="A58" s="17" t="s">
        <v>56</v>
      </c>
      <c r="B58" s="14">
        <f>SUM(B46:B57)</f>
        <v>40.258834633500001</v>
      </c>
      <c r="C58" s="14">
        <f>SUM(C46:C57)</f>
        <v>44.387952083999998</v>
      </c>
      <c r="D58" s="14">
        <f>SUM(D46:D57)</f>
        <v>36.894288609999997</v>
      </c>
      <c r="E58" s="14">
        <f>SUM(E46:E57)</f>
        <v>41.383497533999993</v>
      </c>
      <c r="F58" s="13"/>
      <c r="G58" s="15" t="s">
        <v>20</v>
      </c>
      <c r="H58" s="21">
        <v>11.82335</v>
      </c>
      <c r="I58" s="21">
        <v>12.314170000000001</v>
      </c>
      <c r="J58" s="21">
        <v>11.26418</v>
      </c>
      <c r="K58" s="21">
        <v>10.57316</v>
      </c>
    </row>
    <row r="59" spans="1:11" x14ac:dyDescent="0.35">
      <c r="A59" s="15" t="s">
        <v>16</v>
      </c>
      <c r="B59" s="21">
        <v>5.008953</v>
      </c>
      <c r="C59" s="21">
        <v>7.5881020000000001</v>
      </c>
      <c r="D59" s="21">
        <v>6.5127709999999999</v>
      </c>
      <c r="E59" s="21">
        <v>4.133591</v>
      </c>
      <c r="F59" s="13"/>
      <c r="G59" s="15" t="s">
        <v>27</v>
      </c>
      <c r="H59" s="21">
        <v>0.41714980000000002</v>
      </c>
      <c r="I59" s="21">
        <v>0.2928539</v>
      </c>
      <c r="J59" s="21">
        <v>0.31613000000000002</v>
      </c>
      <c r="K59" s="21">
        <v>0.22088340000000001</v>
      </c>
    </row>
    <row r="60" spans="1:11" x14ac:dyDescent="0.35">
      <c r="A60" s="15" t="s">
        <v>18</v>
      </c>
      <c r="B60" s="21">
        <v>0.16911770000000001</v>
      </c>
      <c r="C60" s="21">
        <v>0.14072309999999999</v>
      </c>
      <c r="D60" s="21">
        <v>0.1674638</v>
      </c>
      <c r="E60" s="21">
        <v>0.19590879999999999</v>
      </c>
      <c r="F60" s="13"/>
      <c r="G60" s="15" t="s">
        <v>35</v>
      </c>
      <c r="H60" s="20">
        <v>0</v>
      </c>
      <c r="I60" s="21">
        <v>0.30037920000000001</v>
      </c>
      <c r="J60" s="22" t="s">
        <v>82</v>
      </c>
      <c r="K60" s="22" t="s">
        <v>83</v>
      </c>
    </row>
    <row r="61" spans="1:11" x14ac:dyDescent="0.35">
      <c r="A61" s="15" t="s">
        <v>20</v>
      </c>
      <c r="B61" s="21">
        <v>13.749748</v>
      </c>
      <c r="C61" s="21">
        <v>9.7818640000000006</v>
      </c>
      <c r="D61" s="21">
        <v>13.284817</v>
      </c>
      <c r="E61" s="21">
        <v>13.404588</v>
      </c>
      <c r="F61" s="13"/>
      <c r="G61" s="15" t="s">
        <v>57</v>
      </c>
      <c r="H61" s="14">
        <f>SUM(H57:H60)</f>
        <v>23.1272278</v>
      </c>
      <c r="I61" s="14">
        <f>SUM(I57:I60)</f>
        <v>12.907403100000002</v>
      </c>
      <c r="J61" s="14">
        <f>SUM(J57:J60)</f>
        <v>11.580309999999999</v>
      </c>
      <c r="K61" s="14">
        <f>SUM(K57:K60)</f>
        <v>20.057388400000001</v>
      </c>
    </row>
    <row r="62" spans="1:11" x14ac:dyDescent="0.35">
      <c r="A62" s="15" t="s">
        <v>27</v>
      </c>
      <c r="B62" s="21">
        <v>0.27145550000000002</v>
      </c>
      <c r="C62" s="21">
        <v>0.23955319999999999</v>
      </c>
      <c r="D62" s="21">
        <v>0.1886359</v>
      </c>
      <c r="E62" s="21">
        <v>0.2228784</v>
      </c>
      <c r="F62" s="13"/>
      <c r="G62" s="15" t="s">
        <v>22</v>
      </c>
      <c r="H62" s="21">
        <v>6.3613330000000001</v>
      </c>
      <c r="I62" s="21">
        <v>5.5937270000000003</v>
      </c>
      <c r="J62" s="22" t="s">
        <v>84</v>
      </c>
      <c r="K62" s="21">
        <v>5.8117939999999999</v>
      </c>
    </row>
    <row r="63" spans="1:11" x14ac:dyDescent="0.35">
      <c r="A63" s="15" t="s">
        <v>57</v>
      </c>
      <c r="B63" s="14">
        <f>SUM(B59:B62)</f>
        <v>19.199274199999998</v>
      </c>
      <c r="C63" s="14">
        <f>SUM(C59:C62)</f>
        <v>17.7502423</v>
      </c>
      <c r="D63" s="14">
        <f>SUM(D59:D62)</f>
        <v>20.153687700000003</v>
      </c>
      <c r="E63" s="14">
        <f>SUM(E59:E62)</f>
        <v>17.9569662</v>
      </c>
      <c r="F63" s="13"/>
      <c r="G63" s="15" t="s">
        <v>21</v>
      </c>
      <c r="H63" s="21">
        <v>4.3506965E-3</v>
      </c>
      <c r="I63" s="21">
        <v>8.7935149999999996E-4</v>
      </c>
      <c r="J63" s="21">
        <v>6.2274849999999996E-4</v>
      </c>
      <c r="K63" s="21">
        <v>1.841035E-4</v>
      </c>
    </row>
    <row r="64" spans="1:11" x14ac:dyDescent="0.35">
      <c r="A64" s="15" t="s">
        <v>22</v>
      </c>
      <c r="B64" s="21">
        <v>14.52088</v>
      </c>
      <c r="C64" s="21">
        <v>13.59938</v>
      </c>
      <c r="D64" s="21">
        <v>14.518409999999999</v>
      </c>
      <c r="E64" s="21">
        <v>12.204510000000001</v>
      </c>
      <c r="F64" s="13"/>
      <c r="G64" s="15" t="s">
        <v>24</v>
      </c>
      <c r="H64" s="21">
        <v>6.5231019999999997</v>
      </c>
      <c r="I64" s="21">
        <v>4.8642390000000004</v>
      </c>
      <c r="J64" s="21">
        <v>4.3811840000000002</v>
      </c>
      <c r="K64" s="22" t="s">
        <v>85</v>
      </c>
    </row>
    <row r="65" spans="1:11" x14ac:dyDescent="0.35">
      <c r="A65" s="15" t="s">
        <v>21</v>
      </c>
      <c r="B65" s="21">
        <v>0</v>
      </c>
      <c r="C65" s="21">
        <v>1.5431E-4</v>
      </c>
      <c r="D65" s="21">
        <v>0</v>
      </c>
      <c r="E65" s="21">
        <v>4.5108000000000002E-5</v>
      </c>
      <c r="F65" s="13"/>
      <c r="G65" s="15" t="s">
        <v>23</v>
      </c>
      <c r="H65" s="21">
        <v>0</v>
      </c>
      <c r="I65" s="21">
        <v>1.792748E-3</v>
      </c>
      <c r="J65" s="21">
        <v>4.5375980000000003E-3</v>
      </c>
      <c r="K65" s="21">
        <v>0</v>
      </c>
    </row>
    <row r="66" spans="1:11" x14ac:dyDescent="0.35">
      <c r="A66" s="15" t="s">
        <v>24</v>
      </c>
      <c r="B66" s="21">
        <v>24.65785</v>
      </c>
      <c r="C66" s="21">
        <v>22.073060000000002</v>
      </c>
      <c r="D66" s="21">
        <v>22.75234</v>
      </c>
      <c r="E66" s="21">
        <v>24.98405</v>
      </c>
      <c r="F66" s="13"/>
      <c r="G66" s="15" t="s">
        <v>25</v>
      </c>
      <c r="H66" s="21">
        <v>0.30947590000000003</v>
      </c>
      <c r="I66" s="21">
        <v>0.25170720000000002</v>
      </c>
      <c r="J66" s="21">
        <v>0.25170720000000002</v>
      </c>
      <c r="K66" s="21">
        <v>0.27499839999999998</v>
      </c>
    </row>
    <row r="67" spans="1:11" x14ac:dyDescent="0.35">
      <c r="A67" s="15" t="s">
        <v>23</v>
      </c>
      <c r="B67" s="21">
        <v>0</v>
      </c>
      <c r="C67" s="21">
        <v>1.079369</v>
      </c>
      <c r="D67" s="21">
        <v>1.080281</v>
      </c>
      <c r="E67" s="21">
        <v>0</v>
      </c>
      <c r="F67" s="13"/>
      <c r="G67" s="15" t="s">
        <v>28</v>
      </c>
      <c r="H67" s="21">
        <v>1.1455839999999999</v>
      </c>
      <c r="I67" s="22" t="s">
        <v>86</v>
      </c>
      <c r="J67" s="22" t="s">
        <v>87</v>
      </c>
      <c r="K67" s="22" t="s">
        <v>88</v>
      </c>
    </row>
    <row r="68" spans="1:11" x14ac:dyDescent="0.35">
      <c r="A68" s="15" t="s">
        <v>25</v>
      </c>
      <c r="B68" s="21">
        <v>1.770985</v>
      </c>
      <c r="C68" s="27" t="s">
        <v>91</v>
      </c>
      <c r="D68" s="21">
        <v>1.8889020000000001</v>
      </c>
      <c r="E68" s="21">
        <v>2.3498519999999998</v>
      </c>
      <c r="F68" s="13"/>
      <c r="G68" s="15" t="s">
        <v>30</v>
      </c>
      <c r="H68" s="21">
        <v>5.8185469999999997</v>
      </c>
      <c r="I68" s="21">
        <v>5.8176259999999997</v>
      </c>
      <c r="J68" s="21">
        <v>5.6603500000000002</v>
      </c>
      <c r="K68" s="21">
        <v>5.1602170000000003</v>
      </c>
    </row>
    <row r="69" spans="1:11" x14ac:dyDescent="0.35">
      <c r="A69" s="15" t="s">
        <v>28</v>
      </c>
      <c r="B69" s="21">
        <v>0.13053735999999999</v>
      </c>
      <c r="C69" s="21">
        <v>0.14666467999999999</v>
      </c>
      <c r="D69" s="21">
        <v>7.277691E-2</v>
      </c>
      <c r="E69" s="21">
        <v>5.8812280000000002E-2</v>
      </c>
      <c r="F69" s="13"/>
      <c r="G69" s="15" t="s">
        <v>33</v>
      </c>
      <c r="H69" s="21">
        <v>5.151173</v>
      </c>
      <c r="I69" s="21">
        <v>4.8211089999999999</v>
      </c>
      <c r="J69" s="21">
        <v>4.925306</v>
      </c>
      <c r="K69" s="21">
        <v>5.0295030000000001</v>
      </c>
    </row>
    <row r="70" spans="1:11" x14ac:dyDescent="0.35">
      <c r="A70" s="15" t="s">
        <v>31</v>
      </c>
      <c r="B70" s="21">
        <v>0</v>
      </c>
      <c r="C70" s="21">
        <v>8.2700060000000006E-2</v>
      </c>
      <c r="D70" s="21">
        <v>8.1804180000000004E-2</v>
      </c>
      <c r="E70" s="21">
        <v>0</v>
      </c>
      <c r="F70" s="13"/>
      <c r="G70" s="15" t="s">
        <v>36</v>
      </c>
      <c r="H70" s="20">
        <v>0</v>
      </c>
      <c r="I70" s="21">
        <v>3.9174500000000002E-5</v>
      </c>
      <c r="J70" s="20">
        <v>5.4374700000000002E-4</v>
      </c>
      <c r="K70" s="21">
        <v>6.9880699999999997E-4</v>
      </c>
    </row>
    <row r="71" spans="1:11" x14ac:dyDescent="0.35">
      <c r="A71" s="15" t="s">
        <v>29</v>
      </c>
      <c r="B71" s="21">
        <v>0</v>
      </c>
      <c r="C71" s="21">
        <v>3.0549630000000001E-2</v>
      </c>
      <c r="D71" s="21">
        <v>1.4408509999999999E-2</v>
      </c>
      <c r="E71" s="21">
        <v>2.014295E-2</v>
      </c>
      <c r="F71" s="13"/>
      <c r="G71" s="15" t="s">
        <v>37</v>
      </c>
      <c r="H71" s="21">
        <v>0.1791732</v>
      </c>
      <c r="I71" s="20" t="s">
        <v>73</v>
      </c>
      <c r="J71" s="21">
        <v>0.1587143</v>
      </c>
      <c r="K71" s="21">
        <v>0.17059869999999999</v>
      </c>
    </row>
    <row r="72" spans="1:11" x14ac:dyDescent="0.35">
      <c r="A72" s="15" t="s">
        <v>30</v>
      </c>
      <c r="B72" s="21">
        <v>1.0347949999999999</v>
      </c>
      <c r="C72" s="21">
        <v>0.87097800000000003</v>
      </c>
      <c r="D72" s="21">
        <v>0.77077660000000003</v>
      </c>
      <c r="E72" s="21">
        <v>0.3833202</v>
      </c>
      <c r="F72" s="13"/>
      <c r="G72" s="15" t="s">
        <v>38</v>
      </c>
      <c r="H72" s="21">
        <v>0.20534379999999999</v>
      </c>
      <c r="I72" s="21">
        <v>0.1129889</v>
      </c>
      <c r="J72" s="22" t="s">
        <v>89</v>
      </c>
      <c r="K72" s="21">
        <v>0.12133480000000001</v>
      </c>
    </row>
    <row r="73" spans="1:11" x14ac:dyDescent="0.35">
      <c r="A73" s="15" t="s">
        <v>33</v>
      </c>
      <c r="B73" s="21">
        <v>2.1534779999999998</v>
      </c>
      <c r="C73" s="21">
        <v>1.923273</v>
      </c>
      <c r="D73" s="21">
        <v>1.9098759999999999</v>
      </c>
      <c r="E73" s="21">
        <v>1.339145</v>
      </c>
      <c r="F73" s="13"/>
      <c r="G73" s="24" t="s">
        <v>58</v>
      </c>
      <c r="H73" s="20">
        <f>SUM(H62:H72)</f>
        <v>25.698082596500004</v>
      </c>
      <c r="I73" s="20">
        <f>SUM(I62:I72)</f>
        <v>21.464108374000002</v>
      </c>
      <c r="J73" s="20">
        <f>SUM(J62:J72)</f>
        <v>15.382965593499998</v>
      </c>
      <c r="K73" s="20">
        <f>SUM(K62:K72)</f>
        <v>16.569328810499997</v>
      </c>
    </row>
    <row r="74" spans="1:11" x14ac:dyDescent="0.35">
      <c r="A74" s="15" t="s">
        <v>36</v>
      </c>
      <c r="B74" s="21">
        <v>9.7995300000000003E-6</v>
      </c>
      <c r="C74" s="21">
        <v>3.0077300000000001E-5</v>
      </c>
      <c r="D74" s="21">
        <v>7.0947999999999999E-5</v>
      </c>
      <c r="E74" s="21">
        <v>4.6151800000000001E-5</v>
      </c>
      <c r="G74" s="25"/>
      <c r="H74" s="6"/>
      <c r="I74" s="6"/>
      <c r="J74" s="6"/>
      <c r="K74" s="6"/>
    </row>
    <row r="75" spans="1:11" x14ac:dyDescent="0.35">
      <c r="A75" s="15" t="s">
        <v>37</v>
      </c>
      <c r="B75" s="21">
        <v>3.2523510000000001E-3</v>
      </c>
      <c r="C75" s="21">
        <v>1.7958889999999999E-3</v>
      </c>
      <c r="D75" s="21">
        <v>5.4608859999999999E-3</v>
      </c>
      <c r="E75" s="21">
        <v>2.5536130000000002E-3</v>
      </c>
    </row>
    <row r="76" spans="1:11" x14ac:dyDescent="0.35">
      <c r="A76" s="15" t="s">
        <v>38</v>
      </c>
      <c r="B76" s="21">
        <v>9.0644950000000002E-2</v>
      </c>
      <c r="C76" s="21">
        <v>0.1131996</v>
      </c>
      <c r="D76" s="21">
        <v>0.1167805</v>
      </c>
      <c r="E76" s="21">
        <v>8.9479329999999996E-2</v>
      </c>
    </row>
    <row r="77" spans="1:11" x14ac:dyDescent="0.35">
      <c r="A77" s="24" t="s">
        <v>58</v>
      </c>
      <c r="B77" s="20">
        <f>SUM(B64:B76)</f>
        <v>44.362432460530002</v>
      </c>
      <c r="C77" s="20">
        <f>SUM(C64:C76)</f>
        <v>39.921154246300013</v>
      </c>
      <c r="D77" s="20">
        <f>SUM(D64:D76)</f>
        <v>43.211887533999999</v>
      </c>
      <c r="E77" s="20">
        <f>SUM(E64:E76)</f>
        <v>41.431956632800009</v>
      </c>
    </row>
    <row r="80" spans="1:11" x14ac:dyDescent="0.35">
      <c r="G80" s="7"/>
      <c r="H80" s="6"/>
      <c r="I80" s="6"/>
      <c r="J80" s="6"/>
      <c r="K80" s="6"/>
    </row>
    <row r="82" spans="1:5" x14ac:dyDescent="0.35">
      <c r="A82" s="7"/>
      <c r="B82" s="6"/>
      <c r="C82" s="6"/>
      <c r="D82" s="6"/>
      <c r="E82" s="6"/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0D4D-6809-4C05-B012-6B9EDA891045}">
  <dimension ref="A2:B7"/>
  <sheetViews>
    <sheetView workbookViewId="0">
      <selection activeCell="E6" sqref="E6"/>
    </sheetView>
  </sheetViews>
  <sheetFormatPr baseColWidth="10" defaultRowHeight="14.5" x14ac:dyDescent="0.35"/>
  <cols>
    <col min="2" max="2" width="15.7265625" customWidth="1"/>
  </cols>
  <sheetData>
    <row r="2" spans="1:2" x14ac:dyDescent="0.35">
      <c r="A2" t="s">
        <v>92</v>
      </c>
      <c r="B2" t="s">
        <v>95</v>
      </c>
    </row>
    <row r="3" spans="1:2" x14ac:dyDescent="0.35">
      <c r="A3" t="s">
        <v>93</v>
      </c>
      <c r="B3">
        <v>0.67</v>
      </c>
    </row>
    <row r="4" spans="1:2" x14ac:dyDescent="0.35">
      <c r="A4" t="s">
        <v>2</v>
      </c>
      <c r="B4">
        <v>0.59899999999999998</v>
      </c>
    </row>
    <row r="5" spans="1:2" x14ac:dyDescent="0.35">
      <c r="A5" t="s">
        <v>3</v>
      </c>
      <c r="B5" s="7">
        <v>0.52700000000000002</v>
      </c>
    </row>
    <row r="6" spans="1:2" x14ac:dyDescent="0.35">
      <c r="A6" t="s">
        <v>4</v>
      </c>
      <c r="B6" s="7">
        <v>0.52600000000000002</v>
      </c>
    </row>
    <row r="7" spans="1:2" x14ac:dyDescent="0.35">
      <c r="A7" t="s">
        <v>94</v>
      </c>
      <c r="B7" s="7">
        <v>0.442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0350-8815-42A0-A843-6BB8B7A1592E}">
  <dimension ref="A1:B22"/>
  <sheetViews>
    <sheetView topLeftCell="A10" workbookViewId="0">
      <selection activeCell="C20" sqref="C20"/>
    </sheetView>
  </sheetViews>
  <sheetFormatPr baseColWidth="10" defaultRowHeight="14.5" x14ac:dyDescent="0.35"/>
  <cols>
    <col min="2" max="2" width="15.1796875" style="4" customWidth="1"/>
  </cols>
  <sheetData>
    <row r="1" spans="1:2" x14ac:dyDescent="0.35">
      <c r="A1" t="s">
        <v>97</v>
      </c>
    </row>
    <row r="2" spans="1:2" x14ac:dyDescent="0.35">
      <c r="A2" t="s">
        <v>92</v>
      </c>
      <c r="B2" s="4" t="s">
        <v>96</v>
      </c>
    </row>
    <row r="3" spans="1:2" x14ac:dyDescent="0.35">
      <c r="A3" t="s">
        <v>93</v>
      </c>
      <c r="B3" s="4">
        <v>0.11899999999999999</v>
      </c>
    </row>
    <row r="4" spans="1:2" x14ac:dyDescent="0.35">
      <c r="A4" t="s">
        <v>2</v>
      </c>
      <c r="B4" s="8" t="s">
        <v>102</v>
      </c>
    </row>
    <row r="5" spans="1:2" x14ac:dyDescent="0.35">
      <c r="A5" t="s">
        <v>3</v>
      </c>
      <c r="B5" s="8" t="s">
        <v>103</v>
      </c>
    </row>
    <row r="6" spans="1:2" x14ac:dyDescent="0.35">
      <c r="A6" t="s">
        <v>4</v>
      </c>
      <c r="B6" s="4">
        <v>0.124</v>
      </c>
    </row>
    <row r="9" spans="1:2" x14ac:dyDescent="0.35">
      <c r="A9" t="s">
        <v>98</v>
      </c>
    </row>
    <row r="10" spans="1:2" x14ac:dyDescent="0.35">
      <c r="A10" t="s">
        <v>92</v>
      </c>
      <c r="B10" s="4" t="s">
        <v>96</v>
      </c>
    </row>
    <row r="11" spans="1:2" x14ac:dyDescent="0.35">
      <c r="A11" t="s">
        <v>93</v>
      </c>
      <c r="B11" s="4">
        <v>0.28299999999999997</v>
      </c>
    </row>
    <row r="12" spans="1:2" x14ac:dyDescent="0.35">
      <c r="A12" t="s">
        <v>2</v>
      </c>
      <c r="B12" s="8" t="s">
        <v>100</v>
      </c>
    </row>
    <row r="13" spans="1:2" x14ac:dyDescent="0.35">
      <c r="A13" t="s">
        <v>3</v>
      </c>
      <c r="B13" s="4">
        <v>0.29099999999999998</v>
      </c>
    </row>
    <row r="14" spans="1:2" x14ac:dyDescent="0.35">
      <c r="A14" t="s">
        <v>4</v>
      </c>
      <c r="B14" s="8" t="s">
        <v>101</v>
      </c>
    </row>
    <row r="17" spans="1:2" x14ac:dyDescent="0.35">
      <c r="A17" t="s">
        <v>99</v>
      </c>
    </row>
    <row r="18" spans="1:2" x14ac:dyDescent="0.35">
      <c r="A18" t="s">
        <v>92</v>
      </c>
      <c r="B18" s="4" t="s">
        <v>96</v>
      </c>
    </row>
    <row r="19" spans="1:2" x14ac:dyDescent="0.35">
      <c r="A19" t="s">
        <v>93</v>
      </c>
      <c r="B19" s="4">
        <v>0.42599999999999999</v>
      </c>
    </row>
    <row r="20" spans="1:2" x14ac:dyDescent="0.35">
      <c r="A20" t="s">
        <v>2</v>
      </c>
      <c r="B20" s="8" t="s">
        <v>105</v>
      </c>
    </row>
    <row r="21" spans="1:2" x14ac:dyDescent="0.35">
      <c r="A21" t="s">
        <v>3</v>
      </c>
      <c r="B21" s="4">
        <v>0.34499999999999997</v>
      </c>
    </row>
    <row r="22" spans="1:2" x14ac:dyDescent="0.35">
      <c r="A22" t="s">
        <v>4</v>
      </c>
      <c r="B22" s="8" t="s">
        <v>104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FA absolute</vt:lpstr>
      <vt:lpstr>FA relative</vt:lpstr>
      <vt:lpstr>Dryweight snails</vt:lpstr>
      <vt:lpstr>AFDW after 7 days of feeding</vt:lpstr>
    </vt:vector>
  </TitlesOfParts>
  <Company>TU KL RHRK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ms007247@mslic.uni-kl.de</dc:creator>
  <cp:lastModifiedBy>Sophie Oster</cp:lastModifiedBy>
  <dcterms:created xsi:type="dcterms:W3CDTF">2023-12-29T12:41:01Z</dcterms:created>
  <dcterms:modified xsi:type="dcterms:W3CDTF">2024-03-07T09:24:23Z</dcterms:modified>
</cp:coreProperties>
</file>