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kp\Documents\UFZ_Science\Sophie Oster LD\"/>
    </mc:Choice>
  </mc:AlternateContent>
  <bookViews>
    <workbookView xWindow="0" yWindow="0" windowWidth="28800" windowHeight="12225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0717_FA-Quant-Report_ISTD" sheetId="1" r:id="rId6"/>
  </sheets>
  <calcPr calcId="152511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D2" i="4" l="1"/>
  <c r="E2" i="4"/>
  <c r="F2" i="4"/>
  <c r="G2" i="4"/>
  <c r="H2" i="4"/>
  <c r="I2" i="4"/>
  <c r="J2" i="4"/>
  <c r="K2" i="4"/>
  <c r="L2" i="4"/>
  <c r="M2" i="4"/>
  <c r="D3" i="4"/>
  <c r="E3" i="4"/>
  <c r="F3" i="4"/>
  <c r="G3" i="4"/>
  <c r="H3" i="4"/>
  <c r="I3" i="4"/>
  <c r="J3" i="4"/>
  <c r="L3" i="4"/>
  <c r="M3" i="4"/>
  <c r="D4" i="4"/>
  <c r="E4" i="4"/>
  <c r="F4" i="4"/>
  <c r="G4" i="4"/>
  <c r="H4" i="4"/>
  <c r="I4" i="4"/>
  <c r="J4" i="4"/>
  <c r="K4" i="4"/>
  <c r="L4" i="4"/>
  <c r="M4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16" i="4"/>
  <c r="E16" i="4"/>
  <c r="F16" i="4"/>
  <c r="G16" i="4"/>
  <c r="H16" i="4"/>
  <c r="I16" i="4"/>
  <c r="J16" i="4"/>
  <c r="K16" i="4"/>
  <c r="L16" i="4"/>
  <c r="M16" i="4"/>
  <c r="D17" i="4"/>
  <c r="E17" i="4"/>
  <c r="F17" i="4"/>
  <c r="G17" i="4"/>
  <c r="H17" i="4"/>
  <c r="I17" i="4"/>
  <c r="J17" i="4"/>
  <c r="K17" i="4"/>
  <c r="L17" i="4"/>
  <c r="M17" i="4"/>
  <c r="D18" i="4"/>
  <c r="E18" i="4"/>
  <c r="F18" i="4"/>
  <c r="G18" i="4"/>
  <c r="H18" i="4"/>
  <c r="I18" i="4"/>
  <c r="J18" i="4"/>
  <c r="K18" i="4"/>
  <c r="L18" i="4"/>
  <c r="M18" i="4"/>
  <c r="D19" i="4"/>
  <c r="E19" i="4"/>
  <c r="F19" i="4"/>
  <c r="G19" i="4"/>
  <c r="H19" i="4"/>
  <c r="I19" i="4"/>
  <c r="J19" i="4"/>
  <c r="K19" i="4"/>
  <c r="L19" i="4"/>
  <c r="M19" i="4"/>
  <c r="D20" i="4"/>
  <c r="E20" i="4"/>
  <c r="F20" i="4"/>
  <c r="G20" i="4"/>
  <c r="H20" i="4"/>
  <c r="I20" i="4"/>
  <c r="J20" i="4"/>
  <c r="K20" i="4"/>
  <c r="L20" i="4"/>
  <c r="M20" i="4"/>
  <c r="D21" i="4"/>
  <c r="E21" i="4"/>
  <c r="F21" i="4"/>
  <c r="G21" i="4"/>
  <c r="H21" i="4"/>
  <c r="I21" i="4"/>
  <c r="J21" i="4"/>
  <c r="K21" i="4"/>
  <c r="L21" i="4"/>
  <c r="M21" i="4"/>
  <c r="D22" i="4"/>
  <c r="E22" i="4"/>
  <c r="F22" i="4"/>
  <c r="G22" i="4"/>
  <c r="H22" i="4"/>
  <c r="I22" i="4"/>
  <c r="J22" i="4"/>
  <c r="K22" i="4"/>
  <c r="L22" i="4"/>
  <c r="M22" i="4"/>
  <c r="D23" i="4"/>
  <c r="E23" i="4"/>
  <c r="F23" i="4"/>
  <c r="G23" i="4"/>
  <c r="H23" i="4"/>
  <c r="I23" i="4"/>
  <c r="K23" i="4"/>
  <c r="L23" i="4"/>
  <c r="M23" i="4"/>
  <c r="D24" i="4"/>
  <c r="E24" i="4"/>
  <c r="F24" i="4"/>
  <c r="G24" i="4"/>
  <c r="H24" i="4"/>
  <c r="I24" i="4"/>
  <c r="J24" i="4"/>
  <c r="K24" i="4"/>
  <c r="L24" i="4"/>
  <c r="M24" i="4"/>
  <c r="D25" i="4"/>
  <c r="E25" i="4"/>
  <c r="F25" i="4"/>
  <c r="G25" i="4"/>
  <c r="H25" i="4"/>
  <c r="I25" i="4"/>
  <c r="J25" i="4"/>
  <c r="K25" i="4"/>
  <c r="L25" i="4"/>
  <c r="M25" i="4"/>
  <c r="D26" i="4"/>
  <c r="E26" i="4"/>
  <c r="F26" i="4"/>
  <c r="G26" i="4"/>
  <c r="H26" i="4"/>
  <c r="I26" i="4"/>
  <c r="J26" i="4"/>
  <c r="K26" i="4"/>
  <c r="L26" i="4"/>
  <c r="M26" i="4"/>
  <c r="D27" i="4"/>
  <c r="E27" i="4"/>
  <c r="F27" i="4"/>
  <c r="G27" i="4"/>
  <c r="H27" i="4"/>
  <c r="I27" i="4"/>
  <c r="D28" i="4"/>
  <c r="E28" i="4"/>
  <c r="F28" i="4"/>
  <c r="G28" i="4"/>
  <c r="H28" i="4"/>
  <c r="I28" i="4"/>
  <c r="J28" i="4"/>
  <c r="K28" i="4"/>
  <c r="L28" i="4"/>
  <c r="M28" i="4"/>
  <c r="D29" i="4"/>
  <c r="E29" i="4"/>
  <c r="F29" i="4"/>
  <c r="G29" i="4"/>
  <c r="H29" i="4"/>
  <c r="I29" i="4"/>
  <c r="J29" i="4"/>
  <c r="K29" i="4"/>
  <c r="L29" i="4"/>
  <c r="M29" i="4"/>
  <c r="D30" i="4"/>
  <c r="E30" i="4"/>
  <c r="F30" i="4"/>
  <c r="G30" i="4"/>
  <c r="H30" i="4"/>
  <c r="I30" i="4"/>
  <c r="J30" i="4"/>
  <c r="K30" i="4"/>
  <c r="L30" i="4"/>
  <c r="M30" i="4"/>
  <c r="D31" i="4"/>
  <c r="E31" i="4"/>
  <c r="F31" i="4"/>
  <c r="G31" i="4"/>
  <c r="H31" i="4"/>
  <c r="I31" i="4"/>
  <c r="J31" i="4"/>
  <c r="K31" i="4"/>
  <c r="L31" i="4"/>
  <c r="M31" i="4"/>
  <c r="D32" i="4"/>
  <c r="E32" i="4"/>
  <c r="F32" i="4"/>
  <c r="G32" i="4"/>
  <c r="H32" i="4"/>
  <c r="I32" i="4"/>
  <c r="J32" i="4"/>
  <c r="K32" i="4"/>
  <c r="L32" i="4"/>
  <c r="M32" i="4"/>
  <c r="D33" i="4"/>
  <c r="E33" i="4"/>
  <c r="F33" i="4"/>
  <c r="G33" i="4"/>
  <c r="H33" i="4"/>
  <c r="I33" i="4"/>
  <c r="J33" i="4"/>
  <c r="K33" i="4"/>
  <c r="L33" i="4"/>
  <c r="M33" i="4"/>
  <c r="D34" i="4"/>
  <c r="E34" i="4"/>
  <c r="F34" i="4"/>
  <c r="G34" i="4"/>
  <c r="H34" i="4"/>
  <c r="I34" i="4"/>
  <c r="J34" i="4"/>
  <c r="K34" i="4"/>
  <c r="L34" i="4"/>
  <c r="M34" i="4"/>
  <c r="D35" i="4"/>
  <c r="E35" i="4"/>
  <c r="F35" i="4"/>
  <c r="G35" i="4"/>
  <c r="H35" i="4"/>
  <c r="I35" i="4"/>
  <c r="J35" i="4"/>
  <c r="K35" i="4"/>
  <c r="L35" i="4"/>
  <c r="M35" i="4"/>
  <c r="D36" i="4"/>
  <c r="E36" i="4"/>
  <c r="F36" i="4"/>
  <c r="G36" i="4"/>
  <c r="H36" i="4"/>
  <c r="I36" i="4"/>
  <c r="J36" i="4"/>
  <c r="K36" i="4"/>
  <c r="L36" i="4"/>
  <c r="M36" i="4"/>
</calcChain>
</file>

<file path=xl/sharedStrings.xml><?xml version="1.0" encoding="utf-8"?>
<sst xmlns="http://schemas.openxmlformats.org/spreadsheetml/2006/main" count="3355" uniqueCount="126">
  <si>
    <t>Batch Data Path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</si>
  <si>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</si>
  <si>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</si>
  <si>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</si>
  <si>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</si>
  <si>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</si>
  <si>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</si>
  <si>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</si>
  <si>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</si>
  <si>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</si>
  <si>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</si>
  <si>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</si>
  <si>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</si>
  <si>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</si>
  <si>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</si>
  <si>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</si>
  <si>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</t>
  </si>
  <si>
    <t>Blank</t>
  </si>
  <si>
    <t>FAME_02_Insert</t>
  </si>
  <si>
    <t xml:space="preserve">MEGA-Mix </t>
  </si>
  <si>
    <t>Sample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</si>
  <si>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</si>
  <si>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</si>
  <si>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</si>
  <si>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</si>
  <si>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</si>
  <si>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</si>
  <si>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</si>
  <si>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</si>
  <si>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</si>
  <si>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</si>
  <si>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</si>
  <si>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</si>
  <si>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</si>
  <si>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</si>
  <si>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</si>
  <si>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</si>
  <si>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</si>
  <si>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</si>
  <si>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</si>
  <si>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</si>
  <si>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</si>
  <si>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</si>
  <si>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ND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</si>
  <si>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</si>
  <si>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</si>
  <si>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</si>
  <si>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</si>
  <si>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</si>
  <si>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</si>
  <si>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</si>
  <si>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</si>
  <si>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</si>
  <si>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</si>
  <si>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</si>
  <si>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</si>
  <si>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</si>
  <si>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</si>
  <si>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</si>
  <si>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</si>
  <si>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</si>
  <si>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</si>
  <si>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</si>
  <si>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</si>
  <si>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</si>
  <si>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</si>
  <si>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</si>
  <si>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</si>
  <si>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</si>
  <si>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</si>
  <si>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</si>
  <si>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</si>
  <si>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</si>
  <si>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</si>
  <si>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</si>
  <si>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</si>
  <si>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</si>
  <si>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</si>
  <si>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</si>
  <si>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</si>
  <si>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</si>
  <si>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</si>
  <si>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</si>
  <si>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</si>
  <si>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</si>
  <si>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</si>
  <si>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</si>
  <si>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</si>
  <si>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</si>
  <si>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</si>
  <si>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</si>
  <si>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</si>
  <si>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</si>
  <si>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</si>
  <si>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</si>
  <si>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</si>
  <si>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</si>
  <si>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</si>
  <si>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</si>
  <si>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</si>
  <si>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</si>
  <si>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</si>
  <si>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</si>
  <si>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</si>
  <si>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D:\MassHunter\GCMS\1\data\Sophie_Landau\230717\QuantResults\23017.batch.bin</t>
  </si>
  <si>
    <t>blank230717.D</t>
  </si>
  <si>
    <t>MEGA-Mix_230717.D</t>
  </si>
  <si>
    <t>S10.D</t>
  </si>
  <si>
    <t>S10</t>
  </si>
  <si>
    <t>S11.D</t>
  </si>
  <si>
    <t>S11</t>
  </si>
  <si>
    <t>WBPro1.D</t>
  </si>
  <si>
    <t>WBPro1</t>
  </si>
  <si>
    <t>WBMix1.D</t>
  </si>
  <si>
    <t>WBMix1</t>
  </si>
  <si>
    <t>WBPro2.D</t>
  </si>
  <si>
    <t>WBPro2</t>
  </si>
  <si>
    <t>WBCip1.D</t>
  </si>
  <si>
    <t>WBCip1</t>
  </si>
  <si>
    <t>WBMix2.D</t>
  </si>
  <si>
    <t>WBMix2</t>
  </si>
  <si>
    <t>WBCip2.D</t>
  </si>
  <si>
    <t>WBCip2</t>
  </si>
  <si>
    <t>Blank3.D</t>
  </si>
  <si>
    <t>Blank3</t>
  </si>
  <si>
    <t>kein 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</si>
</sst>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aufgeräumt!$G$1</c:f>
              <c:strCache>
                <c:ptCount val="1"/>
                <c:pt idx="0">
                  <c:v>WBPro2.D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General</c:formatCode>
                <c:ptCount val="35"/>
                <c:pt idx="0">
                  <c:v>6.7620221000000003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7.2460667999999995</c:v>
                </c:pt>
                <c:pt idx="6">
                  <c:v>2.1530711999999999</c:v>
                </c:pt>
                <c:pt idx="7">
                  <c:v>0</c:v>
                </c:pt>
                <c:pt idx="8">
                  <c:v>0</c:v>
                </c:pt>
                <c:pt idx="9">
                  <c:v>1559.8596487</c:v>
                </c:pt>
                <c:pt idx="10">
                  <c:v>28.2426095</c:v>
                </c:pt>
                <c:pt idx="11">
                  <c:v>11.384157699999999</c:v>
                </c:pt>
                <c:pt idx="12">
                  <c:v>8.2494604000000002</c:v>
                </c:pt>
                <c:pt idx="13">
                  <c:v>245.30661760000001</c:v>
                </c:pt>
                <c:pt idx="14">
                  <c:v>24.600107400000002</c:v>
                </c:pt>
                <c:pt idx="15">
                  <c:v>38.420081400000001</c:v>
                </c:pt>
                <c:pt idx="16">
                  <c:v>98.285392900000005</c:v>
                </c:pt>
                <c:pt idx="17">
                  <c:v>1.5747802999999998</c:v>
                </c:pt>
                <c:pt idx="18">
                  <c:v>59.5756272</c:v>
                </c:pt>
                <c:pt idx="19">
                  <c:v>0.26835539999999997</c:v>
                </c:pt>
                <c:pt idx="20">
                  <c:v>2.1239128999999997</c:v>
                </c:pt>
                <c:pt idx="21">
                  <c:v>2.7619609000000001</c:v>
                </c:pt>
                <c:pt idx="22">
                  <c:v>4.1040790999999999</c:v>
                </c:pt>
                <c:pt idx="23">
                  <c:v>31.327736400000003</c:v>
                </c:pt>
                <c:pt idx="24">
                  <c:v>146.30437309999999</c:v>
                </c:pt>
                <c:pt idx="25">
                  <c:v>32.247192500000004</c:v>
                </c:pt>
                <c:pt idx="26">
                  <c:v>0.32299820000000001</c:v>
                </c:pt>
                <c:pt idx="27">
                  <c:v>98.202708400000006</c:v>
                </c:pt>
                <c:pt idx="28">
                  <c:v>2.4229315000000002</c:v>
                </c:pt>
                <c:pt idx="29">
                  <c:v>14.900680399999999</c:v>
                </c:pt>
                <c:pt idx="30">
                  <c:v>1.9741491</c:v>
                </c:pt>
                <c:pt idx="31">
                  <c:v>0.52420960000000005</c:v>
                </c:pt>
                <c:pt idx="32">
                  <c:v>2.7345747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5"/>
          <c:order val="5"/>
          <c:tx>
            <c:strRef>
              <c:f>aufgeräumt!$H$1</c:f>
              <c:strCache>
                <c:ptCount val="1"/>
                <c:pt idx="0">
                  <c:v>WBCip1.D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General</c:formatCode>
                <c:ptCount val="35"/>
                <c:pt idx="0">
                  <c:v>6.6707279000000002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3.8908926999999998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1357.4774282000001</c:v>
                </c:pt>
                <c:pt idx="10">
                  <c:v>29.040412100000001</c:v>
                </c:pt>
                <c:pt idx="11">
                  <c:v>11.511274199999999</c:v>
                </c:pt>
                <c:pt idx="12">
                  <c:v>0</c:v>
                </c:pt>
                <c:pt idx="13">
                  <c:v>256.75292610000002</c:v>
                </c:pt>
                <c:pt idx="14">
                  <c:v>251.85806030000001</c:v>
                </c:pt>
                <c:pt idx="15">
                  <c:v>0.8197875</c:v>
                </c:pt>
                <c:pt idx="16">
                  <c:v>163.78412549999999</c:v>
                </c:pt>
                <c:pt idx="17">
                  <c:v>5.2512400000000001E-2</c:v>
                </c:pt>
                <c:pt idx="18">
                  <c:v>113.39655430000001</c:v>
                </c:pt>
                <c:pt idx="19">
                  <c:v>0.54456479999999996</c:v>
                </c:pt>
                <c:pt idx="20">
                  <c:v>1.5846005000000001</c:v>
                </c:pt>
                <c:pt idx="21">
                  <c:v>0</c:v>
                </c:pt>
                <c:pt idx="22">
                  <c:v>31.8112098</c:v>
                </c:pt>
                <c:pt idx="23">
                  <c:v>0.20618039999999999</c:v>
                </c:pt>
                <c:pt idx="24">
                  <c:v>207.9590986</c:v>
                </c:pt>
                <c:pt idx="25">
                  <c:v>0</c:v>
                </c:pt>
                <c:pt idx="26">
                  <c:v>0</c:v>
                </c:pt>
                <c:pt idx="27">
                  <c:v>138.33425980000001</c:v>
                </c:pt>
                <c:pt idx="28">
                  <c:v>0</c:v>
                </c:pt>
                <c:pt idx="29">
                  <c:v>32.9095431</c:v>
                </c:pt>
                <c:pt idx="30">
                  <c:v>7.6568611000000004</c:v>
                </c:pt>
                <c:pt idx="31">
                  <c:v>4.1783334999999999</c:v>
                </c:pt>
                <c:pt idx="32">
                  <c:v>7.3196243000000001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6"/>
          <c:order val="6"/>
          <c:tx>
            <c:strRef>
              <c:f>aufgeräumt!$I$1</c:f>
              <c:strCache>
                <c:ptCount val="1"/>
                <c:pt idx="0">
                  <c:v>WBMix2.D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General</c:formatCode>
                <c:ptCount val="35"/>
                <c:pt idx="0">
                  <c:v>6.7047423999999998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2.6967021</c:v>
                </c:pt>
                <c:pt idx="8">
                  <c:v>0</c:v>
                </c:pt>
                <c:pt idx="9">
                  <c:v>984.67820949999998</c:v>
                </c:pt>
                <c:pt idx="10">
                  <c:v>5.2233678000000001</c:v>
                </c:pt>
                <c:pt idx="11">
                  <c:v>6.3222614999999998</c:v>
                </c:pt>
                <c:pt idx="12">
                  <c:v>0</c:v>
                </c:pt>
                <c:pt idx="13">
                  <c:v>222.38213159999998</c:v>
                </c:pt>
                <c:pt idx="14">
                  <c:v>69.156638900000004</c:v>
                </c:pt>
                <c:pt idx="15">
                  <c:v>0.49599520000000002</c:v>
                </c:pt>
                <c:pt idx="16">
                  <c:v>53.431366699999998</c:v>
                </c:pt>
                <c:pt idx="17">
                  <c:v>3.2820000000000002E-3</c:v>
                </c:pt>
                <c:pt idx="18">
                  <c:v>51.747863299999999</c:v>
                </c:pt>
                <c:pt idx="19">
                  <c:v>0.27706169999999997</c:v>
                </c:pt>
                <c:pt idx="20">
                  <c:v>1.634746</c:v>
                </c:pt>
                <c:pt idx="21">
                  <c:v>0</c:v>
                </c:pt>
                <c:pt idx="22">
                  <c:v>8.8022317999999995</c:v>
                </c:pt>
                <c:pt idx="23">
                  <c:v>0.4168924</c:v>
                </c:pt>
                <c:pt idx="24">
                  <c:v>134.56991310000001</c:v>
                </c:pt>
                <c:pt idx="25">
                  <c:v>0</c:v>
                </c:pt>
                <c:pt idx="26">
                  <c:v>0</c:v>
                </c:pt>
                <c:pt idx="27">
                  <c:v>81.596109400000003</c:v>
                </c:pt>
                <c:pt idx="28">
                  <c:v>0</c:v>
                </c:pt>
                <c:pt idx="29">
                  <c:v>30.1429039</c:v>
                </c:pt>
                <c:pt idx="30">
                  <c:v>1.9568238</c:v>
                </c:pt>
                <c:pt idx="31">
                  <c:v>1.7470162</c:v>
                </c:pt>
                <c:pt idx="32">
                  <c:v>0.4792708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7"/>
          <c:order val="7"/>
          <c:tx>
            <c:strRef>
              <c:f>aufgeräumt!$J$1</c:f>
              <c:strCache>
                <c:ptCount val="1"/>
                <c:pt idx="0">
                  <c:v>WBCip2.D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General</c:formatCode>
                <c:ptCount val="35"/>
                <c:pt idx="0">
                  <c:v>6.7053477999999993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1183.7139240000001</c:v>
                </c:pt>
                <c:pt idx="10">
                  <c:v>9.3249852999999998</c:v>
                </c:pt>
                <c:pt idx="11">
                  <c:v>9.6450863000000009</c:v>
                </c:pt>
                <c:pt idx="12">
                  <c:v>0</c:v>
                </c:pt>
                <c:pt idx="13">
                  <c:v>252.44936060000001</c:v>
                </c:pt>
                <c:pt idx="14">
                  <c:v>114.8533753</c:v>
                </c:pt>
                <c:pt idx="15">
                  <c:v>0.3418889</c:v>
                </c:pt>
                <c:pt idx="16">
                  <c:v>100.57347530000001</c:v>
                </c:pt>
                <c:pt idx="17">
                  <c:v>0.42716329999999997</c:v>
                </c:pt>
                <c:pt idx="18">
                  <c:v>63.4090743</c:v>
                </c:pt>
                <c:pt idx="19">
                  <c:v>0.2251592</c:v>
                </c:pt>
                <c:pt idx="20">
                  <c:v>4.1356598</c:v>
                </c:pt>
                <c:pt idx="21">
                  <c:v>18.810503799999999</c:v>
                </c:pt>
                <c:pt idx="22">
                  <c:v>21.227137500000001</c:v>
                </c:pt>
                <c:pt idx="23">
                  <c:v>0.41542880000000004</c:v>
                </c:pt>
                <c:pt idx="24">
                  <c:v>220.3947077</c:v>
                </c:pt>
                <c:pt idx="25">
                  <c:v>0</c:v>
                </c:pt>
                <c:pt idx="26">
                  <c:v>0</c:v>
                </c:pt>
                <c:pt idx="27">
                  <c:v>139.31304779999999</c:v>
                </c:pt>
                <c:pt idx="28">
                  <c:v>0</c:v>
                </c:pt>
                <c:pt idx="29">
                  <c:v>25.4742994</c:v>
                </c:pt>
                <c:pt idx="30">
                  <c:v>8.3154807000000002</c:v>
                </c:pt>
                <c:pt idx="31">
                  <c:v>4.0932411000000002</c:v>
                </c:pt>
                <c:pt idx="32">
                  <c:v>4.6130578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8"/>
          <c:order val="8"/>
          <c:tx>
            <c:strRef>
              <c:f>aufgeräumt!$K$1</c:f>
              <c:strCache>
                <c:ptCount val="1"/>
                <c:pt idx="0">
                  <c:v>Blank3.D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General</c:formatCode>
                <c:ptCount val="35"/>
                <c:pt idx="0">
                  <c:v>6.671278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805.21668969999996</c:v>
                </c:pt>
                <c:pt idx="10">
                  <c:v>0</c:v>
                </c:pt>
                <c:pt idx="11">
                  <c:v>0.8527134999999999</c:v>
                </c:pt>
                <c:pt idx="12">
                  <c:v>0</c:v>
                </c:pt>
                <c:pt idx="13">
                  <c:v>268.62339709999998</c:v>
                </c:pt>
                <c:pt idx="14">
                  <c:v>18.465913199999999</c:v>
                </c:pt>
                <c:pt idx="15">
                  <c:v>0.37901389999999996</c:v>
                </c:pt>
                <c:pt idx="16">
                  <c:v>4.3819413999999997</c:v>
                </c:pt>
                <c:pt idx="17">
                  <c:v>0</c:v>
                </c:pt>
                <c:pt idx="18">
                  <c:v>1.9239938999999999</c:v>
                </c:pt>
                <c:pt idx="19">
                  <c:v>0.18784030000000002</c:v>
                </c:pt>
                <c:pt idx="20">
                  <c:v>1.5947213999999998</c:v>
                </c:pt>
                <c:pt idx="21">
                  <c:v>0.113223</c:v>
                </c:pt>
                <c:pt idx="22">
                  <c:v>0.27242099999999997</c:v>
                </c:pt>
                <c:pt idx="23">
                  <c:v>0.47224079999999996</c:v>
                </c:pt>
                <c:pt idx="24">
                  <c:v>0.5551678000000001</c:v>
                </c:pt>
                <c:pt idx="25">
                  <c:v>0</c:v>
                </c:pt>
                <c:pt idx="26">
                  <c:v>0</c:v>
                </c:pt>
                <c:pt idx="27">
                  <c:v>0.61162099999999997</c:v>
                </c:pt>
                <c:pt idx="28">
                  <c:v>0</c:v>
                </c:pt>
                <c:pt idx="29">
                  <c:v>47.341217</c:v>
                </c:pt>
                <c:pt idx="30">
                  <c:v>1.9275685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927760"/>
        <c:axId val="5779269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aufgeräumt!$C$1</c15:sqref>
                        </c15:formulaRef>
                      </c:ext>
                    </c:extLst>
                    <c:strCache>
                      <c:ptCount val="1"/>
                      <c:pt idx="0">
                        <c:v>S10.D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aufgeräumt!$C$2:$C$36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999.99711919999993</c:v>
                      </c:pt>
                      <c:pt idx="1">
                        <c:v>785.18106699999998</c:v>
                      </c:pt>
                      <c:pt idx="2">
                        <c:v>389.67762729999998</c:v>
                      </c:pt>
                      <c:pt idx="3">
                        <c:v>74.603001399999997</c:v>
                      </c:pt>
                      <c:pt idx="4">
                        <c:v>132.166652</c:v>
                      </c:pt>
                      <c:pt idx="5">
                        <c:v>28.280875399999999</c:v>
                      </c:pt>
                      <c:pt idx="6">
                        <c:v>102.55081849999999</c:v>
                      </c:pt>
                      <c:pt idx="7">
                        <c:v>165.97197640000002</c:v>
                      </c:pt>
                      <c:pt idx="8">
                        <c:v>163.51830050000001</c:v>
                      </c:pt>
                      <c:pt idx="9">
                        <c:v>140.7281605</c:v>
                      </c:pt>
                      <c:pt idx="10">
                        <c:v>82.321366999999995</c:v>
                      </c:pt>
                      <c:pt idx="11">
                        <c:v>11.877235300000001</c:v>
                      </c:pt>
                      <c:pt idx="12">
                        <c:v>104.8475306</c:v>
                      </c:pt>
                      <c:pt idx="13">
                        <c:v>112.941102</c:v>
                      </c:pt>
                      <c:pt idx="14">
                        <c:v>70.510722599999994</c:v>
                      </c:pt>
                      <c:pt idx="15">
                        <c:v>194.01736780000002</c:v>
                      </c:pt>
                      <c:pt idx="16">
                        <c:v>43.817659200000001</c:v>
                      </c:pt>
                      <c:pt idx="17">
                        <c:v>207.85045339999999</c:v>
                      </c:pt>
                      <c:pt idx="18">
                        <c:v>264.64959039999997</c:v>
                      </c:pt>
                      <c:pt idx="19">
                        <c:v>150.83891880000002</c:v>
                      </c:pt>
                      <c:pt idx="20">
                        <c:v>105.8133974</c:v>
                      </c:pt>
                      <c:pt idx="21">
                        <c:v>48.245590100000001</c:v>
                      </c:pt>
                      <c:pt idx="22">
                        <c:v>401.89060920000003</c:v>
                      </c:pt>
                      <c:pt idx="23">
                        <c:v>40.9901865</c:v>
                      </c:pt>
                      <c:pt idx="24">
                        <c:v>333.59118800000005</c:v>
                      </c:pt>
                      <c:pt idx="25">
                        <c:v>49.465142200000003</c:v>
                      </c:pt>
                      <c:pt idx="26">
                        <c:v>3.0212251999999999</c:v>
                      </c:pt>
                      <c:pt idx="27">
                        <c:v>232.30122210000002</c:v>
                      </c:pt>
                      <c:pt idx="28">
                        <c:v>430.364349</c:v>
                      </c:pt>
                      <c:pt idx="29">
                        <c:v>27.3261368</c:v>
                      </c:pt>
                      <c:pt idx="30">
                        <c:v>69.2881553</c:v>
                      </c:pt>
                      <c:pt idx="31">
                        <c:v>91.573690799999994</c:v>
                      </c:pt>
                      <c:pt idx="32">
                        <c:v>202.91130329999999</c:v>
                      </c:pt>
                      <c:pt idx="33">
                        <c:v>498.1692458</c:v>
                      </c:pt>
                      <c:pt idx="34">
                        <c:v>23.232824900000001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aufgeräumt!$D$1</c15:sqref>
                        </c15:formulaRef>
                      </c:ext>
                    </c:extLst>
                    <c:strCache>
                      <c:ptCount val="1"/>
                      <c:pt idx="0">
                        <c:v>S11.D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aufgeräumt!$D$2:$D$36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1677.0531578</c:v>
                      </c:pt>
                      <c:pt idx="1">
                        <c:v>750.86041020000005</c:v>
                      </c:pt>
                      <c:pt idx="2">
                        <c:v>106.09962040000001</c:v>
                      </c:pt>
                      <c:pt idx="3">
                        <c:v>1363.1961240999999</c:v>
                      </c:pt>
                      <c:pt idx="4">
                        <c:v>479.87860910000001</c:v>
                      </c:pt>
                      <c:pt idx="5">
                        <c:v>46.617074299999999</c:v>
                      </c:pt>
                      <c:pt idx="6">
                        <c:v>66.026805699999997</c:v>
                      </c:pt>
                      <c:pt idx="7">
                        <c:v>255.96202480000002</c:v>
                      </c:pt>
                      <c:pt idx="8">
                        <c:v>136.16662030000001</c:v>
                      </c:pt>
                      <c:pt idx="9">
                        <c:v>144.9128255</c:v>
                      </c:pt>
                      <c:pt idx="10">
                        <c:v>224.68901959999999</c:v>
                      </c:pt>
                      <c:pt idx="11">
                        <c:v>9.7137045999999998</c:v>
                      </c:pt>
                      <c:pt idx="12">
                        <c:v>249.70114319999999</c:v>
                      </c:pt>
                      <c:pt idx="13">
                        <c:v>287.57467810000003</c:v>
                      </c:pt>
                      <c:pt idx="14">
                        <c:v>40.285624900000002</c:v>
                      </c:pt>
                      <c:pt idx="15">
                        <c:v>225.06652549999998</c:v>
                      </c:pt>
                      <c:pt idx="16">
                        <c:v>211.47561279999999</c:v>
                      </c:pt>
                      <c:pt idx="17">
                        <c:v>371.48837989999998</c:v>
                      </c:pt>
                      <c:pt idx="18">
                        <c:v>492.47828009999995</c:v>
                      </c:pt>
                      <c:pt idx="19">
                        <c:v>505.64725129999999</c:v>
                      </c:pt>
                      <c:pt idx="20">
                        <c:v>135.20589809999998</c:v>
                      </c:pt>
                      <c:pt idx="21">
                        <c:v>45.899627000000002</c:v>
                      </c:pt>
                      <c:pt idx="22">
                        <c:v>70.784648499999989</c:v>
                      </c:pt>
                      <c:pt idx="23">
                        <c:v>85.510205200000001</c:v>
                      </c:pt>
                      <c:pt idx="24">
                        <c:v>127.37523080000001</c:v>
                      </c:pt>
                      <c:pt idx="25">
                        <c:v>64.368114399999996</c:v>
                      </c:pt>
                      <c:pt idx="26">
                        <c:v>26.2571473</c:v>
                      </c:pt>
                      <c:pt idx="27">
                        <c:v>290.95256760000001</c:v>
                      </c:pt>
                      <c:pt idx="28">
                        <c:v>2962.5290654999999</c:v>
                      </c:pt>
                      <c:pt idx="29">
                        <c:v>77.875610899999998</c:v>
                      </c:pt>
                      <c:pt idx="30">
                        <c:v>85.370155699999998</c:v>
                      </c:pt>
                      <c:pt idx="31">
                        <c:v>96.615076999999999</c:v>
                      </c:pt>
                      <c:pt idx="32">
                        <c:v>320.5206665</c:v>
                      </c:pt>
                      <c:pt idx="33">
                        <c:v>1532.0028226999998</c:v>
                      </c:pt>
                      <c:pt idx="34">
                        <c:v>66.879493400000001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aufgeräumt!$E$1</c15:sqref>
                        </c15:formulaRef>
                      </c:ext>
                    </c:extLst>
                    <c:strCache>
                      <c:ptCount val="1"/>
                      <c:pt idx="0">
                        <c:v>WBPro1.D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aufgeräumt!$E$2:$E$36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355.12038770000004</c:v>
                      </c:pt>
                      <c:pt idx="1">
                        <c:v>794.76572340000007</c:v>
                      </c:pt>
                      <c:pt idx="2">
                        <c:v>191.43178330000001</c:v>
                      </c:pt>
                      <c:pt idx="3">
                        <c:v>16.8492569</c:v>
                      </c:pt>
                      <c:pt idx="4">
                        <c:v>81.650103299999998</c:v>
                      </c:pt>
                      <c:pt idx="5">
                        <c:v>269.15253749999999</c:v>
                      </c:pt>
                      <c:pt idx="6">
                        <c:v>25.418991300000002</c:v>
                      </c:pt>
                      <c:pt idx="7">
                        <c:v>522.19903169999998</c:v>
                      </c:pt>
                      <c:pt idx="8">
                        <c:v>189.89571030000002</c:v>
                      </c:pt>
                      <c:pt idx="9">
                        <c:v>40.819096299999998</c:v>
                      </c:pt>
                      <c:pt idx="10">
                        <c:v>71.102224199999995</c:v>
                      </c:pt>
                      <c:pt idx="11">
                        <c:v>2.3504436000000002</c:v>
                      </c:pt>
                      <c:pt idx="12">
                        <c:v>34.346812299999996</c:v>
                      </c:pt>
                      <c:pt idx="13">
                        <c:v>75.220624599999994</c:v>
                      </c:pt>
                      <c:pt idx="14">
                        <c:v>297.72631109999998</c:v>
                      </c:pt>
                      <c:pt idx="15">
                        <c:v>66.449441900000011</c:v>
                      </c:pt>
                      <c:pt idx="16">
                        <c:v>39.254523399999997</c:v>
                      </c:pt>
                      <c:pt idx="17">
                        <c:v>12.638085499999999</c:v>
                      </c:pt>
                      <c:pt idx="18">
                        <c:v>324.8621124</c:v>
                      </c:pt>
                      <c:pt idx="19">
                        <c:v>45.8337845</c:v>
                      </c:pt>
                      <c:pt idx="20">
                        <c:v>230.6949741</c:v>
                      </c:pt>
                      <c:pt idx="21">
                        <c:v>29.123576799999999</c:v>
                      </c:pt>
                      <c:pt idx="22">
                        <c:v>71.876714500000006</c:v>
                      </c:pt>
                      <c:pt idx="23">
                        <c:v>12.1110992</c:v>
                      </c:pt>
                      <c:pt idx="24">
                        <c:v>60.873054199999999</c:v>
                      </c:pt>
                      <c:pt idx="25">
                        <c:v>35.022438900000004</c:v>
                      </c:pt>
                      <c:pt idx="26">
                        <c:v>17.7633057</c:v>
                      </c:pt>
                      <c:pt idx="27">
                        <c:v>142.51884079999999</c:v>
                      </c:pt>
                      <c:pt idx="28">
                        <c:v>192.3026069</c:v>
                      </c:pt>
                      <c:pt idx="29">
                        <c:v>96.219250500000001</c:v>
                      </c:pt>
                      <c:pt idx="30">
                        <c:v>59.289450299999999</c:v>
                      </c:pt>
                      <c:pt idx="31">
                        <c:v>149.8132645</c:v>
                      </c:pt>
                      <c:pt idx="32">
                        <c:v>101.8535418</c:v>
                      </c:pt>
                      <c:pt idx="33">
                        <c:v>842.16194089999999</c:v>
                      </c:pt>
                      <c:pt idx="34">
                        <c:v>34.211179100000003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aufgeräumt!$F$1</c15:sqref>
                        </c15:formulaRef>
                      </c:ext>
                    </c:extLst>
                    <c:strCache>
                      <c:ptCount val="1"/>
                      <c:pt idx="0">
                        <c:v>WBMix1.D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aufgeräumt!$F$2:$F$36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1633.5655068000001</c:v>
                      </c:pt>
                      <c:pt idx="1">
                        <c:v>6569.5085761999999</c:v>
                      </c:pt>
                      <c:pt idx="2">
                        <c:v>2004.9388016999999</c:v>
                      </c:pt>
                      <c:pt idx="3">
                        <c:v>362.5693187</c:v>
                      </c:pt>
                      <c:pt idx="4">
                        <c:v>653.78862379999998</c:v>
                      </c:pt>
                      <c:pt idx="5">
                        <c:v>119.25905560000001</c:v>
                      </c:pt>
                      <c:pt idx="6">
                        <c:v>504.88356829999998</c:v>
                      </c:pt>
                      <c:pt idx="7">
                        <c:v>10613.5680066</c:v>
                      </c:pt>
                      <c:pt idx="8">
                        <c:v>717.38894660000005</c:v>
                      </c:pt>
                      <c:pt idx="9">
                        <c:v>1606.6214516</c:v>
                      </c:pt>
                      <c:pt idx="10">
                        <c:v>934.44563849999997</c:v>
                      </c:pt>
                      <c:pt idx="11">
                        <c:v>82.194470100000004</c:v>
                      </c:pt>
                      <c:pt idx="12">
                        <c:v>550.92310880000002</c:v>
                      </c:pt>
                      <c:pt idx="13">
                        <c:v>1346.7474411999999</c:v>
                      </c:pt>
                      <c:pt idx="14">
                        <c:v>429.99809869999996</c:v>
                      </c:pt>
                      <c:pt idx="15">
                        <c:v>870.5525098999999</c:v>
                      </c:pt>
                      <c:pt idx="16">
                        <c:v>330.84534669999999</c:v>
                      </c:pt>
                      <c:pt idx="17">
                        <c:v>438.90219280000002</c:v>
                      </c:pt>
                      <c:pt idx="18">
                        <c:v>1173.8078389999998</c:v>
                      </c:pt>
                      <c:pt idx="19">
                        <c:v>913.55029590000004</c:v>
                      </c:pt>
                      <c:pt idx="20">
                        <c:v>829.0634546</c:v>
                      </c:pt>
                      <c:pt idx="21">
                        <c:v>600.86933440000007</c:v>
                      </c:pt>
                      <c:pt idx="22">
                        <c:v>369.38615320000002</c:v>
                      </c:pt>
                      <c:pt idx="23">
                        <c:v>569.47320139999999</c:v>
                      </c:pt>
                      <c:pt idx="24">
                        <c:v>1805.8957235</c:v>
                      </c:pt>
                      <c:pt idx="25">
                        <c:v>194.995903</c:v>
                      </c:pt>
                      <c:pt idx="26">
                        <c:v>94.414819199999997</c:v>
                      </c:pt>
                      <c:pt idx="27">
                        <c:v>464.15107569999998</c:v>
                      </c:pt>
                      <c:pt idx="28">
                        <c:v>5083.3646566000007</c:v>
                      </c:pt>
                      <c:pt idx="29">
                        <c:v>1356.3206597999999</c:v>
                      </c:pt>
                      <c:pt idx="30">
                        <c:v>512.13351160000002</c:v>
                      </c:pt>
                      <c:pt idx="31">
                        <c:v>2118.6202444</c:v>
                      </c:pt>
                      <c:pt idx="32">
                        <c:v>4562.5231838</c:v>
                      </c:pt>
                      <c:pt idx="33">
                        <c:v>18259.706854299999</c:v>
                      </c:pt>
                      <c:pt idx="34">
                        <c:v>374.12417210000001</c:v>
                      </c:pt>
                    </c:numCache>
                  </c:numRef>
                </c:val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779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26976"/>
        <c:crosses val="autoZero"/>
        <c:auto val="1"/>
        <c:lblAlgn val="ctr"/>
        <c:lblOffset val="100"/>
        <c:noMultiLvlLbl val="0"/>
      </c:catAx>
      <c:valAx>
        <c:axId val="5779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µg</a:t>
                </a:r>
                <a:r>
                  <a:rPr lang="en-GB" baseline="0"/>
                  <a:t> FA / sample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2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020" cy="60198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0.29461</cdr:x>
      <cdr:y>0.15316</cdr:y>
    </cdr:from>
    <cdr:to>
      <cdr:x>0.34535</cdr:x>
      <cdr:y>0.87468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741095" y="922018"/>
          <a:ext cx="472086" cy="434340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0.5292</cdr:x>
      <cdr:y>0.77342</cdr:y>
    </cdr:from>
    <cdr:to>
      <cdr:x>0.57994</cdr:x>
      <cdr:y>0.86835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923678" y="4655820"/>
          <a:ext cx="472086" cy="57149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0.76405</cdr:x>
      <cdr:y>0.77089</cdr:y>
    </cdr:from>
    <cdr:to>
      <cdr:x>0.81479</cdr:x>
      <cdr:y>0.8519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108737" y="4640581"/>
          <a:ext cx="472086" cy="48770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0.39745</cdr:x>
      <cdr:y>0.71392</cdr:y>
    </cdr:from>
    <cdr:to>
      <cdr:x>0.44818</cdr:x>
      <cdr:y>0.85401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697929" y="4297680"/>
          <a:ext cx="471993" cy="84327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5" workbookViewId="0">
      <selection activeCell="G42" sqref="G42"/>
    </sheetView>
  </sheetViews>
  <sheetFormatPr baseColWidth="10" defaultRowHeight="15" x14ac:dyDescent="0.25"/>
  <cols>
    <col min="1" max="1" width="36.140625" bestFit="1" customWidth="1"/>
    <col min="2" max="2" width="19.42578125" customWidth="1"/>
    <col min="3" max="11" width="11.42578125" style="7"/>
  </cols>
  <sheetData>
    <row r="1" spans="1:11" ht="15.75" x14ac:dyDescent="0.25">
      <c r="A1" s="2" t="s">
        <v>68</v>
      </c>
      <c r="B1" s="2" t="s">
        <v>68</v>
      </c>
      <c r="C1" s="3" t="s">
        <v>107</v>
      </c>
      <c r="D1" s="3" t="s">
        <v>109</v>
      </c>
      <c r="E1" s="3" t="s">
        <v>111</v>
      </c>
      <c r="F1" s="3" t="s">
        <v>113</v>
      </c>
      <c r="G1" s="2" t="s">
        <v>115</v>
      </c>
      <c r="H1" s="2" t="s">
        <v>117</v>
      </c>
      <c r="I1" s="2" t="s">
        <v>119</v>
      </c>
      <c r="J1" s="2" t="s">
        <v>121</v>
      </c>
      <c r="K1" s="2" t="s">
        <v>123</v>
      </c>
    </row>
    <row r="2" spans="1:11" x14ac:dyDescent="0.25">
      <c r="A2" t="s">
        <v>21</v>
      </c>
      <c r="B2" t="s">
        <v>70</v>
      </c>
      <c r="C2" s="6">
        <v>999.99711919999993</v>
      </c>
      <c r="D2" s="6">
        <v>1677.0531578</v>
      </c>
      <c r="E2" s="6">
        <v>355.12038770000004</v>
      </c>
      <c r="F2" s="6">
        <v>1633.5655068000001</v>
      </c>
      <c r="G2" s="6">
        <v>6.7620221000000003</v>
      </c>
      <c r="H2" s="6">
        <v>6.6707279000000002</v>
      </c>
      <c r="I2" s="6">
        <v>6.7047423999999998</v>
      </c>
      <c r="J2" s="6">
        <v>6.7053477999999993</v>
      </c>
      <c r="K2" s="6">
        <v>6.671278</v>
      </c>
    </row>
    <row r="3" spans="1:11" x14ac:dyDescent="0.25">
      <c r="A3" t="s">
        <v>31</v>
      </c>
      <c r="B3" t="s">
        <v>69</v>
      </c>
      <c r="C3" s="6">
        <v>785.18106699999998</v>
      </c>
      <c r="D3" s="6">
        <v>750.86041020000005</v>
      </c>
      <c r="E3" s="6">
        <v>794.76572340000007</v>
      </c>
      <c r="F3" s="6">
        <v>6569.5085761999999</v>
      </c>
      <c r="G3" s="6">
        <v>0</v>
      </c>
      <c r="H3" s="6">
        <v>0</v>
      </c>
      <c r="I3" s="6" t="s">
        <v>43</v>
      </c>
      <c r="J3" s="6">
        <v>0</v>
      </c>
      <c r="K3" s="6">
        <v>0</v>
      </c>
    </row>
    <row r="4" spans="1:11" x14ac:dyDescent="0.25">
      <c r="A4" t="s">
        <v>32</v>
      </c>
      <c r="B4" t="s">
        <v>71</v>
      </c>
      <c r="C4" s="6">
        <v>389.67762729999998</v>
      </c>
      <c r="D4" s="6">
        <v>106.09962040000001</v>
      </c>
      <c r="E4" s="6">
        <v>191.43178330000001</v>
      </c>
      <c r="F4" s="6">
        <v>2004.9388016999999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33</v>
      </c>
      <c r="B5" t="s">
        <v>73</v>
      </c>
      <c r="C5" s="6">
        <v>74.603001399999997</v>
      </c>
      <c r="D5" s="6">
        <v>1363.1961240999999</v>
      </c>
      <c r="E5" s="6">
        <v>16.8492569</v>
      </c>
      <c r="F5" s="6">
        <v>362.5693187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34</v>
      </c>
      <c r="B6" t="s">
        <v>72</v>
      </c>
      <c r="C6" s="6">
        <v>132.166652</v>
      </c>
      <c r="D6" s="6">
        <v>479.87860910000001</v>
      </c>
      <c r="E6" s="6">
        <v>81.650103299999998</v>
      </c>
      <c r="F6" s="6">
        <v>653.78862379999998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35</v>
      </c>
      <c r="B7" t="s">
        <v>74</v>
      </c>
      <c r="C7" s="6">
        <v>28.280875399999999</v>
      </c>
      <c r="D7" s="6">
        <v>46.617074299999999</v>
      </c>
      <c r="E7" s="6">
        <v>269.15253749999999</v>
      </c>
      <c r="F7" s="6">
        <v>119.25905560000001</v>
      </c>
      <c r="G7" s="6">
        <v>7.2460667999999995</v>
      </c>
      <c r="H7" s="6">
        <v>3.8908926999999998</v>
      </c>
      <c r="I7" s="6">
        <v>0</v>
      </c>
      <c r="J7" s="6">
        <v>0</v>
      </c>
      <c r="K7" s="6">
        <v>0</v>
      </c>
    </row>
    <row r="8" spans="1:11" x14ac:dyDescent="0.25">
      <c r="A8" t="s">
        <v>36</v>
      </c>
      <c r="B8" t="s">
        <v>75</v>
      </c>
      <c r="C8" s="6">
        <v>102.55081849999999</v>
      </c>
      <c r="D8" s="6">
        <v>66.026805699999997</v>
      </c>
      <c r="E8" s="6">
        <v>25.418991300000002</v>
      </c>
      <c r="F8" s="6">
        <v>504.88356829999998</v>
      </c>
      <c r="G8" s="6">
        <v>2.1530711999999999</v>
      </c>
      <c r="H8" s="6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37</v>
      </c>
      <c r="B9" t="s">
        <v>76</v>
      </c>
      <c r="C9" s="6">
        <v>165.97197640000002</v>
      </c>
      <c r="D9" s="6">
        <v>255.96202480000002</v>
      </c>
      <c r="E9" s="6">
        <v>522.19903169999998</v>
      </c>
      <c r="F9" s="6">
        <v>10613.5680066</v>
      </c>
      <c r="G9" s="6">
        <v>0</v>
      </c>
      <c r="H9" s="6">
        <v>0</v>
      </c>
      <c r="I9" s="6">
        <v>2.6967021</v>
      </c>
      <c r="J9" s="6">
        <v>0</v>
      </c>
      <c r="K9" s="6">
        <v>0</v>
      </c>
    </row>
    <row r="10" spans="1:11" x14ac:dyDescent="0.25">
      <c r="A10" t="s">
        <v>38</v>
      </c>
      <c r="B10" t="s">
        <v>79</v>
      </c>
      <c r="C10" s="6">
        <v>163.51830050000001</v>
      </c>
      <c r="D10" s="6">
        <v>136.16662030000001</v>
      </c>
      <c r="E10" s="6">
        <v>189.89571030000002</v>
      </c>
      <c r="F10" s="6">
        <v>717.38894660000005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39</v>
      </c>
      <c r="B11" t="s">
        <v>77</v>
      </c>
      <c r="C11" s="6">
        <v>140.7281605</v>
      </c>
      <c r="D11" s="6">
        <v>144.9128255</v>
      </c>
      <c r="E11" s="6">
        <v>40.819096299999998</v>
      </c>
      <c r="F11" s="6">
        <v>1606.6214516</v>
      </c>
      <c r="G11" s="6">
        <v>1559.8596487</v>
      </c>
      <c r="H11" s="6">
        <v>1357.4774282000001</v>
      </c>
      <c r="I11" s="6">
        <v>984.67820949999998</v>
      </c>
      <c r="J11" s="6">
        <v>1183.7139240000001</v>
      </c>
      <c r="K11" s="6">
        <v>805.21668969999996</v>
      </c>
    </row>
    <row r="12" spans="1:11" x14ac:dyDescent="0.25">
      <c r="A12" t="s">
        <v>40</v>
      </c>
      <c r="B12" t="s">
        <v>80</v>
      </c>
      <c r="C12" s="6">
        <v>82.321366999999995</v>
      </c>
      <c r="D12" s="6">
        <v>224.68901959999999</v>
      </c>
      <c r="E12" s="6">
        <v>71.102224199999995</v>
      </c>
      <c r="F12" s="6">
        <v>934.44563849999997</v>
      </c>
      <c r="G12" s="6">
        <v>28.2426095</v>
      </c>
      <c r="H12" s="6">
        <v>29.040412100000001</v>
      </c>
      <c r="I12" s="6">
        <v>5.2233678000000001</v>
      </c>
      <c r="J12" s="6">
        <v>9.3249852999999998</v>
      </c>
      <c r="K12" s="6">
        <v>0</v>
      </c>
    </row>
    <row r="13" spans="1:11" x14ac:dyDescent="0.25">
      <c r="A13" t="s">
        <v>41</v>
      </c>
      <c r="B13" t="s">
        <v>78</v>
      </c>
      <c r="C13" s="6">
        <v>11.877235300000001</v>
      </c>
      <c r="D13" s="6">
        <v>9.7137045999999998</v>
      </c>
      <c r="E13" s="6">
        <v>2.3504436000000002</v>
      </c>
      <c r="F13" s="6">
        <v>82.194470100000004</v>
      </c>
      <c r="G13" s="6">
        <v>11.384157699999999</v>
      </c>
      <c r="H13" s="6">
        <v>11.511274199999999</v>
      </c>
      <c r="I13" s="6">
        <v>6.3222614999999998</v>
      </c>
      <c r="J13" s="6">
        <v>9.6450863000000009</v>
      </c>
      <c r="K13" s="6">
        <v>0.8527134999999999</v>
      </c>
    </row>
    <row r="14" spans="1:11" x14ac:dyDescent="0.25">
      <c r="A14" t="s">
        <v>42</v>
      </c>
      <c r="B14" t="s">
        <v>81</v>
      </c>
      <c r="C14" s="6">
        <v>104.8475306</v>
      </c>
      <c r="D14" s="6">
        <v>249.70114319999999</v>
      </c>
      <c r="E14" s="6">
        <v>34.346812299999996</v>
      </c>
      <c r="F14" s="6">
        <v>550.92310880000002</v>
      </c>
      <c r="G14" s="6">
        <v>8.2494604000000002</v>
      </c>
      <c r="H14" s="6">
        <v>0</v>
      </c>
      <c r="I14" s="6">
        <v>0</v>
      </c>
      <c r="J14" s="6">
        <v>0</v>
      </c>
      <c r="K14" s="6">
        <v>0</v>
      </c>
    </row>
    <row r="15" spans="1:11" x14ac:dyDescent="0.25">
      <c r="A15" t="s">
        <v>44</v>
      </c>
      <c r="B15" t="s">
        <v>82</v>
      </c>
      <c r="C15" s="6">
        <v>112.941102</v>
      </c>
      <c r="D15" s="6">
        <v>287.57467810000003</v>
      </c>
      <c r="E15" s="6">
        <v>75.220624599999994</v>
      </c>
      <c r="F15" s="6">
        <v>1346.7474411999999</v>
      </c>
      <c r="G15" s="6">
        <v>245.30661760000001</v>
      </c>
      <c r="H15" s="6">
        <v>256.75292610000002</v>
      </c>
      <c r="I15" s="6">
        <v>222.38213159999998</v>
      </c>
      <c r="J15" s="6">
        <v>252.44936060000001</v>
      </c>
      <c r="K15" s="6">
        <v>268.62339709999998</v>
      </c>
    </row>
    <row r="16" spans="1:11" x14ac:dyDescent="0.25">
      <c r="A16" t="s">
        <v>45</v>
      </c>
      <c r="B16" t="s">
        <v>83</v>
      </c>
      <c r="C16" s="6">
        <v>70.510722599999994</v>
      </c>
      <c r="D16" s="6">
        <v>40.285624900000002</v>
      </c>
      <c r="E16" s="6">
        <v>297.72631109999998</v>
      </c>
      <c r="F16" s="6">
        <v>429.99809869999996</v>
      </c>
      <c r="G16" s="6">
        <v>24.600107400000002</v>
      </c>
      <c r="H16" s="6">
        <v>251.85806030000001</v>
      </c>
      <c r="I16" s="6">
        <v>69.156638900000004</v>
      </c>
      <c r="J16" s="6">
        <v>114.8533753</v>
      </c>
      <c r="K16" s="6">
        <v>18.465913199999999</v>
      </c>
    </row>
    <row r="17" spans="1:11" x14ac:dyDescent="0.25">
      <c r="A17" t="s">
        <v>46</v>
      </c>
      <c r="B17" t="s">
        <v>84</v>
      </c>
      <c r="C17" s="6">
        <v>194.01736780000002</v>
      </c>
      <c r="D17" s="6">
        <v>225.06652549999998</v>
      </c>
      <c r="E17" s="6">
        <v>66.449441900000011</v>
      </c>
      <c r="F17" s="6">
        <v>870.5525098999999</v>
      </c>
      <c r="G17" s="6">
        <v>38.420081400000001</v>
      </c>
      <c r="H17" s="6">
        <v>0.8197875</v>
      </c>
      <c r="I17" s="6">
        <v>0.49599520000000002</v>
      </c>
      <c r="J17" s="6">
        <v>0.3418889</v>
      </c>
      <c r="K17" s="6">
        <v>0.37901389999999996</v>
      </c>
    </row>
    <row r="18" spans="1:11" x14ac:dyDescent="0.25">
      <c r="A18" t="s">
        <v>47</v>
      </c>
      <c r="B18" t="s">
        <v>85</v>
      </c>
      <c r="C18" s="6">
        <v>43.817659200000001</v>
      </c>
      <c r="D18" s="6">
        <v>211.47561279999999</v>
      </c>
      <c r="E18" s="6">
        <v>39.254523399999997</v>
      </c>
      <c r="F18" s="6">
        <v>330.84534669999999</v>
      </c>
      <c r="G18" s="6">
        <v>98.285392900000005</v>
      </c>
      <c r="H18" s="6">
        <v>163.78412549999999</v>
      </c>
      <c r="I18" s="6">
        <v>53.431366699999998</v>
      </c>
      <c r="J18" s="6">
        <v>100.57347530000001</v>
      </c>
      <c r="K18" s="6">
        <v>4.3819413999999997</v>
      </c>
    </row>
    <row r="19" spans="1:11" x14ac:dyDescent="0.25">
      <c r="A19" t="s">
        <v>48</v>
      </c>
      <c r="B19" t="s">
        <v>86</v>
      </c>
      <c r="C19" s="6">
        <v>207.85045339999999</v>
      </c>
      <c r="D19" s="6">
        <v>371.48837989999998</v>
      </c>
      <c r="E19" s="6">
        <v>12.638085499999999</v>
      </c>
      <c r="F19" s="6">
        <v>438.90219280000002</v>
      </c>
      <c r="G19" s="6">
        <v>1.5747802999999998</v>
      </c>
      <c r="H19" s="6">
        <v>5.2512400000000001E-2</v>
      </c>
      <c r="I19" s="6">
        <v>3.2820000000000002E-3</v>
      </c>
      <c r="J19" s="6">
        <v>0.42716329999999997</v>
      </c>
      <c r="K19" s="6">
        <v>0</v>
      </c>
    </row>
    <row r="20" spans="1:11" x14ac:dyDescent="0.25">
      <c r="A20" t="s">
        <v>49</v>
      </c>
      <c r="B20" t="s">
        <v>87</v>
      </c>
      <c r="C20" s="6">
        <v>264.64959039999997</v>
      </c>
      <c r="D20" s="6">
        <v>492.47828009999995</v>
      </c>
      <c r="E20" s="6">
        <v>324.8621124</v>
      </c>
      <c r="F20" s="6">
        <v>1173.8078389999998</v>
      </c>
      <c r="G20" s="6">
        <v>59.5756272</v>
      </c>
      <c r="H20" s="6">
        <v>113.39655430000001</v>
      </c>
      <c r="I20" s="6">
        <v>51.747863299999999</v>
      </c>
      <c r="J20" s="6">
        <v>63.4090743</v>
      </c>
      <c r="K20" s="6">
        <v>1.9239938999999999</v>
      </c>
    </row>
    <row r="21" spans="1:11" x14ac:dyDescent="0.25">
      <c r="A21" t="s">
        <v>50</v>
      </c>
      <c r="B21" t="s">
        <v>88</v>
      </c>
      <c r="C21" s="6">
        <v>150.83891880000002</v>
      </c>
      <c r="D21" s="6">
        <v>505.64725129999999</v>
      </c>
      <c r="E21" s="6">
        <v>45.8337845</v>
      </c>
      <c r="F21" s="6">
        <v>913.55029590000004</v>
      </c>
      <c r="G21" s="6">
        <v>0.26835539999999997</v>
      </c>
      <c r="H21" s="6">
        <v>0.54456479999999996</v>
      </c>
      <c r="I21" s="6">
        <v>0.27706169999999997</v>
      </c>
      <c r="J21" s="6">
        <v>0.2251592</v>
      </c>
      <c r="K21" s="6">
        <v>0.18784030000000002</v>
      </c>
    </row>
    <row r="22" spans="1:11" x14ac:dyDescent="0.25">
      <c r="A22" t="s">
        <v>51</v>
      </c>
      <c r="B22" t="s">
        <v>89</v>
      </c>
      <c r="C22" s="6">
        <v>105.8133974</v>
      </c>
      <c r="D22" s="6">
        <v>135.20589809999998</v>
      </c>
      <c r="E22" s="6">
        <v>230.6949741</v>
      </c>
      <c r="F22" s="6">
        <v>829.0634546</v>
      </c>
      <c r="G22" s="6">
        <v>2.1239128999999997</v>
      </c>
      <c r="H22" s="6">
        <v>1.5846005000000001</v>
      </c>
      <c r="I22" s="6">
        <v>1.634746</v>
      </c>
      <c r="J22" s="6">
        <v>4.1356598</v>
      </c>
      <c r="K22" s="6">
        <v>1.5947213999999998</v>
      </c>
    </row>
    <row r="23" spans="1:11" x14ac:dyDescent="0.25">
      <c r="A23" t="s">
        <v>52</v>
      </c>
      <c r="B23" t="s">
        <v>90</v>
      </c>
      <c r="C23" s="6">
        <v>48.245590100000001</v>
      </c>
      <c r="D23" s="6">
        <v>45.899627000000002</v>
      </c>
      <c r="E23" s="6">
        <v>29.123576799999999</v>
      </c>
      <c r="F23" s="6">
        <v>600.86933440000007</v>
      </c>
      <c r="G23" s="6">
        <v>2.7619609000000001</v>
      </c>
      <c r="H23" s="6" t="s">
        <v>43</v>
      </c>
      <c r="I23" s="6">
        <v>0</v>
      </c>
      <c r="J23" s="6">
        <v>18.810503799999999</v>
      </c>
      <c r="K23" s="6">
        <v>0.113223</v>
      </c>
    </row>
    <row r="24" spans="1:11" x14ac:dyDescent="0.25">
      <c r="A24" t="s">
        <v>53</v>
      </c>
      <c r="B24" t="s">
        <v>91</v>
      </c>
      <c r="C24" s="6">
        <v>401.89060920000003</v>
      </c>
      <c r="D24" s="6">
        <v>70.784648499999989</v>
      </c>
      <c r="E24" s="6">
        <v>71.876714500000006</v>
      </c>
      <c r="F24" s="6">
        <v>369.38615320000002</v>
      </c>
      <c r="G24" s="6">
        <v>4.1040790999999999</v>
      </c>
      <c r="H24" s="6">
        <v>31.8112098</v>
      </c>
      <c r="I24" s="6">
        <v>8.8022317999999995</v>
      </c>
      <c r="J24" s="6">
        <v>21.227137500000001</v>
      </c>
      <c r="K24" s="6">
        <v>0.27242099999999997</v>
      </c>
    </row>
    <row r="25" spans="1:11" x14ac:dyDescent="0.25">
      <c r="A25" t="s">
        <v>54</v>
      </c>
      <c r="B25" t="s">
        <v>92</v>
      </c>
      <c r="C25" s="6">
        <v>40.9901865</v>
      </c>
      <c r="D25" s="6">
        <v>85.510205200000001</v>
      </c>
      <c r="E25" s="6">
        <v>12.1110992</v>
      </c>
      <c r="F25" s="6">
        <v>569.47320139999999</v>
      </c>
      <c r="G25" s="6">
        <v>31.327736400000003</v>
      </c>
      <c r="H25" s="6">
        <v>0.20618039999999999</v>
      </c>
      <c r="I25" s="6">
        <v>0.4168924</v>
      </c>
      <c r="J25" s="6">
        <v>0.41542880000000004</v>
      </c>
      <c r="K25" s="6">
        <v>0.47224079999999996</v>
      </c>
    </row>
    <row r="26" spans="1:11" x14ac:dyDescent="0.25">
      <c r="A26" t="s">
        <v>55</v>
      </c>
      <c r="B26" t="s">
        <v>93</v>
      </c>
      <c r="C26" s="6">
        <v>333.59118800000005</v>
      </c>
      <c r="D26" s="6">
        <v>127.37523080000001</v>
      </c>
      <c r="E26" s="6">
        <v>60.873054199999999</v>
      </c>
      <c r="F26" s="6">
        <v>1805.8957235</v>
      </c>
      <c r="G26" s="6">
        <v>146.30437309999999</v>
      </c>
      <c r="H26" s="6">
        <v>207.9590986</v>
      </c>
      <c r="I26" s="6">
        <v>134.56991310000001</v>
      </c>
      <c r="J26" s="6">
        <v>220.3947077</v>
      </c>
      <c r="K26" s="6">
        <v>0.5551678000000001</v>
      </c>
    </row>
    <row r="27" spans="1:11" x14ac:dyDescent="0.25">
      <c r="A27" t="s">
        <v>56</v>
      </c>
      <c r="B27" t="s">
        <v>94</v>
      </c>
      <c r="C27" s="6">
        <v>49.465142200000003</v>
      </c>
      <c r="D27" s="6">
        <v>64.368114399999996</v>
      </c>
      <c r="E27" s="6">
        <v>35.022438900000004</v>
      </c>
      <c r="F27" s="6">
        <v>194.995903</v>
      </c>
      <c r="G27" s="6">
        <v>32.247192500000004</v>
      </c>
      <c r="H27" s="6" t="s">
        <v>43</v>
      </c>
      <c r="I27" s="6" t="s">
        <v>43</v>
      </c>
      <c r="J27" s="6" t="s">
        <v>43</v>
      </c>
      <c r="K27" s="6" t="s">
        <v>43</v>
      </c>
    </row>
    <row r="28" spans="1:11" x14ac:dyDescent="0.25">
      <c r="A28" t="s">
        <v>57</v>
      </c>
      <c r="B28" t="s">
        <v>95</v>
      </c>
      <c r="C28" s="6">
        <v>3.0212251999999999</v>
      </c>
      <c r="D28" s="6">
        <v>26.2571473</v>
      </c>
      <c r="E28" s="6">
        <v>17.7633057</v>
      </c>
      <c r="F28" s="6">
        <v>94.414819199999997</v>
      </c>
      <c r="G28" s="6">
        <v>0.32299820000000001</v>
      </c>
      <c r="H28" s="6">
        <v>0</v>
      </c>
      <c r="I28" s="6">
        <v>0</v>
      </c>
      <c r="J28" s="6">
        <v>0</v>
      </c>
      <c r="K28" s="6">
        <v>0</v>
      </c>
    </row>
    <row r="29" spans="1:11" x14ac:dyDescent="0.25">
      <c r="A29" t="s">
        <v>58</v>
      </c>
      <c r="B29" t="s">
        <v>96</v>
      </c>
      <c r="C29" s="6">
        <v>232.30122210000002</v>
      </c>
      <c r="D29" s="6">
        <v>290.95256760000001</v>
      </c>
      <c r="E29" s="6">
        <v>142.51884079999999</v>
      </c>
      <c r="F29" s="6">
        <v>464.15107569999998</v>
      </c>
      <c r="G29" s="6">
        <v>98.202708400000006</v>
      </c>
      <c r="H29" s="6">
        <v>138.33425980000001</v>
      </c>
      <c r="I29" s="6">
        <v>81.596109400000003</v>
      </c>
      <c r="J29" s="6">
        <v>139.31304779999999</v>
      </c>
      <c r="K29" s="6">
        <v>0.61162099999999997</v>
      </c>
    </row>
    <row r="30" spans="1:11" x14ac:dyDescent="0.25">
      <c r="A30" t="s">
        <v>59</v>
      </c>
      <c r="B30" t="s">
        <v>97</v>
      </c>
      <c r="C30" s="6">
        <v>430.364349</v>
      </c>
      <c r="D30" s="6">
        <v>2962.5290654999999</v>
      </c>
      <c r="E30" s="6">
        <v>192.3026069</v>
      </c>
      <c r="F30" s="6">
        <v>5083.3646566000007</v>
      </c>
      <c r="G30" s="6">
        <v>2.4229315000000002</v>
      </c>
      <c r="H30" s="6">
        <v>0</v>
      </c>
      <c r="I30" s="6">
        <v>0</v>
      </c>
      <c r="J30" s="6">
        <v>0</v>
      </c>
      <c r="K30" s="6">
        <v>0</v>
      </c>
    </row>
    <row r="31" spans="1:11" x14ac:dyDescent="0.25">
      <c r="A31" t="s">
        <v>60</v>
      </c>
      <c r="B31" t="s">
        <v>98</v>
      </c>
      <c r="C31" s="6">
        <v>27.3261368</v>
      </c>
      <c r="D31" s="6">
        <v>77.875610899999998</v>
      </c>
      <c r="E31" s="6">
        <v>96.219250500000001</v>
      </c>
      <c r="F31" s="6">
        <v>1356.3206597999999</v>
      </c>
      <c r="G31" s="6">
        <v>14.900680399999999</v>
      </c>
      <c r="H31" s="6">
        <v>32.9095431</v>
      </c>
      <c r="I31" s="6">
        <v>30.1429039</v>
      </c>
      <c r="J31" s="6">
        <v>25.4742994</v>
      </c>
      <c r="K31" s="6">
        <v>47.341217</v>
      </c>
    </row>
    <row r="32" spans="1:11" x14ac:dyDescent="0.25">
      <c r="A32" t="s">
        <v>61</v>
      </c>
      <c r="B32" t="s">
        <v>99</v>
      </c>
      <c r="C32" s="6">
        <v>69.2881553</v>
      </c>
      <c r="D32" s="6">
        <v>85.370155699999998</v>
      </c>
      <c r="E32" s="6">
        <v>59.289450299999999</v>
      </c>
      <c r="F32" s="6">
        <v>512.13351160000002</v>
      </c>
      <c r="G32" s="6">
        <v>1.9741491</v>
      </c>
      <c r="H32" s="6">
        <v>7.6568611000000004</v>
      </c>
      <c r="I32" s="6">
        <v>1.9568238</v>
      </c>
      <c r="J32" s="6">
        <v>8.3154807000000002</v>
      </c>
      <c r="K32" s="6">
        <v>1.9275685</v>
      </c>
    </row>
    <row r="33" spans="1:11" x14ac:dyDescent="0.25">
      <c r="A33" t="s">
        <v>62</v>
      </c>
      <c r="B33" t="s">
        <v>100</v>
      </c>
      <c r="C33" s="6">
        <v>91.573690799999994</v>
      </c>
      <c r="D33" s="6">
        <v>96.615076999999999</v>
      </c>
      <c r="E33" s="6">
        <v>149.8132645</v>
      </c>
      <c r="F33" s="6">
        <v>2118.6202444</v>
      </c>
      <c r="G33" s="6">
        <v>0.52420960000000005</v>
      </c>
      <c r="H33" s="6">
        <v>4.1783334999999999</v>
      </c>
      <c r="I33" s="6">
        <v>1.7470162</v>
      </c>
      <c r="J33" s="6">
        <v>4.0932411000000002</v>
      </c>
      <c r="K33" s="6">
        <v>0</v>
      </c>
    </row>
    <row r="34" spans="1:11" x14ac:dyDescent="0.25">
      <c r="A34" t="s">
        <v>63</v>
      </c>
      <c r="B34" t="s">
        <v>101</v>
      </c>
      <c r="C34" s="6">
        <v>202.91130329999999</v>
      </c>
      <c r="D34" s="6">
        <v>320.5206665</v>
      </c>
      <c r="E34" s="6">
        <v>101.8535418</v>
      </c>
      <c r="F34" s="6">
        <v>4562.5231838</v>
      </c>
      <c r="G34" s="6">
        <v>2.7345747</v>
      </c>
      <c r="H34" s="6">
        <v>7.3196243000000001</v>
      </c>
      <c r="I34" s="6">
        <v>0.4792708</v>
      </c>
      <c r="J34" s="6">
        <v>4.6130578</v>
      </c>
      <c r="K34" s="6">
        <v>0</v>
      </c>
    </row>
    <row r="35" spans="1:11" x14ac:dyDescent="0.25">
      <c r="A35" t="s">
        <v>64</v>
      </c>
      <c r="B35" t="s">
        <v>102</v>
      </c>
      <c r="C35" s="6">
        <v>498.1692458</v>
      </c>
      <c r="D35" s="6">
        <v>1532.0028226999998</v>
      </c>
      <c r="E35" s="6">
        <v>842.16194089999999</v>
      </c>
      <c r="F35" s="6">
        <v>18259.706854299999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1:11" x14ac:dyDescent="0.25">
      <c r="A36" t="s">
        <v>65</v>
      </c>
      <c r="B36" t="s">
        <v>103</v>
      </c>
      <c r="C36" s="6">
        <v>23.232824900000001</v>
      </c>
      <c r="D36" s="6">
        <v>66.879493400000001</v>
      </c>
      <c r="E36" s="6">
        <v>34.211179100000003</v>
      </c>
      <c r="F36" s="6">
        <v>374.12417210000001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L37" sqref="L37"/>
    </sheetView>
  </sheetViews>
  <sheetFormatPr baseColWidth="10" defaultRowHeight="15" x14ac:dyDescent="0.25"/>
  <cols>
    <col min="1" max="1" width="36.140625" bestFit="1" customWidth="1"/>
    <col min="3" max="3" width="11.42578125" style="4"/>
  </cols>
  <sheetData>
    <row r="1" spans="1:15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3" t="s">
        <v>107</v>
      </c>
      <c r="F1" s="3" t="s">
        <v>109</v>
      </c>
      <c r="G1" s="3" t="s">
        <v>111</v>
      </c>
      <c r="H1" s="3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O1" s="5" t="s">
        <v>67</v>
      </c>
    </row>
    <row r="2" spans="1:15" x14ac:dyDescent="0.25">
      <c r="A2" t="s">
        <v>21</v>
      </c>
      <c r="B2" t="s">
        <v>27</v>
      </c>
      <c r="C2" s="4">
        <f>'data processing'!C2/1000</f>
        <v>3014.2117017</v>
      </c>
      <c r="D2" s="6">
        <f>'data processing'!D2/1000</f>
        <v>411.96419429999997</v>
      </c>
      <c r="E2" s="6">
        <f>'data processing'!E2/1000</f>
        <v>999.99711919999993</v>
      </c>
      <c r="F2" s="6">
        <f>'data processing'!F2/1000</f>
        <v>1677.0531578</v>
      </c>
      <c r="G2" s="6">
        <f>'data processing'!G2/1000</f>
        <v>355.12038770000004</v>
      </c>
      <c r="H2" s="6">
        <f>'data processing'!H2/1000</f>
        <v>1633.5655068000001</v>
      </c>
      <c r="I2" s="6">
        <f>'data processing'!I2/1000</f>
        <v>6.7620221000000003</v>
      </c>
      <c r="J2" s="6">
        <f>'data processing'!J2/1000</f>
        <v>6.6707279000000002</v>
      </c>
      <c r="K2" s="6">
        <f>'data processing'!K2/1000</f>
        <v>6.7047423999999998</v>
      </c>
      <c r="L2" s="6">
        <f>'data processing'!L2/1000</f>
        <v>6.7053477999999993</v>
      </c>
      <c r="M2" s="6">
        <f>'data processing'!M2/1000</f>
        <v>6.671278</v>
      </c>
      <c r="O2">
        <v>400</v>
      </c>
    </row>
    <row r="3" spans="1:15" x14ac:dyDescent="0.25">
      <c r="A3" t="s">
        <v>31</v>
      </c>
      <c r="B3" t="s">
        <v>27</v>
      </c>
      <c r="C3" s="4">
        <f>'data processing'!C3/1000</f>
        <v>616.36054469999999</v>
      </c>
      <c r="D3" s="6">
        <f>'data processing'!D3/1000</f>
        <v>409.4975139</v>
      </c>
      <c r="E3" s="6">
        <f>'data processing'!E3/1000</f>
        <v>785.18106699999998</v>
      </c>
      <c r="F3" s="6">
        <f>'data processing'!F3/1000</f>
        <v>750.86041020000005</v>
      </c>
      <c r="G3" s="6">
        <f>'data processing'!G3/1000</f>
        <v>794.76572340000007</v>
      </c>
      <c r="H3" s="6">
        <f>'data processing'!H3/1000</f>
        <v>6569.5085761999999</v>
      </c>
      <c r="I3" s="6">
        <f>'data processing'!I3/1000</f>
        <v>0</v>
      </c>
      <c r="J3" s="6">
        <f>'data processing'!J3/1000</f>
        <v>0</v>
      </c>
      <c r="K3" s="6" t="s">
        <v>43</v>
      </c>
      <c r="L3" s="6">
        <f>'data processing'!L3/1000</f>
        <v>0</v>
      </c>
      <c r="M3" s="6">
        <f>'data processing'!M3/1000</f>
        <v>0</v>
      </c>
      <c r="O3">
        <v>400</v>
      </c>
    </row>
    <row r="4" spans="1:15" x14ac:dyDescent="0.25">
      <c r="A4" t="s">
        <v>32</v>
      </c>
      <c r="B4" t="s">
        <v>27</v>
      </c>
      <c r="C4" s="4">
        <f>'data processing'!C4/1000</f>
        <v>697.35119840000004</v>
      </c>
      <c r="D4" s="6">
        <f>'data processing'!D4/1000</f>
        <v>196.41709359999999</v>
      </c>
      <c r="E4" s="6">
        <f>'data processing'!E4/1000</f>
        <v>389.67762729999998</v>
      </c>
      <c r="F4" s="6">
        <f>'data processing'!F4/1000</f>
        <v>106.09962040000001</v>
      </c>
      <c r="G4" s="6">
        <f>'data processing'!G4/1000</f>
        <v>191.43178330000001</v>
      </c>
      <c r="H4" s="6">
        <f>'data processing'!H4/1000</f>
        <v>2004.9388016999999</v>
      </c>
      <c r="I4" s="6">
        <f>'data processing'!I4/1000</f>
        <v>0</v>
      </c>
      <c r="J4" s="6">
        <f>'data processing'!J4/1000</f>
        <v>0</v>
      </c>
      <c r="K4" s="6">
        <f>'data processing'!K4/1000</f>
        <v>0</v>
      </c>
      <c r="L4" s="6">
        <f>'data processing'!L4/1000</f>
        <v>0</v>
      </c>
      <c r="M4" s="6">
        <f>'data processing'!M4/1000</f>
        <v>0</v>
      </c>
      <c r="O4">
        <v>200</v>
      </c>
    </row>
    <row r="5" spans="1:15" x14ac:dyDescent="0.25">
      <c r="A5" t="s">
        <v>33</v>
      </c>
      <c r="B5" t="s">
        <v>27</v>
      </c>
      <c r="C5" s="4">
        <f>'data processing'!C5/1000</f>
        <v>321.53051260000001</v>
      </c>
      <c r="D5" s="6">
        <f>'data processing'!D5/1000</f>
        <v>273.19250060000002</v>
      </c>
      <c r="E5" s="6">
        <f>'data processing'!E5/1000</f>
        <v>74.603001399999997</v>
      </c>
      <c r="F5" s="6">
        <f>'data processing'!F5/1000</f>
        <v>1363.1961240999999</v>
      </c>
      <c r="G5" s="6">
        <f>'data processing'!G5/1000</f>
        <v>16.8492569</v>
      </c>
      <c r="H5" s="6">
        <f>'data processing'!H5/1000</f>
        <v>362.5693187</v>
      </c>
      <c r="I5" s="6">
        <f>'data processing'!I5/1000</f>
        <v>0</v>
      </c>
      <c r="J5" s="6">
        <f>'data processing'!J5/1000</f>
        <v>0</v>
      </c>
      <c r="K5" s="6">
        <f>'data processing'!K5/1000</f>
        <v>0</v>
      </c>
      <c r="L5" s="6">
        <f>'data processing'!L5/1000</f>
        <v>0</v>
      </c>
      <c r="M5" s="6">
        <f>'data processing'!M5/1000</f>
        <v>0</v>
      </c>
      <c r="O5">
        <v>400</v>
      </c>
    </row>
    <row r="6" spans="1:15" x14ac:dyDescent="0.25">
      <c r="A6" t="s">
        <v>34</v>
      </c>
      <c r="B6" t="s">
        <v>27</v>
      </c>
      <c r="C6" s="4">
        <f>'data processing'!C6/1000</f>
        <v>226.86135970000001</v>
      </c>
      <c r="D6" s="6">
        <f>'data processing'!D6/1000</f>
        <v>114.6531268</v>
      </c>
      <c r="E6" s="6">
        <f>'data processing'!E6/1000</f>
        <v>132.166652</v>
      </c>
      <c r="F6" s="6">
        <f>'data processing'!F6/1000</f>
        <v>479.87860910000001</v>
      </c>
      <c r="G6" s="6">
        <f>'data processing'!G6/1000</f>
        <v>81.650103299999998</v>
      </c>
      <c r="H6" s="6">
        <f>'data processing'!H6/1000</f>
        <v>653.78862379999998</v>
      </c>
      <c r="I6" s="6">
        <f>'data processing'!I6/1000</f>
        <v>0</v>
      </c>
      <c r="J6" s="6">
        <f>'data processing'!J6/1000</f>
        <v>0</v>
      </c>
      <c r="K6" s="6">
        <f>'data processing'!K6/1000</f>
        <v>0</v>
      </c>
      <c r="L6" s="6">
        <f>'data processing'!L6/1000</f>
        <v>0</v>
      </c>
      <c r="M6" s="6">
        <f>'data processing'!M6/1000</f>
        <v>0</v>
      </c>
      <c r="O6">
        <v>200</v>
      </c>
    </row>
    <row r="7" spans="1:15" x14ac:dyDescent="0.25">
      <c r="A7" t="s">
        <v>35</v>
      </c>
      <c r="B7" t="s">
        <v>27</v>
      </c>
      <c r="C7" s="4">
        <f>'data processing'!C7/1000</f>
        <v>378.80403000000001</v>
      </c>
      <c r="D7" s="6">
        <f>'data processing'!D7/1000</f>
        <v>297.92477510000003</v>
      </c>
      <c r="E7" s="6">
        <f>'data processing'!E7/1000</f>
        <v>28.280875399999999</v>
      </c>
      <c r="F7" s="6">
        <f>'data processing'!F7/1000</f>
        <v>46.617074299999999</v>
      </c>
      <c r="G7" s="6">
        <f>'data processing'!G7/1000</f>
        <v>269.15253749999999</v>
      </c>
      <c r="H7" s="6">
        <f>'data processing'!H7/1000</f>
        <v>119.25905560000001</v>
      </c>
      <c r="I7" s="6">
        <f>'data processing'!I7/1000</f>
        <v>7.2460667999999995</v>
      </c>
      <c r="J7" s="6">
        <f>'data processing'!J7/1000</f>
        <v>3.8908926999999998</v>
      </c>
      <c r="K7" s="6">
        <f>'data processing'!K7/1000</f>
        <v>0</v>
      </c>
      <c r="L7" s="6">
        <f>'data processing'!L7/1000</f>
        <v>0</v>
      </c>
      <c r="M7" s="6">
        <f>'data processing'!M7/1000</f>
        <v>0</v>
      </c>
      <c r="O7">
        <v>400</v>
      </c>
    </row>
    <row r="8" spans="1:15" x14ac:dyDescent="0.25">
      <c r="A8" t="s">
        <v>36</v>
      </c>
      <c r="B8" t="s">
        <v>27</v>
      </c>
      <c r="C8" s="4">
        <f>'data processing'!C8/1000</f>
        <v>1614.001512</v>
      </c>
      <c r="D8" s="6">
        <f>'data processing'!D8/1000</f>
        <v>167.59825720000001</v>
      </c>
      <c r="E8" s="6">
        <f>'data processing'!E8/1000</f>
        <v>102.55081849999999</v>
      </c>
      <c r="F8" s="6">
        <f>'data processing'!F8/1000</f>
        <v>66.026805699999997</v>
      </c>
      <c r="G8" s="6">
        <f>'data processing'!G8/1000</f>
        <v>25.418991300000002</v>
      </c>
      <c r="H8" s="6">
        <f>'data processing'!H8/1000</f>
        <v>504.88356829999998</v>
      </c>
      <c r="I8" s="6">
        <f>'data processing'!I8/1000</f>
        <v>2.1530711999999999</v>
      </c>
      <c r="J8" s="6">
        <f>'data processing'!J8/1000</f>
        <v>0</v>
      </c>
      <c r="K8" s="6">
        <f>'data processing'!K8/1000</f>
        <v>0</v>
      </c>
      <c r="L8" s="6">
        <f>'data processing'!L8/1000</f>
        <v>0</v>
      </c>
      <c r="M8" s="6">
        <f>'data processing'!M8/1000</f>
        <v>0</v>
      </c>
      <c r="O8">
        <v>200</v>
      </c>
    </row>
    <row r="9" spans="1:15" x14ac:dyDescent="0.25">
      <c r="A9" t="s">
        <v>37</v>
      </c>
      <c r="B9" t="s">
        <v>27</v>
      </c>
      <c r="C9" s="4">
        <f>'data processing'!C9/1000</f>
        <v>932.57292940000002</v>
      </c>
      <c r="D9" s="6">
        <f>'data processing'!D9/1000</f>
        <v>125.8614884</v>
      </c>
      <c r="E9" s="6">
        <f>'data processing'!E9/1000</f>
        <v>165.97197640000002</v>
      </c>
      <c r="F9" s="6">
        <f>'data processing'!F9/1000</f>
        <v>255.96202480000002</v>
      </c>
      <c r="G9" s="6">
        <f>'data processing'!G9/1000</f>
        <v>522.19903169999998</v>
      </c>
      <c r="H9" s="6">
        <f>'data processing'!H9/1000</f>
        <v>10613.5680066</v>
      </c>
      <c r="I9" s="6">
        <f>'data processing'!I9/1000</f>
        <v>0</v>
      </c>
      <c r="J9" s="6">
        <f>'data processing'!J9/1000</f>
        <v>0</v>
      </c>
      <c r="K9" s="6">
        <f>'data processing'!K9/1000</f>
        <v>2.6967021</v>
      </c>
      <c r="L9" s="6">
        <f>'data processing'!L9/1000</f>
        <v>0</v>
      </c>
      <c r="M9" s="6">
        <f>'data processing'!M9/1000</f>
        <v>0</v>
      </c>
      <c r="O9">
        <v>200</v>
      </c>
    </row>
    <row r="10" spans="1:15" x14ac:dyDescent="0.25">
      <c r="A10" t="s">
        <v>38</v>
      </c>
      <c r="B10" t="s">
        <v>27</v>
      </c>
      <c r="C10" s="4">
        <f>'data processing'!C10/1000</f>
        <v>695.33354020000002</v>
      </c>
      <c r="D10" s="6">
        <f>'data processing'!D10/1000</f>
        <v>159.86487009999999</v>
      </c>
      <c r="E10" s="6">
        <f>'data processing'!E10/1000</f>
        <v>163.51830050000001</v>
      </c>
      <c r="F10" s="6">
        <f>'data processing'!F10/1000</f>
        <v>136.16662030000001</v>
      </c>
      <c r="G10" s="6">
        <f>'data processing'!G10/1000</f>
        <v>189.89571030000002</v>
      </c>
      <c r="H10" s="6">
        <f>'data processing'!H10/1000</f>
        <v>717.38894660000005</v>
      </c>
      <c r="I10" s="6">
        <f>'data processing'!I10/1000</f>
        <v>0</v>
      </c>
      <c r="J10" s="6">
        <f>'data processing'!J10/1000</f>
        <v>0</v>
      </c>
      <c r="K10" s="6">
        <f>'data processing'!K10/1000</f>
        <v>0</v>
      </c>
      <c r="L10" s="6">
        <f>'data processing'!L10/1000</f>
        <v>0</v>
      </c>
      <c r="M10" s="6">
        <f>'data processing'!M10/1000</f>
        <v>0</v>
      </c>
      <c r="O10">
        <v>200</v>
      </c>
    </row>
    <row r="11" spans="1:15" x14ac:dyDescent="0.25">
      <c r="A11" t="s">
        <v>39</v>
      </c>
      <c r="B11" t="s">
        <v>27</v>
      </c>
      <c r="C11" s="4">
        <f>'data processing'!C11/1000</f>
        <v>800.60109999999997</v>
      </c>
      <c r="D11" s="6">
        <f>'data processing'!D11/1000</f>
        <v>1866.5355058</v>
      </c>
      <c r="E11" s="6">
        <f>'data processing'!E11/1000</f>
        <v>140.7281605</v>
      </c>
      <c r="F11" s="6">
        <f>'data processing'!F11/1000</f>
        <v>144.9128255</v>
      </c>
      <c r="G11" s="6">
        <f>'data processing'!G11/1000</f>
        <v>40.819096299999998</v>
      </c>
      <c r="H11" s="6">
        <f>'data processing'!H11/1000</f>
        <v>1606.6214516</v>
      </c>
      <c r="I11" s="6">
        <f>'data processing'!I11/1000</f>
        <v>1559.8596487</v>
      </c>
      <c r="J11" s="6">
        <f>'data processing'!J11/1000</f>
        <v>1357.4774282000001</v>
      </c>
      <c r="K11" s="6">
        <f>'data processing'!K11/1000</f>
        <v>984.67820949999998</v>
      </c>
      <c r="L11" s="6">
        <f>'data processing'!L11/1000</f>
        <v>1183.7139240000001</v>
      </c>
      <c r="M11" s="6">
        <f>'data processing'!M11/1000</f>
        <v>805.21668969999996</v>
      </c>
      <c r="O11">
        <v>600</v>
      </c>
    </row>
    <row r="12" spans="1:15" x14ac:dyDescent="0.25">
      <c r="A12" t="s">
        <v>40</v>
      </c>
      <c r="B12" t="s">
        <v>27</v>
      </c>
      <c r="C12" s="4">
        <f>'data processing'!C12/1000</f>
        <v>576.75651729999993</v>
      </c>
      <c r="D12" s="6">
        <f>'data processing'!D12/1000</f>
        <v>166.51415549999999</v>
      </c>
      <c r="E12" s="6">
        <f>'data processing'!E12/1000</f>
        <v>82.321366999999995</v>
      </c>
      <c r="F12" s="6">
        <f>'data processing'!F12/1000</f>
        <v>224.68901959999999</v>
      </c>
      <c r="G12" s="6">
        <f>'data processing'!G12/1000</f>
        <v>71.102224199999995</v>
      </c>
      <c r="H12" s="6">
        <f>'data processing'!H12/1000</f>
        <v>934.44563849999997</v>
      </c>
      <c r="I12" s="6">
        <f>'data processing'!I12/1000</f>
        <v>28.2426095</v>
      </c>
      <c r="J12" s="6">
        <f>'data processing'!J12/1000</f>
        <v>29.040412100000001</v>
      </c>
      <c r="K12" s="6">
        <f>'data processing'!K12/1000</f>
        <v>5.2233678000000001</v>
      </c>
      <c r="L12" s="6">
        <f>'data processing'!L12/1000</f>
        <v>9.3249852999999998</v>
      </c>
      <c r="M12" s="6">
        <f>'data processing'!M12/1000</f>
        <v>0</v>
      </c>
      <c r="O12">
        <v>200</v>
      </c>
    </row>
    <row r="13" spans="1:15" x14ac:dyDescent="0.25">
      <c r="A13" t="s">
        <v>41</v>
      </c>
      <c r="B13" t="s">
        <v>27</v>
      </c>
      <c r="C13" s="4">
        <f>'data processing'!C13/1000</f>
        <v>50.904930699999994</v>
      </c>
      <c r="D13" s="6">
        <f>'data processing'!D13/1000</f>
        <v>154.2150044</v>
      </c>
      <c r="E13" s="6">
        <f>'data processing'!E13/1000</f>
        <v>11.877235300000001</v>
      </c>
      <c r="F13" s="6">
        <f>'data processing'!F13/1000</f>
        <v>9.7137045999999998</v>
      </c>
      <c r="G13" s="6">
        <f>'data processing'!G13/1000</f>
        <v>2.3504436000000002</v>
      </c>
      <c r="H13" s="6">
        <f>'data processing'!H13/1000</f>
        <v>82.194470100000004</v>
      </c>
      <c r="I13" s="6">
        <f>'data processing'!I13/1000</f>
        <v>11.384157699999999</v>
      </c>
      <c r="J13" s="6">
        <f>'data processing'!J13/1000</f>
        <v>11.511274199999999</v>
      </c>
      <c r="K13" s="6">
        <f>'data processing'!K13/1000</f>
        <v>6.3222614999999998</v>
      </c>
      <c r="L13" s="6">
        <f>'data processing'!L13/1000</f>
        <v>9.6450863000000009</v>
      </c>
      <c r="M13" s="6">
        <f>'data processing'!M13/1000</f>
        <v>0.8527134999999999</v>
      </c>
      <c r="O13">
        <v>200</v>
      </c>
    </row>
    <row r="14" spans="1:15" x14ac:dyDescent="0.25">
      <c r="A14" t="s">
        <v>42</v>
      </c>
      <c r="B14" t="s">
        <v>27</v>
      </c>
      <c r="C14" s="4">
        <f>'data processing'!C14/1000</f>
        <v>833.29135789999998</v>
      </c>
      <c r="D14" s="6">
        <f>'data processing'!D14/1000</f>
        <v>220.1911939</v>
      </c>
      <c r="E14" s="6">
        <f>'data processing'!E14/1000</f>
        <v>104.8475306</v>
      </c>
      <c r="F14" s="6">
        <f>'data processing'!F14/1000</f>
        <v>249.70114319999999</v>
      </c>
      <c r="G14" s="6">
        <f>'data processing'!G14/1000</f>
        <v>34.346812299999996</v>
      </c>
      <c r="H14" s="6">
        <f>'data processing'!H14/1000</f>
        <v>550.92310880000002</v>
      </c>
      <c r="I14" s="6">
        <f>'data processing'!I14/1000</f>
        <v>8.2494604000000002</v>
      </c>
      <c r="J14" s="6">
        <f>'data processing'!J14/1000</f>
        <v>0</v>
      </c>
      <c r="K14" s="6">
        <f>'data processing'!K14/1000</f>
        <v>0</v>
      </c>
      <c r="L14" s="6">
        <f>'data processing'!L14/1000</f>
        <v>0</v>
      </c>
      <c r="M14" s="6">
        <f>'data processing'!M14/1000</f>
        <v>0</v>
      </c>
      <c r="O14">
        <v>200</v>
      </c>
    </row>
    <row r="15" spans="1:15" x14ac:dyDescent="0.25">
      <c r="A15" t="s">
        <v>44</v>
      </c>
      <c r="B15" t="s">
        <v>27</v>
      </c>
      <c r="C15" s="4">
        <f>'data processing'!C15/1000</f>
        <v>756.45191569999997</v>
      </c>
      <c r="D15" s="6">
        <f>'data processing'!D15/1000</f>
        <v>414.3568631</v>
      </c>
      <c r="E15" s="6">
        <f>'data processing'!E15/1000</f>
        <v>112.941102</v>
      </c>
      <c r="F15" s="6">
        <f>'data processing'!F15/1000</f>
        <v>287.57467810000003</v>
      </c>
      <c r="G15" s="6">
        <f>'data processing'!G15/1000</f>
        <v>75.220624599999994</v>
      </c>
      <c r="H15" s="6">
        <f>'data processing'!H15/1000</f>
        <v>1346.7474411999999</v>
      </c>
      <c r="I15" s="6">
        <f>'data processing'!I15/1000</f>
        <v>245.30661760000001</v>
      </c>
      <c r="J15" s="6">
        <f>'data processing'!J15/1000</f>
        <v>256.75292610000002</v>
      </c>
      <c r="K15" s="6">
        <f>'data processing'!K15/1000</f>
        <v>222.38213159999998</v>
      </c>
      <c r="L15" s="6">
        <f>'data processing'!L15/1000</f>
        <v>252.44936060000001</v>
      </c>
      <c r="M15" s="6">
        <f>'data processing'!M15/1000</f>
        <v>268.62339709999998</v>
      </c>
      <c r="O15">
        <v>400</v>
      </c>
    </row>
    <row r="16" spans="1:15" x14ac:dyDescent="0.25">
      <c r="A16" t="s">
        <v>45</v>
      </c>
      <c r="B16" t="s">
        <v>27</v>
      </c>
      <c r="C16" s="4">
        <f>'data processing'!C16/1000</f>
        <v>1302.0403954000001</v>
      </c>
      <c r="D16" s="6">
        <f>'data processing'!D16/1000</f>
        <v>481.78543259999998</v>
      </c>
      <c r="E16" s="6">
        <f>'data processing'!E16/1000</f>
        <v>70.510722599999994</v>
      </c>
      <c r="F16" s="6">
        <f>'data processing'!F16/1000</f>
        <v>40.285624900000002</v>
      </c>
      <c r="G16" s="6">
        <f>'data processing'!G16/1000</f>
        <v>297.72631109999998</v>
      </c>
      <c r="H16" s="6">
        <f>'data processing'!H16/1000</f>
        <v>429.99809869999996</v>
      </c>
      <c r="I16" s="6">
        <f>'data processing'!I16/1000</f>
        <v>24.600107400000002</v>
      </c>
      <c r="J16" s="6">
        <f>'data processing'!J16/1000</f>
        <v>251.85806030000001</v>
      </c>
      <c r="K16" s="6">
        <f>'data processing'!K16/1000</f>
        <v>69.156638900000004</v>
      </c>
      <c r="L16" s="6">
        <f>'data processing'!L16/1000</f>
        <v>114.8533753</v>
      </c>
      <c r="M16" s="6">
        <f>'data processing'!M16/1000</f>
        <v>18.465913199999999</v>
      </c>
      <c r="O16">
        <v>400</v>
      </c>
    </row>
    <row r="17" spans="1:15" x14ac:dyDescent="0.25">
      <c r="A17" t="s">
        <v>46</v>
      </c>
      <c r="B17" t="s">
        <v>27</v>
      </c>
      <c r="C17" s="4">
        <f>'data processing'!C17/1000</f>
        <v>894.77105649999999</v>
      </c>
      <c r="D17" s="6">
        <f>'data processing'!D17/1000</f>
        <v>77.784450700000008</v>
      </c>
      <c r="E17" s="6">
        <f>'data processing'!E17/1000</f>
        <v>194.01736780000002</v>
      </c>
      <c r="F17" s="6">
        <f>'data processing'!F17/1000</f>
        <v>225.06652549999998</v>
      </c>
      <c r="G17" s="6">
        <f>'data processing'!G17/1000</f>
        <v>66.449441900000011</v>
      </c>
      <c r="H17" s="6">
        <f>'data processing'!H17/1000</f>
        <v>870.5525098999999</v>
      </c>
      <c r="I17" s="6">
        <f>'data processing'!I17/1000</f>
        <v>38.420081400000001</v>
      </c>
      <c r="J17" s="6">
        <f>'data processing'!J17/1000</f>
        <v>0.8197875</v>
      </c>
      <c r="K17" s="6">
        <f>'data processing'!K17/1000</f>
        <v>0.49599520000000002</v>
      </c>
      <c r="L17" s="6">
        <f>'data processing'!L17/1000</f>
        <v>0.3418889</v>
      </c>
      <c r="M17" s="6">
        <f>'data processing'!M17/1000</f>
        <v>0.37901389999999996</v>
      </c>
      <c r="O17">
        <v>200</v>
      </c>
    </row>
    <row r="18" spans="1:15" x14ac:dyDescent="0.25">
      <c r="A18" t="s">
        <v>47</v>
      </c>
      <c r="B18" t="s">
        <v>27</v>
      </c>
      <c r="C18" s="4">
        <f>'data processing'!C18/1000</f>
        <v>599.00142740000001</v>
      </c>
      <c r="D18" s="6">
        <f>'data processing'!D18/1000</f>
        <v>189.65599760000001</v>
      </c>
      <c r="E18" s="6">
        <f>'data processing'!E18/1000</f>
        <v>43.817659200000001</v>
      </c>
      <c r="F18" s="6">
        <f>'data processing'!F18/1000</f>
        <v>211.47561279999999</v>
      </c>
      <c r="G18" s="6">
        <f>'data processing'!G18/1000</f>
        <v>39.254523399999997</v>
      </c>
      <c r="H18" s="6">
        <f>'data processing'!H18/1000</f>
        <v>330.84534669999999</v>
      </c>
      <c r="I18" s="6">
        <f>'data processing'!I18/1000</f>
        <v>98.285392900000005</v>
      </c>
      <c r="J18" s="6">
        <f>'data processing'!J18/1000</f>
        <v>163.78412549999999</v>
      </c>
      <c r="K18" s="6">
        <f>'data processing'!K18/1000</f>
        <v>53.431366699999998</v>
      </c>
      <c r="L18" s="6">
        <f>'data processing'!L18/1000</f>
        <v>100.57347530000001</v>
      </c>
      <c r="M18" s="6">
        <f>'data processing'!M18/1000</f>
        <v>4.3819413999999997</v>
      </c>
      <c r="O18">
        <v>200</v>
      </c>
    </row>
    <row r="19" spans="1:15" x14ac:dyDescent="0.25">
      <c r="A19" t="s">
        <v>48</v>
      </c>
      <c r="B19" t="s">
        <v>27</v>
      </c>
      <c r="C19" s="4">
        <f>'data processing'!C19/1000</f>
        <v>2097.1196488999999</v>
      </c>
      <c r="D19" s="6">
        <f>'data processing'!D19/1000</f>
        <v>192.61441479999999</v>
      </c>
      <c r="E19" s="6">
        <f>'data processing'!E19/1000</f>
        <v>207.85045339999999</v>
      </c>
      <c r="F19" s="6">
        <f>'data processing'!F19/1000</f>
        <v>371.48837989999998</v>
      </c>
      <c r="G19" s="6">
        <f>'data processing'!G19/1000</f>
        <v>12.638085499999999</v>
      </c>
      <c r="H19" s="6">
        <f>'data processing'!H19/1000</f>
        <v>438.90219280000002</v>
      </c>
      <c r="I19" s="6">
        <f>'data processing'!I19/1000</f>
        <v>1.5747802999999998</v>
      </c>
      <c r="J19" s="6">
        <f>'data processing'!J19/1000</f>
        <v>5.2512400000000001E-2</v>
      </c>
      <c r="K19" s="6">
        <f>'data processing'!K19/1000</f>
        <v>3.2820000000000002E-3</v>
      </c>
      <c r="L19" s="6">
        <f>'data processing'!L19/1000</f>
        <v>0.42716329999999997</v>
      </c>
      <c r="M19" s="6">
        <f>'data processing'!M19/1000</f>
        <v>0</v>
      </c>
      <c r="O19">
        <v>200</v>
      </c>
    </row>
    <row r="20" spans="1:15" x14ac:dyDescent="0.25">
      <c r="A20" t="s">
        <v>49</v>
      </c>
      <c r="B20" t="s">
        <v>27</v>
      </c>
      <c r="C20" s="4">
        <f>'data processing'!C20/1000</f>
        <v>1099.4725349</v>
      </c>
      <c r="D20" s="6">
        <f>'data processing'!D20/1000</f>
        <v>578.74779699999999</v>
      </c>
      <c r="E20" s="6">
        <f>'data processing'!E20/1000</f>
        <v>264.64959039999997</v>
      </c>
      <c r="F20" s="6">
        <f>'data processing'!F20/1000</f>
        <v>492.47828009999995</v>
      </c>
      <c r="G20" s="6">
        <f>'data processing'!G20/1000</f>
        <v>324.8621124</v>
      </c>
      <c r="H20" s="6">
        <f>'data processing'!H20/1000</f>
        <v>1173.8078389999998</v>
      </c>
      <c r="I20" s="6">
        <f>'data processing'!I20/1000</f>
        <v>59.5756272</v>
      </c>
      <c r="J20" s="6">
        <f>'data processing'!J20/1000</f>
        <v>113.39655430000001</v>
      </c>
      <c r="K20" s="6">
        <f>'data processing'!K20/1000</f>
        <v>51.747863299999999</v>
      </c>
      <c r="L20" s="6">
        <f>'data processing'!L20/1000</f>
        <v>63.4090743</v>
      </c>
      <c r="M20" s="6">
        <f>'data processing'!M20/1000</f>
        <v>1.9239938999999999</v>
      </c>
      <c r="O20">
        <v>200</v>
      </c>
    </row>
    <row r="21" spans="1:15" x14ac:dyDescent="0.25">
      <c r="A21" t="s">
        <v>50</v>
      </c>
      <c r="B21" t="s">
        <v>27</v>
      </c>
      <c r="C21" s="4">
        <f>'data processing'!C21/1000</f>
        <v>1326.5841761000001</v>
      </c>
      <c r="D21" s="6">
        <f>'data processing'!D21/1000</f>
        <v>109.04479309999999</v>
      </c>
      <c r="E21" s="6">
        <f>'data processing'!E21/1000</f>
        <v>150.83891880000002</v>
      </c>
      <c r="F21" s="6">
        <f>'data processing'!F21/1000</f>
        <v>505.64725129999999</v>
      </c>
      <c r="G21" s="6">
        <f>'data processing'!G21/1000</f>
        <v>45.8337845</v>
      </c>
      <c r="H21" s="6">
        <f>'data processing'!H21/1000</f>
        <v>913.55029590000004</v>
      </c>
      <c r="I21" s="6">
        <f>'data processing'!I21/1000</f>
        <v>0.26835539999999997</v>
      </c>
      <c r="J21" s="6">
        <f>'data processing'!J21/1000</f>
        <v>0.54456479999999996</v>
      </c>
      <c r="K21" s="6">
        <f>'data processing'!K21/1000</f>
        <v>0.27706169999999997</v>
      </c>
      <c r="L21" s="6">
        <f>'data processing'!L21/1000</f>
        <v>0.2251592</v>
      </c>
      <c r="M21" s="6">
        <f>'data processing'!M21/1000</f>
        <v>0.18784030000000002</v>
      </c>
    </row>
    <row r="22" spans="1:15" x14ac:dyDescent="0.25">
      <c r="A22" t="s">
        <v>51</v>
      </c>
      <c r="B22" t="s">
        <v>27</v>
      </c>
      <c r="C22" s="4">
        <f>'data processing'!C22/1000</f>
        <v>1031.2909288000001</v>
      </c>
      <c r="D22" s="6">
        <f>'data processing'!D22/1000</f>
        <v>277.06629320000002</v>
      </c>
      <c r="E22" s="6">
        <f>'data processing'!E22/1000</f>
        <v>105.8133974</v>
      </c>
      <c r="F22" s="6">
        <f>'data processing'!F22/1000</f>
        <v>135.20589809999998</v>
      </c>
      <c r="G22" s="6">
        <f>'data processing'!G22/1000</f>
        <v>230.6949741</v>
      </c>
      <c r="H22" s="6">
        <f>'data processing'!H22/1000</f>
        <v>829.0634546</v>
      </c>
      <c r="I22" s="6">
        <f>'data processing'!I22/1000</f>
        <v>2.1239128999999997</v>
      </c>
      <c r="J22" s="6">
        <f>'data processing'!J22/1000</f>
        <v>1.5846005000000001</v>
      </c>
      <c r="K22" s="6">
        <f>'data processing'!K22/1000</f>
        <v>1.634746</v>
      </c>
      <c r="L22" s="6">
        <f>'data processing'!L22/1000</f>
        <v>4.1356598</v>
      </c>
      <c r="M22" s="6">
        <f>'data processing'!M22/1000</f>
        <v>1.5947213999999998</v>
      </c>
      <c r="O22">
        <v>400</v>
      </c>
    </row>
    <row r="23" spans="1:15" x14ac:dyDescent="0.25">
      <c r="A23" t="s">
        <v>52</v>
      </c>
      <c r="B23" t="s">
        <v>27</v>
      </c>
      <c r="C23" s="4">
        <f>'data processing'!C23/1000</f>
        <v>87.1077564</v>
      </c>
      <c r="D23" s="6">
        <f>'data processing'!D23/1000</f>
        <v>50.590762300000002</v>
      </c>
      <c r="E23" s="6">
        <f>'data processing'!E23/1000</f>
        <v>48.245590100000001</v>
      </c>
      <c r="F23" s="6">
        <f>'data processing'!F23/1000</f>
        <v>45.899627000000002</v>
      </c>
      <c r="G23" s="6">
        <f>'data processing'!G23/1000</f>
        <v>29.123576799999999</v>
      </c>
      <c r="H23" s="6">
        <f>'data processing'!H23/1000</f>
        <v>600.86933440000007</v>
      </c>
      <c r="I23" s="6">
        <f>'data processing'!I23/1000</f>
        <v>2.7619609000000001</v>
      </c>
      <c r="J23" s="6" t="s">
        <v>43</v>
      </c>
      <c r="K23" s="6">
        <f>'data processing'!K23/1000</f>
        <v>0</v>
      </c>
      <c r="L23" s="6">
        <f>'data processing'!L23/1000</f>
        <v>18.810503799999999</v>
      </c>
      <c r="M23" s="6">
        <f>'data processing'!M23/1000</f>
        <v>0.113223</v>
      </c>
      <c r="O23">
        <v>200</v>
      </c>
    </row>
    <row r="24" spans="1:15" x14ac:dyDescent="0.25">
      <c r="A24" t="s">
        <v>53</v>
      </c>
      <c r="B24" t="s">
        <v>27</v>
      </c>
      <c r="C24" s="4">
        <f>'data processing'!C24/1000</f>
        <v>472.6927139</v>
      </c>
      <c r="D24" s="6">
        <f>'data processing'!D24/1000</f>
        <v>108.7256962</v>
      </c>
      <c r="E24" s="6">
        <f>'data processing'!E24/1000</f>
        <v>401.89060920000003</v>
      </c>
      <c r="F24" s="6">
        <f>'data processing'!F24/1000</f>
        <v>70.784648499999989</v>
      </c>
      <c r="G24" s="6">
        <f>'data processing'!G24/1000</f>
        <v>71.876714500000006</v>
      </c>
      <c r="H24" s="6">
        <f>'data processing'!H24/1000</f>
        <v>369.38615320000002</v>
      </c>
      <c r="I24" s="6">
        <f>'data processing'!I24/1000</f>
        <v>4.1040790999999999</v>
      </c>
      <c r="J24" s="6">
        <f>'data processing'!J24/1000</f>
        <v>31.8112098</v>
      </c>
      <c r="K24" s="6">
        <f>'data processing'!K24/1000</f>
        <v>8.8022317999999995</v>
      </c>
      <c r="L24" s="6">
        <f>'data processing'!L24/1000</f>
        <v>21.227137500000001</v>
      </c>
      <c r="M24" s="6">
        <f>'data processing'!M24/1000</f>
        <v>0.27242099999999997</v>
      </c>
      <c r="O24">
        <v>200</v>
      </c>
    </row>
    <row r="25" spans="1:15" x14ac:dyDescent="0.25">
      <c r="A25" t="s">
        <v>54</v>
      </c>
      <c r="B25" t="s">
        <v>27</v>
      </c>
      <c r="C25" s="4">
        <f>'data processing'!C25/1000</f>
        <v>205.39396549999998</v>
      </c>
      <c r="D25" s="6">
        <f>'data processing'!D25/1000</f>
        <v>70.959859299999991</v>
      </c>
      <c r="E25" s="6">
        <f>'data processing'!E25/1000</f>
        <v>40.9901865</v>
      </c>
      <c r="F25" s="6">
        <f>'data processing'!F25/1000</f>
        <v>85.510205200000001</v>
      </c>
      <c r="G25" s="6">
        <f>'data processing'!G25/1000</f>
        <v>12.1110992</v>
      </c>
      <c r="H25" s="6">
        <f>'data processing'!H25/1000</f>
        <v>569.47320139999999</v>
      </c>
      <c r="I25" s="6">
        <f>'data processing'!I25/1000</f>
        <v>31.327736400000003</v>
      </c>
      <c r="J25" s="6">
        <f>'data processing'!J25/1000</f>
        <v>0.20618039999999999</v>
      </c>
      <c r="K25" s="6">
        <f>'data processing'!K25/1000</f>
        <v>0.4168924</v>
      </c>
      <c r="L25" s="6">
        <f>'data processing'!L25/1000</f>
        <v>0.41542880000000004</v>
      </c>
      <c r="M25" s="6">
        <f>'data processing'!M25/1000</f>
        <v>0.47224079999999996</v>
      </c>
      <c r="O25">
        <v>200</v>
      </c>
    </row>
    <row r="26" spans="1:15" x14ac:dyDescent="0.25">
      <c r="A26" t="s">
        <v>55</v>
      </c>
      <c r="B26" t="s">
        <v>27</v>
      </c>
      <c r="C26" s="4">
        <f>'data processing'!C26/1000</f>
        <v>654.70943490000002</v>
      </c>
      <c r="D26" s="6">
        <f>'data processing'!D26/1000</f>
        <v>255.83358100000001</v>
      </c>
      <c r="E26" s="6">
        <f>'data processing'!E26/1000</f>
        <v>333.59118800000005</v>
      </c>
      <c r="F26" s="6">
        <f>'data processing'!F26/1000</f>
        <v>127.37523080000001</v>
      </c>
      <c r="G26" s="6">
        <f>'data processing'!G26/1000</f>
        <v>60.873054199999999</v>
      </c>
      <c r="H26" s="6">
        <f>'data processing'!H26/1000</f>
        <v>1805.8957235</v>
      </c>
      <c r="I26" s="6">
        <f>'data processing'!I26/1000</f>
        <v>146.30437309999999</v>
      </c>
      <c r="J26" s="6">
        <f>'data processing'!J26/1000</f>
        <v>207.9590986</v>
      </c>
      <c r="K26" s="6">
        <f>'data processing'!K26/1000</f>
        <v>134.56991310000001</v>
      </c>
      <c r="L26" s="6">
        <f>'data processing'!L26/1000</f>
        <v>220.3947077</v>
      </c>
      <c r="M26" s="6">
        <f>'data processing'!M26/1000</f>
        <v>0.5551678000000001</v>
      </c>
      <c r="O26">
        <v>200</v>
      </c>
    </row>
    <row r="27" spans="1:15" x14ac:dyDescent="0.25">
      <c r="A27" t="s">
        <v>56</v>
      </c>
      <c r="B27" t="s">
        <v>27</v>
      </c>
      <c r="C27" s="4">
        <f>'data processing'!C27/1000</f>
        <v>90.182918699999988</v>
      </c>
      <c r="D27" s="6">
        <f>'data processing'!D27/1000</f>
        <v>79.404540900000001</v>
      </c>
      <c r="E27" s="6">
        <f>'data processing'!E27/1000</f>
        <v>49.465142200000003</v>
      </c>
      <c r="F27" s="6">
        <f>'data processing'!F27/1000</f>
        <v>64.368114399999996</v>
      </c>
      <c r="G27" s="6">
        <f>'data processing'!G27/1000</f>
        <v>35.022438900000004</v>
      </c>
      <c r="H27" s="6">
        <f>'data processing'!H27/1000</f>
        <v>194.995903</v>
      </c>
      <c r="I27" s="6">
        <f>'data processing'!I27/1000</f>
        <v>32.247192500000004</v>
      </c>
      <c r="J27" s="6" t="s">
        <v>43</v>
      </c>
      <c r="K27" s="6" t="s">
        <v>43</v>
      </c>
      <c r="L27" s="6" t="s">
        <v>43</v>
      </c>
      <c r="M27" s="6" t="s">
        <v>43</v>
      </c>
      <c r="O27">
        <v>200</v>
      </c>
    </row>
    <row r="28" spans="1:15" x14ac:dyDescent="0.25">
      <c r="A28" t="s">
        <v>57</v>
      </c>
      <c r="B28" t="s">
        <v>27</v>
      </c>
      <c r="C28" s="4">
        <f>'data processing'!C28/1000</f>
        <v>19.1609713</v>
      </c>
      <c r="D28" s="6">
        <f>'data processing'!D28/1000</f>
        <v>120.3537188</v>
      </c>
      <c r="E28" s="6">
        <f>'data processing'!E28/1000</f>
        <v>3.0212251999999999</v>
      </c>
      <c r="F28" s="6">
        <f>'data processing'!F28/1000</f>
        <v>26.2571473</v>
      </c>
      <c r="G28" s="6">
        <f>'data processing'!G28/1000</f>
        <v>17.7633057</v>
      </c>
      <c r="H28" s="6">
        <f>'data processing'!H28/1000</f>
        <v>94.414819199999997</v>
      </c>
      <c r="I28" s="6">
        <f>'data processing'!I28/1000</f>
        <v>0.32299820000000001</v>
      </c>
      <c r="J28" s="6">
        <f>'data processing'!J28/1000</f>
        <v>0</v>
      </c>
      <c r="K28" s="6">
        <f>'data processing'!K28/1000</f>
        <v>0</v>
      </c>
      <c r="L28" s="6">
        <f>'data processing'!L28/1000</f>
        <v>0</v>
      </c>
      <c r="M28" s="6">
        <f>'data processing'!M28/1000</f>
        <v>0</v>
      </c>
      <c r="O28">
        <v>200</v>
      </c>
    </row>
    <row r="29" spans="1:15" x14ac:dyDescent="0.25">
      <c r="A29" t="s">
        <v>58</v>
      </c>
      <c r="B29" t="s">
        <v>27</v>
      </c>
      <c r="C29" s="4">
        <f>'data processing'!C29/1000</f>
        <v>568.66049010000006</v>
      </c>
      <c r="D29" s="6">
        <f>'data processing'!D29/1000</f>
        <v>172.61317510000001</v>
      </c>
      <c r="E29" s="6">
        <f>'data processing'!E29/1000</f>
        <v>232.30122210000002</v>
      </c>
      <c r="F29" s="6">
        <f>'data processing'!F29/1000</f>
        <v>290.95256760000001</v>
      </c>
      <c r="G29" s="6">
        <f>'data processing'!G29/1000</f>
        <v>142.51884079999999</v>
      </c>
      <c r="H29" s="6">
        <f>'data processing'!H29/1000</f>
        <v>464.15107569999998</v>
      </c>
      <c r="I29" s="6">
        <f>'data processing'!I29/1000</f>
        <v>98.202708400000006</v>
      </c>
      <c r="J29" s="6">
        <f>'data processing'!J29/1000</f>
        <v>138.33425980000001</v>
      </c>
      <c r="K29" s="6">
        <f>'data processing'!K29/1000</f>
        <v>81.596109400000003</v>
      </c>
      <c r="L29" s="6">
        <f>'data processing'!L29/1000</f>
        <v>139.31304779999999</v>
      </c>
      <c r="M29" s="6">
        <f>'data processing'!M29/1000</f>
        <v>0.61162099999999997</v>
      </c>
      <c r="O29">
        <v>200</v>
      </c>
    </row>
    <row r="30" spans="1:15" x14ac:dyDescent="0.25">
      <c r="A30" t="s">
        <v>59</v>
      </c>
      <c r="B30" t="s">
        <v>27</v>
      </c>
      <c r="C30" s="4">
        <f>'data processing'!C30/1000</f>
        <v>4050.2515249000003</v>
      </c>
      <c r="D30" s="6">
        <f>'data processing'!D30/1000</f>
        <v>161.0856642</v>
      </c>
      <c r="E30" s="6">
        <f>'data processing'!E30/1000</f>
        <v>430.364349</v>
      </c>
      <c r="F30" s="6">
        <f>'data processing'!F30/1000</f>
        <v>2962.5290654999999</v>
      </c>
      <c r="G30" s="6">
        <f>'data processing'!G30/1000</f>
        <v>192.3026069</v>
      </c>
      <c r="H30" s="6">
        <f>'data processing'!H30/1000</f>
        <v>5083.3646566000007</v>
      </c>
      <c r="I30" s="6">
        <f>'data processing'!I30/1000</f>
        <v>2.4229315000000002</v>
      </c>
      <c r="J30" s="6">
        <f>'data processing'!J30/1000</f>
        <v>0</v>
      </c>
      <c r="K30" s="6">
        <f>'data processing'!K30/1000</f>
        <v>0</v>
      </c>
      <c r="L30" s="6">
        <f>'data processing'!L30/1000</f>
        <v>0</v>
      </c>
      <c r="M30" s="6">
        <f>'data processing'!M30/1000</f>
        <v>0</v>
      </c>
      <c r="O30">
        <v>200</v>
      </c>
    </row>
    <row r="31" spans="1:15" x14ac:dyDescent="0.25">
      <c r="A31" t="s">
        <v>60</v>
      </c>
      <c r="B31" t="s">
        <v>27</v>
      </c>
      <c r="C31" s="4">
        <f>'data processing'!C31/1000</f>
        <v>279.13583679999999</v>
      </c>
      <c r="D31" s="6">
        <f>'data processing'!D31/1000</f>
        <v>105.8361862</v>
      </c>
      <c r="E31" s="6">
        <f>'data processing'!E31/1000</f>
        <v>27.3261368</v>
      </c>
      <c r="F31" s="6">
        <f>'data processing'!F31/1000</f>
        <v>77.875610899999998</v>
      </c>
      <c r="G31" s="6">
        <f>'data processing'!G31/1000</f>
        <v>96.219250500000001</v>
      </c>
      <c r="H31" s="6">
        <f>'data processing'!H31/1000</f>
        <v>1356.3206597999999</v>
      </c>
      <c r="I31" s="6">
        <f>'data processing'!I31/1000</f>
        <v>14.900680399999999</v>
      </c>
      <c r="J31" s="6">
        <f>'data processing'!J31/1000</f>
        <v>32.9095431</v>
      </c>
      <c r="K31" s="6">
        <f>'data processing'!K31/1000</f>
        <v>30.1429039</v>
      </c>
      <c r="L31" s="6">
        <f>'data processing'!L31/1000</f>
        <v>25.4742994</v>
      </c>
      <c r="M31" s="6">
        <f>'data processing'!M31/1000</f>
        <v>47.341217</v>
      </c>
      <c r="O31">
        <v>400</v>
      </c>
    </row>
    <row r="32" spans="1:15" x14ac:dyDescent="0.25">
      <c r="A32" t="s">
        <v>61</v>
      </c>
      <c r="B32" t="s">
        <v>27</v>
      </c>
      <c r="C32" s="4">
        <f>'data processing'!C32/1000</f>
        <v>168.04246559999999</v>
      </c>
      <c r="D32" s="6">
        <f>'data processing'!D32/1000</f>
        <v>92.426353400000011</v>
      </c>
      <c r="E32" s="6">
        <f>'data processing'!E32/1000</f>
        <v>69.2881553</v>
      </c>
      <c r="F32" s="6">
        <f>'data processing'!F32/1000</f>
        <v>85.370155699999998</v>
      </c>
      <c r="G32" s="6">
        <f>'data processing'!G32/1000</f>
        <v>59.289450299999999</v>
      </c>
      <c r="H32" s="6">
        <f>'data processing'!H32/1000</f>
        <v>512.13351160000002</v>
      </c>
      <c r="I32" s="6">
        <f>'data processing'!I32/1000</f>
        <v>1.9741491</v>
      </c>
      <c r="J32" s="6">
        <f>'data processing'!J32/1000</f>
        <v>7.6568611000000004</v>
      </c>
      <c r="K32" s="6">
        <f>'data processing'!K32/1000</f>
        <v>1.9568238</v>
      </c>
      <c r="L32" s="6">
        <f>'data processing'!L32/1000</f>
        <v>8.3154807000000002</v>
      </c>
      <c r="M32" s="6">
        <f>'data processing'!M32/1000</f>
        <v>1.9275685</v>
      </c>
      <c r="O32">
        <v>200</v>
      </c>
    </row>
    <row r="33" spans="1:15" x14ac:dyDescent="0.25">
      <c r="A33" t="s">
        <v>62</v>
      </c>
      <c r="B33" t="s">
        <v>27</v>
      </c>
      <c r="C33" s="4">
        <f>'data processing'!C33/1000</f>
        <v>1357.0143759</v>
      </c>
      <c r="D33" s="6">
        <f>'data processing'!D33/1000</f>
        <v>30.3450256</v>
      </c>
      <c r="E33" s="6">
        <f>'data processing'!E33/1000</f>
        <v>91.573690799999994</v>
      </c>
      <c r="F33" s="6">
        <f>'data processing'!F33/1000</f>
        <v>96.615076999999999</v>
      </c>
      <c r="G33" s="6">
        <f>'data processing'!G33/1000</f>
        <v>149.8132645</v>
      </c>
      <c r="H33" s="6">
        <f>'data processing'!H33/1000</f>
        <v>2118.6202444</v>
      </c>
      <c r="I33" s="6">
        <f>'data processing'!I33/1000</f>
        <v>0.52420960000000005</v>
      </c>
      <c r="J33" s="6">
        <f>'data processing'!J33/1000</f>
        <v>4.1783334999999999</v>
      </c>
      <c r="K33" s="6">
        <f>'data processing'!K33/1000</f>
        <v>1.7470162</v>
      </c>
      <c r="L33" s="6">
        <f>'data processing'!L33/1000</f>
        <v>4.0932411000000002</v>
      </c>
      <c r="M33" s="6">
        <f>'data processing'!M33/1000</f>
        <v>0</v>
      </c>
    </row>
    <row r="34" spans="1:15" x14ac:dyDescent="0.25">
      <c r="A34" t="s">
        <v>63</v>
      </c>
      <c r="B34" t="s">
        <v>27</v>
      </c>
      <c r="C34" s="4">
        <f>'data processing'!C34/1000</f>
        <v>2163.3102570999999</v>
      </c>
      <c r="D34" s="6">
        <f>'data processing'!D34/1000</f>
        <v>81.064242100000001</v>
      </c>
      <c r="E34" s="6">
        <f>'data processing'!E34/1000</f>
        <v>202.91130329999999</v>
      </c>
      <c r="F34" s="6">
        <f>'data processing'!F34/1000</f>
        <v>320.5206665</v>
      </c>
      <c r="G34" s="6">
        <f>'data processing'!G34/1000</f>
        <v>101.8535418</v>
      </c>
      <c r="H34" s="6">
        <f>'data processing'!H34/1000</f>
        <v>4562.5231838</v>
      </c>
      <c r="I34" s="6">
        <f>'data processing'!I34/1000</f>
        <v>2.7345747</v>
      </c>
      <c r="J34" s="6">
        <f>'data processing'!J34/1000</f>
        <v>7.3196243000000001</v>
      </c>
      <c r="K34" s="6">
        <f>'data processing'!K34/1000</f>
        <v>0.4792708</v>
      </c>
      <c r="L34" s="6">
        <f>'data processing'!L34/1000</f>
        <v>4.6130578</v>
      </c>
      <c r="M34" s="6">
        <f>'data processing'!M34/1000</f>
        <v>0</v>
      </c>
      <c r="O34">
        <v>200</v>
      </c>
    </row>
    <row r="35" spans="1:15" x14ac:dyDescent="0.25">
      <c r="A35" t="s">
        <v>64</v>
      </c>
      <c r="B35" t="s">
        <v>27</v>
      </c>
      <c r="C35" s="4">
        <f>'data processing'!C35/1000</f>
        <v>1312.3257556000001</v>
      </c>
      <c r="D35" s="6">
        <f>'data processing'!D35/1000</f>
        <v>619.98945449999997</v>
      </c>
      <c r="E35" s="6">
        <f>'data processing'!E35/1000</f>
        <v>498.1692458</v>
      </c>
      <c r="F35" s="6">
        <f>'data processing'!F35/1000</f>
        <v>1532.0028226999998</v>
      </c>
      <c r="G35" s="6">
        <f>'data processing'!G35/1000</f>
        <v>842.16194089999999</v>
      </c>
      <c r="H35" s="6">
        <f>'data processing'!H35/1000</f>
        <v>18259.706854299999</v>
      </c>
      <c r="I35" s="6">
        <f>'data processing'!I35/1000</f>
        <v>0</v>
      </c>
      <c r="J35" s="6">
        <f>'data processing'!J35/1000</f>
        <v>0</v>
      </c>
      <c r="K35" s="6">
        <f>'data processing'!K35/1000</f>
        <v>0</v>
      </c>
      <c r="L35" s="6">
        <f>'data processing'!L35/1000</f>
        <v>0</v>
      </c>
      <c r="M35" s="6">
        <f>'data processing'!M35/1000</f>
        <v>0</v>
      </c>
      <c r="O35">
        <v>400</v>
      </c>
    </row>
    <row r="36" spans="1:15" x14ac:dyDescent="0.25">
      <c r="A36" t="s">
        <v>65</v>
      </c>
      <c r="B36" t="s">
        <v>27</v>
      </c>
      <c r="C36" s="4">
        <f>'data processing'!C36/1000</f>
        <v>478.33455859999998</v>
      </c>
      <c r="D36" s="6">
        <f>'data processing'!D36/1000</f>
        <v>11.8605117</v>
      </c>
      <c r="E36" s="6">
        <f>'data processing'!E36/1000</f>
        <v>23.232824900000001</v>
      </c>
      <c r="F36" s="6">
        <f>'data processing'!F36/1000</f>
        <v>66.879493400000001</v>
      </c>
      <c r="G36" s="6">
        <f>'data processing'!G36/1000</f>
        <v>34.211179100000003</v>
      </c>
      <c r="H36" s="6">
        <f>'data processing'!H36/1000</f>
        <v>374.12417210000001</v>
      </c>
      <c r="I36" s="6">
        <f>'data processing'!I36/1000</f>
        <v>0</v>
      </c>
      <c r="J36" s="6">
        <f>'data processing'!J36/1000</f>
        <v>0</v>
      </c>
      <c r="K36" s="6">
        <f>'data processing'!K36/1000</f>
        <v>0</v>
      </c>
      <c r="L36" s="6">
        <f>'data processing'!L36/1000</f>
        <v>0</v>
      </c>
      <c r="M36" s="6">
        <f>'data processing'!M36/1000</f>
        <v>0</v>
      </c>
      <c r="O36">
        <v>200</v>
      </c>
    </row>
    <row r="38" spans="1:15" x14ac:dyDescent="0.25">
      <c r="E38" s="4" t="s">
        <v>125</v>
      </c>
      <c r="F38" s="4" t="s">
        <v>125</v>
      </c>
      <c r="G38" s="4" t="s">
        <v>125</v>
      </c>
      <c r="H38" s="4" t="s">
        <v>125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E41" sqref="E41"/>
    </sheetView>
  </sheetViews>
  <sheetFormatPr baseColWidth="10" defaultRowHeight="15" x14ac:dyDescent="0.25"/>
  <cols>
    <col min="1" max="1" width="36.140625" bestFit="1" customWidth="1"/>
    <col min="3" max="3" width="11.42578125" style="4"/>
  </cols>
  <sheetData>
    <row r="1" spans="1:15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3" t="s">
        <v>107</v>
      </c>
      <c r="F1" s="3" t="s">
        <v>109</v>
      </c>
      <c r="G1" s="3" t="s">
        <v>111</v>
      </c>
      <c r="H1" s="3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O1" s="5" t="s">
        <v>67</v>
      </c>
    </row>
    <row r="2" spans="1:15" x14ac:dyDescent="0.25">
      <c r="A2" t="s">
        <v>21</v>
      </c>
      <c r="B2" t="s">
        <v>27</v>
      </c>
      <c r="C2" s="4">
        <v>3014211.7017000001</v>
      </c>
      <c r="D2">
        <v>411964.19429999997</v>
      </c>
      <c r="E2" s="4">
        <v>999997.11919999996</v>
      </c>
      <c r="F2" s="4">
        <v>1677053.1577999999</v>
      </c>
      <c r="G2" s="4">
        <v>355120.38770000002</v>
      </c>
      <c r="H2" s="4">
        <v>1633565.5068000001</v>
      </c>
      <c r="I2">
        <v>6762.0221000000001</v>
      </c>
      <c r="J2">
        <v>6670.7278999999999</v>
      </c>
      <c r="K2">
        <v>6704.7424000000001</v>
      </c>
      <c r="L2">
        <v>6705.3477999999996</v>
      </c>
      <c r="M2">
        <v>6671.2780000000002</v>
      </c>
      <c r="O2">
        <v>400</v>
      </c>
    </row>
    <row r="3" spans="1:15" x14ac:dyDescent="0.25">
      <c r="A3" t="s">
        <v>31</v>
      </c>
      <c r="B3" t="s">
        <v>27</v>
      </c>
      <c r="C3" s="4">
        <v>616360.54469999997</v>
      </c>
      <c r="D3">
        <v>409497.51390000002</v>
      </c>
      <c r="E3" s="4">
        <v>785181.06700000004</v>
      </c>
      <c r="F3" s="4">
        <v>750860.41020000004</v>
      </c>
      <c r="G3" s="4">
        <v>794765.72340000002</v>
      </c>
      <c r="H3" s="4">
        <v>6569508.5762</v>
      </c>
      <c r="I3">
        <v>0</v>
      </c>
      <c r="J3">
        <v>0</v>
      </c>
      <c r="K3" t="s">
        <v>43</v>
      </c>
      <c r="L3">
        <v>0</v>
      </c>
      <c r="M3">
        <v>0</v>
      </c>
      <c r="O3">
        <v>400</v>
      </c>
    </row>
    <row r="4" spans="1:15" x14ac:dyDescent="0.25">
      <c r="A4" t="s">
        <v>32</v>
      </c>
      <c r="B4" t="s">
        <v>27</v>
      </c>
      <c r="C4" s="4">
        <v>697351.19839999999</v>
      </c>
      <c r="D4">
        <v>196417.09359999999</v>
      </c>
      <c r="E4" s="4">
        <v>389677.62729999999</v>
      </c>
      <c r="F4" s="4">
        <v>106099.6204</v>
      </c>
      <c r="G4" s="4">
        <v>191431.78330000001</v>
      </c>
      <c r="H4" s="4">
        <v>2004938.8017</v>
      </c>
      <c r="I4">
        <v>0</v>
      </c>
      <c r="J4">
        <v>0</v>
      </c>
      <c r="K4">
        <v>0</v>
      </c>
      <c r="L4">
        <v>0</v>
      </c>
      <c r="M4">
        <v>0</v>
      </c>
      <c r="O4">
        <v>200</v>
      </c>
    </row>
    <row r="5" spans="1:15" x14ac:dyDescent="0.25">
      <c r="A5" t="s">
        <v>33</v>
      </c>
      <c r="B5" t="s">
        <v>27</v>
      </c>
      <c r="C5" s="4">
        <v>321530.51260000002</v>
      </c>
      <c r="D5">
        <v>273192.50060000003</v>
      </c>
      <c r="E5" s="4">
        <v>74603.001399999994</v>
      </c>
      <c r="F5" s="4">
        <v>1363196.1240999999</v>
      </c>
      <c r="G5" s="4">
        <v>16849.2569</v>
      </c>
      <c r="H5" s="4">
        <v>362569.3187</v>
      </c>
      <c r="I5">
        <v>0</v>
      </c>
      <c r="J5">
        <v>0</v>
      </c>
      <c r="K5">
        <v>0</v>
      </c>
      <c r="L5">
        <v>0</v>
      </c>
      <c r="M5">
        <v>0</v>
      </c>
      <c r="O5">
        <v>400</v>
      </c>
    </row>
    <row r="6" spans="1:15" x14ac:dyDescent="0.25">
      <c r="A6" t="s">
        <v>34</v>
      </c>
      <c r="B6" t="s">
        <v>27</v>
      </c>
      <c r="C6" s="4">
        <v>226861.3597</v>
      </c>
      <c r="D6">
        <v>114653.1268</v>
      </c>
      <c r="E6" s="4">
        <v>132166.652</v>
      </c>
      <c r="F6" s="4">
        <v>479878.6091</v>
      </c>
      <c r="G6" s="4">
        <v>81650.103300000002</v>
      </c>
      <c r="H6" s="4">
        <v>653788.62379999994</v>
      </c>
      <c r="I6">
        <v>0</v>
      </c>
      <c r="J6">
        <v>0</v>
      </c>
      <c r="K6">
        <v>0</v>
      </c>
      <c r="L6">
        <v>0</v>
      </c>
      <c r="M6">
        <v>0</v>
      </c>
      <c r="O6">
        <v>200</v>
      </c>
    </row>
    <row r="7" spans="1:15" x14ac:dyDescent="0.25">
      <c r="A7" t="s">
        <v>35</v>
      </c>
      <c r="B7" t="s">
        <v>27</v>
      </c>
      <c r="C7" s="4">
        <v>378804.03</v>
      </c>
      <c r="D7">
        <v>297924.77510000003</v>
      </c>
      <c r="E7" s="4">
        <v>28280.875400000001</v>
      </c>
      <c r="F7" s="4">
        <v>46617.0743</v>
      </c>
      <c r="G7" s="4">
        <v>269152.53749999998</v>
      </c>
      <c r="H7" s="4">
        <v>119259.05560000001</v>
      </c>
      <c r="I7">
        <v>7246.0667999999996</v>
      </c>
      <c r="J7">
        <v>3890.8926999999999</v>
      </c>
      <c r="K7">
        <v>0</v>
      </c>
      <c r="L7">
        <v>0</v>
      </c>
      <c r="M7">
        <v>0</v>
      </c>
      <c r="O7">
        <v>400</v>
      </c>
    </row>
    <row r="8" spans="1:15" x14ac:dyDescent="0.25">
      <c r="A8" t="s">
        <v>36</v>
      </c>
      <c r="B8" t="s">
        <v>27</v>
      </c>
      <c r="C8" s="4">
        <v>1614001.5120000001</v>
      </c>
      <c r="D8">
        <v>167598.25719999999</v>
      </c>
      <c r="E8" s="4">
        <v>102550.81849999999</v>
      </c>
      <c r="F8" s="4">
        <v>66026.805699999997</v>
      </c>
      <c r="G8" s="4">
        <v>25418.991300000002</v>
      </c>
      <c r="H8" s="4">
        <v>504883.56829999998</v>
      </c>
      <c r="I8">
        <v>2153.0711999999999</v>
      </c>
      <c r="J8">
        <v>0</v>
      </c>
      <c r="K8">
        <v>0</v>
      </c>
      <c r="L8">
        <v>0</v>
      </c>
      <c r="M8">
        <v>0</v>
      </c>
      <c r="O8">
        <v>200</v>
      </c>
    </row>
    <row r="9" spans="1:15" x14ac:dyDescent="0.25">
      <c r="A9" t="s">
        <v>37</v>
      </c>
      <c r="B9" t="s">
        <v>27</v>
      </c>
      <c r="C9" s="4">
        <v>932572.92940000002</v>
      </c>
      <c r="D9">
        <v>125861.4884</v>
      </c>
      <c r="E9" s="4">
        <v>165971.97640000001</v>
      </c>
      <c r="F9" s="4">
        <v>255962.02480000001</v>
      </c>
      <c r="G9" s="4">
        <v>522199.03169999999</v>
      </c>
      <c r="H9" s="4">
        <v>10613568.0066</v>
      </c>
      <c r="I9">
        <v>0</v>
      </c>
      <c r="J9">
        <v>0</v>
      </c>
      <c r="K9">
        <v>2696.7021</v>
      </c>
      <c r="L9">
        <v>0</v>
      </c>
      <c r="M9">
        <v>0</v>
      </c>
      <c r="O9">
        <v>200</v>
      </c>
    </row>
    <row r="10" spans="1:15" x14ac:dyDescent="0.25">
      <c r="A10" t="s">
        <v>38</v>
      </c>
      <c r="B10" t="s">
        <v>27</v>
      </c>
      <c r="C10" s="4">
        <v>695333.54020000005</v>
      </c>
      <c r="D10">
        <v>159864.8701</v>
      </c>
      <c r="E10" s="4">
        <v>163518.30050000001</v>
      </c>
      <c r="F10" s="4">
        <v>136166.62030000001</v>
      </c>
      <c r="G10" s="4">
        <v>189895.71030000001</v>
      </c>
      <c r="H10" s="4">
        <v>717388.94660000002</v>
      </c>
      <c r="I10">
        <v>0</v>
      </c>
      <c r="J10">
        <v>0</v>
      </c>
      <c r="K10">
        <v>0</v>
      </c>
      <c r="L10">
        <v>0</v>
      </c>
      <c r="M10">
        <v>0</v>
      </c>
      <c r="O10">
        <v>200</v>
      </c>
    </row>
    <row r="11" spans="1:15" x14ac:dyDescent="0.25">
      <c r="A11" t="s">
        <v>39</v>
      </c>
      <c r="B11" t="s">
        <v>27</v>
      </c>
      <c r="C11" s="4">
        <v>800601.1</v>
      </c>
      <c r="D11">
        <v>1866535.5057999999</v>
      </c>
      <c r="E11" s="4">
        <v>140728.1605</v>
      </c>
      <c r="F11" s="4">
        <v>144912.82550000001</v>
      </c>
      <c r="G11" s="4">
        <v>40819.096299999997</v>
      </c>
      <c r="H11" s="4">
        <v>1606621.4516</v>
      </c>
      <c r="I11">
        <v>1559859.6487</v>
      </c>
      <c r="J11">
        <v>1357477.4282</v>
      </c>
      <c r="K11">
        <v>984678.2095</v>
      </c>
      <c r="L11">
        <v>1183713.9240000001</v>
      </c>
      <c r="M11">
        <v>805216.68969999999</v>
      </c>
      <c r="O11">
        <v>600</v>
      </c>
    </row>
    <row r="12" spans="1:15" x14ac:dyDescent="0.25">
      <c r="A12" t="s">
        <v>40</v>
      </c>
      <c r="B12" t="s">
        <v>27</v>
      </c>
      <c r="C12" s="4">
        <v>576756.51729999995</v>
      </c>
      <c r="D12">
        <v>166514.15549999999</v>
      </c>
      <c r="E12" s="4">
        <v>82321.366999999998</v>
      </c>
      <c r="F12" s="4">
        <v>224689.0196</v>
      </c>
      <c r="G12" s="4">
        <v>71102.224199999997</v>
      </c>
      <c r="H12" s="4">
        <v>934445.6385</v>
      </c>
      <c r="I12">
        <v>28242.609499999999</v>
      </c>
      <c r="J12">
        <v>29040.412100000001</v>
      </c>
      <c r="K12">
        <v>5223.3678</v>
      </c>
      <c r="L12">
        <v>9324.9853000000003</v>
      </c>
      <c r="M12">
        <v>0</v>
      </c>
      <c r="O12">
        <v>200</v>
      </c>
    </row>
    <row r="13" spans="1:15" x14ac:dyDescent="0.25">
      <c r="A13" t="s">
        <v>41</v>
      </c>
      <c r="B13" t="s">
        <v>27</v>
      </c>
      <c r="C13" s="4">
        <v>50904.930699999997</v>
      </c>
      <c r="D13">
        <v>154215.00440000001</v>
      </c>
      <c r="E13" s="4">
        <v>11877.2353</v>
      </c>
      <c r="F13" s="4">
        <v>9713.7045999999991</v>
      </c>
      <c r="G13" s="4">
        <v>2350.4436000000001</v>
      </c>
      <c r="H13" s="4">
        <v>82194.470100000006</v>
      </c>
      <c r="I13">
        <v>11384.1577</v>
      </c>
      <c r="J13">
        <v>11511.2742</v>
      </c>
      <c r="K13">
        <v>6322.2614999999996</v>
      </c>
      <c r="L13">
        <v>9645.0863000000008</v>
      </c>
      <c r="M13">
        <v>852.71349999999995</v>
      </c>
      <c r="O13">
        <v>200</v>
      </c>
    </row>
    <row r="14" spans="1:15" x14ac:dyDescent="0.25">
      <c r="A14" t="s">
        <v>42</v>
      </c>
      <c r="B14" t="s">
        <v>27</v>
      </c>
      <c r="C14" s="4">
        <v>833291.35789999994</v>
      </c>
      <c r="D14">
        <v>220191.19390000001</v>
      </c>
      <c r="E14" s="4">
        <v>104847.5306</v>
      </c>
      <c r="F14" s="4">
        <v>249701.14319999999</v>
      </c>
      <c r="G14" s="4">
        <v>34346.812299999998</v>
      </c>
      <c r="H14" s="4">
        <v>550923.10880000005</v>
      </c>
      <c r="I14">
        <v>8249.4603999999999</v>
      </c>
      <c r="J14">
        <v>0</v>
      </c>
      <c r="K14">
        <v>0</v>
      </c>
      <c r="L14">
        <v>0</v>
      </c>
      <c r="M14">
        <v>0</v>
      </c>
      <c r="O14">
        <v>200</v>
      </c>
    </row>
    <row r="15" spans="1:15" x14ac:dyDescent="0.25">
      <c r="A15" t="s">
        <v>44</v>
      </c>
      <c r="B15" t="s">
        <v>27</v>
      </c>
      <c r="C15" s="4">
        <v>756451.91570000001</v>
      </c>
      <c r="D15">
        <v>414356.86310000002</v>
      </c>
      <c r="E15" s="4">
        <v>112941.102</v>
      </c>
      <c r="F15" s="4">
        <v>287574.67810000002</v>
      </c>
      <c r="G15" s="4">
        <v>75220.624599999996</v>
      </c>
      <c r="H15" s="4">
        <v>1346747.4412</v>
      </c>
      <c r="I15">
        <v>245306.6176</v>
      </c>
      <c r="J15">
        <v>256752.92610000001</v>
      </c>
      <c r="K15">
        <v>222382.13159999999</v>
      </c>
      <c r="L15">
        <v>252449.36060000001</v>
      </c>
      <c r="M15">
        <v>268623.3971</v>
      </c>
      <c r="O15">
        <v>400</v>
      </c>
    </row>
    <row r="16" spans="1:15" x14ac:dyDescent="0.25">
      <c r="A16" t="s">
        <v>45</v>
      </c>
      <c r="B16" t="s">
        <v>27</v>
      </c>
      <c r="C16" s="4">
        <v>1302040.3954</v>
      </c>
      <c r="D16">
        <v>481785.4326</v>
      </c>
      <c r="E16" s="4">
        <v>70510.722599999994</v>
      </c>
      <c r="F16" s="4">
        <v>40285.624900000003</v>
      </c>
      <c r="G16" s="4">
        <v>297726.31109999999</v>
      </c>
      <c r="H16" s="4">
        <v>429998.09869999997</v>
      </c>
      <c r="I16">
        <v>24600.107400000001</v>
      </c>
      <c r="J16">
        <v>251858.06030000001</v>
      </c>
      <c r="K16">
        <v>69156.638900000005</v>
      </c>
      <c r="L16">
        <v>114853.3753</v>
      </c>
      <c r="M16">
        <v>18465.913199999999</v>
      </c>
      <c r="O16">
        <v>400</v>
      </c>
    </row>
    <row r="17" spans="1:15" x14ac:dyDescent="0.25">
      <c r="A17" t="s">
        <v>46</v>
      </c>
      <c r="B17" t="s">
        <v>27</v>
      </c>
      <c r="C17" s="4">
        <v>894771.05649999995</v>
      </c>
      <c r="D17">
        <v>77784.450700000001</v>
      </c>
      <c r="E17" s="4">
        <v>194017.36780000001</v>
      </c>
      <c r="F17" s="4">
        <v>225066.52549999999</v>
      </c>
      <c r="G17" s="4">
        <v>66449.441900000005</v>
      </c>
      <c r="H17" s="4">
        <v>870552.50989999995</v>
      </c>
      <c r="I17">
        <v>38420.081400000003</v>
      </c>
      <c r="J17">
        <v>819.78750000000002</v>
      </c>
      <c r="K17">
        <v>495.99520000000001</v>
      </c>
      <c r="L17">
        <v>341.88889999999998</v>
      </c>
      <c r="M17">
        <v>379.01389999999998</v>
      </c>
      <c r="O17">
        <v>200</v>
      </c>
    </row>
    <row r="18" spans="1:15" x14ac:dyDescent="0.25">
      <c r="A18" t="s">
        <v>47</v>
      </c>
      <c r="B18" t="s">
        <v>27</v>
      </c>
      <c r="C18" s="4">
        <v>599001.42740000004</v>
      </c>
      <c r="D18">
        <v>189655.9976</v>
      </c>
      <c r="E18" s="4">
        <v>43817.659200000002</v>
      </c>
      <c r="F18" s="4">
        <v>211475.6128</v>
      </c>
      <c r="G18" s="4">
        <v>39254.523399999998</v>
      </c>
      <c r="H18" s="4">
        <v>330845.34669999999</v>
      </c>
      <c r="I18">
        <v>98285.392900000006</v>
      </c>
      <c r="J18">
        <v>163784.12549999999</v>
      </c>
      <c r="K18">
        <v>53431.366699999999</v>
      </c>
      <c r="L18">
        <v>100573.47530000001</v>
      </c>
      <c r="M18">
        <v>4381.9413999999997</v>
      </c>
      <c r="O18">
        <v>200</v>
      </c>
    </row>
    <row r="19" spans="1:15" x14ac:dyDescent="0.25">
      <c r="A19" t="s">
        <v>48</v>
      </c>
      <c r="B19" t="s">
        <v>27</v>
      </c>
      <c r="C19" s="4">
        <v>2097119.6488999999</v>
      </c>
      <c r="D19">
        <v>192614.4148</v>
      </c>
      <c r="E19" s="4">
        <v>207850.4534</v>
      </c>
      <c r="F19" s="4">
        <v>371488.3799</v>
      </c>
      <c r="G19" s="4">
        <v>12638.085499999999</v>
      </c>
      <c r="H19" s="4">
        <v>438902.19280000002</v>
      </c>
      <c r="I19">
        <v>1574.7802999999999</v>
      </c>
      <c r="J19">
        <v>52.5124</v>
      </c>
      <c r="K19">
        <v>3.282</v>
      </c>
      <c r="L19">
        <v>427.16329999999999</v>
      </c>
      <c r="M19">
        <v>0</v>
      </c>
      <c r="O19">
        <v>200</v>
      </c>
    </row>
    <row r="20" spans="1:15" x14ac:dyDescent="0.25">
      <c r="A20" t="s">
        <v>49</v>
      </c>
      <c r="B20" t="s">
        <v>27</v>
      </c>
      <c r="C20" s="4">
        <v>1099472.5349000001</v>
      </c>
      <c r="D20">
        <v>578747.79700000002</v>
      </c>
      <c r="E20" s="4">
        <v>264649.59039999999</v>
      </c>
      <c r="F20" s="4">
        <v>492478.28009999997</v>
      </c>
      <c r="G20" s="4">
        <v>324862.11239999998</v>
      </c>
      <c r="H20" s="4">
        <v>1173807.8389999999</v>
      </c>
      <c r="I20">
        <v>59575.627200000003</v>
      </c>
      <c r="J20">
        <v>113396.5543</v>
      </c>
      <c r="K20">
        <v>51747.863299999997</v>
      </c>
      <c r="L20">
        <v>63409.0743</v>
      </c>
      <c r="M20">
        <v>1923.9938999999999</v>
      </c>
      <c r="O20">
        <v>200</v>
      </c>
    </row>
    <row r="21" spans="1:15" x14ac:dyDescent="0.25">
      <c r="A21" t="s">
        <v>50</v>
      </c>
      <c r="B21" t="s">
        <v>27</v>
      </c>
      <c r="C21" s="4">
        <v>1326584.1761</v>
      </c>
      <c r="D21">
        <v>109044.7931</v>
      </c>
      <c r="E21" s="4">
        <v>150838.91880000001</v>
      </c>
      <c r="F21" s="4">
        <v>505647.2513</v>
      </c>
      <c r="G21" s="4">
        <v>45833.784500000002</v>
      </c>
      <c r="H21" s="4">
        <v>913550.29590000003</v>
      </c>
      <c r="I21">
        <v>268.35539999999997</v>
      </c>
      <c r="J21">
        <v>544.56479999999999</v>
      </c>
      <c r="K21">
        <v>277.06169999999997</v>
      </c>
      <c r="L21">
        <v>225.1592</v>
      </c>
      <c r="M21">
        <v>187.84030000000001</v>
      </c>
    </row>
    <row r="22" spans="1:15" x14ac:dyDescent="0.25">
      <c r="A22" t="s">
        <v>51</v>
      </c>
      <c r="B22" t="s">
        <v>27</v>
      </c>
      <c r="C22" s="4">
        <v>1031290.9288</v>
      </c>
      <c r="D22">
        <v>277066.29320000001</v>
      </c>
      <c r="E22" s="4">
        <v>105813.3974</v>
      </c>
      <c r="F22" s="4">
        <v>135205.89809999999</v>
      </c>
      <c r="G22" s="4">
        <v>230694.97409999999</v>
      </c>
      <c r="H22" s="4">
        <v>829063.45460000006</v>
      </c>
      <c r="I22">
        <v>2123.9128999999998</v>
      </c>
      <c r="J22">
        <v>1584.6005</v>
      </c>
      <c r="K22">
        <v>1634.7460000000001</v>
      </c>
      <c r="L22">
        <v>4135.6598000000004</v>
      </c>
      <c r="M22">
        <v>1594.7213999999999</v>
      </c>
      <c r="O22">
        <v>400</v>
      </c>
    </row>
    <row r="23" spans="1:15" x14ac:dyDescent="0.25">
      <c r="A23" t="s">
        <v>52</v>
      </c>
      <c r="B23" t="s">
        <v>27</v>
      </c>
      <c r="C23" s="4">
        <v>87107.756399999998</v>
      </c>
      <c r="D23">
        <v>50590.762300000002</v>
      </c>
      <c r="E23" s="4">
        <v>48245.590100000001</v>
      </c>
      <c r="F23" s="4">
        <v>45899.627</v>
      </c>
      <c r="G23" s="4">
        <v>29123.576799999999</v>
      </c>
      <c r="H23" s="4">
        <v>600869.33440000005</v>
      </c>
      <c r="I23">
        <v>2761.9609</v>
      </c>
      <c r="J23" t="s">
        <v>43</v>
      </c>
      <c r="K23">
        <v>0</v>
      </c>
      <c r="L23">
        <v>18810.503799999999</v>
      </c>
      <c r="M23">
        <v>113.223</v>
      </c>
      <c r="O23">
        <v>200</v>
      </c>
    </row>
    <row r="24" spans="1:15" x14ac:dyDescent="0.25">
      <c r="A24" t="s">
        <v>53</v>
      </c>
      <c r="B24" t="s">
        <v>27</v>
      </c>
      <c r="C24" s="4">
        <v>472692.71389999997</v>
      </c>
      <c r="D24">
        <v>108725.69620000001</v>
      </c>
      <c r="E24" s="4">
        <v>401890.60920000001</v>
      </c>
      <c r="F24" s="4">
        <v>70784.648499999996</v>
      </c>
      <c r="G24" s="4">
        <v>71876.714500000002</v>
      </c>
      <c r="H24" s="4">
        <v>369386.1532</v>
      </c>
      <c r="I24">
        <v>4104.0790999999999</v>
      </c>
      <c r="J24">
        <v>31811.209800000001</v>
      </c>
      <c r="K24">
        <v>8802.2317999999996</v>
      </c>
      <c r="L24">
        <v>21227.137500000001</v>
      </c>
      <c r="M24">
        <v>272.42099999999999</v>
      </c>
      <c r="O24">
        <v>200</v>
      </c>
    </row>
    <row r="25" spans="1:15" x14ac:dyDescent="0.25">
      <c r="A25" t="s">
        <v>54</v>
      </c>
      <c r="B25" t="s">
        <v>27</v>
      </c>
      <c r="C25" s="4">
        <v>205393.96549999999</v>
      </c>
      <c r="D25">
        <v>70959.859299999996</v>
      </c>
      <c r="E25" s="4">
        <v>40990.186500000003</v>
      </c>
      <c r="F25" s="4">
        <v>85510.205199999997</v>
      </c>
      <c r="G25" s="4">
        <v>12111.099200000001</v>
      </c>
      <c r="H25" s="4">
        <v>569473.20140000002</v>
      </c>
      <c r="I25">
        <v>31327.736400000002</v>
      </c>
      <c r="J25">
        <v>206.18039999999999</v>
      </c>
      <c r="K25">
        <v>416.89240000000001</v>
      </c>
      <c r="L25">
        <v>415.42880000000002</v>
      </c>
      <c r="M25">
        <v>472.24079999999998</v>
      </c>
      <c r="O25">
        <v>200</v>
      </c>
    </row>
    <row r="26" spans="1:15" x14ac:dyDescent="0.25">
      <c r="A26" t="s">
        <v>55</v>
      </c>
      <c r="B26" t="s">
        <v>27</v>
      </c>
      <c r="C26" s="4">
        <v>654709.43489999999</v>
      </c>
      <c r="D26">
        <v>255833.58100000001</v>
      </c>
      <c r="E26" s="4">
        <v>333591.18800000002</v>
      </c>
      <c r="F26" s="4">
        <v>127375.2308</v>
      </c>
      <c r="G26" s="4">
        <v>60873.054199999999</v>
      </c>
      <c r="H26" s="4">
        <v>1805895.7235000001</v>
      </c>
      <c r="I26">
        <v>146304.3731</v>
      </c>
      <c r="J26">
        <v>207959.0986</v>
      </c>
      <c r="K26">
        <v>134569.91310000001</v>
      </c>
      <c r="L26">
        <v>220394.7077</v>
      </c>
      <c r="M26">
        <v>555.16780000000006</v>
      </c>
      <c r="O26">
        <v>200</v>
      </c>
    </row>
    <row r="27" spans="1:15" x14ac:dyDescent="0.25">
      <c r="A27" t="s">
        <v>56</v>
      </c>
      <c r="B27" t="s">
        <v>27</v>
      </c>
      <c r="C27" s="4">
        <v>90182.918699999995</v>
      </c>
      <c r="D27">
        <v>79404.540900000007</v>
      </c>
      <c r="E27" s="4">
        <v>49465.142200000002</v>
      </c>
      <c r="F27" s="4">
        <v>64368.114399999999</v>
      </c>
      <c r="G27" s="4">
        <v>35022.438900000001</v>
      </c>
      <c r="H27" s="4">
        <v>194995.90299999999</v>
      </c>
      <c r="I27">
        <v>32247.192500000001</v>
      </c>
      <c r="J27" t="s">
        <v>43</v>
      </c>
      <c r="K27" t="s">
        <v>43</v>
      </c>
      <c r="L27" t="s">
        <v>43</v>
      </c>
      <c r="M27" t="s">
        <v>43</v>
      </c>
      <c r="O27">
        <v>200</v>
      </c>
    </row>
    <row r="28" spans="1:15" x14ac:dyDescent="0.25">
      <c r="A28" t="s">
        <v>57</v>
      </c>
      <c r="B28" t="s">
        <v>27</v>
      </c>
      <c r="C28" s="4">
        <v>19160.971300000001</v>
      </c>
      <c r="D28">
        <v>120353.7188</v>
      </c>
      <c r="E28" s="4">
        <v>3021.2251999999999</v>
      </c>
      <c r="F28" s="4">
        <v>26257.147300000001</v>
      </c>
      <c r="G28" s="4">
        <v>17763.305700000001</v>
      </c>
      <c r="H28" s="4">
        <v>94414.819199999998</v>
      </c>
      <c r="I28">
        <v>322.9982</v>
      </c>
      <c r="J28">
        <v>0</v>
      </c>
      <c r="K28">
        <v>0</v>
      </c>
      <c r="L28">
        <v>0</v>
      </c>
      <c r="M28">
        <v>0</v>
      </c>
      <c r="O28">
        <v>200</v>
      </c>
    </row>
    <row r="29" spans="1:15" x14ac:dyDescent="0.25">
      <c r="A29" t="s">
        <v>58</v>
      </c>
      <c r="B29" t="s">
        <v>27</v>
      </c>
      <c r="C29" s="4">
        <v>568660.49010000005</v>
      </c>
      <c r="D29">
        <v>172613.17509999999</v>
      </c>
      <c r="E29" s="4">
        <v>232301.22210000001</v>
      </c>
      <c r="F29" s="4">
        <v>290952.56760000001</v>
      </c>
      <c r="G29" s="4">
        <v>142518.84080000001</v>
      </c>
      <c r="H29" s="4">
        <v>464151.07569999999</v>
      </c>
      <c r="I29">
        <v>98202.708400000003</v>
      </c>
      <c r="J29">
        <v>138334.2598</v>
      </c>
      <c r="K29">
        <v>81596.109400000001</v>
      </c>
      <c r="L29">
        <v>139313.0478</v>
      </c>
      <c r="M29">
        <v>611.62099999999998</v>
      </c>
      <c r="O29">
        <v>200</v>
      </c>
    </row>
    <row r="30" spans="1:15" x14ac:dyDescent="0.25">
      <c r="A30" t="s">
        <v>59</v>
      </c>
      <c r="B30" t="s">
        <v>27</v>
      </c>
      <c r="C30" s="4">
        <v>4050251.5249000001</v>
      </c>
      <c r="D30">
        <v>161085.6642</v>
      </c>
      <c r="E30" s="4">
        <v>430364.34899999999</v>
      </c>
      <c r="F30" s="4">
        <v>2962529.0655</v>
      </c>
      <c r="G30" s="4">
        <v>192302.60690000001</v>
      </c>
      <c r="H30" s="4">
        <v>5083364.6566000003</v>
      </c>
      <c r="I30">
        <v>2422.9315000000001</v>
      </c>
      <c r="J30">
        <v>0</v>
      </c>
      <c r="K30">
        <v>0</v>
      </c>
      <c r="L30">
        <v>0</v>
      </c>
      <c r="M30">
        <v>0</v>
      </c>
      <c r="O30">
        <v>200</v>
      </c>
    </row>
    <row r="31" spans="1:15" x14ac:dyDescent="0.25">
      <c r="A31" t="s">
        <v>60</v>
      </c>
      <c r="B31" t="s">
        <v>27</v>
      </c>
      <c r="C31" s="4">
        <v>279135.83679999999</v>
      </c>
      <c r="D31">
        <v>105836.1862</v>
      </c>
      <c r="E31" s="4">
        <v>27326.1368</v>
      </c>
      <c r="F31" s="4">
        <v>77875.6109</v>
      </c>
      <c r="G31" s="4">
        <v>96219.250499999995</v>
      </c>
      <c r="H31" s="4">
        <v>1356320.6598</v>
      </c>
      <c r="I31">
        <v>14900.680399999999</v>
      </c>
      <c r="J31">
        <v>32909.543100000003</v>
      </c>
      <c r="K31">
        <v>30142.903900000001</v>
      </c>
      <c r="L31">
        <v>25474.2994</v>
      </c>
      <c r="M31">
        <v>47341.216999999997</v>
      </c>
      <c r="O31">
        <v>400</v>
      </c>
    </row>
    <row r="32" spans="1:15" x14ac:dyDescent="0.25">
      <c r="A32" t="s">
        <v>61</v>
      </c>
      <c r="B32" t="s">
        <v>27</v>
      </c>
      <c r="C32" s="4">
        <v>168042.4656</v>
      </c>
      <c r="D32">
        <v>92426.353400000007</v>
      </c>
      <c r="E32" s="4">
        <v>69288.155299999999</v>
      </c>
      <c r="F32" s="4">
        <v>85370.155700000003</v>
      </c>
      <c r="G32" s="4">
        <v>59289.450299999997</v>
      </c>
      <c r="H32" s="4">
        <v>512133.51160000003</v>
      </c>
      <c r="I32">
        <v>1974.1491000000001</v>
      </c>
      <c r="J32">
        <v>7656.8611000000001</v>
      </c>
      <c r="K32">
        <v>1956.8237999999999</v>
      </c>
      <c r="L32">
        <v>8315.4807000000001</v>
      </c>
      <c r="M32">
        <v>1927.5685000000001</v>
      </c>
      <c r="O32">
        <v>200</v>
      </c>
    </row>
    <row r="33" spans="1:15" x14ac:dyDescent="0.25">
      <c r="A33" t="s">
        <v>62</v>
      </c>
      <c r="B33" t="s">
        <v>27</v>
      </c>
      <c r="C33" s="4">
        <v>1357014.3759000001</v>
      </c>
      <c r="D33">
        <v>30345.025600000001</v>
      </c>
      <c r="E33" s="4">
        <v>91573.690799999997</v>
      </c>
      <c r="F33" s="4">
        <v>96615.077000000005</v>
      </c>
      <c r="G33" s="4">
        <v>149813.26449999999</v>
      </c>
      <c r="H33" s="4">
        <v>2118620.2444000002</v>
      </c>
      <c r="I33">
        <v>524.20960000000002</v>
      </c>
      <c r="J33">
        <v>4178.3334999999997</v>
      </c>
      <c r="K33">
        <v>1747.0162</v>
      </c>
      <c r="L33">
        <v>4093.2411000000002</v>
      </c>
      <c r="M33">
        <v>0</v>
      </c>
    </row>
    <row r="34" spans="1:15" x14ac:dyDescent="0.25">
      <c r="A34" t="s">
        <v>63</v>
      </c>
      <c r="B34" t="s">
        <v>27</v>
      </c>
      <c r="C34" s="4">
        <v>2163310.2571</v>
      </c>
      <c r="D34">
        <v>81064.242100000003</v>
      </c>
      <c r="E34" s="4">
        <v>202911.3033</v>
      </c>
      <c r="F34" s="4">
        <v>320520.66649999999</v>
      </c>
      <c r="G34" s="4">
        <v>101853.54180000001</v>
      </c>
      <c r="H34" s="4">
        <v>4562523.1837999998</v>
      </c>
      <c r="I34">
        <v>2734.5747000000001</v>
      </c>
      <c r="J34">
        <v>7319.6243000000004</v>
      </c>
      <c r="K34">
        <v>479.27080000000001</v>
      </c>
      <c r="L34">
        <v>4613.0577999999996</v>
      </c>
      <c r="M34">
        <v>0</v>
      </c>
      <c r="O34">
        <v>200</v>
      </c>
    </row>
    <row r="35" spans="1:15" x14ac:dyDescent="0.25">
      <c r="A35" t="s">
        <v>64</v>
      </c>
      <c r="B35" t="s">
        <v>27</v>
      </c>
      <c r="C35" s="4">
        <v>1312325.7556</v>
      </c>
      <c r="D35">
        <v>619989.45449999999</v>
      </c>
      <c r="E35" s="4">
        <v>498169.24579999998</v>
      </c>
      <c r="F35" s="4">
        <v>1532002.8226999999</v>
      </c>
      <c r="G35" s="4">
        <v>842161.94090000005</v>
      </c>
      <c r="H35" s="4">
        <v>18259706.8543</v>
      </c>
      <c r="I35">
        <v>0</v>
      </c>
      <c r="J35">
        <v>0</v>
      </c>
      <c r="K35">
        <v>0</v>
      </c>
      <c r="L35">
        <v>0</v>
      </c>
      <c r="M35">
        <v>0</v>
      </c>
      <c r="O35">
        <v>400</v>
      </c>
    </row>
    <row r="36" spans="1:15" x14ac:dyDescent="0.25">
      <c r="A36" t="s">
        <v>65</v>
      </c>
      <c r="B36" t="s">
        <v>27</v>
      </c>
      <c r="C36" s="4">
        <v>478334.55859999999</v>
      </c>
      <c r="D36">
        <v>11860.511699999999</v>
      </c>
      <c r="E36" s="4">
        <v>23232.8249</v>
      </c>
      <c r="F36" s="4">
        <v>66879.493400000007</v>
      </c>
      <c r="G36" s="4">
        <v>34211.179100000001</v>
      </c>
      <c r="H36" s="4">
        <v>374124.17210000003</v>
      </c>
      <c r="I36">
        <v>0</v>
      </c>
      <c r="J36">
        <v>0</v>
      </c>
      <c r="K36">
        <v>0</v>
      </c>
      <c r="L36">
        <v>0</v>
      </c>
      <c r="M36">
        <v>0</v>
      </c>
      <c r="O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1"/>
  <sheetViews>
    <sheetView workbookViewId="0">
      <selection activeCell="A28" sqref="A1:XFD1048576"/>
    </sheetView>
  </sheetViews>
  <sheetFormatPr baseColWidth="10" defaultRowHeight="15" x14ac:dyDescent="0.25"/>
  <sheetData>
    <row r="2" spans="1:13" x14ac:dyDescent="0.25">
      <c r="A2" t="s">
        <v>21</v>
      </c>
      <c r="B2" t="s">
        <v>9</v>
      </c>
      <c r="C2" t="s">
        <v>105</v>
      </c>
      <c r="D2" t="s">
        <v>106</v>
      </c>
      <c r="E2" t="s">
        <v>107</v>
      </c>
      <c r="F2" t="s">
        <v>109</v>
      </c>
      <c r="G2" t="s">
        <v>111</v>
      </c>
      <c r="H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</row>
    <row r="3" spans="1:13" x14ac:dyDescent="0.25">
      <c r="B3" t="s">
        <v>11</v>
      </c>
      <c r="C3" t="s">
        <v>17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</row>
    <row r="4" spans="1:13" x14ac:dyDescent="0.25">
      <c r="B4" t="s">
        <v>22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</row>
    <row r="5" spans="1:13" x14ac:dyDescent="0.25">
      <c r="B5" t="s">
        <v>23</v>
      </c>
      <c r="C5">
        <v>4.202</v>
      </c>
      <c r="D5">
        <v>4.1849999999999996</v>
      </c>
      <c r="E5">
        <v>4.2229999999999999</v>
      </c>
      <c r="F5">
        <v>4.181</v>
      </c>
      <c r="G5">
        <v>4.1120000000000001</v>
      </c>
      <c r="H5">
        <v>4.1529999999999996</v>
      </c>
      <c r="I5">
        <v>4.2089999999999996</v>
      </c>
      <c r="J5">
        <v>4.1840000000000002</v>
      </c>
      <c r="K5">
        <v>4.1820000000000004</v>
      </c>
      <c r="L5">
        <v>4.1710000000000003</v>
      </c>
      <c r="M5">
        <v>4.1790000000000003</v>
      </c>
    </row>
    <row r="6" spans="1:13" x14ac:dyDescent="0.25">
      <c r="B6" t="s">
        <v>24</v>
      </c>
      <c r="C6">
        <v>2152</v>
      </c>
      <c r="D6">
        <v>28739917</v>
      </c>
      <c r="E6">
        <v>5353</v>
      </c>
      <c r="F6">
        <v>5634</v>
      </c>
      <c r="G6">
        <v>2678</v>
      </c>
      <c r="H6">
        <v>1124</v>
      </c>
      <c r="I6">
        <v>3632</v>
      </c>
      <c r="J6">
        <v>1471</v>
      </c>
      <c r="K6">
        <v>2871</v>
      </c>
      <c r="L6">
        <v>2748</v>
      </c>
      <c r="M6">
        <v>1337</v>
      </c>
    </row>
    <row r="7" spans="1:13" x14ac:dyDescent="0.25">
      <c r="B7" t="s">
        <v>25</v>
      </c>
      <c r="C7">
        <v>376</v>
      </c>
      <c r="D7">
        <v>37225151</v>
      </c>
      <c r="E7">
        <v>2829</v>
      </c>
      <c r="F7">
        <v>1771</v>
      </c>
      <c r="G7">
        <v>4034</v>
      </c>
      <c r="H7">
        <v>363</v>
      </c>
      <c r="I7">
        <v>14848336</v>
      </c>
      <c r="J7">
        <v>20796389</v>
      </c>
      <c r="K7">
        <v>21179334</v>
      </c>
      <c r="L7">
        <v>20101666</v>
      </c>
      <c r="M7">
        <v>18626997</v>
      </c>
    </row>
    <row r="8" spans="1:13" x14ac:dyDescent="0.25">
      <c r="B8" t="s">
        <v>26</v>
      </c>
      <c r="C8">
        <v>5.7286999999999999</v>
      </c>
      <c r="D8">
        <v>0.77210000000000001</v>
      </c>
      <c r="E8">
        <v>1.8920999999999999</v>
      </c>
      <c r="F8">
        <v>3.1817000000000002</v>
      </c>
      <c r="G8">
        <v>0.66379999999999995</v>
      </c>
      <c r="H8">
        <v>3.0989</v>
      </c>
      <c r="I8">
        <v>2.0000000000000001E-4</v>
      </c>
      <c r="J8">
        <v>1E-4</v>
      </c>
      <c r="K8">
        <v>1E-4</v>
      </c>
      <c r="L8">
        <v>1E-4</v>
      </c>
      <c r="M8">
        <v>1E-4</v>
      </c>
    </row>
    <row r="9" spans="1:13" x14ac:dyDescent="0.25">
      <c r="B9" t="s">
        <v>27</v>
      </c>
      <c r="C9">
        <v>3014211.7017000001</v>
      </c>
      <c r="D9">
        <v>411964.19429999997</v>
      </c>
      <c r="E9">
        <v>999997.11919999996</v>
      </c>
      <c r="F9">
        <v>1677053.1577999999</v>
      </c>
      <c r="G9">
        <v>355120.38770000002</v>
      </c>
      <c r="H9">
        <v>1633565.5068000001</v>
      </c>
      <c r="I9">
        <v>6762.0221000000001</v>
      </c>
      <c r="J9">
        <v>6670.7278999999999</v>
      </c>
      <c r="K9">
        <v>6704.7424000000001</v>
      </c>
      <c r="L9">
        <v>6705.3477999999996</v>
      </c>
      <c r="M9">
        <v>6671.2780000000002</v>
      </c>
    </row>
    <row r="10" spans="1:13" x14ac:dyDescent="0.25">
      <c r="A10" t="s">
        <v>31</v>
      </c>
      <c r="B10" t="s">
        <v>9</v>
      </c>
      <c r="C10" t="s">
        <v>105</v>
      </c>
      <c r="D10" t="s">
        <v>106</v>
      </c>
      <c r="E10" t="s">
        <v>107</v>
      </c>
      <c r="F10" t="s">
        <v>109</v>
      </c>
      <c r="G10" t="s">
        <v>111</v>
      </c>
      <c r="H10" t="s">
        <v>113</v>
      </c>
      <c r="I10" t="s">
        <v>115</v>
      </c>
      <c r="J10" t="s">
        <v>117</v>
      </c>
      <c r="K10" t="s">
        <v>119</v>
      </c>
      <c r="L10" t="s">
        <v>121</v>
      </c>
      <c r="M10" t="s">
        <v>123</v>
      </c>
    </row>
    <row r="11" spans="1:13" x14ac:dyDescent="0.25">
      <c r="B11" t="s">
        <v>11</v>
      </c>
      <c r="C11" t="s">
        <v>17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</row>
    <row r="12" spans="1:13" x14ac:dyDescent="0.25">
      <c r="B12" t="s">
        <v>22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</row>
    <row r="13" spans="1:13" x14ac:dyDescent="0.25">
      <c r="B13" t="s">
        <v>23</v>
      </c>
      <c r="C13">
        <v>5.3289999999999997</v>
      </c>
      <c r="D13">
        <v>5.3460000000000001</v>
      </c>
      <c r="E13">
        <v>5.3150000000000004</v>
      </c>
      <c r="F13">
        <v>5.4029999999999996</v>
      </c>
      <c r="G13">
        <v>5.4219999999999997</v>
      </c>
      <c r="H13">
        <v>5.4</v>
      </c>
      <c r="I13">
        <v>5.3360000000000003</v>
      </c>
      <c r="J13">
        <v>5.1920000000000002</v>
      </c>
      <c r="L13">
        <v>5.3639999999999999</v>
      </c>
      <c r="M13">
        <v>5.4580000000000002</v>
      </c>
    </row>
    <row r="14" spans="1:13" x14ac:dyDescent="0.25">
      <c r="B14" t="s">
        <v>24</v>
      </c>
      <c r="C14">
        <v>339</v>
      </c>
      <c r="D14">
        <v>22361814</v>
      </c>
      <c r="E14">
        <v>3253</v>
      </c>
      <c r="F14">
        <v>1947</v>
      </c>
      <c r="G14">
        <v>4695</v>
      </c>
      <c r="H14">
        <v>3482</v>
      </c>
      <c r="I14">
        <v>4416</v>
      </c>
      <c r="J14">
        <v>3110</v>
      </c>
      <c r="L14">
        <v>4575</v>
      </c>
      <c r="M14">
        <v>1257</v>
      </c>
    </row>
    <row r="15" spans="1:13" x14ac:dyDescent="0.25">
      <c r="B15" t="s">
        <v>25</v>
      </c>
      <c r="C15">
        <v>376</v>
      </c>
      <c r="D15">
        <v>37225151</v>
      </c>
      <c r="E15">
        <v>2829</v>
      </c>
      <c r="F15">
        <v>1771</v>
      </c>
      <c r="G15">
        <v>4034</v>
      </c>
      <c r="H15">
        <v>363</v>
      </c>
      <c r="I15">
        <v>14848336</v>
      </c>
      <c r="J15">
        <v>20796389</v>
      </c>
      <c r="K15">
        <v>21179334</v>
      </c>
      <c r="L15">
        <v>20101666</v>
      </c>
      <c r="M15">
        <v>18626997</v>
      </c>
    </row>
    <row r="16" spans="1:13" x14ac:dyDescent="0.25">
      <c r="B16" t="s">
        <v>26</v>
      </c>
      <c r="C16">
        <v>0.90310000000000001</v>
      </c>
      <c r="D16">
        <v>0.60070000000000001</v>
      </c>
      <c r="E16">
        <v>1.1498999999999999</v>
      </c>
      <c r="F16">
        <v>1.0996999999999999</v>
      </c>
      <c r="G16">
        <v>1.1638999999999999</v>
      </c>
      <c r="H16">
        <v>9.6050000000000004</v>
      </c>
      <c r="I16">
        <v>2.9999999999999997E-4</v>
      </c>
      <c r="J16">
        <v>1E-4</v>
      </c>
      <c r="L16">
        <v>2.0000000000000001E-4</v>
      </c>
      <c r="M16">
        <v>1E-4</v>
      </c>
    </row>
    <row r="17" spans="1:13" x14ac:dyDescent="0.25">
      <c r="B17" t="s">
        <v>27</v>
      </c>
      <c r="C17">
        <v>616360.54469999997</v>
      </c>
      <c r="D17">
        <v>409497.51390000002</v>
      </c>
      <c r="E17">
        <v>785181.06700000004</v>
      </c>
      <c r="F17">
        <v>750860.41020000004</v>
      </c>
      <c r="G17">
        <v>794765.72340000002</v>
      </c>
      <c r="H17">
        <v>6569508.5762</v>
      </c>
      <c r="I17">
        <v>0</v>
      </c>
      <c r="J17">
        <v>0</v>
      </c>
      <c r="K17" t="s">
        <v>43</v>
      </c>
      <c r="L17">
        <v>0</v>
      </c>
      <c r="M17">
        <v>0</v>
      </c>
    </row>
    <row r="18" spans="1:13" x14ac:dyDescent="0.25">
      <c r="A18" t="s">
        <v>32</v>
      </c>
      <c r="B18" t="s">
        <v>9</v>
      </c>
      <c r="C18" t="s">
        <v>105</v>
      </c>
      <c r="D18" t="s">
        <v>106</v>
      </c>
      <c r="E18" t="s">
        <v>107</v>
      </c>
      <c r="F18" t="s">
        <v>109</v>
      </c>
      <c r="G18" t="s">
        <v>111</v>
      </c>
      <c r="H18" t="s">
        <v>113</v>
      </c>
      <c r="I18" t="s">
        <v>115</v>
      </c>
      <c r="J18" t="s">
        <v>117</v>
      </c>
      <c r="K18" t="s">
        <v>119</v>
      </c>
      <c r="L18" t="s">
        <v>121</v>
      </c>
      <c r="M18" t="s">
        <v>123</v>
      </c>
    </row>
    <row r="19" spans="1:13" x14ac:dyDescent="0.25">
      <c r="B19" t="s">
        <v>11</v>
      </c>
      <c r="C19" t="s">
        <v>17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</row>
    <row r="20" spans="1:13" x14ac:dyDescent="0.25">
      <c r="B20" t="s">
        <v>22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</row>
    <row r="21" spans="1:13" x14ac:dyDescent="0.25">
      <c r="B21" t="s">
        <v>23</v>
      </c>
      <c r="C21">
        <v>6.19</v>
      </c>
      <c r="D21">
        <v>6.1550000000000002</v>
      </c>
      <c r="E21">
        <v>6.2859999999999996</v>
      </c>
      <c r="F21">
        <v>6.1740000000000004</v>
      </c>
      <c r="G21">
        <v>6.1630000000000003</v>
      </c>
      <c r="H21">
        <v>6.1749999999999998</v>
      </c>
      <c r="I21">
        <v>6.1879999999999997</v>
      </c>
      <c r="J21">
        <v>6.1870000000000003</v>
      </c>
      <c r="K21">
        <v>6.149</v>
      </c>
      <c r="L21">
        <v>6.19</v>
      </c>
      <c r="M21">
        <v>6.1619999999999999</v>
      </c>
    </row>
    <row r="22" spans="1:13" x14ac:dyDescent="0.25">
      <c r="B22" t="s">
        <v>24</v>
      </c>
      <c r="C22">
        <v>761</v>
      </c>
      <c r="D22">
        <v>21363548</v>
      </c>
      <c r="E22">
        <v>3210</v>
      </c>
      <c r="F22">
        <v>552</v>
      </c>
      <c r="G22">
        <v>2257</v>
      </c>
      <c r="H22">
        <v>2110</v>
      </c>
      <c r="I22">
        <v>2958</v>
      </c>
      <c r="J22">
        <v>1076</v>
      </c>
      <c r="K22">
        <v>1910</v>
      </c>
      <c r="L22">
        <v>4128</v>
      </c>
      <c r="M22">
        <v>4995</v>
      </c>
    </row>
    <row r="23" spans="1:13" x14ac:dyDescent="0.25">
      <c r="B23" t="s">
        <v>25</v>
      </c>
      <c r="C23">
        <v>376</v>
      </c>
      <c r="D23">
        <v>37225151</v>
      </c>
      <c r="E23">
        <v>2829</v>
      </c>
      <c r="F23">
        <v>1771</v>
      </c>
      <c r="G23">
        <v>4034</v>
      </c>
      <c r="H23">
        <v>363</v>
      </c>
      <c r="I23">
        <v>14848336</v>
      </c>
      <c r="J23">
        <v>20796389</v>
      </c>
      <c r="K23">
        <v>21179334</v>
      </c>
      <c r="L23">
        <v>20101666</v>
      </c>
      <c r="M23">
        <v>18626997</v>
      </c>
    </row>
    <row r="24" spans="1:13" x14ac:dyDescent="0.25">
      <c r="B24" t="s">
        <v>26</v>
      </c>
      <c r="C24">
        <v>2.0270000000000001</v>
      </c>
      <c r="D24">
        <v>0.57389999999999997</v>
      </c>
      <c r="E24">
        <v>1.1345000000000001</v>
      </c>
      <c r="F24">
        <v>0.31190000000000001</v>
      </c>
      <c r="G24">
        <v>0.55940000000000001</v>
      </c>
      <c r="H24">
        <v>5.82</v>
      </c>
      <c r="I24">
        <v>2.0000000000000001E-4</v>
      </c>
      <c r="J24">
        <v>1E-4</v>
      </c>
      <c r="K24">
        <v>1E-4</v>
      </c>
      <c r="L24">
        <v>2.0000000000000001E-4</v>
      </c>
      <c r="M24">
        <v>2.9999999999999997E-4</v>
      </c>
    </row>
    <row r="25" spans="1:13" x14ac:dyDescent="0.25">
      <c r="B25" t="s">
        <v>27</v>
      </c>
      <c r="C25">
        <v>697351.19839999999</v>
      </c>
      <c r="D25">
        <v>196417.09359999999</v>
      </c>
      <c r="E25">
        <v>389677.62729999999</v>
      </c>
      <c r="F25">
        <v>106099.6204</v>
      </c>
      <c r="G25">
        <v>191431.78330000001</v>
      </c>
      <c r="H25">
        <v>2004938.8017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33</v>
      </c>
      <c r="B26" t="s">
        <v>9</v>
      </c>
      <c r="C26" t="s">
        <v>105</v>
      </c>
      <c r="D26" t="s">
        <v>106</v>
      </c>
      <c r="E26" t="s">
        <v>107</v>
      </c>
      <c r="F26" t="s">
        <v>109</v>
      </c>
      <c r="G26" t="s">
        <v>111</v>
      </c>
      <c r="H26" t="s">
        <v>113</v>
      </c>
      <c r="I26" t="s">
        <v>115</v>
      </c>
      <c r="J26" t="s">
        <v>117</v>
      </c>
      <c r="K26" t="s">
        <v>119</v>
      </c>
      <c r="L26" t="s">
        <v>121</v>
      </c>
      <c r="M26" t="s">
        <v>123</v>
      </c>
    </row>
    <row r="27" spans="1:13" x14ac:dyDescent="0.25">
      <c r="B27" t="s">
        <v>11</v>
      </c>
      <c r="C27" t="s">
        <v>17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</row>
    <row r="28" spans="1:13" x14ac:dyDescent="0.25">
      <c r="B28" t="s">
        <v>22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</row>
    <row r="29" spans="1:13" x14ac:dyDescent="0.25">
      <c r="B29" t="s">
        <v>23</v>
      </c>
      <c r="C29">
        <v>7.49</v>
      </c>
      <c r="D29">
        <v>7.2649999999999997</v>
      </c>
      <c r="E29">
        <v>7.4610000000000003</v>
      </c>
      <c r="F29">
        <v>7.5789999999999997</v>
      </c>
      <c r="G29">
        <v>7.4909999999999997</v>
      </c>
      <c r="H29">
        <v>7.4930000000000003</v>
      </c>
      <c r="I29">
        <v>7.2389999999999999</v>
      </c>
      <c r="J29">
        <v>7.4969999999999999</v>
      </c>
      <c r="K29">
        <v>7.4960000000000004</v>
      </c>
      <c r="L29">
        <v>7.492</v>
      </c>
      <c r="M29">
        <v>7.4489999999999998</v>
      </c>
    </row>
    <row r="30" spans="1:13" x14ac:dyDescent="0.25">
      <c r="B30" t="s">
        <v>24</v>
      </c>
      <c r="C30">
        <v>2038</v>
      </c>
      <c r="D30">
        <v>172366047</v>
      </c>
      <c r="E30">
        <v>3853</v>
      </c>
      <c r="F30">
        <v>39966</v>
      </c>
      <c r="G30">
        <v>1659</v>
      </c>
      <c r="H30">
        <v>2212</v>
      </c>
      <c r="I30">
        <v>433815</v>
      </c>
      <c r="J30">
        <v>1928</v>
      </c>
      <c r="K30">
        <v>2340</v>
      </c>
      <c r="L30">
        <v>1310</v>
      </c>
      <c r="M30">
        <v>843</v>
      </c>
    </row>
    <row r="31" spans="1:13" x14ac:dyDescent="0.25">
      <c r="B31" t="s">
        <v>25</v>
      </c>
      <c r="C31">
        <v>376</v>
      </c>
      <c r="D31">
        <v>37225151</v>
      </c>
      <c r="E31">
        <v>2829</v>
      </c>
      <c r="F31">
        <v>1771</v>
      </c>
      <c r="G31">
        <v>4034</v>
      </c>
      <c r="H31">
        <v>363</v>
      </c>
      <c r="I31">
        <v>14848336</v>
      </c>
      <c r="J31">
        <v>20796389</v>
      </c>
      <c r="K31">
        <v>21179334</v>
      </c>
      <c r="L31">
        <v>20101666</v>
      </c>
      <c r="M31">
        <v>18626997</v>
      </c>
    </row>
    <row r="32" spans="1:13" x14ac:dyDescent="0.25">
      <c r="B32" t="s">
        <v>26</v>
      </c>
      <c r="C32">
        <v>5.4260000000000002</v>
      </c>
      <c r="D32">
        <v>4.6303999999999998</v>
      </c>
      <c r="E32">
        <v>1.3617999999999999</v>
      </c>
      <c r="F32">
        <v>22.570900000000002</v>
      </c>
      <c r="G32">
        <v>0.41120000000000001</v>
      </c>
      <c r="H32">
        <v>6.1013999999999999</v>
      </c>
      <c r="I32">
        <v>2.92E-2</v>
      </c>
      <c r="J32">
        <v>1E-4</v>
      </c>
      <c r="K32">
        <v>1E-4</v>
      </c>
      <c r="L32">
        <v>1E-4</v>
      </c>
      <c r="M32">
        <v>0</v>
      </c>
    </row>
    <row r="33" spans="1:13" x14ac:dyDescent="0.25">
      <c r="B33" t="s">
        <v>27</v>
      </c>
      <c r="C33">
        <v>321530.51260000002</v>
      </c>
      <c r="D33">
        <v>273192.50060000003</v>
      </c>
      <c r="E33">
        <v>74603.001399999994</v>
      </c>
      <c r="F33">
        <v>1363196.1240999999</v>
      </c>
      <c r="G33">
        <v>16849.2569</v>
      </c>
      <c r="H33">
        <v>362569.3187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34</v>
      </c>
      <c r="B34" t="s">
        <v>9</v>
      </c>
      <c r="C34" t="s">
        <v>105</v>
      </c>
      <c r="D34" t="s">
        <v>106</v>
      </c>
      <c r="E34" t="s">
        <v>107</v>
      </c>
      <c r="F34" t="s">
        <v>109</v>
      </c>
      <c r="G34" t="s">
        <v>111</v>
      </c>
      <c r="H34" t="s">
        <v>113</v>
      </c>
      <c r="I34" t="s">
        <v>115</v>
      </c>
      <c r="J34" t="s">
        <v>117</v>
      </c>
      <c r="K34" t="s">
        <v>119</v>
      </c>
      <c r="L34" t="s">
        <v>121</v>
      </c>
      <c r="M34" t="s">
        <v>123</v>
      </c>
    </row>
    <row r="35" spans="1:13" x14ac:dyDescent="0.25">
      <c r="B35" t="s">
        <v>11</v>
      </c>
      <c r="C35" t="s">
        <v>17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</row>
    <row r="36" spans="1:13" x14ac:dyDescent="0.25">
      <c r="B36" t="s">
        <v>22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</row>
    <row r="37" spans="1:13" x14ac:dyDescent="0.25">
      <c r="B37" t="s">
        <v>23</v>
      </c>
      <c r="C37">
        <v>9.0289999999999999</v>
      </c>
      <c r="D37">
        <v>8.7639999999999993</v>
      </c>
      <c r="E37">
        <v>9.0350000000000001</v>
      </c>
      <c r="F37">
        <v>9.0890000000000004</v>
      </c>
      <c r="G37">
        <v>9.3559999999999999</v>
      </c>
      <c r="H37">
        <v>9.0350000000000001</v>
      </c>
      <c r="I37">
        <v>8.9489999999999998</v>
      </c>
      <c r="J37">
        <v>9.0069999999999997</v>
      </c>
      <c r="K37">
        <v>9.0609999999999999</v>
      </c>
      <c r="L37">
        <v>9.0579999999999998</v>
      </c>
      <c r="M37">
        <v>9.0410000000000004</v>
      </c>
    </row>
    <row r="38" spans="1:13" x14ac:dyDescent="0.25">
      <c r="B38" t="s">
        <v>24</v>
      </c>
      <c r="C38">
        <v>500</v>
      </c>
      <c r="D38">
        <v>25184615</v>
      </c>
      <c r="E38">
        <v>2203</v>
      </c>
      <c r="F38">
        <v>4973</v>
      </c>
      <c r="G38">
        <v>1952</v>
      </c>
      <c r="H38">
        <v>1386</v>
      </c>
      <c r="I38">
        <v>5300</v>
      </c>
      <c r="J38">
        <v>2014</v>
      </c>
      <c r="K38">
        <v>2059</v>
      </c>
      <c r="L38">
        <v>1699</v>
      </c>
      <c r="M38">
        <v>550</v>
      </c>
    </row>
    <row r="39" spans="1:13" x14ac:dyDescent="0.25">
      <c r="B39" t="s">
        <v>25</v>
      </c>
      <c r="C39">
        <v>376</v>
      </c>
      <c r="D39">
        <v>37225151</v>
      </c>
      <c r="E39">
        <v>2829</v>
      </c>
      <c r="F39">
        <v>1771</v>
      </c>
      <c r="G39">
        <v>4034</v>
      </c>
      <c r="H39">
        <v>363</v>
      </c>
      <c r="I39">
        <v>14848336</v>
      </c>
      <c r="J39">
        <v>20796389</v>
      </c>
      <c r="K39">
        <v>21179334</v>
      </c>
      <c r="L39">
        <v>20101666</v>
      </c>
      <c r="M39">
        <v>18626997</v>
      </c>
    </row>
    <row r="40" spans="1:13" x14ac:dyDescent="0.25">
      <c r="B40" t="s">
        <v>26</v>
      </c>
      <c r="C40">
        <v>1.3315999999999999</v>
      </c>
      <c r="D40">
        <v>0.67649999999999999</v>
      </c>
      <c r="E40">
        <v>0.77880000000000005</v>
      </c>
      <c r="F40">
        <v>2.8087</v>
      </c>
      <c r="G40">
        <v>0.4839</v>
      </c>
      <c r="H40">
        <v>3.8239999999999998</v>
      </c>
      <c r="I40">
        <v>4.0000000000000002E-4</v>
      </c>
      <c r="J40">
        <v>1E-4</v>
      </c>
      <c r="K40">
        <v>1E-4</v>
      </c>
      <c r="L40">
        <v>1E-4</v>
      </c>
      <c r="M40">
        <v>0</v>
      </c>
    </row>
    <row r="41" spans="1:13" x14ac:dyDescent="0.25">
      <c r="B41" t="s">
        <v>27</v>
      </c>
      <c r="C41">
        <v>226861.3597</v>
      </c>
      <c r="D41">
        <v>114653.1268</v>
      </c>
      <c r="E41">
        <v>132166.652</v>
      </c>
      <c r="F41">
        <v>479878.6091</v>
      </c>
      <c r="G41">
        <v>81650.103300000002</v>
      </c>
      <c r="H41">
        <v>653788.62379999994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35</v>
      </c>
      <c r="B42" t="s">
        <v>9</v>
      </c>
      <c r="C42" t="s">
        <v>105</v>
      </c>
      <c r="D42" t="s">
        <v>106</v>
      </c>
      <c r="E42" t="s">
        <v>107</v>
      </c>
      <c r="F42" t="s">
        <v>109</v>
      </c>
      <c r="G42" t="s">
        <v>111</v>
      </c>
      <c r="H42" t="s">
        <v>113</v>
      </c>
      <c r="I42" t="s">
        <v>115</v>
      </c>
      <c r="J42" t="s">
        <v>117</v>
      </c>
      <c r="K42" t="s">
        <v>119</v>
      </c>
      <c r="L42" t="s">
        <v>121</v>
      </c>
      <c r="M42" t="s">
        <v>123</v>
      </c>
    </row>
    <row r="43" spans="1:13" x14ac:dyDescent="0.25">
      <c r="B43" t="s">
        <v>11</v>
      </c>
      <c r="C43" t="s">
        <v>17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</row>
    <row r="44" spans="1:13" x14ac:dyDescent="0.25">
      <c r="B44" t="s">
        <v>22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</row>
    <row r="45" spans="1:13" x14ac:dyDescent="0.25">
      <c r="B45" t="s">
        <v>23</v>
      </c>
      <c r="C45">
        <v>11.124000000000001</v>
      </c>
      <c r="D45">
        <v>10.808</v>
      </c>
      <c r="E45">
        <v>11.125</v>
      </c>
      <c r="F45">
        <v>11.135999999999999</v>
      </c>
      <c r="G45">
        <v>11.092000000000001</v>
      </c>
      <c r="H45">
        <v>11.162000000000001</v>
      </c>
      <c r="I45">
        <v>11.318</v>
      </c>
      <c r="J45">
        <v>10.74</v>
      </c>
      <c r="K45">
        <v>10.741</v>
      </c>
      <c r="L45">
        <v>10.738</v>
      </c>
      <c r="M45">
        <v>10.734999999999999</v>
      </c>
    </row>
    <row r="46" spans="1:13" x14ac:dyDescent="0.25">
      <c r="B46" t="s">
        <v>24</v>
      </c>
      <c r="C46">
        <v>2454</v>
      </c>
      <c r="D46">
        <v>192214524</v>
      </c>
      <c r="E46">
        <v>1681</v>
      </c>
      <c r="F46">
        <v>1602</v>
      </c>
      <c r="G46">
        <v>18863</v>
      </c>
      <c r="H46">
        <v>774</v>
      </c>
      <c r="I46">
        <v>3531663</v>
      </c>
      <c r="J46">
        <v>3764016</v>
      </c>
      <c r="K46">
        <v>2126900</v>
      </c>
      <c r="L46">
        <v>1360789</v>
      </c>
      <c r="M46">
        <v>1231172</v>
      </c>
    </row>
    <row r="47" spans="1:13" x14ac:dyDescent="0.25">
      <c r="B47" t="s">
        <v>25</v>
      </c>
      <c r="C47">
        <v>376</v>
      </c>
      <c r="D47">
        <v>37225151</v>
      </c>
      <c r="E47">
        <v>2829</v>
      </c>
      <c r="F47">
        <v>1771</v>
      </c>
      <c r="G47">
        <v>4034</v>
      </c>
      <c r="H47">
        <v>363</v>
      </c>
      <c r="I47">
        <v>14848336</v>
      </c>
      <c r="J47">
        <v>20796389</v>
      </c>
      <c r="K47">
        <v>21179334</v>
      </c>
      <c r="L47">
        <v>20101666</v>
      </c>
      <c r="M47">
        <v>18626997</v>
      </c>
    </row>
    <row r="48" spans="1:13" x14ac:dyDescent="0.25">
      <c r="B48" t="s">
        <v>26</v>
      </c>
      <c r="C48">
        <v>6.5340999999999996</v>
      </c>
      <c r="D48">
        <v>5.1635999999999997</v>
      </c>
      <c r="E48">
        <v>0.59430000000000005</v>
      </c>
      <c r="F48">
        <v>0.90500000000000003</v>
      </c>
      <c r="G48">
        <v>4.6760000000000002</v>
      </c>
      <c r="H48">
        <v>2.1360000000000001</v>
      </c>
      <c r="I48">
        <v>0.23780000000000001</v>
      </c>
      <c r="J48">
        <v>0.18099999999999999</v>
      </c>
      <c r="K48">
        <v>0.1004</v>
      </c>
      <c r="L48">
        <v>6.7699999999999996E-2</v>
      </c>
      <c r="M48">
        <v>6.6100000000000006E-2</v>
      </c>
    </row>
    <row r="49" spans="1:13" x14ac:dyDescent="0.25">
      <c r="B49" t="s">
        <v>27</v>
      </c>
      <c r="C49">
        <v>378804.03</v>
      </c>
      <c r="D49">
        <v>297924.77510000003</v>
      </c>
      <c r="E49">
        <v>28280.875400000001</v>
      </c>
      <c r="F49">
        <v>46617.0743</v>
      </c>
      <c r="G49">
        <v>269152.53749999998</v>
      </c>
      <c r="H49">
        <v>119259.05560000001</v>
      </c>
      <c r="I49">
        <v>7246.0667999999996</v>
      </c>
      <c r="J49">
        <v>3890.8926999999999</v>
      </c>
      <c r="K49">
        <v>0</v>
      </c>
      <c r="L49">
        <v>0</v>
      </c>
      <c r="M49">
        <v>0</v>
      </c>
    </row>
    <row r="50" spans="1:13" x14ac:dyDescent="0.25">
      <c r="A50" t="s">
        <v>36</v>
      </c>
      <c r="B50" t="s">
        <v>9</v>
      </c>
      <c r="C50" t="s">
        <v>105</v>
      </c>
      <c r="D50" t="s">
        <v>106</v>
      </c>
      <c r="E50" t="s">
        <v>107</v>
      </c>
      <c r="F50" t="s">
        <v>109</v>
      </c>
      <c r="G50" t="s">
        <v>111</v>
      </c>
      <c r="H50" t="s">
        <v>113</v>
      </c>
      <c r="I50" t="s">
        <v>115</v>
      </c>
      <c r="J50" t="s">
        <v>117</v>
      </c>
      <c r="K50" t="s">
        <v>119</v>
      </c>
      <c r="L50" t="s">
        <v>121</v>
      </c>
      <c r="M50" t="s">
        <v>123</v>
      </c>
    </row>
    <row r="51" spans="1:13" x14ac:dyDescent="0.25">
      <c r="B51" t="s">
        <v>11</v>
      </c>
      <c r="C51" t="s">
        <v>17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</row>
    <row r="52" spans="1:13" x14ac:dyDescent="0.25">
      <c r="B52" t="s">
        <v>22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</row>
    <row r="53" spans="1:13" x14ac:dyDescent="0.25">
      <c r="B53" t="s">
        <v>23</v>
      </c>
      <c r="C53">
        <v>11.956</v>
      </c>
      <c r="D53">
        <v>11.458</v>
      </c>
      <c r="E53">
        <v>11.866</v>
      </c>
      <c r="F53">
        <v>11.868</v>
      </c>
      <c r="G53">
        <v>11.855</v>
      </c>
      <c r="H53">
        <v>11.867000000000001</v>
      </c>
      <c r="I53">
        <v>11.907</v>
      </c>
      <c r="J53">
        <v>11.827</v>
      </c>
      <c r="K53">
        <v>11.845000000000001</v>
      </c>
      <c r="L53">
        <v>11.823</v>
      </c>
      <c r="M53">
        <v>11.808999999999999</v>
      </c>
    </row>
    <row r="54" spans="1:13" x14ac:dyDescent="0.25">
      <c r="B54" t="s">
        <v>24</v>
      </c>
      <c r="C54">
        <v>2995</v>
      </c>
      <c r="D54">
        <v>30993054</v>
      </c>
      <c r="E54">
        <v>1447</v>
      </c>
      <c r="F54">
        <v>586</v>
      </c>
      <c r="G54">
        <v>526</v>
      </c>
      <c r="H54">
        <v>906</v>
      </c>
      <c r="I54">
        <v>231905</v>
      </c>
      <c r="J54">
        <v>-94</v>
      </c>
      <c r="K54">
        <v>-2188</v>
      </c>
      <c r="L54">
        <v>-136</v>
      </c>
      <c r="M54">
        <v>1021</v>
      </c>
    </row>
    <row r="55" spans="1:13" x14ac:dyDescent="0.25">
      <c r="B55" t="s">
        <v>25</v>
      </c>
      <c r="C55">
        <v>376</v>
      </c>
      <c r="D55">
        <v>37225151</v>
      </c>
      <c r="E55">
        <v>2829</v>
      </c>
      <c r="F55">
        <v>1771</v>
      </c>
      <c r="G55">
        <v>4034</v>
      </c>
      <c r="H55">
        <v>363</v>
      </c>
      <c r="I55">
        <v>14848336</v>
      </c>
      <c r="J55">
        <v>20796389</v>
      </c>
      <c r="K55">
        <v>21179334</v>
      </c>
      <c r="L55">
        <v>20101666</v>
      </c>
      <c r="M55">
        <v>18626997</v>
      </c>
    </row>
    <row r="56" spans="1:13" x14ac:dyDescent="0.25">
      <c r="B56" t="s">
        <v>26</v>
      </c>
      <c r="C56">
        <v>7.9748999999999999</v>
      </c>
      <c r="D56">
        <v>0.83260000000000001</v>
      </c>
      <c r="E56">
        <v>0.51139999999999997</v>
      </c>
      <c r="F56">
        <v>0.33100000000000002</v>
      </c>
      <c r="G56">
        <v>0.1305</v>
      </c>
      <c r="H56">
        <v>2.4981</v>
      </c>
      <c r="I56">
        <v>1.5599999999999999E-2</v>
      </c>
      <c r="J56">
        <v>0</v>
      </c>
      <c r="K56">
        <v>-1E-4</v>
      </c>
      <c r="L56">
        <v>0</v>
      </c>
      <c r="M56">
        <v>1E-4</v>
      </c>
    </row>
    <row r="57" spans="1:13" x14ac:dyDescent="0.25">
      <c r="B57" t="s">
        <v>27</v>
      </c>
      <c r="C57">
        <v>1614001.5120000001</v>
      </c>
      <c r="D57">
        <v>167598.25719999999</v>
      </c>
      <c r="E57">
        <v>102550.81849999999</v>
      </c>
      <c r="F57">
        <v>66026.805699999997</v>
      </c>
      <c r="G57">
        <v>25418.991300000002</v>
      </c>
      <c r="H57">
        <v>504883.56829999998</v>
      </c>
      <c r="I57">
        <v>2153.0711999999999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37</v>
      </c>
      <c r="B58" t="s">
        <v>9</v>
      </c>
      <c r="C58" t="s">
        <v>105</v>
      </c>
      <c r="D58" t="s">
        <v>106</v>
      </c>
      <c r="E58" t="s">
        <v>107</v>
      </c>
      <c r="F58" t="s">
        <v>109</v>
      </c>
      <c r="G58" t="s">
        <v>111</v>
      </c>
      <c r="H58" t="s">
        <v>113</v>
      </c>
      <c r="I58" t="s">
        <v>115</v>
      </c>
      <c r="J58" t="s">
        <v>117</v>
      </c>
      <c r="K58" t="s">
        <v>119</v>
      </c>
      <c r="L58" t="s">
        <v>121</v>
      </c>
      <c r="M58" t="s">
        <v>123</v>
      </c>
    </row>
    <row r="59" spans="1:13" x14ac:dyDescent="0.25">
      <c r="B59" t="s">
        <v>11</v>
      </c>
      <c r="C59" t="s">
        <v>17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</row>
    <row r="60" spans="1:13" x14ac:dyDescent="0.25">
      <c r="B60" t="s">
        <v>22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</row>
    <row r="61" spans="1:13" x14ac:dyDescent="0.25">
      <c r="B61" t="s">
        <v>23</v>
      </c>
      <c r="C61">
        <v>13.856</v>
      </c>
      <c r="D61">
        <v>13.416</v>
      </c>
      <c r="E61">
        <v>13.927</v>
      </c>
      <c r="F61">
        <v>13.878</v>
      </c>
      <c r="G61">
        <v>13.53</v>
      </c>
      <c r="H61">
        <v>14.454000000000001</v>
      </c>
      <c r="I61">
        <v>14.228</v>
      </c>
      <c r="J61">
        <v>14.042999999999999</v>
      </c>
      <c r="K61">
        <v>13.358000000000001</v>
      </c>
      <c r="L61">
        <v>13.952</v>
      </c>
      <c r="M61">
        <v>13.763999999999999</v>
      </c>
    </row>
    <row r="62" spans="1:13" x14ac:dyDescent="0.25">
      <c r="B62" t="s">
        <v>24</v>
      </c>
      <c r="C62">
        <v>1352</v>
      </c>
      <c r="D62">
        <v>18257541</v>
      </c>
      <c r="E62">
        <v>1825</v>
      </c>
      <c r="F62">
        <v>1756</v>
      </c>
      <c r="G62">
        <v>8139</v>
      </c>
      <c r="H62">
        <v>14829</v>
      </c>
      <c r="I62">
        <v>14766</v>
      </c>
      <c r="J62">
        <v>29304</v>
      </c>
      <c r="K62">
        <v>337114</v>
      </c>
      <c r="L62">
        <v>14371</v>
      </c>
      <c r="M62">
        <v>9888</v>
      </c>
    </row>
    <row r="63" spans="1:13" x14ac:dyDescent="0.25">
      <c r="B63" t="s">
        <v>25</v>
      </c>
      <c r="C63">
        <v>376</v>
      </c>
      <c r="D63">
        <v>37225151</v>
      </c>
      <c r="E63">
        <v>2829</v>
      </c>
      <c r="F63">
        <v>1771</v>
      </c>
      <c r="G63">
        <v>4034</v>
      </c>
      <c r="H63">
        <v>363</v>
      </c>
      <c r="I63">
        <v>14848336</v>
      </c>
      <c r="J63">
        <v>20796389</v>
      </c>
      <c r="K63">
        <v>21179334</v>
      </c>
      <c r="L63">
        <v>20101666</v>
      </c>
      <c r="M63">
        <v>18626997</v>
      </c>
    </row>
    <row r="64" spans="1:13" x14ac:dyDescent="0.25">
      <c r="B64" t="s">
        <v>26</v>
      </c>
      <c r="C64">
        <v>3.5987</v>
      </c>
      <c r="D64">
        <v>0.49049999999999999</v>
      </c>
      <c r="E64">
        <v>0.64500000000000002</v>
      </c>
      <c r="F64">
        <v>0.99170000000000003</v>
      </c>
      <c r="G64">
        <v>2.0175000000000001</v>
      </c>
      <c r="H64">
        <v>40.898899999999998</v>
      </c>
      <c r="I64">
        <v>1E-3</v>
      </c>
      <c r="J64">
        <v>1.4E-3</v>
      </c>
      <c r="K64">
        <v>1.5900000000000001E-2</v>
      </c>
      <c r="L64">
        <v>6.9999999999999999E-4</v>
      </c>
      <c r="M64">
        <v>5.0000000000000001E-4</v>
      </c>
    </row>
    <row r="65" spans="1:13" x14ac:dyDescent="0.25">
      <c r="B65" t="s">
        <v>27</v>
      </c>
      <c r="C65">
        <v>932572.92940000002</v>
      </c>
      <c r="D65">
        <v>125861.4884</v>
      </c>
      <c r="E65">
        <v>165971.97640000001</v>
      </c>
      <c r="F65">
        <v>255962.02480000001</v>
      </c>
      <c r="G65">
        <v>522199.03169999999</v>
      </c>
      <c r="H65">
        <v>10613568.0066</v>
      </c>
      <c r="I65">
        <v>0</v>
      </c>
      <c r="J65">
        <v>0</v>
      </c>
      <c r="K65">
        <v>2696.7021</v>
      </c>
      <c r="L65">
        <v>0</v>
      </c>
      <c r="M65">
        <v>0</v>
      </c>
    </row>
    <row r="66" spans="1:13" x14ac:dyDescent="0.25">
      <c r="A66" t="s">
        <v>38</v>
      </c>
      <c r="B66" t="s">
        <v>9</v>
      </c>
      <c r="C66" t="s">
        <v>105</v>
      </c>
      <c r="D66" t="s">
        <v>106</v>
      </c>
      <c r="E66" t="s">
        <v>107</v>
      </c>
      <c r="F66" t="s">
        <v>109</v>
      </c>
      <c r="G66" t="s">
        <v>111</v>
      </c>
      <c r="H66" t="s">
        <v>113</v>
      </c>
      <c r="I66" t="s">
        <v>115</v>
      </c>
      <c r="J66" t="s">
        <v>117</v>
      </c>
      <c r="K66" t="s">
        <v>119</v>
      </c>
      <c r="L66" t="s">
        <v>121</v>
      </c>
      <c r="M66" t="s">
        <v>123</v>
      </c>
    </row>
    <row r="67" spans="1:13" x14ac:dyDescent="0.25">
      <c r="B67" t="s">
        <v>11</v>
      </c>
      <c r="C67" t="s">
        <v>17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</row>
    <row r="68" spans="1:13" x14ac:dyDescent="0.25">
      <c r="B68" t="s">
        <v>22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</row>
    <row r="69" spans="1:13" x14ac:dyDescent="0.25">
      <c r="B69" t="s">
        <v>23</v>
      </c>
      <c r="C69">
        <v>14.292</v>
      </c>
      <c r="D69">
        <v>14.276</v>
      </c>
      <c r="E69">
        <v>14.397</v>
      </c>
      <c r="F69">
        <v>14.311999999999999</v>
      </c>
      <c r="G69">
        <v>14.311999999999999</v>
      </c>
      <c r="H69">
        <v>14.318</v>
      </c>
      <c r="I69">
        <v>14.423</v>
      </c>
      <c r="J69">
        <v>14.441000000000001</v>
      </c>
      <c r="K69">
        <v>13.932</v>
      </c>
      <c r="L69">
        <v>14.435</v>
      </c>
      <c r="M69">
        <v>14.308</v>
      </c>
    </row>
    <row r="70" spans="1:13" x14ac:dyDescent="0.25">
      <c r="B70" t="s">
        <v>24</v>
      </c>
      <c r="C70">
        <v>1153</v>
      </c>
      <c r="D70">
        <v>26411183</v>
      </c>
      <c r="E70">
        <v>2053</v>
      </c>
      <c r="F70">
        <v>1071</v>
      </c>
      <c r="G70">
        <v>3396</v>
      </c>
      <c r="H70">
        <v>1149</v>
      </c>
      <c r="I70">
        <v>11293</v>
      </c>
      <c r="J70">
        <v>8350</v>
      </c>
      <c r="K70">
        <v>8501</v>
      </c>
      <c r="L70">
        <v>38956</v>
      </c>
      <c r="M70">
        <v>7725</v>
      </c>
    </row>
    <row r="71" spans="1:13" x14ac:dyDescent="0.25">
      <c r="B71" t="s">
        <v>25</v>
      </c>
      <c r="C71">
        <v>376</v>
      </c>
      <c r="D71">
        <v>37225151</v>
      </c>
      <c r="E71">
        <v>2829</v>
      </c>
      <c r="F71">
        <v>1771</v>
      </c>
      <c r="G71">
        <v>4034</v>
      </c>
      <c r="H71">
        <v>363</v>
      </c>
      <c r="I71">
        <v>14848336</v>
      </c>
      <c r="J71">
        <v>20796389</v>
      </c>
      <c r="K71">
        <v>21179334</v>
      </c>
      <c r="L71">
        <v>20101666</v>
      </c>
      <c r="M71">
        <v>18626997</v>
      </c>
    </row>
    <row r="72" spans="1:13" x14ac:dyDescent="0.25">
      <c r="B72" t="s">
        <v>26</v>
      </c>
      <c r="C72">
        <v>3.0710999999999999</v>
      </c>
      <c r="D72">
        <v>0.70950000000000002</v>
      </c>
      <c r="E72">
        <v>0.72560000000000002</v>
      </c>
      <c r="F72">
        <v>0.60499999999999998</v>
      </c>
      <c r="G72">
        <v>0.84189999999999998</v>
      </c>
      <c r="H72">
        <v>3.1684000000000001</v>
      </c>
      <c r="I72">
        <v>8.0000000000000004E-4</v>
      </c>
      <c r="J72">
        <v>4.0000000000000002E-4</v>
      </c>
      <c r="K72">
        <v>4.0000000000000002E-4</v>
      </c>
      <c r="L72">
        <v>1.9E-3</v>
      </c>
      <c r="M72">
        <v>4.0000000000000002E-4</v>
      </c>
    </row>
    <row r="73" spans="1:13" x14ac:dyDescent="0.25">
      <c r="B73" t="s">
        <v>27</v>
      </c>
      <c r="C73">
        <v>695333.54020000005</v>
      </c>
      <c r="D73">
        <v>159864.8701</v>
      </c>
      <c r="E73">
        <v>163518.30050000001</v>
      </c>
      <c r="F73">
        <v>136166.62030000001</v>
      </c>
      <c r="G73">
        <v>189895.71030000001</v>
      </c>
      <c r="H73">
        <v>717388.94660000002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">
        <v>39</v>
      </c>
      <c r="B74" t="s">
        <v>9</v>
      </c>
      <c r="C74" t="s">
        <v>105</v>
      </c>
      <c r="D74" t="s">
        <v>106</v>
      </c>
      <c r="E74" t="s">
        <v>107</v>
      </c>
      <c r="F74" t="s">
        <v>109</v>
      </c>
      <c r="G74" t="s">
        <v>111</v>
      </c>
      <c r="H74" t="s">
        <v>113</v>
      </c>
      <c r="I74" t="s">
        <v>115</v>
      </c>
      <c r="J74" t="s">
        <v>117</v>
      </c>
      <c r="K74" t="s">
        <v>119</v>
      </c>
      <c r="L74" t="s">
        <v>121</v>
      </c>
      <c r="M74" t="s">
        <v>123</v>
      </c>
    </row>
    <row r="75" spans="1:13" x14ac:dyDescent="0.25">
      <c r="B75" t="s">
        <v>11</v>
      </c>
      <c r="C75" t="s">
        <v>17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</row>
    <row r="76" spans="1:13" x14ac:dyDescent="0.25">
      <c r="B76" t="s">
        <v>22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</row>
    <row r="77" spans="1:13" x14ac:dyDescent="0.25">
      <c r="B77" t="s">
        <v>23</v>
      </c>
      <c r="C77">
        <v>16.783999999999999</v>
      </c>
      <c r="D77">
        <v>16.77</v>
      </c>
      <c r="E77">
        <v>16.831</v>
      </c>
      <c r="F77">
        <v>16.821999999999999</v>
      </c>
      <c r="G77">
        <v>16.800999999999998</v>
      </c>
      <c r="H77">
        <v>16.806000000000001</v>
      </c>
      <c r="I77">
        <v>16.664999999999999</v>
      </c>
      <c r="J77">
        <v>16.677</v>
      </c>
      <c r="K77">
        <v>16.664000000000001</v>
      </c>
      <c r="L77">
        <v>16.669</v>
      </c>
      <c r="M77">
        <v>16.643999999999998</v>
      </c>
    </row>
    <row r="78" spans="1:13" x14ac:dyDescent="0.25">
      <c r="B78" t="s">
        <v>24</v>
      </c>
      <c r="C78">
        <v>1467</v>
      </c>
      <c r="D78">
        <v>338178623</v>
      </c>
      <c r="E78">
        <v>1986</v>
      </c>
      <c r="F78">
        <v>1279</v>
      </c>
      <c r="G78">
        <v>874</v>
      </c>
      <c r="H78">
        <v>2836</v>
      </c>
      <c r="I78">
        <v>112774018</v>
      </c>
      <c r="J78">
        <v>137506292</v>
      </c>
      <c r="K78">
        <v>101686761</v>
      </c>
      <c r="L78">
        <v>115946488</v>
      </c>
      <c r="M78">
        <v>73195251</v>
      </c>
    </row>
    <row r="79" spans="1:13" x14ac:dyDescent="0.25">
      <c r="B79" t="s">
        <v>25</v>
      </c>
      <c r="C79">
        <v>376</v>
      </c>
      <c r="D79">
        <v>37225151</v>
      </c>
      <c r="E79">
        <v>2829</v>
      </c>
      <c r="F79">
        <v>1771</v>
      </c>
      <c r="G79">
        <v>4034</v>
      </c>
      <c r="H79">
        <v>363</v>
      </c>
      <c r="I79">
        <v>14848336</v>
      </c>
      <c r="J79">
        <v>20796389</v>
      </c>
      <c r="K79">
        <v>21179334</v>
      </c>
      <c r="L79">
        <v>20101666</v>
      </c>
      <c r="M79">
        <v>18626997</v>
      </c>
    </row>
    <row r="80" spans="1:13" x14ac:dyDescent="0.25">
      <c r="B80" t="s">
        <v>26</v>
      </c>
      <c r="C80">
        <v>3.9070999999999998</v>
      </c>
      <c r="D80">
        <v>9.0846999999999998</v>
      </c>
      <c r="E80">
        <v>0.70189999999999997</v>
      </c>
      <c r="F80">
        <v>0.72219999999999995</v>
      </c>
      <c r="G80">
        <v>0.21659999999999999</v>
      </c>
      <c r="H80">
        <v>7.8221999999999996</v>
      </c>
      <c r="I80">
        <v>7.5951000000000004</v>
      </c>
      <c r="J80">
        <v>6.6120000000000001</v>
      </c>
      <c r="K80">
        <v>4.8011999999999997</v>
      </c>
      <c r="L80">
        <v>5.7679999999999998</v>
      </c>
      <c r="M80">
        <v>3.9295</v>
      </c>
    </row>
    <row r="81" spans="1:13" x14ac:dyDescent="0.25">
      <c r="B81" t="s">
        <v>27</v>
      </c>
      <c r="C81">
        <v>800601.1</v>
      </c>
      <c r="D81">
        <v>1866535.5057999999</v>
      </c>
      <c r="E81">
        <v>140728.1605</v>
      </c>
      <c r="F81">
        <v>144912.82550000001</v>
      </c>
      <c r="G81">
        <v>40819.096299999997</v>
      </c>
      <c r="H81">
        <v>1606621.4516</v>
      </c>
      <c r="I81">
        <v>1559859.6487</v>
      </c>
      <c r="J81">
        <v>1357477.4282</v>
      </c>
      <c r="K81">
        <v>984678.2095</v>
      </c>
      <c r="L81">
        <v>1183713.9240000001</v>
      </c>
      <c r="M81">
        <v>805216.68969999999</v>
      </c>
    </row>
    <row r="82" spans="1:13" x14ac:dyDescent="0.25">
      <c r="A82" t="s">
        <v>40</v>
      </c>
      <c r="B82" t="s">
        <v>9</v>
      </c>
      <c r="C82" t="s">
        <v>105</v>
      </c>
      <c r="D82" t="s">
        <v>106</v>
      </c>
      <c r="E82" t="s">
        <v>107</v>
      </c>
      <c r="F82" t="s">
        <v>109</v>
      </c>
      <c r="G82" t="s">
        <v>111</v>
      </c>
      <c r="H82" t="s">
        <v>113</v>
      </c>
      <c r="I82" t="s">
        <v>115</v>
      </c>
      <c r="J82" t="s">
        <v>117</v>
      </c>
      <c r="K82" t="s">
        <v>119</v>
      </c>
      <c r="L82" t="s">
        <v>121</v>
      </c>
      <c r="M82" t="s">
        <v>123</v>
      </c>
    </row>
    <row r="83" spans="1:13" x14ac:dyDescent="0.25">
      <c r="B83" t="s">
        <v>11</v>
      </c>
      <c r="C83" t="s">
        <v>17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</row>
    <row r="84" spans="1:13" x14ac:dyDescent="0.25">
      <c r="B84" t="s">
        <v>22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</row>
    <row r="85" spans="1:13" x14ac:dyDescent="0.25">
      <c r="B85" t="s">
        <v>23</v>
      </c>
      <c r="C85">
        <v>17.36</v>
      </c>
      <c r="D85">
        <v>17.341999999999999</v>
      </c>
      <c r="E85">
        <v>17.384</v>
      </c>
      <c r="F85">
        <v>17.402999999999999</v>
      </c>
      <c r="G85">
        <v>17.434000000000001</v>
      </c>
      <c r="H85">
        <v>17.466999999999999</v>
      </c>
      <c r="I85">
        <v>17.265000000000001</v>
      </c>
      <c r="J85">
        <v>17.27</v>
      </c>
      <c r="K85">
        <v>17.263000000000002</v>
      </c>
      <c r="L85">
        <v>17.268999999999998</v>
      </c>
      <c r="M85">
        <v>16.53</v>
      </c>
    </row>
    <row r="86" spans="1:13" x14ac:dyDescent="0.25">
      <c r="B86" t="s">
        <v>24</v>
      </c>
      <c r="C86">
        <v>1008</v>
      </c>
      <c r="D86">
        <v>29102055</v>
      </c>
      <c r="E86">
        <v>1107</v>
      </c>
      <c r="F86">
        <v>1862</v>
      </c>
      <c r="G86">
        <v>1369</v>
      </c>
      <c r="H86">
        <v>1575</v>
      </c>
      <c r="I86">
        <v>2086435</v>
      </c>
      <c r="J86">
        <v>2999181</v>
      </c>
      <c r="K86">
        <v>714993</v>
      </c>
      <c r="L86">
        <v>1060992</v>
      </c>
      <c r="M86">
        <v>-897</v>
      </c>
    </row>
    <row r="87" spans="1:13" x14ac:dyDescent="0.25">
      <c r="B87" t="s">
        <v>25</v>
      </c>
      <c r="C87">
        <v>376</v>
      </c>
      <c r="D87">
        <v>37225151</v>
      </c>
      <c r="E87">
        <v>2829</v>
      </c>
      <c r="F87">
        <v>1771</v>
      </c>
      <c r="G87">
        <v>4034</v>
      </c>
      <c r="H87">
        <v>363</v>
      </c>
      <c r="I87">
        <v>14848336</v>
      </c>
      <c r="J87">
        <v>20796389</v>
      </c>
      <c r="K87">
        <v>21179334</v>
      </c>
      <c r="L87">
        <v>20101666</v>
      </c>
      <c r="M87">
        <v>18626997</v>
      </c>
    </row>
    <row r="88" spans="1:13" x14ac:dyDescent="0.25">
      <c r="B88" t="s">
        <v>26</v>
      </c>
      <c r="C88">
        <v>2.6844000000000001</v>
      </c>
      <c r="D88">
        <v>0.78180000000000005</v>
      </c>
      <c r="E88">
        <v>0.39129999999999998</v>
      </c>
      <c r="F88">
        <v>1.0516000000000001</v>
      </c>
      <c r="G88">
        <v>0.33929999999999999</v>
      </c>
      <c r="H88">
        <v>4.3433000000000002</v>
      </c>
      <c r="I88">
        <v>0.14050000000000001</v>
      </c>
      <c r="J88">
        <v>0.14419999999999999</v>
      </c>
      <c r="K88">
        <v>3.3799999999999997E-2</v>
      </c>
      <c r="L88">
        <v>5.28E-2</v>
      </c>
      <c r="M88">
        <v>0</v>
      </c>
    </row>
    <row r="89" spans="1:13" x14ac:dyDescent="0.25">
      <c r="B89" t="s">
        <v>27</v>
      </c>
      <c r="C89">
        <v>576756.51729999995</v>
      </c>
      <c r="D89">
        <v>166514.15549999999</v>
      </c>
      <c r="E89">
        <v>82321.366999999998</v>
      </c>
      <c r="F89">
        <v>224689.0196</v>
      </c>
      <c r="G89">
        <v>71102.224199999997</v>
      </c>
      <c r="H89">
        <v>934445.6385</v>
      </c>
      <c r="I89">
        <v>28242.609499999999</v>
      </c>
      <c r="J89">
        <v>29040.412100000001</v>
      </c>
      <c r="K89">
        <v>5223.3678</v>
      </c>
      <c r="L89">
        <v>9324.9853000000003</v>
      </c>
      <c r="M89">
        <v>0</v>
      </c>
    </row>
    <row r="90" spans="1:13" x14ac:dyDescent="0.25">
      <c r="A90" t="s">
        <v>41</v>
      </c>
      <c r="B90" t="s">
        <v>9</v>
      </c>
      <c r="C90" t="s">
        <v>105</v>
      </c>
      <c r="D90" t="s">
        <v>106</v>
      </c>
      <c r="E90" t="s">
        <v>107</v>
      </c>
      <c r="F90" t="s">
        <v>109</v>
      </c>
      <c r="G90" t="s">
        <v>111</v>
      </c>
      <c r="H90" t="s">
        <v>113</v>
      </c>
      <c r="I90" t="s">
        <v>115</v>
      </c>
      <c r="J90" t="s">
        <v>117</v>
      </c>
      <c r="K90" t="s">
        <v>119</v>
      </c>
      <c r="L90" t="s">
        <v>121</v>
      </c>
      <c r="M90" t="s">
        <v>123</v>
      </c>
    </row>
    <row r="91" spans="1:13" x14ac:dyDescent="0.25">
      <c r="B91" t="s">
        <v>11</v>
      </c>
      <c r="C91" t="s">
        <v>17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</row>
    <row r="92" spans="1:13" x14ac:dyDescent="0.25">
      <c r="B92" t="s">
        <v>22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</row>
    <row r="93" spans="1:13" x14ac:dyDescent="0.25">
      <c r="B93" t="s">
        <v>23</v>
      </c>
      <c r="C93">
        <v>20.588000000000001</v>
      </c>
      <c r="D93">
        <v>20.559000000000001</v>
      </c>
      <c r="E93">
        <v>20.571000000000002</v>
      </c>
      <c r="F93">
        <v>20.603000000000002</v>
      </c>
      <c r="G93">
        <v>20.61</v>
      </c>
      <c r="H93">
        <v>20.623999999999999</v>
      </c>
      <c r="I93">
        <v>20.474</v>
      </c>
      <c r="J93">
        <v>20.472999999999999</v>
      </c>
      <c r="K93">
        <v>20.463999999999999</v>
      </c>
      <c r="L93">
        <v>20.466999999999999</v>
      </c>
      <c r="M93">
        <v>20.456</v>
      </c>
    </row>
    <row r="94" spans="1:13" x14ac:dyDescent="0.25">
      <c r="B94" t="s">
        <v>24</v>
      </c>
      <c r="C94">
        <v>441</v>
      </c>
      <c r="D94">
        <v>130904437</v>
      </c>
      <c r="E94">
        <v>815</v>
      </c>
      <c r="F94">
        <v>423</v>
      </c>
      <c r="G94">
        <v>291</v>
      </c>
      <c r="H94">
        <v>683</v>
      </c>
      <c r="I94">
        <v>4112528</v>
      </c>
      <c r="J94">
        <v>5819913</v>
      </c>
      <c r="K94">
        <v>3434409</v>
      </c>
      <c r="L94">
        <v>4774638</v>
      </c>
      <c r="M94">
        <v>709726</v>
      </c>
    </row>
    <row r="95" spans="1:13" x14ac:dyDescent="0.25">
      <c r="B95" t="s">
        <v>25</v>
      </c>
      <c r="C95">
        <v>376</v>
      </c>
      <c r="D95">
        <v>37225151</v>
      </c>
      <c r="E95">
        <v>2829</v>
      </c>
      <c r="F95">
        <v>1771</v>
      </c>
      <c r="G95">
        <v>4034</v>
      </c>
      <c r="H95">
        <v>363</v>
      </c>
      <c r="I95">
        <v>14848336</v>
      </c>
      <c r="J95">
        <v>20796389</v>
      </c>
      <c r="K95">
        <v>21179334</v>
      </c>
      <c r="L95">
        <v>20101666</v>
      </c>
      <c r="M95">
        <v>18626997</v>
      </c>
    </row>
    <row r="96" spans="1:13" x14ac:dyDescent="0.25">
      <c r="B96" t="s">
        <v>26</v>
      </c>
      <c r="C96">
        <v>1.1734</v>
      </c>
      <c r="D96">
        <v>3.5165999999999999</v>
      </c>
      <c r="E96">
        <v>0.28820000000000001</v>
      </c>
      <c r="F96">
        <v>0.23910000000000001</v>
      </c>
      <c r="G96">
        <v>7.2099999999999997E-2</v>
      </c>
      <c r="H96">
        <v>1.883</v>
      </c>
      <c r="I96">
        <v>0.27700000000000002</v>
      </c>
      <c r="J96">
        <v>0.27989999999999998</v>
      </c>
      <c r="K96">
        <v>0.16220000000000001</v>
      </c>
      <c r="L96">
        <v>0.23749999999999999</v>
      </c>
      <c r="M96">
        <v>3.8100000000000002E-2</v>
      </c>
    </row>
    <row r="97" spans="1:13" x14ac:dyDescent="0.25">
      <c r="B97" t="s">
        <v>27</v>
      </c>
      <c r="C97">
        <v>50904.930699999997</v>
      </c>
      <c r="D97">
        <v>154215.00440000001</v>
      </c>
      <c r="E97">
        <v>11877.2353</v>
      </c>
      <c r="F97">
        <v>9713.7045999999991</v>
      </c>
      <c r="G97">
        <v>2350.4436000000001</v>
      </c>
      <c r="H97">
        <v>82194.470100000006</v>
      </c>
      <c r="I97">
        <v>11384.1577</v>
      </c>
      <c r="J97">
        <v>11511.2742</v>
      </c>
      <c r="K97">
        <v>6322.2614999999996</v>
      </c>
      <c r="L97">
        <v>9645.0863000000008</v>
      </c>
      <c r="M97">
        <v>852.71349999999995</v>
      </c>
    </row>
    <row r="98" spans="1:13" x14ac:dyDescent="0.25">
      <c r="A98" t="s">
        <v>42</v>
      </c>
      <c r="B98" t="s">
        <v>9</v>
      </c>
      <c r="C98" t="s">
        <v>105</v>
      </c>
      <c r="D98" t="s">
        <v>106</v>
      </c>
      <c r="E98" t="s">
        <v>107</v>
      </c>
      <c r="F98" t="s">
        <v>109</v>
      </c>
      <c r="G98" t="s">
        <v>111</v>
      </c>
      <c r="H98" t="s">
        <v>113</v>
      </c>
      <c r="I98" t="s">
        <v>115</v>
      </c>
      <c r="J98" t="s">
        <v>117</v>
      </c>
      <c r="K98" t="s">
        <v>119</v>
      </c>
      <c r="L98" t="s">
        <v>121</v>
      </c>
      <c r="M98" t="s">
        <v>123</v>
      </c>
    </row>
    <row r="99" spans="1:13" x14ac:dyDescent="0.25">
      <c r="B99" t="s">
        <v>11</v>
      </c>
      <c r="C99" t="s">
        <v>17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</row>
    <row r="100" spans="1:13" x14ac:dyDescent="0.25">
      <c r="B100" t="s">
        <v>22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</row>
    <row r="101" spans="1:13" x14ac:dyDescent="0.25">
      <c r="B101" t="s">
        <v>23</v>
      </c>
      <c r="C101">
        <v>21.346</v>
      </c>
      <c r="D101">
        <v>21.292000000000002</v>
      </c>
      <c r="E101">
        <v>21.334</v>
      </c>
      <c r="F101">
        <v>21.341000000000001</v>
      </c>
      <c r="G101">
        <v>21.338000000000001</v>
      </c>
      <c r="H101">
        <v>21.356000000000002</v>
      </c>
      <c r="I101">
        <v>20.47</v>
      </c>
      <c r="J101">
        <v>21.12</v>
      </c>
      <c r="K101">
        <v>21.041</v>
      </c>
      <c r="L101">
        <v>21.622</v>
      </c>
      <c r="M101">
        <v>21.437000000000001</v>
      </c>
    </row>
    <row r="102" spans="1:13" x14ac:dyDescent="0.25">
      <c r="B102" t="s">
        <v>24</v>
      </c>
      <c r="C102">
        <v>1312</v>
      </c>
      <c r="D102">
        <v>34483463</v>
      </c>
      <c r="E102">
        <v>1254</v>
      </c>
      <c r="F102">
        <v>1859</v>
      </c>
      <c r="G102">
        <v>596</v>
      </c>
      <c r="H102">
        <v>838</v>
      </c>
      <c r="I102">
        <v>572184</v>
      </c>
      <c r="J102">
        <v>397</v>
      </c>
      <c r="K102">
        <v>33813</v>
      </c>
      <c r="L102">
        <v>315</v>
      </c>
      <c r="M102">
        <v>6570</v>
      </c>
    </row>
    <row r="103" spans="1:13" x14ac:dyDescent="0.25">
      <c r="B103" t="s">
        <v>25</v>
      </c>
      <c r="C103">
        <v>376</v>
      </c>
      <c r="D103">
        <v>37225151</v>
      </c>
      <c r="E103">
        <v>2829</v>
      </c>
      <c r="F103">
        <v>1771</v>
      </c>
      <c r="G103">
        <v>4034</v>
      </c>
      <c r="H103">
        <v>363</v>
      </c>
      <c r="I103">
        <v>14848336</v>
      </c>
      <c r="J103">
        <v>20796389</v>
      </c>
      <c r="K103">
        <v>21179334</v>
      </c>
      <c r="L103">
        <v>20101666</v>
      </c>
      <c r="M103">
        <v>18626997</v>
      </c>
    </row>
    <row r="104" spans="1:13" x14ac:dyDescent="0.25">
      <c r="B104" t="s">
        <v>26</v>
      </c>
      <c r="C104">
        <v>3.4946000000000002</v>
      </c>
      <c r="D104">
        <v>0.92630000000000001</v>
      </c>
      <c r="E104">
        <v>0.44319999999999998</v>
      </c>
      <c r="F104">
        <v>1.05</v>
      </c>
      <c r="G104">
        <v>0.1479</v>
      </c>
      <c r="H104">
        <v>2.3117999999999999</v>
      </c>
      <c r="I104">
        <v>3.85E-2</v>
      </c>
      <c r="J104">
        <v>0</v>
      </c>
      <c r="K104">
        <v>1.6000000000000001E-3</v>
      </c>
      <c r="L104">
        <v>0</v>
      </c>
      <c r="M104">
        <v>4.0000000000000002E-4</v>
      </c>
    </row>
    <row r="105" spans="1:13" x14ac:dyDescent="0.25">
      <c r="B105" t="s">
        <v>27</v>
      </c>
      <c r="C105">
        <v>833291.35789999994</v>
      </c>
      <c r="D105">
        <v>220191.19390000001</v>
      </c>
      <c r="E105">
        <v>104847.5306</v>
      </c>
      <c r="F105">
        <v>249701.14319999999</v>
      </c>
      <c r="G105">
        <v>34346.812299999998</v>
      </c>
      <c r="H105">
        <v>550923.10880000005</v>
      </c>
      <c r="I105">
        <v>8249.4603999999999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">
        <v>44</v>
      </c>
      <c r="B106" t="s">
        <v>9</v>
      </c>
      <c r="C106" t="s">
        <v>105</v>
      </c>
      <c r="D106" t="s">
        <v>106</v>
      </c>
      <c r="E106" t="s">
        <v>107</v>
      </c>
      <c r="F106" t="s">
        <v>109</v>
      </c>
      <c r="G106" t="s">
        <v>111</v>
      </c>
      <c r="H106" t="s">
        <v>113</v>
      </c>
      <c r="I106" t="s">
        <v>115</v>
      </c>
      <c r="J106" t="s">
        <v>117</v>
      </c>
      <c r="K106" t="s">
        <v>119</v>
      </c>
      <c r="L106" t="s">
        <v>121</v>
      </c>
      <c r="M106" t="s">
        <v>123</v>
      </c>
    </row>
    <row r="107" spans="1:13" x14ac:dyDescent="0.25">
      <c r="B107" t="s">
        <v>11</v>
      </c>
      <c r="C107" t="s">
        <v>17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</row>
    <row r="108" spans="1:13" x14ac:dyDescent="0.25">
      <c r="B108" t="s">
        <v>22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</row>
    <row r="109" spans="1:13" x14ac:dyDescent="0.25">
      <c r="B109" t="s">
        <v>23</v>
      </c>
      <c r="C109">
        <v>25.065000000000001</v>
      </c>
      <c r="D109">
        <v>25.004000000000001</v>
      </c>
      <c r="E109">
        <v>25.114999999999998</v>
      </c>
      <c r="F109">
        <v>25.065000000000001</v>
      </c>
      <c r="G109">
        <v>25.097999999999999</v>
      </c>
      <c r="H109">
        <v>24.844999999999999</v>
      </c>
      <c r="I109">
        <v>24.835000000000001</v>
      </c>
      <c r="J109">
        <v>24.864000000000001</v>
      </c>
      <c r="K109">
        <v>24.85</v>
      </c>
      <c r="L109">
        <v>24.850999999999999</v>
      </c>
      <c r="M109">
        <v>24.838000000000001</v>
      </c>
    </row>
    <row r="110" spans="1:13" x14ac:dyDescent="0.25">
      <c r="B110" t="s">
        <v>24</v>
      </c>
      <c r="C110">
        <v>1752</v>
      </c>
      <c r="D110">
        <v>95691642</v>
      </c>
      <c r="E110">
        <v>2053</v>
      </c>
      <c r="F110">
        <v>3178</v>
      </c>
      <c r="G110">
        <v>1996</v>
      </c>
      <c r="H110">
        <v>3001</v>
      </c>
      <c r="I110">
        <v>22804654</v>
      </c>
      <c r="J110">
        <v>33396990</v>
      </c>
      <c r="K110">
        <v>29556082</v>
      </c>
      <c r="L110">
        <v>31751800</v>
      </c>
      <c r="M110">
        <v>31266608</v>
      </c>
    </row>
    <row r="111" spans="1:13" x14ac:dyDescent="0.25">
      <c r="B111" t="s">
        <v>25</v>
      </c>
      <c r="C111">
        <v>376</v>
      </c>
      <c r="D111">
        <v>37225151</v>
      </c>
      <c r="E111">
        <v>2829</v>
      </c>
      <c r="F111">
        <v>1771</v>
      </c>
      <c r="G111">
        <v>4034</v>
      </c>
      <c r="H111">
        <v>363</v>
      </c>
      <c r="I111">
        <v>14848336</v>
      </c>
      <c r="J111">
        <v>20796389</v>
      </c>
      <c r="K111">
        <v>21179334</v>
      </c>
      <c r="L111">
        <v>20101666</v>
      </c>
      <c r="M111">
        <v>18626997</v>
      </c>
    </row>
    <row r="112" spans="1:13" x14ac:dyDescent="0.25">
      <c r="B112" t="s">
        <v>26</v>
      </c>
      <c r="C112">
        <v>4.6646000000000001</v>
      </c>
      <c r="D112">
        <v>2.5706000000000002</v>
      </c>
      <c r="E112">
        <v>0.72560000000000002</v>
      </c>
      <c r="F112">
        <v>1.7946</v>
      </c>
      <c r="G112">
        <v>0.49469999999999997</v>
      </c>
      <c r="H112">
        <v>8.2779000000000007</v>
      </c>
      <c r="I112">
        <v>1.5358000000000001</v>
      </c>
      <c r="J112">
        <v>1.6059000000000001</v>
      </c>
      <c r="K112">
        <v>1.3955</v>
      </c>
      <c r="L112">
        <v>1.5795999999999999</v>
      </c>
      <c r="M112">
        <v>1.6786000000000001</v>
      </c>
    </row>
    <row r="113" spans="1:13" x14ac:dyDescent="0.25">
      <c r="B113" t="s">
        <v>27</v>
      </c>
      <c r="C113">
        <v>756451.91570000001</v>
      </c>
      <c r="D113">
        <v>414356.86310000002</v>
      </c>
      <c r="E113">
        <v>112941.102</v>
      </c>
      <c r="F113">
        <v>287574.67810000002</v>
      </c>
      <c r="G113">
        <v>75220.624599999996</v>
      </c>
      <c r="H113">
        <v>1346747.4412</v>
      </c>
      <c r="I113">
        <v>245306.6176</v>
      </c>
      <c r="J113">
        <v>256752.92610000001</v>
      </c>
      <c r="K113">
        <v>222382.13159999999</v>
      </c>
      <c r="L113">
        <v>252449.36060000001</v>
      </c>
      <c r="M113">
        <v>268623.3971</v>
      </c>
    </row>
    <row r="114" spans="1:13" x14ac:dyDescent="0.25">
      <c r="A114" t="s">
        <v>45</v>
      </c>
      <c r="B114" t="s">
        <v>9</v>
      </c>
      <c r="C114" t="s">
        <v>105</v>
      </c>
      <c r="D114" t="s">
        <v>106</v>
      </c>
      <c r="E114" t="s">
        <v>107</v>
      </c>
      <c r="F114" t="s">
        <v>109</v>
      </c>
      <c r="G114" t="s">
        <v>111</v>
      </c>
      <c r="H114" t="s">
        <v>113</v>
      </c>
      <c r="I114" t="s">
        <v>115</v>
      </c>
      <c r="J114" t="s">
        <v>117</v>
      </c>
      <c r="K114" t="s">
        <v>119</v>
      </c>
      <c r="L114" t="s">
        <v>121</v>
      </c>
      <c r="M114" t="s">
        <v>123</v>
      </c>
    </row>
    <row r="115" spans="1:13" x14ac:dyDescent="0.25">
      <c r="B115" t="s">
        <v>11</v>
      </c>
      <c r="C115" t="s">
        <v>17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</row>
    <row r="116" spans="1:13" x14ac:dyDescent="0.25">
      <c r="B116" t="s">
        <v>22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</row>
    <row r="117" spans="1:13" x14ac:dyDescent="0.25">
      <c r="B117" t="s">
        <v>23</v>
      </c>
      <c r="C117">
        <v>25.565000000000001</v>
      </c>
      <c r="D117">
        <v>25.483000000000001</v>
      </c>
      <c r="E117">
        <v>25.588000000000001</v>
      </c>
      <c r="F117">
        <v>25.558</v>
      </c>
      <c r="G117">
        <v>25.524999999999999</v>
      </c>
      <c r="H117">
        <v>25.573</v>
      </c>
      <c r="I117">
        <v>25.634</v>
      </c>
      <c r="J117">
        <v>25.349</v>
      </c>
      <c r="K117">
        <v>25.297999999999998</v>
      </c>
      <c r="L117">
        <v>25.318000000000001</v>
      </c>
      <c r="M117">
        <v>25.295999999999999</v>
      </c>
    </row>
    <row r="118" spans="1:13" x14ac:dyDescent="0.25">
      <c r="B118" t="s">
        <v>24</v>
      </c>
      <c r="C118">
        <v>1928</v>
      </c>
      <c r="D118">
        <v>71335697</v>
      </c>
      <c r="E118">
        <v>858</v>
      </c>
      <c r="F118">
        <v>327</v>
      </c>
      <c r="G118">
        <v>4818</v>
      </c>
      <c r="H118">
        <v>621</v>
      </c>
      <c r="I118">
        <v>1829275</v>
      </c>
      <c r="J118">
        <v>21098541</v>
      </c>
      <c r="K118">
        <v>6310449</v>
      </c>
      <c r="L118">
        <v>9592133</v>
      </c>
      <c r="M118">
        <v>1846649</v>
      </c>
    </row>
    <row r="119" spans="1:13" x14ac:dyDescent="0.25">
      <c r="B119" t="s">
        <v>25</v>
      </c>
      <c r="C119">
        <v>376</v>
      </c>
      <c r="D119">
        <v>37225151</v>
      </c>
      <c r="E119">
        <v>2829</v>
      </c>
      <c r="F119">
        <v>1771</v>
      </c>
      <c r="G119">
        <v>4034</v>
      </c>
      <c r="H119">
        <v>363</v>
      </c>
      <c r="I119">
        <v>14848336</v>
      </c>
      <c r="J119">
        <v>20796389</v>
      </c>
      <c r="K119">
        <v>21179334</v>
      </c>
      <c r="L119">
        <v>20101666</v>
      </c>
      <c r="M119">
        <v>18626997</v>
      </c>
    </row>
    <row r="120" spans="1:13" x14ac:dyDescent="0.25">
      <c r="B120" t="s">
        <v>26</v>
      </c>
      <c r="C120">
        <v>5.1334999999999997</v>
      </c>
      <c r="D120">
        <v>1.9162999999999999</v>
      </c>
      <c r="E120">
        <v>0.30330000000000001</v>
      </c>
      <c r="F120">
        <v>0.1847</v>
      </c>
      <c r="G120">
        <v>1.1943999999999999</v>
      </c>
      <c r="H120">
        <v>1.7132000000000001</v>
      </c>
      <c r="I120">
        <v>0.1232</v>
      </c>
      <c r="J120">
        <v>1.0145</v>
      </c>
      <c r="K120">
        <v>0.29799999999999999</v>
      </c>
      <c r="L120">
        <v>0.47720000000000001</v>
      </c>
      <c r="M120">
        <v>9.9099999999999994E-2</v>
      </c>
    </row>
    <row r="121" spans="1:13" x14ac:dyDescent="0.25">
      <c r="B121" t="s">
        <v>27</v>
      </c>
      <c r="C121">
        <v>1302040.3954</v>
      </c>
      <c r="D121">
        <v>481785.4326</v>
      </c>
      <c r="E121">
        <v>70510.722599999994</v>
      </c>
      <c r="F121">
        <v>40285.624900000003</v>
      </c>
      <c r="G121">
        <v>297726.31109999999</v>
      </c>
      <c r="H121">
        <v>429998.09869999997</v>
      </c>
      <c r="I121">
        <v>24600.107400000001</v>
      </c>
      <c r="J121">
        <v>251858.06030000001</v>
      </c>
      <c r="K121">
        <v>69156.638900000005</v>
      </c>
      <c r="L121">
        <v>114853.3753</v>
      </c>
      <c r="M121">
        <v>18465.913199999999</v>
      </c>
    </row>
    <row r="122" spans="1:13" x14ac:dyDescent="0.25">
      <c r="A122" t="s">
        <v>46</v>
      </c>
      <c r="B122" t="s">
        <v>9</v>
      </c>
      <c r="C122" t="s">
        <v>105</v>
      </c>
      <c r="D122" t="s">
        <v>106</v>
      </c>
      <c r="E122" t="s">
        <v>107</v>
      </c>
      <c r="F122" t="s">
        <v>109</v>
      </c>
      <c r="G122" t="s">
        <v>111</v>
      </c>
      <c r="H122" t="s">
        <v>113</v>
      </c>
      <c r="I122" t="s">
        <v>115</v>
      </c>
      <c r="J122" t="s">
        <v>117</v>
      </c>
      <c r="K122" t="s">
        <v>119</v>
      </c>
      <c r="L122" t="s">
        <v>121</v>
      </c>
      <c r="M122" t="s">
        <v>123</v>
      </c>
    </row>
    <row r="123" spans="1:13" x14ac:dyDescent="0.25">
      <c r="B123" t="s">
        <v>11</v>
      </c>
      <c r="C123" t="s">
        <v>17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</row>
    <row r="124" spans="1:13" x14ac:dyDescent="0.25">
      <c r="B124" t="s">
        <v>22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</row>
    <row r="125" spans="1:13" x14ac:dyDescent="0.25">
      <c r="B125" t="s">
        <v>23</v>
      </c>
      <c r="C125">
        <v>26.798999999999999</v>
      </c>
      <c r="D125">
        <v>26.722000000000001</v>
      </c>
      <c r="E125">
        <v>26.72</v>
      </c>
      <c r="F125">
        <v>26.754000000000001</v>
      </c>
      <c r="G125">
        <v>26.785</v>
      </c>
      <c r="H125">
        <v>26.763999999999999</v>
      </c>
      <c r="I125">
        <v>26.827999999999999</v>
      </c>
      <c r="J125">
        <v>26.725000000000001</v>
      </c>
      <c r="K125">
        <v>26.721</v>
      </c>
      <c r="L125">
        <v>26.692</v>
      </c>
      <c r="M125">
        <v>26.841000000000001</v>
      </c>
    </row>
    <row r="126" spans="1:13" x14ac:dyDescent="0.25">
      <c r="B126" t="s">
        <v>24</v>
      </c>
      <c r="C126">
        <v>3161</v>
      </c>
      <c r="D126">
        <v>27128765</v>
      </c>
      <c r="E126">
        <v>5157</v>
      </c>
      <c r="F126">
        <v>3745</v>
      </c>
      <c r="G126">
        <v>2510</v>
      </c>
      <c r="H126">
        <v>2969</v>
      </c>
      <c r="I126">
        <v>5320357</v>
      </c>
      <c r="J126">
        <v>92615</v>
      </c>
      <c r="K126">
        <v>29781</v>
      </c>
      <c r="L126">
        <v>-888</v>
      </c>
      <c r="M126">
        <v>5686</v>
      </c>
    </row>
    <row r="127" spans="1:13" x14ac:dyDescent="0.25">
      <c r="B127" t="s">
        <v>25</v>
      </c>
      <c r="C127">
        <v>376</v>
      </c>
      <c r="D127">
        <v>37225151</v>
      </c>
      <c r="E127">
        <v>2829</v>
      </c>
      <c r="F127">
        <v>1771</v>
      </c>
      <c r="G127">
        <v>4034</v>
      </c>
      <c r="H127">
        <v>363</v>
      </c>
      <c r="I127">
        <v>14848336</v>
      </c>
      <c r="J127">
        <v>20796389</v>
      </c>
      <c r="K127">
        <v>21179334</v>
      </c>
      <c r="L127">
        <v>20101666</v>
      </c>
      <c r="M127">
        <v>18626997</v>
      </c>
    </row>
    <row r="128" spans="1:13" x14ac:dyDescent="0.25">
      <c r="B128" t="s">
        <v>26</v>
      </c>
      <c r="C128">
        <v>8.4175000000000004</v>
      </c>
      <c r="D128">
        <v>0.7288</v>
      </c>
      <c r="E128">
        <v>1.8227</v>
      </c>
      <c r="F128">
        <v>2.1149</v>
      </c>
      <c r="G128">
        <v>0.62209999999999999</v>
      </c>
      <c r="H128">
        <v>8.1896000000000004</v>
      </c>
      <c r="I128">
        <v>0.35830000000000001</v>
      </c>
      <c r="J128">
        <v>4.4999999999999997E-3</v>
      </c>
      <c r="K128">
        <v>1.4E-3</v>
      </c>
      <c r="L128">
        <v>0</v>
      </c>
      <c r="M128">
        <v>2.9999999999999997E-4</v>
      </c>
    </row>
    <row r="129" spans="1:13" x14ac:dyDescent="0.25">
      <c r="B129" t="s">
        <v>27</v>
      </c>
      <c r="C129">
        <v>894771.05649999995</v>
      </c>
      <c r="D129">
        <v>77784.450700000001</v>
      </c>
      <c r="E129">
        <v>194017.36780000001</v>
      </c>
      <c r="F129">
        <v>225066.52549999999</v>
      </c>
      <c r="G129">
        <v>66449.441900000005</v>
      </c>
      <c r="H129">
        <v>870552.50989999995</v>
      </c>
      <c r="I129">
        <v>38420.081400000003</v>
      </c>
      <c r="J129">
        <v>819.78750000000002</v>
      </c>
      <c r="K129">
        <v>495.99520000000001</v>
      </c>
      <c r="L129">
        <v>341.88889999999998</v>
      </c>
      <c r="M129">
        <v>379.01389999999998</v>
      </c>
    </row>
    <row r="130" spans="1:13" x14ac:dyDescent="0.25">
      <c r="A130" t="s">
        <v>47</v>
      </c>
      <c r="B130" t="s">
        <v>9</v>
      </c>
      <c r="C130" t="s">
        <v>105</v>
      </c>
      <c r="D130" t="s">
        <v>106</v>
      </c>
      <c r="E130" t="s">
        <v>107</v>
      </c>
      <c r="F130" t="s">
        <v>109</v>
      </c>
      <c r="G130" t="s">
        <v>111</v>
      </c>
      <c r="H130" t="s">
        <v>113</v>
      </c>
      <c r="I130" t="s">
        <v>115</v>
      </c>
      <c r="J130" t="s">
        <v>117</v>
      </c>
      <c r="K130" t="s">
        <v>119</v>
      </c>
      <c r="L130" t="s">
        <v>121</v>
      </c>
      <c r="M130" t="s">
        <v>123</v>
      </c>
    </row>
    <row r="131" spans="1:13" x14ac:dyDescent="0.25">
      <c r="B131" t="s">
        <v>11</v>
      </c>
      <c r="C131" t="s">
        <v>17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</row>
    <row r="132" spans="1:13" x14ac:dyDescent="0.25">
      <c r="B132" t="s">
        <v>22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</row>
    <row r="133" spans="1:13" x14ac:dyDescent="0.25">
      <c r="B133" t="s">
        <v>23</v>
      </c>
      <c r="C133">
        <v>26.978999999999999</v>
      </c>
      <c r="D133">
        <v>26.931999999999999</v>
      </c>
      <c r="E133">
        <v>27.006</v>
      </c>
      <c r="F133">
        <v>26.962</v>
      </c>
      <c r="G133">
        <v>27.003</v>
      </c>
      <c r="H133">
        <v>27.015000000000001</v>
      </c>
      <c r="I133">
        <v>26.827999999999999</v>
      </c>
      <c r="J133">
        <v>26.846</v>
      </c>
      <c r="K133">
        <v>26.821000000000002</v>
      </c>
      <c r="L133">
        <v>26.821999999999999</v>
      </c>
      <c r="M133">
        <v>26.795000000000002</v>
      </c>
    </row>
    <row r="134" spans="1:13" x14ac:dyDescent="0.25">
      <c r="B134" t="s">
        <v>24</v>
      </c>
      <c r="C134">
        <v>1431</v>
      </c>
      <c r="D134">
        <v>44918840</v>
      </c>
      <c r="E134">
        <v>790</v>
      </c>
      <c r="F134">
        <v>2382</v>
      </c>
      <c r="G134">
        <v>1009</v>
      </c>
      <c r="H134">
        <v>763</v>
      </c>
      <c r="I134">
        <v>9289290</v>
      </c>
      <c r="J134">
        <v>21672926</v>
      </c>
      <c r="K134">
        <v>7208678</v>
      </c>
      <c r="L134">
        <v>12868332</v>
      </c>
      <c r="M134">
        <v>529669</v>
      </c>
    </row>
    <row r="135" spans="1:13" x14ac:dyDescent="0.25">
      <c r="B135" t="s">
        <v>25</v>
      </c>
      <c r="C135">
        <v>376</v>
      </c>
      <c r="D135">
        <v>37225151</v>
      </c>
      <c r="E135">
        <v>2829</v>
      </c>
      <c r="F135">
        <v>1771</v>
      </c>
      <c r="G135">
        <v>4034</v>
      </c>
      <c r="H135">
        <v>363</v>
      </c>
      <c r="I135">
        <v>14848336</v>
      </c>
      <c r="J135">
        <v>20796389</v>
      </c>
      <c r="K135">
        <v>21179334</v>
      </c>
      <c r="L135">
        <v>20101666</v>
      </c>
      <c r="M135">
        <v>18626997</v>
      </c>
    </row>
    <row r="136" spans="1:13" x14ac:dyDescent="0.25">
      <c r="B136" t="s">
        <v>26</v>
      </c>
      <c r="C136">
        <v>3.8098999999999998</v>
      </c>
      <c r="D136">
        <v>1.2067000000000001</v>
      </c>
      <c r="E136">
        <v>0.2792</v>
      </c>
      <c r="F136">
        <v>1.3453999999999999</v>
      </c>
      <c r="G136">
        <v>0.25019999999999998</v>
      </c>
      <c r="H136">
        <v>2.1046</v>
      </c>
      <c r="I136">
        <v>0.62560000000000004</v>
      </c>
      <c r="J136">
        <v>1.0421</v>
      </c>
      <c r="K136">
        <v>0.34039999999999998</v>
      </c>
      <c r="L136">
        <v>0.64019999999999999</v>
      </c>
      <c r="M136">
        <v>2.8400000000000002E-2</v>
      </c>
    </row>
    <row r="137" spans="1:13" x14ac:dyDescent="0.25">
      <c r="B137" t="s">
        <v>27</v>
      </c>
      <c r="C137">
        <v>599001.42740000004</v>
      </c>
      <c r="D137">
        <v>189655.9976</v>
      </c>
      <c r="E137">
        <v>43817.659200000002</v>
      </c>
      <c r="F137">
        <v>211475.6128</v>
      </c>
      <c r="G137">
        <v>39254.523399999998</v>
      </c>
      <c r="H137">
        <v>330845.34669999999</v>
      </c>
      <c r="I137">
        <v>98285.392900000006</v>
      </c>
      <c r="J137">
        <v>163784.12549999999</v>
      </c>
      <c r="K137">
        <v>53431.366699999999</v>
      </c>
      <c r="L137">
        <v>100573.47530000001</v>
      </c>
      <c r="M137">
        <v>4381.9413999999997</v>
      </c>
    </row>
    <row r="138" spans="1:13" x14ac:dyDescent="0.25">
      <c r="A138" t="s">
        <v>48</v>
      </c>
      <c r="B138" t="s">
        <v>9</v>
      </c>
      <c r="C138" t="s">
        <v>105</v>
      </c>
      <c r="D138" t="s">
        <v>106</v>
      </c>
      <c r="E138" t="s">
        <v>107</v>
      </c>
      <c r="F138" t="s">
        <v>109</v>
      </c>
      <c r="G138" t="s">
        <v>111</v>
      </c>
      <c r="H138" t="s">
        <v>113</v>
      </c>
      <c r="I138" t="s">
        <v>115</v>
      </c>
      <c r="J138" t="s">
        <v>117</v>
      </c>
      <c r="K138" t="s">
        <v>119</v>
      </c>
      <c r="L138" t="s">
        <v>121</v>
      </c>
      <c r="M138" t="s">
        <v>123</v>
      </c>
    </row>
    <row r="139" spans="1:13" x14ac:dyDescent="0.25">
      <c r="B139" t="s">
        <v>11</v>
      </c>
      <c r="C139" t="s">
        <v>17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</row>
    <row r="140" spans="1:13" x14ac:dyDescent="0.25">
      <c r="B140" t="s">
        <v>22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</row>
    <row r="141" spans="1:13" x14ac:dyDescent="0.25">
      <c r="B141" t="s">
        <v>23</v>
      </c>
      <c r="C141">
        <v>27.715</v>
      </c>
      <c r="D141">
        <v>27.587</v>
      </c>
      <c r="E141">
        <v>27.645</v>
      </c>
      <c r="F141">
        <v>27.667000000000002</v>
      </c>
      <c r="G141">
        <v>27.629000000000001</v>
      </c>
      <c r="H141">
        <v>27.67</v>
      </c>
      <c r="I141">
        <v>27.643000000000001</v>
      </c>
      <c r="J141">
        <v>27.513000000000002</v>
      </c>
      <c r="K141">
        <v>28.344000000000001</v>
      </c>
      <c r="L141">
        <v>27.614000000000001</v>
      </c>
      <c r="M141">
        <v>27.654</v>
      </c>
    </row>
    <row r="142" spans="1:13" x14ac:dyDescent="0.25">
      <c r="B142" t="s">
        <v>24</v>
      </c>
      <c r="C142">
        <v>4900</v>
      </c>
      <c r="D142">
        <v>44621481</v>
      </c>
      <c r="E142">
        <v>3660</v>
      </c>
      <c r="F142">
        <v>4093</v>
      </c>
      <c r="G142">
        <v>319</v>
      </c>
      <c r="H142">
        <v>990</v>
      </c>
      <c r="I142">
        <v>153215</v>
      </c>
      <c r="J142">
        <v>17663</v>
      </c>
      <c r="K142">
        <v>11502</v>
      </c>
      <c r="L142">
        <v>63920</v>
      </c>
      <c r="M142">
        <v>2099</v>
      </c>
    </row>
    <row r="143" spans="1:13" x14ac:dyDescent="0.25">
      <c r="B143" t="s">
        <v>25</v>
      </c>
      <c r="C143">
        <v>376</v>
      </c>
      <c r="D143">
        <v>37225151</v>
      </c>
      <c r="E143">
        <v>2829</v>
      </c>
      <c r="F143">
        <v>1771</v>
      </c>
      <c r="G143">
        <v>4034</v>
      </c>
      <c r="H143">
        <v>363</v>
      </c>
      <c r="I143">
        <v>14848336</v>
      </c>
      <c r="J143">
        <v>20796389</v>
      </c>
      <c r="K143">
        <v>21179334</v>
      </c>
      <c r="L143">
        <v>20101666</v>
      </c>
      <c r="M143">
        <v>18626997</v>
      </c>
    </row>
    <row r="144" spans="1:13" x14ac:dyDescent="0.25">
      <c r="B144" t="s">
        <v>26</v>
      </c>
      <c r="C144">
        <v>13.0458</v>
      </c>
      <c r="D144">
        <v>1.1987000000000001</v>
      </c>
      <c r="E144">
        <v>1.2935000000000001</v>
      </c>
      <c r="F144">
        <v>2.3113999999999999</v>
      </c>
      <c r="G144">
        <v>7.9100000000000004E-2</v>
      </c>
      <c r="H144">
        <v>2.7307000000000001</v>
      </c>
      <c r="I144">
        <v>1.03E-2</v>
      </c>
      <c r="J144">
        <v>8.0000000000000004E-4</v>
      </c>
      <c r="K144">
        <v>5.0000000000000001E-4</v>
      </c>
      <c r="L144">
        <v>3.2000000000000002E-3</v>
      </c>
      <c r="M144">
        <v>1E-4</v>
      </c>
    </row>
    <row r="145" spans="1:13" x14ac:dyDescent="0.25">
      <c r="B145" t="s">
        <v>27</v>
      </c>
      <c r="C145">
        <v>2097119.6488999999</v>
      </c>
      <c r="D145">
        <v>192614.4148</v>
      </c>
      <c r="E145">
        <v>207850.4534</v>
      </c>
      <c r="F145">
        <v>371488.3799</v>
      </c>
      <c r="G145">
        <v>12638.085499999999</v>
      </c>
      <c r="H145">
        <v>438902.19280000002</v>
      </c>
      <c r="I145">
        <v>1574.7802999999999</v>
      </c>
      <c r="J145">
        <v>52.5124</v>
      </c>
      <c r="K145">
        <v>3.282</v>
      </c>
      <c r="L145">
        <v>427.16329999999999</v>
      </c>
      <c r="M145">
        <v>0</v>
      </c>
    </row>
    <row r="146" spans="1:13" x14ac:dyDescent="0.25">
      <c r="A146" t="s">
        <v>49</v>
      </c>
      <c r="B146" t="s">
        <v>9</v>
      </c>
      <c r="C146" t="s">
        <v>105</v>
      </c>
      <c r="D146" t="s">
        <v>106</v>
      </c>
      <c r="E146" t="s">
        <v>107</v>
      </c>
      <c r="F146" t="s">
        <v>109</v>
      </c>
      <c r="G146" t="s">
        <v>111</v>
      </c>
      <c r="H146" t="s">
        <v>113</v>
      </c>
      <c r="I146" t="s">
        <v>115</v>
      </c>
      <c r="J146" t="s">
        <v>117</v>
      </c>
      <c r="K146" t="s">
        <v>119</v>
      </c>
      <c r="L146" t="s">
        <v>121</v>
      </c>
      <c r="M146" t="s">
        <v>123</v>
      </c>
    </row>
    <row r="147" spans="1:13" x14ac:dyDescent="0.25">
      <c r="B147" t="s">
        <v>11</v>
      </c>
      <c r="C147" t="s">
        <v>17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</row>
    <row r="148" spans="1:13" x14ac:dyDescent="0.25">
      <c r="B148" t="s">
        <v>22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</row>
    <row r="149" spans="1:13" x14ac:dyDescent="0.25">
      <c r="B149" t="s">
        <v>23</v>
      </c>
      <c r="C149">
        <v>29.07</v>
      </c>
      <c r="D149">
        <v>29.001000000000001</v>
      </c>
      <c r="E149">
        <v>29.084</v>
      </c>
      <c r="F149">
        <v>29.068999999999999</v>
      </c>
      <c r="G149">
        <v>29.074000000000002</v>
      </c>
      <c r="H149">
        <v>29.003</v>
      </c>
      <c r="I149">
        <v>28.899000000000001</v>
      </c>
      <c r="J149">
        <v>28.922000000000001</v>
      </c>
      <c r="K149">
        <v>28.902999999999999</v>
      </c>
      <c r="L149">
        <v>28.902999999999999</v>
      </c>
      <c r="M149">
        <v>29.105</v>
      </c>
    </row>
    <row r="150" spans="1:13" x14ac:dyDescent="0.25">
      <c r="B150" t="s">
        <v>24</v>
      </c>
      <c r="C150">
        <v>637</v>
      </c>
      <c r="D150">
        <v>33188472</v>
      </c>
      <c r="E150">
        <v>1149</v>
      </c>
      <c r="F150">
        <v>1343</v>
      </c>
      <c r="G150">
        <v>2014</v>
      </c>
      <c r="H150">
        <v>657</v>
      </c>
      <c r="I150">
        <v>1323851</v>
      </c>
      <c r="J150">
        <v>3584065</v>
      </c>
      <c r="K150">
        <v>1632082</v>
      </c>
      <c r="L150">
        <v>1911326</v>
      </c>
      <c r="M150">
        <v>1029</v>
      </c>
    </row>
    <row r="151" spans="1:13" x14ac:dyDescent="0.25">
      <c r="B151" t="s">
        <v>25</v>
      </c>
      <c r="C151">
        <v>376</v>
      </c>
      <c r="D151">
        <v>37225151</v>
      </c>
      <c r="E151">
        <v>2829</v>
      </c>
      <c r="F151">
        <v>1771</v>
      </c>
      <c r="G151">
        <v>4034</v>
      </c>
      <c r="H151">
        <v>363</v>
      </c>
      <c r="I151">
        <v>14848336</v>
      </c>
      <c r="J151">
        <v>20796389</v>
      </c>
      <c r="K151">
        <v>21179334</v>
      </c>
      <c r="L151">
        <v>20101666</v>
      </c>
      <c r="M151">
        <v>18626997</v>
      </c>
    </row>
    <row r="152" spans="1:13" x14ac:dyDescent="0.25">
      <c r="B152" t="s">
        <v>26</v>
      </c>
      <c r="C152">
        <v>1.6963999999999999</v>
      </c>
      <c r="D152">
        <v>0.89159999999999995</v>
      </c>
      <c r="E152">
        <v>0.40610000000000002</v>
      </c>
      <c r="F152">
        <v>0.75819999999999999</v>
      </c>
      <c r="G152">
        <v>0.49919999999999998</v>
      </c>
      <c r="H152">
        <v>1.8112999999999999</v>
      </c>
      <c r="I152">
        <v>8.9200000000000002E-2</v>
      </c>
      <c r="J152">
        <v>0.17230000000000001</v>
      </c>
      <c r="K152">
        <v>7.7100000000000002E-2</v>
      </c>
      <c r="L152">
        <v>9.5100000000000004E-2</v>
      </c>
      <c r="M152">
        <v>1E-4</v>
      </c>
    </row>
    <row r="153" spans="1:13" x14ac:dyDescent="0.25">
      <c r="B153" t="s">
        <v>27</v>
      </c>
      <c r="C153">
        <v>1099472.5349000001</v>
      </c>
      <c r="D153">
        <v>578747.79700000002</v>
      </c>
      <c r="E153">
        <v>264649.59039999999</v>
      </c>
      <c r="F153">
        <v>492478.28009999997</v>
      </c>
      <c r="G153">
        <v>324862.11239999998</v>
      </c>
      <c r="H153">
        <v>1173807.8389999999</v>
      </c>
      <c r="I153">
        <v>59575.627200000003</v>
      </c>
      <c r="J153">
        <v>113396.5543</v>
      </c>
      <c r="K153">
        <v>51747.863299999997</v>
      </c>
      <c r="L153">
        <v>63409.0743</v>
      </c>
      <c r="M153">
        <v>1923.9938999999999</v>
      </c>
    </row>
    <row r="154" spans="1:13" x14ac:dyDescent="0.25">
      <c r="A154" t="s">
        <v>50</v>
      </c>
      <c r="B154" t="s">
        <v>9</v>
      </c>
      <c r="C154" t="s">
        <v>105</v>
      </c>
      <c r="D154" t="s">
        <v>106</v>
      </c>
      <c r="E154" t="s">
        <v>107</v>
      </c>
      <c r="F154" t="s">
        <v>109</v>
      </c>
      <c r="G154" t="s">
        <v>111</v>
      </c>
      <c r="H154" t="s">
        <v>113</v>
      </c>
      <c r="I154" t="s">
        <v>115</v>
      </c>
      <c r="J154" t="s">
        <v>117</v>
      </c>
      <c r="K154" t="s">
        <v>119</v>
      </c>
      <c r="L154" t="s">
        <v>121</v>
      </c>
      <c r="M154" t="s">
        <v>123</v>
      </c>
    </row>
    <row r="155" spans="1:13" x14ac:dyDescent="0.25">
      <c r="B155" t="s">
        <v>11</v>
      </c>
      <c r="C155" t="s">
        <v>17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</row>
    <row r="156" spans="1:13" x14ac:dyDescent="0.25">
      <c r="B156" t="s">
        <v>22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</row>
    <row r="157" spans="1:13" x14ac:dyDescent="0.25">
      <c r="B157" t="s">
        <v>23</v>
      </c>
      <c r="C157">
        <v>29.731000000000002</v>
      </c>
      <c r="D157">
        <v>29.690999999999999</v>
      </c>
      <c r="E157">
        <v>29.763999999999999</v>
      </c>
      <c r="F157">
        <v>29.792999999999999</v>
      </c>
      <c r="G157">
        <v>29.760999999999999</v>
      </c>
      <c r="H157">
        <v>29.757999999999999</v>
      </c>
      <c r="I157">
        <v>29.798999999999999</v>
      </c>
      <c r="J157">
        <v>28.835999999999999</v>
      </c>
      <c r="K157">
        <v>29.76</v>
      </c>
      <c r="L157">
        <v>29.779</v>
      </c>
      <c r="M157">
        <v>29.73</v>
      </c>
    </row>
    <row r="158" spans="1:13" x14ac:dyDescent="0.25">
      <c r="B158" t="s">
        <v>24</v>
      </c>
      <c r="C158">
        <v>1667</v>
      </c>
      <c r="D158">
        <v>13556957</v>
      </c>
      <c r="E158">
        <v>1426</v>
      </c>
      <c r="F158">
        <v>2994</v>
      </c>
      <c r="G158">
        <v>616</v>
      </c>
      <c r="H158">
        <v>1108</v>
      </c>
      <c r="I158">
        <v>4397</v>
      </c>
      <c r="J158">
        <v>25375</v>
      </c>
      <c r="K158">
        <v>6889</v>
      </c>
      <c r="L158">
        <v>3048</v>
      </c>
      <c r="M158">
        <v>499</v>
      </c>
    </row>
    <row r="159" spans="1:13" x14ac:dyDescent="0.25">
      <c r="B159" t="s">
        <v>25</v>
      </c>
      <c r="C159">
        <v>376</v>
      </c>
      <c r="D159">
        <v>37225151</v>
      </c>
      <c r="E159">
        <v>2829</v>
      </c>
      <c r="F159">
        <v>1771</v>
      </c>
      <c r="G159">
        <v>4034</v>
      </c>
      <c r="H159">
        <v>363</v>
      </c>
      <c r="I159">
        <v>14848336</v>
      </c>
      <c r="J159">
        <v>20796389</v>
      </c>
      <c r="K159">
        <v>21179334</v>
      </c>
      <c r="L159">
        <v>20101666</v>
      </c>
      <c r="M159">
        <v>18626997</v>
      </c>
    </row>
    <row r="160" spans="1:13" x14ac:dyDescent="0.25">
      <c r="B160" t="s">
        <v>26</v>
      </c>
      <c r="C160">
        <v>4.4371999999999998</v>
      </c>
      <c r="D160">
        <v>0.36420000000000002</v>
      </c>
      <c r="E160">
        <v>0.504</v>
      </c>
      <c r="F160">
        <v>1.6910000000000001</v>
      </c>
      <c r="G160">
        <v>0.1527</v>
      </c>
      <c r="H160">
        <v>3.0554999999999999</v>
      </c>
      <c r="I160">
        <v>2.9999999999999997E-4</v>
      </c>
      <c r="J160">
        <v>1.1999999999999999E-3</v>
      </c>
      <c r="K160">
        <v>2.9999999999999997E-4</v>
      </c>
      <c r="L160">
        <v>2.0000000000000001E-4</v>
      </c>
      <c r="M160">
        <v>0</v>
      </c>
    </row>
    <row r="161" spans="1:13" x14ac:dyDescent="0.25">
      <c r="B161" t="s">
        <v>27</v>
      </c>
      <c r="C161">
        <v>1326584.1761</v>
      </c>
      <c r="D161">
        <v>109044.7931</v>
      </c>
      <c r="E161">
        <v>150838.91880000001</v>
      </c>
      <c r="F161">
        <v>505647.2513</v>
      </c>
      <c r="G161">
        <v>45833.784500000002</v>
      </c>
      <c r="H161">
        <v>913550.29590000003</v>
      </c>
      <c r="I161">
        <v>268.35539999999997</v>
      </c>
      <c r="J161">
        <v>544.56479999999999</v>
      </c>
      <c r="K161">
        <v>277.06169999999997</v>
      </c>
      <c r="L161">
        <v>225.1592</v>
      </c>
      <c r="M161">
        <v>187.84030000000001</v>
      </c>
    </row>
    <row r="162" spans="1:13" x14ac:dyDescent="0.25">
      <c r="A162" t="s">
        <v>51</v>
      </c>
      <c r="B162" t="s">
        <v>9</v>
      </c>
      <c r="C162" t="s">
        <v>105</v>
      </c>
      <c r="D162" t="s">
        <v>106</v>
      </c>
      <c r="E162" t="s">
        <v>107</v>
      </c>
      <c r="F162" t="s">
        <v>109</v>
      </c>
      <c r="G162" t="s">
        <v>111</v>
      </c>
      <c r="H162" t="s">
        <v>113</v>
      </c>
      <c r="I162" t="s">
        <v>115</v>
      </c>
      <c r="J162" t="s">
        <v>117</v>
      </c>
      <c r="K162" t="s">
        <v>119</v>
      </c>
      <c r="L162" t="s">
        <v>121</v>
      </c>
      <c r="M162" t="s">
        <v>123</v>
      </c>
    </row>
    <row r="163" spans="1:13" x14ac:dyDescent="0.25">
      <c r="B163" t="s">
        <v>11</v>
      </c>
      <c r="C163" t="s">
        <v>17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</row>
    <row r="164" spans="1:13" x14ac:dyDescent="0.25">
      <c r="B164" t="s">
        <v>22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</row>
    <row r="165" spans="1:13" x14ac:dyDescent="0.25">
      <c r="B165" t="s">
        <v>23</v>
      </c>
      <c r="C165">
        <v>34.581000000000003</v>
      </c>
      <c r="D165">
        <v>34.534999999999997</v>
      </c>
      <c r="E165">
        <v>34.588000000000001</v>
      </c>
      <c r="F165">
        <v>34.606000000000002</v>
      </c>
      <c r="G165">
        <v>34.548000000000002</v>
      </c>
      <c r="H165">
        <v>34.595999999999997</v>
      </c>
      <c r="I165">
        <v>34.581000000000003</v>
      </c>
      <c r="J165">
        <v>34.585999999999999</v>
      </c>
      <c r="K165">
        <v>34.593000000000004</v>
      </c>
      <c r="L165">
        <v>34.564999999999998</v>
      </c>
      <c r="M165">
        <v>34.573999999999998</v>
      </c>
    </row>
    <row r="166" spans="1:13" x14ac:dyDescent="0.25">
      <c r="B166" t="s">
        <v>24</v>
      </c>
      <c r="C166">
        <v>840</v>
      </c>
      <c r="D166">
        <v>22285939</v>
      </c>
      <c r="E166">
        <v>641</v>
      </c>
      <c r="F166">
        <v>514</v>
      </c>
      <c r="G166">
        <v>2009</v>
      </c>
      <c r="H166">
        <v>652</v>
      </c>
      <c r="I166">
        <v>19680</v>
      </c>
      <c r="J166">
        <v>3195</v>
      </c>
      <c r="K166">
        <v>5562</v>
      </c>
      <c r="L166">
        <v>114503</v>
      </c>
      <c r="M166">
        <v>3272</v>
      </c>
    </row>
    <row r="167" spans="1:13" x14ac:dyDescent="0.25">
      <c r="B167" t="s">
        <v>25</v>
      </c>
      <c r="C167">
        <v>376</v>
      </c>
      <c r="D167">
        <v>37225151</v>
      </c>
      <c r="E167">
        <v>2829</v>
      </c>
      <c r="F167">
        <v>1771</v>
      </c>
      <c r="G167">
        <v>4034</v>
      </c>
      <c r="H167">
        <v>363</v>
      </c>
      <c r="I167">
        <v>14848336</v>
      </c>
      <c r="J167">
        <v>20796389</v>
      </c>
      <c r="K167">
        <v>21179334</v>
      </c>
      <c r="L167">
        <v>20101666</v>
      </c>
      <c r="M167">
        <v>18626997</v>
      </c>
    </row>
    <row r="168" spans="1:13" x14ac:dyDescent="0.25">
      <c r="B168" t="s">
        <v>26</v>
      </c>
      <c r="C168">
        <v>2.2372999999999998</v>
      </c>
      <c r="D168">
        <v>0.59870000000000001</v>
      </c>
      <c r="E168">
        <v>0.2266</v>
      </c>
      <c r="F168">
        <v>0.29049999999999998</v>
      </c>
      <c r="G168">
        <v>0.49790000000000001</v>
      </c>
      <c r="H168">
        <v>1.798</v>
      </c>
      <c r="I168">
        <v>1.2999999999999999E-3</v>
      </c>
      <c r="J168">
        <v>2.0000000000000001E-4</v>
      </c>
      <c r="K168">
        <v>2.9999999999999997E-4</v>
      </c>
      <c r="L168">
        <v>5.7000000000000002E-3</v>
      </c>
      <c r="M168">
        <v>2.0000000000000001E-4</v>
      </c>
    </row>
    <row r="169" spans="1:13" x14ac:dyDescent="0.25">
      <c r="B169" t="s">
        <v>27</v>
      </c>
      <c r="C169">
        <v>1031290.9288</v>
      </c>
      <c r="D169">
        <v>277066.29320000001</v>
      </c>
      <c r="E169">
        <v>105813.3974</v>
      </c>
      <c r="F169">
        <v>135205.89809999999</v>
      </c>
      <c r="G169">
        <v>230694.97409999999</v>
      </c>
      <c r="H169">
        <v>829063.45460000006</v>
      </c>
      <c r="I169">
        <v>2123.9128999999998</v>
      </c>
      <c r="J169">
        <v>1584.6005</v>
      </c>
      <c r="K169">
        <v>1634.7460000000001</v>
      </c>
      <c r="L169">
        <v>4135.6598000000004</v>
      </c>
      <c r="M169">
        <v>1594.7213999999999</v>
      </c>
    </row>
    <row r="170" spans="1:13" x14ac:dyDescent="0.25">
      <c r="A170" t="s">
        <v>52</v>
      </c>
      <c r="B170" t="s">
        <v>9</v>
      </c>
      <c r="C170" t="s">
        <v>105</v>
      </c>
      <c r="D170" t="s">
        <v>106</v>
      </c>
      <c r="E170" t="s">
        <v>107</v>
      </c>
      <c r="F170" t="s">
        <v>109</v>
      </c>
      <c r="G170" t="s">
        <v>111</v>
      </c>
      <c r="H170" t="s">
        <v>113</v>
      </c>
      <c r="I170" t="s">
        <v>115</v>
      </c>
      <c r="J170" t="s">
        <v>117</v>
      </c>
      <c r="K170" t="s">
        <v>119</v>
      </c>
      <c r="L170" t="s">
        <v>121</v>
      </c>
      <c r="M170" t="s">
        <v>123</v>
      </c>
    </row>
    <row r="171" spans="1:13" x14ac:dyDescent="0.25">
      <c r="B171" t="s">
        <v>11</v>
      </c>
      <c r="C171" t="s">
        <v>17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</row>
    <row r="172" spans="1:13" x14ac:dyDescent="0.25">
      <c r="B172" t="s">
        <v>22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</row>
    <row r="173" spans="1:13" x14ac:dyDescent="0.25">
      <c r="B173" t="s">
        <v>23</v>
      </c>
      <c r="C173">
        <v>35.097000000000001</v>
      </c>
      <c r="D173">
        <v>35.006999999999998</v>
      </c>
      <c r="E173">
        <v>35.064999999999998</v>
      </c>
      <c r="F173">
        <v>35.063000000000002</v>
      </c>
      <c r="G173">
        <v>35.216999999999999</v>
      </c>
      <c r="H173">
        <v>35.058999999999997</v>
      </c>
      <c r="I173">
        <v>34.906999999999996</v>
      </c>
      <c r="J173">
        <v>34.768000000000001</v>
      </c>
      <c r="K173">
        <v>35.22</v>
      </c>
      <c r="L173">
        <v>34.567999999999998</v>
      </c>
      <c r="M173">
        <v>35.088000000000001</v>
      </c>
    </row>
    <row r="174" spans="1:13" x14ac:dyDescent="0.25">
      <c r="B174" t="s">
        <v>24</v>
      </c>
      <c r="C174">
        <v>191</v>
      </c>
      <c r="D174">
        <v>11000112</v>
      </c>
      <c r="E174">
        <v>797</v>
      </c>
      <c r="F174">
        <v>475</v>
      </c>
      <c r="G174">
        <v>685</v>
      </c>
      <c r="H174">
        <v>1275</v>
      </c>
      <c r="I174">
        <v>231728</v>
      </c>
      <c r="J174">
        <v>0</v>
      </c>
      <c r="K174">
        <v>-45942</v>
      </c>
      <c r="L174">
        <v>2201594</v>
      </c>
      <c r="M174">
        <v>1971</v>
      </c>
    </row>
    <row r="175" spans="1:13" x14ac:dyDescent="0.25">
      <c r="B175" t="s">
        <v>25</v>
      </c>
      <c r="C175">
        <v>376</v>
      </c>
      <c r="D175">
        <v>37225151</v>
      </c>
      <c r="E175">
        <v>2829</v>
      </c>
      <c r="F175">
        <v>1771</v>
      </c>
      <c r="G175">
        <v>4034</v>
      </c>
      <c r="H175">
        <v>363</v>
      </c>
      <c r="I175">
        <v>14848336</v>
      </c>
      <c r="J175">
        <v>20796389</v>
      </c>
      <c r="K175">
        <v>21179334</v>
      </c>
      <c r="L175">
        <v>20101666</v>
      </c>
      <c r="M175">
        <v>18626997</v>
      </c>
    </row>
    <row r="176" spans="1:13" x14ac:dyDescent="0.25">
      <c r="B176" t="s">
        <v>26</v>
      </c>
      <c r="C176">
        <v>0.50919999999999999</v>
      </c>
      <c r="D176">
        <v>0.29549999999999998</v>
      </c>
      <c r="E176">
        <v>0.28179999999999999</v>
      </c>
      <c r="F176">
        <v>0.26800000000000002</v>
      </c>
      <c r="G176">
        <v>0.1699</v>
      </c>
      <c r="H176">
        <v>3.5158</v>
      </c>
      <c r="I176">
        <v>1.5599999999999999E-2</v>
      </c>
      <c r="J176">
        <v>0</v>
      </c>
      <c r="K176">
        <v>-2.2000000000000001E-3</v>
      </c>
      <c r="L176">
        <v>0.1095</v>
      </c>
      <c r="M176">
        <v>1E-4</v>
      </c>
    </row>
    <row r="177" spans="1:13" x14ac:dyDescent="0.25">
      <c r="B177" t="s">
        <v>27</v>
      </c>
      <c r="C177">
        <v>87107.756399999998</v>
      </c>
      <c r="D177">
        <v>50590.762300000002</v>
      </c>
      <c r="E177">
        <v>48245.590100000001</v>
      </c>
      <c r="F177">
        <v>45899.627</v>
      </c>
      <c r="G177">
        <v>29123.576799999999</v>
      </c>
      <c r="H177">
        <v>600869.33440000005</v>
      </c>
      <c r="I177">
        <v>2761.9609</v>
      </c>
      <c r="J177" t="s">
        <v>43</v>
      </c>
      <c r="K177">
        <v>0</v>
      </c>
      <c r="L177">
        <v>18810.503799999999</v>
      </c>
      <c r="M177">
        <v>113.223</v>
      </c>
    </row>
    <row r="178" spans="1:13" x14ac:dyDescent="0.25">
      <c r="A178" t="s">
        <v>53</v>
      </c>
      <c r="B178" t="s">
        <v>9</v>
      </c>
      <c r="C178" t="s">
        <v>105</v>
      </c>
      <c r="D178" t="s">
        <v>106</v>
      </c>
      <c r="E178" t="s">
        <v>107</v>
      </c>
      <c r="F178" t="s">
        <v>109</v>
      </c>
      <c r="G178" t="s">
        <v>111</v>
      </c>
      <c r="H178" t="s">
        <v>113</v>
      </c>
      <c r="I178" t="s">
        <v>115</v>
      </c>
      <c r="J178" t="s">
        <v>117</v>
      </c>
      <c r="K178" t="s">
        <v>119</v>
      </c>
      <c r="L178" t="s">
        <v>121</v>
      </c>
      <c r="M178" t="s">
        <v>123</v>
      </c>
    </row>
    <row r="179" spans="1:13" x14ac:dyDescent="0.25">
      <c r="B179" t="s">
        <v>11</v>
      </c>
      <c r="C179" t="s">
        <v>17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</row>
    <row r="180" spans="1:13" x14ac:dyDescent="0.25">
      <c r="B180" t="s">
        <v>22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</row>
    <row r="181" spans="1:13" x14ac:dyDescent="0.25">
      <c r="B181" t="s">
        <v>23</v>
      </c>
      <c r="C181">
        <v>36.737000000000002</v>
      </c>
      <c r="D181">
        <v>36.692999999999998</v>
      </c>
      <c r="E181">
        <v>36.741999999999997</v>
      </c>
      <c r="F181">
        <v>36.75</v>
      </c>
      <c r="G181">
        <v>36.771000000000001</v>
      </c>
      <c r="H181">
        <v>36.746000000000002</v>
      </c>
      <c r="I181">
        <v>36.593000000000004</v>
      </c>
      <c r="J181">
        <v>36.591000000000001</v>
      </c>
      <c r="K181">
        <v>36.579000000000001</v>
      </c>
      <c r="L181">
        <v>36.584000000000003</v>
      </c>
      <c r="M181">
        <v>36.761000000000003</v>
      </c>
    </row>
    <row r="182" spans="1:13" x14ac:dyDescent="0.25">
      <c r="B182" t="s">
        <v>24</v>
      </c>
      <c r="C182">
        <v>2049</v>
      </c>
      <c r="D182">
        <v>46637877</v>
      </c>
      <c r="E182">
        <v>13124</v>
      </c>
      <c r="F182">
        <v>1443</v>
      </c>
      <c r="G182">
        <v>3337</v>
      </c>
      <c r="H182">
        <v>1546</v>
      </c>
      <c r="I182">
        <v>662735</v>
      </c>
      <c r="J182">
        <v>7582575</v>
      </c>
      <c r="K182">
        <v>2094432</v>
      </c>
      <c r="L182">
        <v>4872236</v>
      </c>
      <c r="M182">
        <v>7145</v>
      </c>
    </row>
    <row r="183" spans="1:13" x14ac:dyDescent="0.25">
      <c r="B183" t="s">
        <v>25</v>
      </c>
      <c r="C183">
        <v>376</v>
      </c>
      <c r="D183">
        <v>37225151</v>
      </c>
      <c r="E183">
        <v>2829</v>
      </c>
      <c r="F183">
        <v>1771</v>
      </c>
      <c r="G183">
        <v>4034</v>
      </c>
      <c r="H183">
        <v>363</v>
      </c>
      <c r="I183">
        <v>14848336</v>
      </c>
      <c r="J183">
        <v>20796389</v>
      </c>
      <c r="K183">
        <v>21179334</v>
      </c>
      <c r="L183">
        <v>20101666</v>
      </c>
      <c r="M183">
        <v>18626997</v>
      </c>
    </row>
    <row r="184" spans="1:13" x14ac:dyDescent="0.25">
      <c r="B184" t="s">
        <v>26</v>
      </c>
      <c r="C184">
        <v>5.4561000000000002</v>
      </c>
      <c r="D184">
        <v>1.2528999999999999</v>
      </c>
      <c r="E184">
        <v>4.6384999999999996</v>
      </c>
      <c r="F184">
        <v>0.81469999999999998</v>
      </c>
      <c r="G184">
        <v>0.82730000000000004</v>
      </c>
      <c r="H184">
        <v>4.2630999999999997</v>
      </c>
      <c r="I184">
        <v>4.4600000000000001E-2</v>
      </c>
      <c r="J184">
        <v>0.36459999999999998</v>
      </c>
      <c r="K184">
        <v>9.8900000000000002E-2</v>
      </c>
      <c r="L184">
        <v>0.2424</v>
      </c>
      <c r="M184">
        <v>4.0000000000000002E-4</v>
      </c>
    </row>
    <row r="185" spans="1:13" x14ac:dyDescent="0.25">
      <c r="B185" t="s">
        <v>27</v>
      </c>
      <c r="C185">
        <v>472692.71389999997</v>
      </c>
      <c r="D185">
        <v>108725.69620000001</v>
      </c>
      <c r="E185">
        <v>401890.60920000001</v>
      </c>
      <c r="F185">
        <v>70784.648499999996</v>
      </c>
      <c r="G185">
        <v>71876.714500000002</v>
      </c>
      <c r="H185">
        <v>369386.1532</v>
      </c>
      <c r="I185">
        <v>4104.0790999999999</v>
      </c>
      <c r="J185">
        <v>31811.209800000001</v>
      </c>
      <c r="K185">
        <v>8802.2317999999996</v>
      </c>
      <c r="L185">
        <v>21227.137500000001</v>
      </c>
      <c r="M185">
        <v>272.42099999999999</v>
      </c>
    </row>
    <row r="186" spans="1:13" x14ac:dyDescent="0.25">
      <c r="A186" t="s">
        <v>54</v>
      </c>
      <c r="B186" t="s">
        <v>9</v>
      </c>
      <c r="C186" t="s">
        <v>105</v>
      </c>
      <c r="D186" t="s">
        <v>106</v>
      </c>
      <c r="E186" t="s">
        <v>107</v>
      </c>
      <c r="F186" t="s">
        <v>109</v>
      </c>
      <c r="G186" t="s">
        <v>111</v>
      </c>
      <c r="H186" t="s">
        <v>113</v>
      </c>
      <c r="I186" t="s">
        <v>115</v>
      </c>
      <c r="J186" t="s">
        <v>117</v>
      </c>
      <c r="K186" t="s">
        <v>119</v>
      </c>
      <c r="L186" t="s">
        <v>121</v>
      </c>
      <c r="M186" t="s">
        <v>123</v>
      </c>
    </row>
    <row r="187" spans="1:13" x14ac:dyDescent="0.25">
      <c r="B187" t="s">
        <v>11</v>
      </c>
      <c r="C187" t="s">
        <v>17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</row>
    <row r="188" spans="1:13" x14ac:dyDescent="0.25">
      <c r="B188" t="s">
        <v>22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</row>
    <row r="189" spans="1:13" x14ac:dyDescent="0.25">
      <c r="B189" t="s">
        <v>23</v>
      </c>
      <c r="C189">
        <v>37.487000000000002</v>
      </c>
      <c r="D189">
        <v>37.375999999999998</v>
      </c>
      <c r="E189">
        <v>37.427</v>
      </c>
      <c r="F189">
        <v>37.44</v>
      </c>
      <c r="G189">
        <v>37.436</v>
      </c>
      <c r="H189">
        <v>37.411999999999999</v>
      </c>
      <c r="I189">
        <v>37.518000000000001</v>
      </c>
      <c r="J189">
        <v>37.396000000000001</v>
      </c>
      <c r="K189">
        <v>37.389000000000003</v>
      </c>
      <c r="L189">
        <v>37.375</v>
      </c>
      <c r="M189">
        <v>37.44</v>
      </c>
    </row>
    <row r="190" spans="1:13" x14ac:dyDescent="0.25">
      <c r="B190" t="s">
        <v>24</v>
      </c>
      <c r="C190">
        <v>974</v>
      </c>
      <c r="D190">
        <v>33211524</v>
      </c>
      <c r="E190">
        <v>1452</v>
      </c>
      <c r="F190">
        <v>1906</v>
      </c>
      <c r="G190">
        <v>597</v>
      </c>
      <c r="H190">
        <v>2609</v>
      </c>
      <c r="I190">
        <v>5804607</v>
      </c>
      <c r="J190">
        <v>-55904</v>
      </c>
      <c r="K190">
        <v>-491</v>
      </c>
      <c r="L190">
        <v>-838</v>
      </c>
      <c r="M190">
        <v>12608</v>
      </c>
    </row>
    <row r="191" spans="1:13" x14ac:dyDescent="0.25">
      <c r="B191" t="s">
        <v>25</v>
      </c>
      <c r="C191">
        <v>376</v>
      </c>
      <c r="D191">
        <v>37225151</v>
      </c>
      <c r="E191">
        <v>2829</v>
      </c>
      <c r="F191">
        <v>1771</v>
      </c>
      <c r="G191">
        <v>4034</v>
      </c>
      <c r="H191">
        <v>363</v>
      </c>
      <c r="I191">
        <v>14848336</v>
      </c>
      <c r="J191">
        <v>20796389</v>
      </c>
      <c r="K191">
        <v>21179334</v>
      </c>
      <c r="L191">
        <v>20101666</v>
      </c>
      <c r="M191">
        <v>18626997</v>
      </c>
    </row>
    <row r="192" spans="1:13" x14ac:dyDescent="0.25">
      <c r="B192" t="s">
        <v>26</v>
      </c>
      <c r="C192">
        <v>2.5924999999999998</v>
      </c>
      <c r="D192">
        <v>0.89219999999999999</v>
      </c>
      <c r="E192">
        <v>0.5131</v>
      </c>
      <c r="F192">
        <v>1.0762</v>
      </c>
      <c r="G192">
        <v>0.1479</v>
      </c>
      <c r="H192">
        <v>7.1971999999999996</v>
      </c>
      <c r="I192">
        <v>0.39090000000000003</v>
      </c>
      <c r="J192">
        <v>-2.7000000000000001E-3</v>
      </c>
      <c r="K192">
        <v>0</v>
      </c>
      <c r="L192">
        <v>0</v>
      </c>
      <c r="M192">
        <v>6.9999999999999999E-4</v>
      </c>
    </row>
    <row r="193" spans="1:13" x14ac:dyDescent="0.25">
      <c r="B193" t="s">
        <v>27</v>
      </c>
      <c r="C193">
        <v>205393.96549999999</v>
      </c>
      <c r="D193">
        <v>70959.859299999996</v>
      </c>
      <c r="E193">
        <v>40990.186500000003</v>
      </c>
      <c r="F193">
        <v>85510.205199999997</v>
      </c>
      <c r="G193">
        <v>12111.099200000001</v>
      </c>
      <c r="H193">
        <v>569473.20140000002</v>
      </c>
      <c r="I193">
        <v>31327.736400000002</v>
      </c>
      <c r="J193">
        <v>206.18039999999999</v>
      </c>
      <c r="K193">
        <v>416.89240000000001</v>
      </c>
      <c r="L193">
        <v>415.42880000000002</v>
      </c>
      <c r="M193">
        <v>472.24079999999998</v>
      </c>
    </row>
    <row r="194" spans="1:13" x14ac:dyDescent="0.25">
      <c r="A194" t="s">
        <v>55</v>
      </c>
      <c r="B194" t="s">
        <v>9</v>
      </c>
      <c r="C194" t="s">
        <v>105</v>
      </c>
      <c r="D194" t="s">
        <v>106</v>
      </c>
      <c r="E194" t="s">
        <v>107</v>
      </c>
      <c r="F194" t="s">
        <v>109</v>
      </c>
      <c r="G194" t="s">
        <v>111</v>
      </c>
      <c r="H194" t="s">
        <v>113</v>
      </c>
      <c r="I194" t="s">
        <v>115</v>
      </c>
      <c r="J194" t="s">
        <v>117</v>
      </c>
      <c r="K194" t="s">
        <v>119</v>
      </c>
      <c r="L194" t="s">
        <v>121</v>
      </c>
      <c r="M194" t="s">
        <v>123</v>
      </c>
    </row>
    <row r="195" spans="1:13" x14ac:dyDescent="0.25">
      <c r="B195" t="s">
        <v>11</v>
      </c>
      <c r="C195" t="s">
        <v>17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</row>
    <row r="196" spans="1:13" x14ac:dyDescent="0.25">
      <c r="B196" t="s">
        <v>22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</row>
    <row r="197" spans="1:13" x14ac:dyDescent="0.25">
      <c r="B197" t="s">
        <v>23</v>
      </c>
      <c r="C197">
        <v>37.686</v>
      </c>
      <c r="D197">
        <v>37.612000000000002</v>
      </c>
      <c r="E197">
        <v>37.685000000000002</v>
      </c>
      <c r="F197">
        <v>37.706000000000003</v>
      </c>
      <c r="G197">
        <v>37.651000000000003</v>
      </c>
      <c r="H197">
        <v>37.505000000000003</v>
      </c>
      <c r="I197">
        <v>37.526000000000003</v>
      </c>
      <c r="J197">
        <v>37.539000000000001</v>
      </c>
      <c r="K197">
        <v>37.518999999999998</v>
      </c>
      <c r="L197">
        <v>37.533000000000001</v>
      </c>
      <c r="M197">
        <v>37.719000000000001</v>
      </c>
    </row>
    <row r="198" spans="1:13" x14ac:dyDescent="0.25">
      <c r="B198" t="s">
        <v>24</v>
      </c>
      <c r="C198">
        <v>1310</v>
      </c>
      <c r="D198">
        <v>50684681</v>
      </c>
      <c r="E198">
        <v>5026</v>
      </c>
      <c r="F198">
        <v>1198</v>
      </c>
      <c r="G198">
        <v>1298</v>
      </c>
      <c r="H198">
        <v>3491</v>
      </c>
      <c r="I198">
        <v>11543165</v>
      </c>
      <c r="J198">
        <v>23005708</v>
      </c>
      <c r="K198">
        <v>15139406</v>
      </c>
      <c r="L198">
        <v>23570412</v>
      </c>
      <c r="M198">
        <v>1147</v>
      </c>
    </row>
    <row r="199" spans="1:13" x14ac:dyDescent="0.25">
      <c r="B199" t="s">
        <v>25</v>
      </c>
      <c r="C199">
        <v>376</v>
      </c>
      <c r="D199">
        <v>37225151</v>
      </c>
      <c r="E199">
        <v>2829</v>
      </c>
      <c r="F199">
        <v>1771</v>
      </c>
      <c r="G199">
        <v>4034</v>
      </c>
      <c r="H199">
        <v>363</v>
      </c>
      <c r="I199">
        <v>14848336</v>
      </c>
      <c r="J199">
        <v>20796389</v>
      </c>
      <c r="K199">
        <v>21179334</v>
      </c>
      <c r="L199">
        <v>20101666</v>
      </c>
      <c r="M199">
        <v>18626997</v>
      </c>
    </row>
    <row r="200" spans="1:13" x14ac:dyDescent="0.25">
      <c r="B200" t="s">
        <v>26</v>
      </c>
      <c r="C200">
        <v>3.4889000000000001</v>
      </c>
      <c r="D200">
        <v>1.3615999999999999</v>
      </c>
      <c r="E200">
        <v>1.7763</v>
      </c>
      <c r="F200">
        <v>0.6764</v>
      </c>
      <c r="G200">
        <v>0.32179999999999997</v>
      </c>
      <c r="H200">
        <v>9.6287000000000003</v>
      </c>
      <c r="I200">
        <v>0.77739999999999998</v>
      </c>
      <c r="J200">
        <v>1.1062000000000001</v>
      </c>
      <c r="K200">
        <v>0.71479999999999999</v>
      </c>
      <c r="L200">
        <v>1.1726000000000001</v>
      </c>
      <c r="M200">
        <v>1E-4</v>
      </c>
    </row>
    <row r="201" spans="1:13" x14ac:dyDescent="0.25">
      <c r="B201" t="s">
        <v>27</v>
      </c>
      <c r="C201">
        <v>654709.43489999999</v>
      </c>
      <c r="D201">
        <v>255833.58100000001</v>
      </c>
      <c r="E201">
        <v>333591.18800000002</v>
      </c>
      <c r="F201">
        <v>127375.2308</v>
      </c>
      <c r="G201">
        <v>60873.054199999999</v>
      </c>
      <c r="H201">
        <v>1805895.7235000001</v>
      </c>
      <c r="I201">
        <v>146304.3731</v>
      </c>
      <c r="J201">
        <v>207959.0986</v>
      </c>
      <c r="K201">
        <v>134569.91310000001</v>
      </c>
      <c r="L201">
        <v>220394.7077</v>
      </c>
      <c r="M201">
        <v>555.16780000000006</v>
      </c>
    </row>
    <row r="202" spans="1:13" x14ac:dyDescent="0.25">
      <c r="A202" t="s">
        <v>56</v>
      </c>
      <c r="B202" t="s">
        <v>9</v>
      </c>
      <c r="C202" t="s">
        <v>105</v>
      </c>
      <c r="D202" t="s">
        <v>106</v>
      </c>
      <c r="E202" t="s">
        <v>107</v>
      </c>
      <c r="F202" t="s">
        <v>109</v>
      </c>
      <c r="G202" t="s">
        <v>111</v>
      </c>
      <c r="H202" t="s">
        <v>113</v>
      </c>
      <c r="I202" t="s">
        <v>115</v>
      </c>
      <c r="J202" t="s">
        <v>117</v>
      </c>
      <c r="K202" t="s">
        <v>119</v>
      </c>
      <c r="L202" t="s">
        <v>121</v>
      </c>
      <c r="M202" t="s">
        <v>123</v>
      </c>
    </row>
    <row r="203" spans="1:13" x14ac:dyDescent="0.25">
      <c r="B203" t="s">
        <v>11</v>
      </c>
      <c r="C203" t="s">
        <v>17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</row>
    <row r="204" spans="1:13" x14ac:dyDescent="0.25">
      <c r="B204" t="s">
        <v>22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</row>
    <row r="205" spans="1:13" x14ac:dyDescent="0.25">
      <c r="B205" t="s">
        <v>23</v>
      </c>
      <c r="C205">
        <v>39.023000000000003</v>
      </c>
      <c r="D205">
        <v>38.938000000000002</v>
      </c>
      <c r="E205">
        <v>39.027999999999999</v>
      </c>
      <c r="F205">
        <v>38.999000000000002</v>
      </c>
      <c r="G205">
        <v>39.005000000000003</v>
      </c>
      <c r="H205">
        <v>39.009</v>
      </c>
      <c r="I205">
        <v>39.789000000000001</v>
      </c>
      <c r="J205">
        <v>39.661999999999999</v>
      </c>
      <c r="K205">
        <v>39.659999999999997</v>
      </c>
      <c r="L205">
        <v>39.683</v>
      </c>
      <c r="M205">
        <v>39.000999999999998</v>
      </c>
    </row>
    <row r="206" spans="1:13" x14ac:dyDescent="0.25">
      <c r="B206" t="s">
        <v>24</v>
      </c>
      <c r="C206">
        <v>426</v>
      </c>
      <c r="D206">
        <v>32845294</v>
      </c>
      <c r="E206">
        <v>982</v>
      </c>
      <c r="F206">
        <v>1032</v>
      </c>
      <c r="G206">
        <v>716</v>
      </c>
      <c r="H206">
        <v>1910</v>
      </c>
      <c r="I206">
        <v>2248890</v>
      </c>
      <c r="J206">
        <v>-1596</v>
      </c>
      <c r="K206">
        <v>-10801</v>
      </c>
      <c r="L206">
        <v>62685</v>
      </c>
      <c r="M206">
        <v>861</v>
      </c>
    </row>
    <row r="207" spans="1:13" x14ac:dyDescent="0.25">
      <c r="B207" t="s">
        <v>25</v>
      </c>
      <c r="C207">
        <v>376</v>
      </c>
      <c r="D207">
        <v>37225151</v>
      </c>
      <c r="E207">
        <v>2829</v>
      </c>
      <c r="F207">
        <v>1771</v>
      </c>
      <c r="G207">
        <v>4034</v>
      </c>
      <c r="H207">
        <v>363</v>
      </c>
      <c r="I207">
        <v>14848336</v>
      </c>
      <c r="J207">
        <v>20796389</v>
      </c>
      <c r="K207">
        <v>21179334</v>
      </c>
      <c r="L207">
        <v>20101666</v>
      </c>
      <c r="M207">
        <v>18626997</v>
      </c>
    </row>
    <row r="208" spans="1:13" x14ac:dyDescent="0.25">
      <c r="B208" t="s">
        <v>26</v>
      </c>
      <c r="C208">
        <v>1.1355</v>
      </c>
      <c r="D208">
        <v>0.88229999999999997</v>
      </c>
      <c r="E208">
        <v>0.34720000000000001</v>
      </c>
      <c r="F208">
        <v>0.5827</v>
      </c>
      <c r="G208">
        <v>0.17749999999999999</v>
      </c>
      <c r="H208">
        <v>5.2691999999999997</v>
      </c>
      <c r="I208">
        <v>0.1515</v>
      </c>
      <c r="J208">
        <v>-1E-4</v>
      </c>
      <c r="K208">
        <v>-5.0000000000000001E-4</v>
      </c>
      <c r="L208">
        <v>3.0999999999999999E-3</v>
      </c>
      <c r="M208">
        <v>0</v>
      </c>
    </row>
    <row r="209" spans="1:13" x14ac:dyDescent="0.25">
      <c r="B209" t="s">
        <v>27</v>
      </c>
      <c r="C209">
        <v>90182.918699999995</v>
      </c>
      <c r="D209">
        <v>79404.540900000007</v>
      </c>
      <c r="E209">
        <v>49465.142200000002</v>
      </c>
      <c r="F209">
        <v>64368.114399999999</v>
      </c>
      <c r="G209">
        <v>35022.438900000001</v>
      </c>
      <c r="H209">
        <v>194995.90299999999</v>
      </c>
      <c r="I209">
        <v>32247.192500000001</v>
      </c>
      <c r="J209" t="s">
        <v>43</v>
      </c>
      <c r="K209" t="s">
        <v>43</v>
      </c>
      <c r="L209" t="s">
        <v>43</v>
      </c>
      <c r="M209" t="s">
        <v>43</v>
      </c>
    </row>
    <row r="210" spans="1:13" x14ac:dyDescent="0.25">
      <c r="A210" t="s">
        <v>57</v>
      </c>
      <c r="B210" t="s">
        <v>9</v>
      </c>
      <c r="C210" t="s">
        <v>105</v>
      </c>
      <c r="D210" t="s">
        <v>106</v>
      </c>
      <c r="E210" t="s">
        <v>107</v>
      </c>
      <c r="F210" t="s">
        <v>109</v>
      </c>
      <c r="G210" t="s">
        <v>111</v>
      </c>
      <c r="H210" t="s">
        <v>113</v>
      </c>
      <c r="I210" t="s">
        <v>115</v>
      </c>
      <c r="J210" t="s">
        <v>117</v>
      </c>
      <c r="K210" t="s">
        <v>119</v>
      </c>
      <c r="L210" t="s">
        <v>121</v>
      </c>
      <c r="M210" t="s">
        <v>123</v>
      </c>
    </row>
    <row r="211" spans="1:13" x14ac:dyDescent="0.25">
      <c r="B211" t="s">
        <v>11</v>
      </c>
      <c r="C211" t="s">
        <v>17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</row>
    <row r="212" spans="1:13" x14ac:dyDescent="0.25">
      <c r="B212" t="s">
        <v>22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</row>
    <row r="213" spans="1:13" x14ac:dyDescent="0.25">
      <c r="B213" t="s">
        <v>23</v>
      </c>
      <c r="C213">
        <v>39.444000000000003</v>
      </c>
      <c r="D213">
        <v>39.396999999999998</v>
      </c>
      <c r="E213">
        <v>39.463000000000001</v>
      </c>
      <c r="F213">
        <v>39.445999999999998</v>
      </c>
      <c r="G213">
        <v>39.447000000000003</v>
      </c>
      <c r="H213">
        <v>39.429000000000002</v>
      </c>
      <c r="I213">
        <v>39.771000000000001</v>
      </c>
      <c r="J213">
        <v>39.423999999999999</v>
      </c>
      <c r="K213">
        <v>39.238</v>
      </c>
      <c r="L213">
        <v>39.671999999999997</v>
      </c>
      <c r="M213">
        <v>39.457000000000001</v>
      </c>
    </row>
    <row r="214" spans="1:13" x14ac:dyDescent="0.25">
      <c r="B214" t="s">
        <v>24</v>
      </c>
      <c r="C214">
        <v>169</v>
      </c>
      <c r="D214">
        <v>103389657</v>
      </c>
      <c r="E214">
        <v>219</v>
      </c>
      <c r="F214">
        <v>1084</v>
      </c>
      <c r="G214">
        <v>1681</v>
      </c>
      <c r="H214">
        <v>791</v>
      </c>
      <c r="I214">
        <v>228329</v>
      </c>
      <c r="J214">
        <v>35</v>
      </c>
      <c r="K214">
        <v>20033</v>
      </c>
      <c r="L214">
        <v>-335</v>
      </c>
      <c r="M214">
        <v>1941</v>
      </c>
    </row>
    <row r="215" spans="1:13" x14ac:dyDescent="0.25">
      <c r="B215" t="s">
        <v>25</v>
      </c>
      <c r="C215">
        <v>376</v>
      </c>
      <c r="D215">
        <v>37225151</v>
      </c>
      <c r="E215">
        <v>2829</v>
      </c>
      <c r="F215">
        <v>1771</v>
      </c>
      <c r="G215">
        <v>4034</v>
      </c>
      <c r="H215">
        <v>363</v>
      </c>
      <c r="I215">
        <v>14848336</v>
      </c>
      <c r="J215">
        <v>20796389</v>
      </c>
      <c r="K215">
        <v>21179334</v>
      </c>
      <c r="L215">
        <v>20101666</v>
      </c>
      <c r="M215">
        <v>18626997</v>
      </c>
    </row>
    <row r="216" spans="1:13" x14ac:dyDescent="0.25">
      <c r="B216" t="s">
        <v>26</v>
      </c>
      <c r="C216">
        <v>0.44890000000000002</v>
      </c>
      <c r="D216">
        <v>2.7774000000000001</v>
      </c>
      <c r="E216">
        <v>7.7499999999999999E-2</v>
      </c>
      <c r="F216">
        <v>0.61219999999999997</v>
      </c>
      <c r="G216">
        <v>0.41670000000000001</v>
      </c>
      <c r="H216">
        <v>2.1804999999999999</v>
      </c>
      <c r="I216">
        <v>1.54E-2</v>
      </c>
      <c r="J216">
        <v>0</v>
      </c>
      <c r="K216">
        <v>8.9999999999999998E-4</v>
      </c>
      <c r="L216">
        <v>0</v>
      </c>
      <c r="M216">
        <v>1E-4</v>
      </c>
    </row>
    <row r="217" spans="1:13" x14ac:dyDescent="0.25">
      <c r="B217" t="s">
        <v>27</v>
      </c>
      <c r="C217">
        <v>19160.971300000001</v>
      </c>
      <c r="D217">
        <v>120353.7188</v>
      </c>
      <c r="E217">
        <v>3021.2251999999999</v>
      </c>
      <c r="F217">
        <v>26257.147300000001</v>
      </c>
      <c r="G217">
        <v>17763.305700000001</v>
      </c>
      <c r="H217">
        <v>94414.819199999998</v>
      </c>
      <c r="I217">
        <v>322.9982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t="s">
        <v>58</v>
      </c>
      <c r="B218" t="s">
        <v>9</v>
      </c>
      <c r="C218" t="s">
        <v>105</v>
      </c>
      <c r="D218" t="s">
        <v>106</v>
      </c>
      <c r="E218" t="s">
        <v>107</v>
      </c>
      <c r="F218" t="s">
        <v>109</v>
      </c>
      <c r="G218" t="s">
        <v>111</v>
      </c>
      <c r="H218" t="s">
        <v>113</v>
      </c>
      <c r="I218" t="s">
        <v>115</v>
      </c>
      <c r="J218" t="s">
        <v>117</v>
      </c>
      <c r="K218" t="s">
        <v>119</v>
      </c>
      <c r="L218" t="s">
        <v>121</v>
      </c>
      <c r="M218" t="s">
        <v>123</v>
      </c>
    </row>
    <row r="219" spans="1:13" x14ac:dyDescent="0.25">
      <c r="B219" t="s">
        <v>11</v>
      </c>
      <c r="C219" t="s">
        <v>17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</row>
    <row r="220" spans="1:13" x14ac:dyDescent="0.25">
      <c r="B220" t="s">
        <v>22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30</v>
      </c>
    </row>
    <row r="221" spans="1:13" x14ac:dyDescent="0.25">
      <c r="B221" t="s">
        <v>23</v>
      </c>
      <c r="C221">
        <v>39.947000000000003</v>
      </c>
      <c r="D221">
        <v>39.866</v>
      </c>
      <c r="E221">
        <v>39.932000000000002</v>
      </c>
      <c r="F221">
        <v>39.890999999999998</v>
      </c>
      <c r="G221">
        <v>39.94</v>
      </c>
      <c r="H221">
        <v>39.901000000000003</v>
      </c>
      <c r="I221">
        <v>39.776000000000003</v>
      </c>
      <c r="J221">
        <v>39.793999999999997</v>
      </c>
      <c r="K221">
        <v>39.784999999999997</v>
      </c>
      <c r="L221">
        <v>39.786999999999999</v>
      </c>
      <c r="M221">
        <v>39.947000000000003</v>
      </c>
    </row>
    <row r="222" spans="1:13" x14ac:dyDescent="0.25">
      <c r="B222" t="s">
        <v>24</v>
      </c>
      <c r="C222">
        <v>1621</v>
      </c>
      <c r="D222">
        <v>20362452</v>
      </c>
      <c r="E222">
        <v>2521</v>
      </c>
      <c r="F222">
        <v>2314</v>
      </c>
      <c r="G222">
        <v>1628</v>
      </c>
      <c r="H222">
        <v>1081</v>
      </c>
      <c r="I222">
        <v>3406005</v>
      </c>
      <c r="J222">
        <v>8013629</v>
      </c>
      <c r="K222">
        <v>3714156</v>
      </c>
      <c r="L222">
        <v>7831410</v>
      </c>
      <c r="M222">
        <v>2327</v>
      </c>
    </row>
    <row r="223" spans="1:13" x14ac:dyDescent="0.25">
      <c r="B223" t="s">
        <v>25</v>
      </c>
      <c r="C223">
        <v>376</v>
      </c>
      <c r="D223">
        <v>37225151</v>
      </c>
      <c r="E223">
        <v>2829</v>
      </c>
      <c r="F223">
        <v>1771</v>
      </c>
      <c r="G223">
        <v>4034</v>
      </c>
      <c r="H223">
        <v>363</v>
      </c>
      <c r="I223">
        <v>14848336</v>
      </c>
      <c r="J223">
        <v>20796389</v>
      </c>
      <c r="K223">
        <v>21179334</v>
      </c>
      <c r="L223">
        <v>20101666</v>
      </c>
      <c r="M223">
        <v>18626997</v>
      </c>
    </row>
    <row r="224" spans="1:13" x14ac:dyDescent="0.25">
      <c r="B224" t="s">
        <v>26</v>
      </c>
      <c r="C224">
        <v>4.3167</v>
      </c>
      <c r="D224">
        <v>0.54700000000000004</v>
      </c>
      <c r="E224">
        <v>0.8911</v>
      </c>
      <c r="F224">
        <v>1.3067</v>
      </c>
      <c r="G224">
        <v>0.4037</v>
      </c>
      <c r="H224">
        <v>2.9819</v>
      </c>
      <c r="I224">
        <v>0.22939999999999999</v>
      </c>
      <c r="J224">
        <v>0.38529999999999998</v>
      </c>
      <c r="K224">
        <v>0.1754</v>
      </c>
      <c r="L224">
        <v>0.3896</v>
      </c>
      <c r="M224">
        <v>1E-4</v>
      </c>
    </row>
    <row r="225" spans="1:13" x14ac:dyDescent="0.25">
      <c r="B225" t="s">
        <v>27</v>
      </c>
      <c r="C225">
        <v>568660.49010000005</v>
      </c>
      <c r="D225">
        <v>172613.17509999999</v>
      </c>
      <c r="E225">
        <v>232301.22210000001</v>
      </c>
      <c r="F225">
        <v>290952.56760000001</v>
      </c>
      <c r="G225">
        <v>142518.84080000001</v>
      </c>
      <c r="H225">
        <v>464151.07569999999</v>
      </c>
      <c r="I225">
        <v>98202.708400000003</v>
      </c>
      <c r="J225">
        <v>138334.2598</v>
      </c>
      <c r="K225">
        <v>81596.109400000001</v>
      </c>
      <c r="L225">
        <v>139313.0478</v>
      </c>
      <c r="M225">
        <v>611.62099999999998</v>
      </c>
    </row>
    <row r="226" spans="1:13" x14ac:dyDescent="0.25">
      <c r="A226" t="s">
        <v>59</v>
      </c>
      <c r="B226" t="s">
        <v>9</v>
      </c>
      <c r="C226" t="s">
        <v>105</v>
      </c>
      <c r="D226" t="s">
        <v>106</v>
      </c>
      <c r="E226" t="s">
        <v>107</v>
      </c>
      <c r="F226" t="s">
        <v>109</v>
      </c>
      <c r="G226" t="s">
        <v>111</v>
      </c>
      <c r="H226" t="s">
        <v>113</v>
      </c>
      <c r="I226" t="s">
        <v>115</v>
      </c>
      <c r="J226" t="s">
        <v>117</v>
      </c>
      <c r="K226" t="s">
        <v>119</v>
      </c>
      <c r="L226" t="s">
        <v>121</v>
      </c>
      <c r="M226" t="s">
        <v>123</v>
      </c>
    </row>
    <row r="227" spans="1:13" x14ac:dyDescent="0.25">
      <c r="B227" t="s">
        <v>11</v>
      </c>
      <c r="C227" t="s">
        <v>17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</row>
    <row r="228" spans="1:13" x14ac:dyDescent="0.25">
      <c r="B228" t="s">
        <v>22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</row>
    <row r="229" spans="1:13" x14ac:dyDescent="0.25">
      <c r="B229" t="s">
        <v>23</v>
      </c>
      <c r="C229">
        <v>44.027000000000001</v>
      </c>
      <c r="D229">
        <v>44.472000000000001</v>
      </c>
      <c r="E229">
        <v>44.923000000000002</v>
      </c>
      <c r="F229">
        <v>44.96</v>
      </c>
      <c r="G229">
        <v>44.536999999999999</v>
      </c>
      <c r="H229">
        <v>44.537999999999997</v>
      </c>
      <c r="I229">
        <v>44.92</v>
      </c>
      <c r="J229">
        <v>45.061999999999998</v>
      </c>
      <c r="K229">
        <v>44.65</v>
      </c>
      <c r="L229">
        <v>44.820999999999998</v>
      </c>
      <c r="M229">
        <v>44.753999999999998</v>
      </c>
    </row>
    <row r="230" spans="1:13" x14ac:dyDescent="0.25">
      <c r="B230" t="s">
        <v>24</v>
      </c>
      <c r="C230">
        <v>7092</v>
      </c>
      <c r="D230">
        <v>28164729</v>
      </c>
      <c r="E230">
        <v>5692</v>
      </c>
      <c r="F230">
        <v>24461</v>
      </c>
      <c r="G230">
        <v>3639</v>
      </c>
      <c r="H230">
        <v>8593</v>
      </c>
      <c r="I230">
        <v>253346</v>
      </c>
      <c r="J230">
        <v>19050</v>
      </c>
      <c r="K230">
        <v>13203</v>
      </c>
      <c r="L230">
        <v>289</v>
      </c>
      <c r="M230">
        <v>-407</v>
      </c>
    </row>
    <row r="231" spans="1:13" x14ac:dyDescent="0.25">
      <c r="B231" t="s">
        <v>25</v>
      </c>
      <c r="C231">
        <v>376</v>
      </c>
      <c r="D231">
        <v>37225151</v>
      </c>
      <c r="E231">
        <v>2829</v>
      </c>
      <c r="F231">
        <v>1771</v>
      </c>
      <c r="G231">
        <v>4034</v>
      </c>
      <c r="H231">
        <v>363</v>
      </c>
      <c r="I231">
        <v>14848336</v>
      </c>
      <c r="J231">
        <v>20796389</v>
      </c>
      <c r="K231">
        <v>21179334</v>
      </c>
      <c r="L231">
        <v>20101666</v>
      </c>
      <c r="M231">
        <v>18626997</v>
      </c>
    </row>
    <row r="232" spans="1:13" x14ac:dyDescent="0.25">
      <c r="B232" t="s">
        <v>26</v>
      </c>
      <c r="C232">
        <v>18.884399999999999</v>
      </c>
      <c r="D232">
        <v>0.75660000000000005</v>
      </c>
      <c r="E232">
        <v>2.0116999999999998</v>
      </c>
      <c r="F232">
        <v>13.814399999999999</v>
      </c>
      <c r="G232">
        <v>0.90210000000000001</v>
      </c>
      <c r="H232">
        <v>23.6998</v>
      </c>
      <c r="I232">
        <v>1.7100000000000001E-2</v>
      </c>
      <c r="J232">
        <v>8.9999999999999998E-4</v>
      </c>
      <c r="K232">
        <v>5.9999999999999995E-4</v>
      </c>
      <c r="L232">
        <v>0</v>
      </c>
      <c r="M232">
        <v>0</v>
      </c>
    </row>
    <row r="233" spans="1:13" x14ac:dyDescent="0.25">
      <c r="B233" t="s">
        <v>27</v>
      </c>
      <c r="C233">
        <v>4050251.5249000001</v>
      </c>
      <c r="D233">
        <v>161085.6642</v>
      </c>
      <c r="E233">
        <v>430364.34899999999</v>
      </c>
      <c r="F233">
        <v>2962529.0655</v>
      </c>
      <c r="G233">
        <v>192302.60690000001</v>
      </c>
      <c r="H233">
        <v>5083364.6566000003</v>
      </c>
      <c r="I233">
        <v>2422.9315000000001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t="s">
        <v>60</v>
      </c>
      <c r="B234" t="s">
        <v>9</v>
      </c>
      <c r="C234" t="s">
        <v>105</v>
      </c>
      <c r="D234" t="s">
        <v>106</v>
      </c>
      <c r="E234" t="s">
        <v>107</v>
      </c>
      <c r="F234" t="s">
        <v>109</v>
      </c>
      <c r="G234" t="s">
        <v>111</v>
      </c>
      <c r="H234" t="s">
        <v>113</v>
      </c>
      <c r="I234" t="s">
        <v>115</v>
      </c>
      <c r="J234" t="s">
        <v>117</v>
      </c>
      <c r="K234" t="s">
        <v>119</v>
      </c>
      <c r="L234" t="s">
        <v>121</v>
      </c>
      <c r="M234" t="s">
        <v>123</v>
      </c>
    </row>
    <row r="235" spans="1:13" x14ac:dyDescent="0.25">
      <c r="B235" t="s">
        <v>11</v>
      </c>
      <c r="C235" t="s">
        <v>17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</row>
    <row r="236" spans="1:13" x14ac:dyDescent="0.25">
      <c r="B236" t="s">
        <v>22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</row>
    <row r="237" spans="1:13" x14ac:dyDescent="0.25">
      <c r="B237" t="s">
        <v>23</v>
      </c>
      <c r="C237">
        <v>45.167999999999999</v>
      </c>
      <c r="D237">
        <v>45.107999999999997</v>
      </c>
      <c r="E237">
        <v>45.18</v>
      </c>
      <c r="F237">
        <v>45.195</v>
      </c>
      <c r="G237">
        <v>45.131999999999998</v>
      </c>
      <c r="H237">
        <v>45.204000000000001</v>
      </c>
      <c r="I237">
        <v>44.965000000000003</v>
      </c>
      <c r="J237">
        <v>44.972000000000001</v>
      </c>
      <c r="K237">
        <v>44.984000000000002</v>
      </c>
      <c r="L237">
        <v>44.981000000000002</v>
      </c>
      <c r="M237">
        <v>44.981000000000002</v>
      </c>
    </row>
    <row r="238" spans="1:13" x14ac:dyDescent="0.25">
      <c r="B238" t="s">
        <v>24</v>
      </c>
      <c r="C238">
        <v>721</v>
      </c>
      <c r="D238">
        <v>26706273</v>
      </c>
      <c r="E238">
        <v>489</v>
      </c>
      <c r="F238">
        <v>927</v>
      </c>
      <c r="G238">
        <v>2625</v>
      </c>
      <c r="H238">
        <v>3406</v>
      </c>
      <c r="I238">
        <v>1283694</v>
      </c>
      <c r="J238">
        <v>4396593</v>
      </c>
      <c r="K238">
        <v>4070976</v>
      </c>
      <c r="L238">
        <v>3212661</v>
      </c>
      <c r="M238">
        <v>5803204</v>
      </c>
    </row>
    <row r="239" spans="1:13" x14ac:dyDescent="0.25">
      <c r="B239" t="s">
        <v>25</v>
      </c>
      <c r="C239">
        <v>376</v>
      </c>
      <c r="D239">
        <v>37225151</v>
      </c>
      <c r="E239">
        <v>2829</v>
      </c>
      <c r="F239">
        <v>1771</v>
      </c>
      <c r="G239">
        <v>4034</v>
      </c>
      <c r="H239">
        <v>363</v>
      </c>
      <c r="I239">
        <v>14848336</v>
      </c>
      <c r="J239">
        <v>20796389</v>
      </c>
      <c r="K239">
        <v>21179334</v>
      </c>
      <c r="L239">
        <v>20101666</v>
      </c>
      <c r="M239">
        <v>18626997</v>
      </c>
    </row>
    <row r="240" spans="1:13" x14ac:dyDescent="0.25">
      <c r="B240" t="s">
        <v>26</v>
      </c>
      <c r="C240">
        <v>1.9198999999999999</v>
      </c>
      <c r="D240">
        <v>0.71740000000000004</v>
      </c>
      <c r="E240">
        <v>0.17269999999999999</v>
      </c>
      <c r="F240">
        <v>0.52339999999999998</v>
      </c>
      <c r="G240">
        <v>0.65069999999999995</v>
      </c>
      <c r="H240">
        <v>9.3940999999999999</v>
      </c>
      <c r="I240">
        <v>8.6499999999999994E-2</v>
      </c>
      <c r="J240">
        <v>0.2114</v>
      </c>
      <c r="K240">
        <v>0.19220000000000001</v>
      </c>
      <c r="L240">
        <v>0.1598</v>
      </c>
      <c r="M240">
        <v>0.3115</v>
      </c>
    </row>
    <row r="241" spans="1:13" x14ac:dyDescent="0.25">
      <c r="B241" t="s">
        <v>27</v>
      </c>
      <c r="C241">
        <v>279135.83679999999</v>
      </c>
      <c r="D241">
        <v>105836.1862</v>
      </c>
      <c r="E241">
        <v>27326.1368</v>
      </c>
      <c r="F241">
        <v>77875.6109</v>
      </c>
      <c r="G241">
        <v>96219.250499999995</v>
      </c>
      <c r="H241">
        <v>1356320.6598</v>
      </c>
      <c r="I241">
        <v>14900.680399999999</v>
      </c>
      <c r="J241">
        <v>32909.543100000003</v>
      </c>
      <c r="K241">
        <v>30142.903900000001</v>
      </c>
      <c r="L241">
        <v>25474.2994</v>
      </c>
      <c r="M241">
        <v>47341.216999999997</v>
      </c>
    </row>
    <row r="242" spans="1:13" x14ac:dyDescent="0.25">
      <c r="A242" t="s">
        <v>61</v>
      </c>
      <c r="B242" t="s">
        <v>9</v>
      </c>
      <c r="C242" t="s">
        <v>105</v>
      </c>
      <c r="D242" t="s">
        <v>106</v>
      </c>
      <c r="E242" t="s">
        <v>107</v>
      </c>
      <c r="F242" t="s">
        <v>109</v>
      </c>
      <c r="G242" t="s">
        <v>111</v>
      </c>
      <c r="H242" t="s">
        <v>113</v>
      </c>
      <c r="I242" t="s">
        <v>115</v>
      </c>
      <c r="J242" t="s">
        <v>117</v>
      </c>
      <c r="K242" t="s">
        <v>119</v>
      </c>
      <c r="L242" t="s">
        <v>121</v>
      </c>
      <c r="M242" t="s">
        <v>123</v>
      </c>
    </row>
    <row r="243" spans="1:13" x14ac:dyDescent="0.25">
      <c r="B243" t="s">
        <v>11</v>
      </c>
      <c r="C243" t="s">
        <v>17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</row>
    <row r="244" spans="1:13" x14ac:dyDescent="0.25">
      <c r="B244" t="s">
        <v>22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</row>
    <row r="245" spans="1:13" x14ac:dyDescent="0.25">
      <c r="B245" t="s">
        <v>23</v>
      </c>
      <c r="C245">
        <v>47.29</v>
      </c>
      <c r="D245">
        <v>47.201999999999998</v>
      </c>
      <c r="E245">
        <v>47.271999999999998</v>
      </c>
      <c r="F245">
        <v>47.326000000000001</v>
      </c>
      <c r="G245">
        <v>47.280999999999999</v>
      </c>
      <c r="H245">
        <v>47.311</v>
      </c>
      <c r="I245">
        <v>47.219000000000001</v>
      </c>
      <c r="J245">
        <v>47.595999999999997</v>
      </c>
      <c r="K245">
        <v>47.185000000000002</v>
      </c>
      <c r="L245">
        <v>47.606000000000002</v>
      </c>
      <c r="M245">
        <v>47.286000000000001</v>
      </c>
    </row>
    <row r="246" spans="1:13" x14ac:dyDescent="0.25">
      <c r="B246" t="s">
        <v>24</v>
      </c>
      <c r="C246">
        <v>646</v>
      </c>
      <c r="D246">
        <v>34880847</v>
      </c>
      <c r="E246">
        <v>1973</v>
      </c>
      <c r="F246">
        <v>1530</v>
      </c>
      <c r="G246">
        <v>2396</v>
      </c>
      <c r="H246">
        <v>1915</v>
      </c>
      <c r="I246">
        <v>8804</v>
      </c>
      <c r="J246">
        <v>1235819</v>
      </c>
      <c r="K246">
        <v>8759</v>
      </c>
      <c r="L246">
        <v>1331600</v>
      </c>
      <c r="M246">
        <v>2061</v>
      </c>
    </row>
    <row r="247" spans="1:13" x14ac:dyDescent="0.25">
      <c r="B247" t="s">
        <v>25</v>
      </c>
      <c r="C247">
        <v>376</v>
      </c>
      <c r="D247">
        <v>37225151</v>
      </c>
      <c r="E247">
        <v>2829</v>
      </c>
      <c r="F247">
        <v>1771</v>
      </c>
      <c r="G247">
        <v>4034</v>
      </c>
      <c r="H247">
        <v>363</v>
      </c>
      <c r="I247">
        <v>14848336</v>
      </c>
      <c r="J247">
        <v>20796389</v>
      </c>
      <c r="K247">
        <v>21179334</v>
      </c>
      <c r="L247">
        <v>20101666</v>
      </c>
      <c r="M247">
        <v>18626997</v>
      </c>
    </row>
    <row r="248" spans="1:13" x14ac:dyDescent="0.25">
      <c r="B248" t="s">
        <v>26</v>
      </c>
      <c r="C248">
        <v>1.7199</v>
      </c>
      <c r="D248">
        <v>0.93700000000000006</v>
      </c>
      <c r="E248">
        <v>0.69750000000000001</v>
      </c>
      <c r="F248">
        <v>0.86399999999999999</v>
      </c>
      <c r="G248">
        <v>0.59399999999999997</v>
      </c>
      <c r="H248">
        <v>5.2821999999999996</v>
      </c>
      <c r="I248">
        <v>5.9999999999999995E-4</v>
      </c>
      <c r="J248">
        <v>5.9400000000000001E-2</v>
      </c>
      <c r="K248">
        <v>4.0000000000000002E-4</v>
      </c>
      <c r="L248">
        <v>6.6199999999999995E-2</v>
      </c>
      <c r="M248">
        <v>1E-4</v>
      </c>
    </row>
    <row r="249" spans="1:13" x14ac:dyDescent="0.25">
      <c r="B249" t="s">
        <v>27</v>
      </c>
      <c r="C249">
        <v>168042.4656</v>
      </c>
      <c r="D249">
        <v>92426.353400000007</v>
      </c>
      <c r="E249">
        <v>69288.155299999999</v>
      </c>
      <c r="F249">
        <v>85370.155700000003</v>
      </c>
      <c r="G249">
        <v>59289.450299999997</v>
      </c>
      <c r="H249">
        <v>512133.51160000003</v>
      </c>
      <c r="I249">
        <v>1974.1491000000001</v>
      </c>
      <c r="J249">
        <v>7656.8611000000001</v>
      </c>
      <c r="K249">
        <v>1956.8237999999999</v>
      </c>
      <c r="L249">
        <v>8315.4807000000001</v>
      </c>
      <c r="M249">
        <v>1927.5685000000001</v>
      </c>
    </row>
    <row r="250" spans="1:13" x14ac:dyDescent="0.25">
      <c r="A250" t="s">
        <v>62</v>
      </c>
      <c r="B250" t="s">
        <v>9</v>
      </c>
      <c r="C250" t="s">
        <v>105</v>
      </c>
      <c r="D250" t="s">
        <v>106</v>
      </c>
      <c r="E250" t="s">
        <v>107</v>
      </c>
      <c r="F250" t="s">
        <v>109</v>
      </c>
      <c r="G250" t="s">
        <v>111</v>
      </c>
      <c r="H250" t="s">
        <v>113</v>
      </c>
      <c r="I250" t="s">
        <v>115</v>
      </c>
      <c r="J250" t="s">
        <v>117</v>
      </c>
      <c r="K250" t="s">
        <v>119</v>
      </c>
      <c r="L250" t="s">
        <v>121</v>
      </c>
      <c r="M250" t="s">
        <v>123</v>
      </c>
    </row>
    <row r="251" spans="1:13" x14ac:dyDescent="0.25">
      <c r="B251" t="s">
        <v>11</v>
      </c>
      <c r="C251" t="s">
        <v>17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</row>
    <row r="252" spans="1:13" x14ac:dyDescent="0.25">
      <c r="B252" t="s">
        <v>22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30</v>
      </c>
      <c r="M252" t="s">
        <v>30</v>
      </c>
    </row>
    <row r="253" spans="1:13" x14ac:dyDescent="0.25">
      <c r="B253" t="s">
        <v>23</v>
      </c>
      <c r="C253">
        <v>51.494</v>
      </c>
      <c r="D253">
        <v>51.402999999999999</v>
      </c>
      <c r="E253">
        <v>51.442</v>
      </c>
      <c r="F253">
        <v>51.468000000000004</v>
      </c>
      <c r="G253">
        <v>51.456000000000003</v>
      </c>
      <c r="H253">
        <v>51.432000000000002</v>
      </c>
      <c r="I253">
        <v>51.514000000000003</v>
      </c>
      <c r="J253">
        <v>51.36</v>
      </c>
      <c r="K253">
        <v>51.359000000000002</v>
      </c>
      <c r="L253">
        <v>51.356999999999999</v>
      </c>
      <c r="M253">
        <v>51.420999999999999</v>
      </c>
    </row>
    <row r="254" spans="1:13" x14ac:dyDescent="0.25">
      <c r="B254" t="s">
        <v>24</v>
      </c>
      <c r="C254">
        <v>5981</v>
      </c>
      <c r="D254">
        <v>13583112</v>
      </c>
      <c r="E254">
        <v>3064</v>
      </c>
      <c r="F254">
        <v>2022</v>
      </c>
      <c r="G254">
        <v>7124</v>
      </c>
      <c r="H254">
        <v>9013</v>
      </c>
      <c r="I254">
        <v>224570</v>
      </c>
      <c r="J254">
        <v>1205842</v>
      </c>
      <c r="K254">
        <v>624080</v>
      </c>
      <c r="L254">
        <v>1145497</v>
      </c>
      <c r="M254">
        <v>2060</v>
      </c>
    </row>
    <row r="255" spans="1:13" x14ac:dyDescent="0.25">
      <c r="B255" t="s">
        <v>25</v>
      </c>
      <c r="C255">
        <v>376</v>
      </c>
      <c r="D255">
        <v>37225151</v>
      </c>
      <c r="E255">
        <v>2829</v>
      </c>
      <c r="F255">
        <v>1771</v>
      </c>
      <c r="G255">
        <v>4034</v>
      </c>
      <c r="H255">
        <v>363</v>
      </c>
      <c r="I255">
        <v>14848336</v>
      </c>
      <c r="J255">
        <v>20796389</v>
      </c>
      <c r="K255">
        <v>21179334</v>
      </c>
      <c r="L255">
        <v>20101666</v>
      </c>
      <c r="M255">
        <v>18626997</v>
      </c>
    </row>
    <row r="256" spans="1:13" x14ac:dyDescent="0.25">
      <c r="B256" t="s">
        <v>26</v>
      </c>
      <c r="C256">
        <v>15.9253</v>
      </c>
      <c r="D256">
        <v>0.3649</v>
      </c>
      <c r="E256">
        <v>1.083</v>
      </c>
      <c r="F256">
        <v>1.1422000000000001</v>
      </c>
      <c r="G256">
        <v>1.7661</v>
      </c>
      <c r="H256">
        <v>24.8581</v>
      </c>
      <c r="I256">
        <v>1.5100000000000001E-2</v>
      </c>
      <c r="J256">
        <v>5.8000000000000003E-2</v>
      </c>
      <c r="K256">
        <v>2.9499999999999998E-2</v>
      </c>
      <c r="L256">
        <v>5.7000000000000002E-2</v>
      </c>
      <c r="M256">
        <v>1E-4</v>
      </c>
    </row>
    <row r="257" spans="1:13" x14ac:dyDescent="0.25">
      <c r="B257" t="s">
        <v>27</v>
      </c>
      <c r="C257">
        <v>1357014.3759000001</v>
      </c>
      <c r="D257">
        <v>30345.025600000001</v>
      </c>
      <c r="E257">
        <v>91573.690799999997</v>
      </c>
      <c r="F257">
        <v>96615.077000000005</v>
      </c>
      <c r="G257">
        <v>149813.26449999999</v>
      </c>
      <c r="H257">
        <v>2118620.2444000002</v>
      </c>
      <c r="I257">
        <v>524.20960000000002</v>
      </c>
      <c r="J257">
        <v>4178.3334999999997</v>
      </c>
      <c r="K257">
        <v>1747.0162</v>
      </c>
      <c r="L257">
        <v>4093.2411000000002</v>
      </c>
      <c r="M257">
        <v>0</v>
      </c>
    </row>
    <row r="258" spans="1:13" x14ac:dyDescent="0.25">
      <c r="A258" t="s">
        <v>63</v>
      </c>
      <c r="B258" t="s">
        <v>9</v>
      </c>
      <c r="C258" t="s">
        <v>105</v>
      </c>
      <c r="D258" t="s">
        <v>106</v>
      </c>
      <c r="E258" t="s">
        <v>107</v>
      </c>
      <c r="F258" t="s">
        <v>109</v>
      </c>
      <c r="G258" t="s">
        <v>111</v>
      </c>
      <c r="H258" t="s">
        <v>113</v>
      </c>
      <c r="I258" t="s">
        <v>115</v>
      </c>
      <c r="J258" t="s">
        <v>117</v>
      </c>
      <c r="K258" t="s">
        <v>119</v>
      </c>
      <c r="L258" t="s">
        <v>121</v>
      </c>
      <c r="M258" t="s">
        <v>123</v>
      </c>
    </row>
    <row r="259" spans="1:13" x14ac:dyDescent="0.25">
      <c r="B259" t="s">
        <v>11</v>
      </c>
      <c r="C259" t="s">
        <v>17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</row>
    <row r="260" spans="1:13" x14ac:dyDescent="0.25">
      <c r="B260" t="s">
        <v>22</v>
      </c>
      <c r="C260" t="s">
        <v>30</v>
      </c>
      <c r="D260" t="s">
        <v>30</v>
      </c>
      <c r="E260" t="s">
        <v>30</v>
      </c>
      <c r="F260" t="s">
        <v>30</v>
      </c>
      <c r="G260" t="s">
        <v>30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</row>
    <row r="261" spans="1:13" x14ac:dyDescent="0.25">
      <c r="B261" t="s">
        <v>23</v>
      </c>
      <c r="C261">
        <v>51.585000000000001</v>
      </c>
      <c r="D261">
        <v>51.540999999999997</v>
      </c>
      <c r="E261">
        <v>51.558</v>
      </c>
      <c r="F261">
        <v>51.658000000000001</v>
      </c>
      <c r="G261">
        <v>51.597000000000001</v>
      </c>
      <c r="H261">
        <v>51.585000000000001</v>
      </c>
      <c r="I261">
        <v>51.511000000000003</v>
      </c>
      <c r="J261">
        <v>51.511000000000003</v>
      </c>
      <c r="K261">
        <v>51.521999999999998</v>
      </c>
      <c r="L261">
        <v>51.509</v>
      </c>
      <c r="M261">
        <v>51.576000000000001</v>
      </c>
    </row>
    <row r="262" spans="1:13" x14ac:dyDescent="0.25">
      <c r="B262" t="s">
        <v>24</v>
      </c>
      <c r="C262">
        <v>3600</v>
      </c>
      <c r="D262">
        <v>13584503</v>
      </c>
      <c r="E262">
        <v>2559</v>
      </c>
      <c r="F262">
        <v>2523</v>
      </c>
      <c r="G262">
        <v>1843</v>
      </c>
      <c r="H262">
        <v>7326</v>
      </c>
      <c r="I262">
        <v>268966</v>
      </c>
      <c r="J262">
        <v>798894</v>
      </c>
      <c r="K262">
        <v>172158</v>
      </c>
      <c r="L262">
        <v>531315</v>
      </c>
      <c r="M262">
        <v>4660</v>
      </c>
    </row>
    <row r="263" spans="1:13" x14ac:dyDescent="0.25">
      <c r="B263" t="s">
        <v>25</v>
      </c>
      <c r="C263">
        <v>376</v>
      </c>
      <c r="D263">
        <v>37225151</v>
      </c>
      <c r="E263">
        <v>2829</v>
      </c>
      <c r="F263">
        <v>1771</v>
      </c>
      <c r="G263">
        <v>4034</v>
      </c>
      <c r="H263">
        <v>363</v>
      </c>
      <c r="I263">
        <v>14848336</v>
      </c>
      <c r="J263">
        <v>20796389</v>
      </c>
      <c r="K263">
        <v>21179334</v>
      </c>
      <c r="L263">
        <v>20101666</v>
      </c>
      <c r="M263">
        <v>18626997</v>
      </c>
    </row>
    <row r="264" spans="1:13" x14ac:dyDescent="0.25">
      <c r="B264" t="s">
        <v>26</v>
      </c>
      <c r="C264">
        <v>9.5843000000000007</v>
      </c>
      <c r="D264">
        <v>0.3649</v>
      </c>
      <c r="E264">
        <v>0.90439999999999998</v>
      </c>
      <c r="F264">
        <v>1.4251</v>
      </c>
      <c r="G264">
        <v>0.45700000000000002</v>
      </c>
      <c r="H264">
        <v>20.207100000000001</v>
      </c>
      <c r="I264">
        <v>1.8100000000000002E-2</v>
      </c>
      <c r="J264">
        <v>3.8399999999999997E-2</v>
      </c>
      <c r="K264">
        <v>8.0999999999999996E-3</v>
      </c>
      <c r="L264">
        <v>2.64E-2</v>
      </c>
      <c r="M264">
        <v>2.9999999999999997E-4</v>
      </c>
    </row>
    <row r="265" spans="1:13" x14ac:dyDescent="0.25">
      <c r="B265" t="s">
        <v>27</v>
      </c>
      <c r="C265">
        <v>2163310.2571</v>
      </c>
      <c r="D265">
        <v>81064.242100000003</v>
      </c>
      <c r="E265">
        <v>202911.3033</v>
      </c>
      <c r="F265">
        <v>320520.66649999999</v>
      </c>
      <c r="G265">
        <v>101853.54180000001</v>
      </c>
      <c r="H265">
        <v>4562523.1837999998</v>
      </c>
      <c r="I265">
        <v>2734.5747000000001</v>
      </c>
      <c r="J265">
        <v>7319.6243000000004</v>
      </c>
      <c r="K265">
        <v>479.27080000000001</v>
      </c>
      <c r="L265">
        <v>4613.0577999999996</v>
      </c>
      <c r="M265">
        <v>0</v>
      </c>
    </row>
    <row r="266" spans="1:13" x14ac:dyDescent="0.25">
      <c r="A266" t="s">
        <v>64</v>
      </c>
      <c r="B266" t="s">
        <v>9</v>
      </c>
      <c r="C266" t="s">
        <v>105</v>
      </c>
      <c r="D266" t="s">
        <v>106</v>
      </c>
      <c r="E266" t="s">
        <v>107</v>
      </c>
      <c r="F266" t="s">
        <v>109</v>
      </c>
      <c r="G266" t="s">
        <v>111</v>
      </c>
      <c r="H266" t="s">
        <v>113</v>
      </c>
      <c r="I266" t="s">
        <v>115</v>
      </c>
      <c r="J266" t="s">
        <v>117</v>
      </c>
      <c r="K266" t="s">
        <v>119</v>
      </c>
      <c r="L266" t="s">
        <v>121</v>
      </c>
      <c r="M266" t="s">
        <v>123</v>
      </c>
    </row>
    <row r="267" spans="1:13" x14ac:dyDescent="0.25">
      <c r="B267" t="s">
        <v>11</v>
      </c>
      <c r="C267" t="s">
        <v>17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</row>
    <row r="268" spans="1:13" x14ac:dyDescent="0.25">
      <c r="B268" t="s">
        <v>22</v>
      </c>
      <c r="C268" t="s">
        <v>30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</row>
    <row r="269" spans="1:13" x14ac:dyDescent="0.25">
      <c r="B269" t="s">
        <v>23</v>
      </c>
      <c r="C269">
        <v>52.92</v>
      </c>
      <c r="D269">
        <v>52.887</v>
      </c>
      <c r="E269">
        <v>52.902999999999999</v>
      </c>
      <c r="F269">
        <v>52.927</v>
      </c>
      <c r="G269">
        <v>52.923999999999999</v>
      </c>
      <c r="H269">
        <v>52.947000000000003</v>
      </c>
      <c r="I269">
        <v>52.956000000000003</v>
      </c>
      <c r="J269">
        <v>52.764000000000003</v>
      </c>
      <c r="K269">
        <v>52.848999999999997</v>
      </c>
      <c r="L269">
        <v>52.83</v>
      </c>
      <c r="M269">
        <v>52.856999999999999</v>
      </c>
    </row>
    <row r="270" spans="1:13" x14ac:dyDescent="0.25">
      <c r="B270" t="s">
        <v>24</v>
      </c>
      <c r="C270">
        <v>958</v>
      </c>
      <c r="D270">
        <v>44934966</v>
      </c>
      <c r="E270">
        <v>2747</v>
      </c>
      <c r="F270">
        <v>5270</v>
      </c>
      <c r="G270">
        <v>6608</v>
      </c>
      <c r="H270">
        <v>12842</v>
      </c>
      <c r="I270">
        <v>5964</v>
      </c>
      <c r="J270">
        <v>72</v>
      </c>
      <c r="K270">
        <v>48843</v>
      </c>
      <c r="L270">
        <v>50681</v>
      </c>
      <c r="M270">
        <v>24386</v>
      </c>
    </row>
    <row r="271" spans="1:13" x14ac:dyDescent="0.25">
      <c r="B271" t="s">
        <v>25</v>
      </c>
      <c r="C271">
        <v>376</v>
      </c>
      <c r="D271">
        <v>37225151</v>
      </c>
      <c r="E271">
        <v>2829</v>
      </c>
      <c r="F271">
        <v>1771</v>
      </c>
      <c r="G271">
        <v>4034</v>
      </c>
      <c r="H271">
        <v>363</v>
      </c>
      <c r="I271">
        <v>14848336</v>
      </c>
      <c r="J271">
        <v>20796389</v>
      </c>
      <c r="K271">
        <v>21179334</v>
      </c>
      <c r="L271">
        <v>20101666</v>
      </c>
      <c r="M271">
        <v>18626997</v>
      </c>
    </row>
    <row r="272" spans="1:13" x14ac:dyDescent="0.25">
      <c r="B272" t="s">
        <v>26</v>
      </c>
      <c r="C272">
        <v>2.5499000000000001</v>
      </c>
      <c r="D272">
        <v>1.2071000000000001</v>
      </c>
      <c r="E272">
        <v>0.9708</v>
      </c>
      <c r="F272">
        <v>2.976</v>
      </c>
      <c r="G272">
        <v>1.6379999999999999</v>
      </c>
      <c r="H272">
        <v>35.420400000000001</v>
      </c>
      <c r="I272">
        <v>4.0000000000000002E-4</v>
      </c>
      <c r="J272">
        <v>0</v>
      </c>
      <c r="K272">
        <v>2.3E-3</v>
      </c>
      <c r="L272">
        <v>2.5000000000000001E-3</v>
      </c>
      <c r="M272">
        <v>1.2999999999999999E-3</v>
      </c>
    </row>
    <row r="273" spans="1:13" x14ac:dyDescent="0.25">
      <c r="B273" t="s">
        <v>27</v>
      </c>
      <c r="C273">
        <v>1312325.7556</v>
      </c>
      <c r="D273">
        <v>619989.45449999999</v>
      </c>
      <c r="E273">
        <v>498169.24579999998</v>
      </c>
      <c r="F273">
        <v>1532002.8226999999</v>
      </c>
      <c r="G273">
        <v>842161.94090000005</v>
      </c>
      <c r="H273">
        <v>18259706.8543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t="s">
        <v>65</v>
      </c>
      <c r="B274" t="s">
        <v>9</v>
      </c>
      <c r="C274" t="s">
        <v>105</v>
      </c>
      <c r="D274" t="s">
        <v>106</v>
      </c>
      <c r="E274" t="s">
        <v>107</v>
      </c>
      <c r="F274" t="s">
        <v>109</v>
      </c>
      <c r="G274" t="s">
        <v>111</v>
      </c>
      <c r="H274" t="s">
        <v>113</v>
      </c>
      <c r="I274" t="s">
        <v>115</v>
      </c>
      <c r="J274" t="s">
        <v>117</v>
      </c>
      <c r="K274" t="s">
        <v>119</v>
      </c>
      <c r="L274" t="s">
        <v>121</v>
      </c>
      <c r="M274" t="s">
        <v>123</v>
      </c>
    </row>
    <row r="275" spans="1:13" x14ac:dyDescent="0.25">
      <c r="B275" t="s">
        <v>11</v>
      </c>
      <c r="C275" t="s">
        <v>17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</row>
    <row r="276" spans="1:13" x14ac:dyDescent="0.25">
      <c r="B276" t="s">
        <v>22</v>
      </c>
      <c r="C276" t="s">
        <v>30</v>
      </c>
      <c r="D276" t="s">
        <v>30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</row>
    <row r="277" spans="1:13" x14ac:dyDescent="0.25">
      <c r="B277" t="s">
        <v>23</v>
      </c>
      <c r="C277">
        <v>53.146999999999998</v>
      </c>
      <c r="D277">
        <v>53.15</v>
      </c>
      <c r="E277">
        <v>53.210999999999999</v>
      </c>
      <c r="F277">
        <v>53.125999999999998</v>
      </c>
      <c r="G277">
        <v>53.151000000000003</v>
      </c>
      <c r="H277">
        <v>53.146000000000001</v>
      </c>
      <c r="I277">
        <v>53.158000000000001</v>
      </c>
      <c r="J277">
        <v>53.183</v>
      </c>
      <c r="K277">
        <v>53.140999999999998</v>
      </c>
      <c r="L277">
        <v>53.143999999999998</v>
      </c>
      <c r="M277">
        <v>53.140999999999998</v>
      </c>
    </row>
    <row r="278" spans="1:13" x14ac:dyDescent="0.25">
      <c r="B278" t="s">
        <v>24</v>
      </c>
      <c r="C278">
        <v>5167</v>
      </c>
      <c r="D278">
        <v>15592363</v>
      </c>
      <c r="E278">
        <v>2105</v>
      </c>
      <c r="F278">
        <v>3528</v>
      </c>
      <c r="G278">
        <v>4268</v>
      </c>
      <c r="H278">
        <v>3908</v>
      </c>
      <c r="I278">
        <v>1846</v>
      </c>
      <c r="J278">
        <v>6640</v>
      </c>
      <c r="K278">
        <v>9273</v>
      </c>
      <c r="L278">
        <v>7924</v>
      </c>
      <c r="M278">
        <v>16315</v>
      </c>
    </row>
    <row r="279" spans="1:13" x14ac:dyDescent="0.25">
      <c r="B279" t="s">
        <v>25</v>
      </c>
      <c r="C279">
        <v>376</v>
      </c>
      <c r="D279">
        <v>37225151</v>
      </c>
      <c r="E279">
        <v>2829</v>
      </c>
      <c r="F279">
        <v>1771</v>
      </c>
      <c r="G279">
        <v>4034</v>
      </c>
      <c r="H279">
        <v>363</v>
      </c>
      <c r="I279">
        <v>14848336</v>
      </c>
      <c r="J279">
        <v>20796389</v>
      </c>
      <c r="K279">
        <v>21179334</v>
      </c>
      <c r="L279">
        <v>20101666</v>
      </c>
      <c r="M279">
        <v>18626997</v>
      </c>
    </row>
    <row r="280" spans="1:13" x14ac:dyDescent="0.25">
      <c r="B280" t="s">
        <v>26</v>
      </c>
      <c r="C280">
        <v>13.758900000000001</v>
      </c>
      <c r="D280">
        <v>0.41889999999999999</v>
      </c>
      <c r="E280">
        <v>0.74409999999999998</v>
      </c>
      <c r="F280">
        <v>1.9923</v>
      </c>
      <c r="G280">
        <v>1.0580000000000001</v>
      </c>
      <c r="H280">
        <v>10.778700000000001</v>
      </c>
      <c r="I280">
        <v>1E-4</v>
      </c>
      <c r="J280">
        <v>2.9999999999999997E-4</v>
      </c>
      <c r="K280">
        <v>4.0000000000000002E-4</v>
      </c>
      <c r="L280">
        <v>4.0000000000000002E-4</v>
      </c>
      <c r="M280">
        <v>8.9999999999999998E-4</v>
      </c>
    </row>
    <row r="281" spans="1:13" x14ac:dyDescent="0.25">
      <c r="B281" t="s">
        <v>27</v>
      </c>
      <c r="C281">
        <v>478334.55859999999</v>
      </c>
      <c r="D281">
        <v>11860.511699999999</v>
      </c>
      <c r="E281">
        <v>23232.8249</v>
      </c>
      <c r="F281">
        <v>66879.493400000007</v>
      </c>
      <c r="G281">
        <v>34211.179100000001</v>
      </c>
      <c r="H281">
        <v>374124.17210000003</v>
      </c>
      <c r="I281">
        <v>0</v>
      </c>
      <c r="J281">
        <v>0</v>
      </c>
      <c r="K281">
        <v>0</v>
      </c>
      <c r="L281">
        <v>0</v>
      </c>
      <c r="M28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2"/>
  <sheetViews>
    <sheetView workbookViewId="0">
      <selection activeCell="M36" sqref="M3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104</v>
      </c>
    </row>
    <row r="2" spans="1:7" x14ac:dyDescent="0.25">
      <c r="A2" t="s">
        <v>1</v>
      </c>
      <c r="B2" s="1">
        <v>45162.433009259257</v>
      </c>
      <c r="C2" t="s">
        <v>2</v>
      </c>
      <c r="D2" t="s">
        <v>3</v>
      </c>
      <c r="E2" t="s">
        <v>4</v>
      </c>
      <c r="F2" t="s">
        <v>3</v>
      </c>
    </row>
    <row r="3" spans="1:7" x14ac:dyDescent="0.25">
      <c r="A3" t="s">
        <v>5</v>
      </c>
      <c r="B3" s="1">
        <v>45154.569363425922</v>
      </c>
      <c r="C3" t="s">
        <v>6</v>
      </c>
      <c r="D3">
        <v>10.1</v>
      </c>
      <c r="E3" t="s">
        <v>7</v>
      </c>
      <c r="F3">
        <v>10.199999999999999</v>
      </c>
    </row>
    <row r="4" spans="1:7" x14ac:dyDescent="0.25">
      <c r="A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5">
      <c r="A6" t="s">
        <v>105</v>
      </c>
      <c r="B6" t="s">
        <v>16</v>
      </c>
      <c r="C6" t="s">
        <v>17</v>
      </c>
      <c r="D6">
        <v>1</v>
      </c>
      <c r="E6">
        <v>1</v>
      </c>
      <c r="G6" t="s">
        <v>18</v>
      </c>
    </row>
    <row r="8" spans="1:7" x14ac:dyDescent="0.25">
      <c r="A8" t="s">
        <v>106</v>
      </c>
      <c r="B8" t="s">
        <v>19</v>
      </c>
      <c r="C8" t="s">
        <v>20</v>
      </c>
      <c r="D8">
        <v>2</v>
      </c>
      <c r="E8">
        <v>1</v>
      </c>
      <c r="G8" t="s">
        <v>18</v>
      </c>
    </row>
    <row r="10" spans="1:7" x14ac:dyDescent="0.25">
      <c r="A10" t="s">
        <v>107</v>
      </c>
      <c r="B10" t="s">
        <v>108</v>
      </c>
      <c r="C10" t="s">
        <v>20</v>
      </c>
      <c r="D10">
        <v>3</v>
      </c>
      <c r="E10">
        <v>1</v>
      </c>
      <c r="G10" t="s">
        <v>18</v>
      </c>
    </row>
    <row r="12" spans="1:7" x14ac:dyDescent="0.25">
      <c r="A12" t="s">
        <v>109</v>
      </c>
      <c r="B12" t="s">
        <v>110</v>
      </c>
      <c r="C12" t="s">
        <v>20</v>
      </c>
      <c r="D12">
        <v>4</v>
      </c>
      <c r="E12">
        <v>1</v>
      </c>
      <c r="G12" t="s">
        <v>18</v>
      </c>
    </row>
    <row r="14" spans="1:7" x14ac:dyDescent="0.25">
      <c r="A14" t="s">
        <v>111</v>
      </c>
      <c r="B14" t="s">
        <v>112</v>
      </c>
      <c r="C14" t="s">
        <v>20</v>
      </c>
      <c r="D14">
        <v>5</v>
      </c>
      <c r="E14">
        <v>1</v>
      </c>
      <c r="G14" t="s">
        <v>18</v>
      </c>
    </row>
    <row r="16" spans="1:7" x14ac:dyDescent="0.25">
      <c r="A16" t="s">
        <v>113</v>
      </c>
      <c r="B16" t="s">
        <v>114</v>
      </c>
      <c r="C16" t="s">
        <v>20</v>
      </c>
      <c r="D16">
        <v>6</v>
      </c>
      <c r="E16">
        <v>1</v>
      </c>
      <c r="G16" t="s">
        <v>18</v>
      </c>
    </row>
    <row r="18" spans="1:10" x14ac:dyDescent="0.25">
      <c r="A18" t="s">
        <v>115</v>
      </c>
      <c r="B18" t="s">
        <v>116</v>
      </c>
      <c r="C18" t="s">
        <v>20</v>
      </c>
      <c r="D18">
        <v>7</v>
      </c>
      <c r="E18">
        <v>1</v>
      </c>
      <c r="G18" t="s">
        <v>18</v>
      </c>
    </row>
    <row r="20" spans="1:10" x14ac:dyDescent="0.25">
      <c r="A20" t="s">
        <v>117</v>
      </c>
      <c r="B20" t="s">
        <v>118</v>
      </c>
      <c r="C20" t="s">
        <v>20</v>
      </c>
      <c r="D20">
        <v>8</v>
      </c>
      <c r="E20">
        <v>1</v>
      </c>
      <c r="G20" t="s">
        <v>18</v>
      </c>
    </row>
    <row r="22" spans="1:10" x14ac:dyDescent="0.25">
      <c r="A22" t="s">
        <v>119</v>
      </c>
      <c r="B22" t="s">
        <v>120</v>
      </c>
      <c r="C22" t="s">
        <v>20</v>
      </c>
      <c r="D22">
        <v>9</v>
      </c>
      <c r="E22">
        <v>1</v>
      </c>
      <c r="G22" t="s">
        <v>18</v>
      </c>
    </row>
    <row r="24" spans="1:10" x14ac:dyDescent="0.25">
      <c r="A24" t="s">
        <v>121</v>
      </c>
      <c r="B24" t="s">
        <v>122</v>
      </c>
      <c r="C24" t="s">
        <v>20</v>
      </c>
      <c r="D24">
        <v>10</v>
      </c>
      <c r="E24">
        <v>1</v>
      </c>
      <c r="G24" t="s">
        <v>18</v>
      </c>
    </row>
    <row r="26" spans="1:10" x14ac:dyDescent="0.25">
      <c r="A26" t="s">
        <v>123</v>
      </c>
      <c r="B26" t="s">
        <v>124</v>
      </c>
      <c r="C26" t="s">
        <v>20</v>
      </c>
      <c r="D26">
        <v>11</v>
      </c>
      <c r="E26">
        <v>1</v>
      </c>
      <c r="G26" t="s">
        <v>18</v>
      </c>
    </row>
    <row r="28" spans="1:10" x14ac:dyDescent="0.25">
      <c r="A28" t="s">
        <v>21</v>
      </c>
    </row>
    <row r="29" spans="1:10" x14ac:dyDescent="0.25">
      <c r="A29" t="s">
        <v>9</v>
      </c>
      <c r="B29" t="s">
        <v>11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</row>
    <row r="30" spans="1:10" x14ac:dyDescent="0.25">
      <c r="A30" t="s">
        <v>105</v>
      </c>
      <c r="B30" t="s">
        <v>17</v>
      </c>
      <c r="C30" t="s">
        <v>30</v>
      </c>
      <c r="D30">
        <v>4.202</v>
      </c>
      <c r="E30">
        <v>2152</v>
      </c>
      <c r="F30">
        <v>376</v>
      </c>
      <c r="G30">
        <v>5.7286999999999999</v>
      </c>
      <c r="H30">
        <v>3014211.7017000001</v>
      </c>
    </row>
    <row r="31" spans="1:10" x14ac:dyDescent="0.25">
      <c r="A31" t="s">
        <v>106</v>
      </c>
      <c r="B31" t="s">
        <v>20</v>
      </c>
      <c r="C31" t="s">
        <v>30</v>
      </c>
      <c r="D31">
        <v>4.1849999999999996</v>
      </c>
      <c r="E31">
        <v>28739917</v>
      </c>
      <c r="F31">
        <v>37225151</v>
      </c>
      <c r="G31">
        <v>0.77210000000000001</v>
      </c>
      <c r="H31">
        <v>411964.19429999997</v>
      </c>
    </row>
    <row r="32" spans="1:10" x14ac:dyDescent="0.25">
      <c r="A32" t="s">
        <v>107</v>
      </c>
      <c r="B32" t="s">
        <v>20</v>
      </c>
      <c r="C32" t="s">
        <v>30</v>
      </c>
      <c r="D32">
        <v>4.2229999999999999</v>
      </c>
      <c r="E32">
        <v>5353</v>
      </c>
      <c r="F32">
        <v>2829</v>
      </c>
      <c r="G32">
        <v>1.8920999999999999</v>
      </c>
      <c r="H32">
        <v>999997.11919999996</v>
      </c>
    </row>
    <row r="33" spans="1:10" x14ac:dyDescent="0.25">
      <c r="A33" t="s">
        <v>109</v>
      </c>
      <c r="B33" t="s">
        <v>20</v>
      </c>
      <c r="C33" t="s">
        <v>30</v>
      </c>
      <c r="D33">
        <v>4.181</v>
      </c>
      <c r="E33">
        <v>5634</v>
      </c>
      <c r="F33">
        <v>1771</v>
      </c>
      <c r="G33">
        <v>3.1817000000000002</v>
      </c>
      <c r="H33">
        <v>1677053.1577999999</v>
      </c>
    </row>
    <row r="34" spans="1:10" x14ac:dyDescent="0.25">
      <c r="A34" t="s">
        <v>111</v>
      </c>
      <c r="B34" t="s">
        <v>20</v>
      </c>
      <c r="C34" t="s">
        <v>30</v>
      </c>
      <c r="D34">
        <v>4.1120000000000001</v>
      </c>
      <c r="E34">
        <v>2678</v>
      </c>
      <c r="F34">
        <v>4034</v>
      </c>
      <c r="G34">
        <v>0.66379999999999995</v>
      </c>
      <c r="H34">
        <v>355120.38770000002</v>
      </c>
    </row>
    <row r="35" spans="1:10" x14ac:dyDescent="0.25">
      <c r="A35" t="s">
        <v>113</v>
      </c>
      <c r="B35" t="s">
        <v>20</v>
      </c>
      <c r="C35" t="s">
        <v>30</v>
      </c>
      <c r="D35">
        <v>4.1529999999999996</v>
      </c>
      <c r="E35">
        <v>1124</v>
      </c>
      <c r="F35">
        <v>363</v>
      </c>
      <c r="G35">
        <v>3.0989</v>
      </c>
      <c r="H35">
        <v>1633565.5068000001</v>
      </c>
    </row>
    <row r="36" spans="1:10" x14ac:dyDescent="0.25">
      <c r="A36" t="s">
        <v>115</v>
      </c>
      <c r="B36" t="s">
        <v>20</v>
      </c>
      <c r="C36" t="s">
        <v>30</v>
      </c>
      <c r="D36">
        <v>4.2089999999999996</v>
      </c>
      <c r="E36">
        <v>3632</v>
      </c>
      <c r="F36">
        <v>14848336</v>
      </c>
      <c r="G36">
        <v>2.0000000000000001E-4</v>
      </c>
      <c r="H36">
        <v>6762.0221000000001</v>
      </c>
    </row>
    <row r="37" spans="1:10" x14ac:dyDescent="0.25">
      <c r="A37" t="s">
        <v>117</v>
      </c>
      <c r="B37" t="s">
        <v>20</v>
      </c>
      <c r="C37" t="s">
        <v>30</v>
      </c>
      <c r="D37">
        <v>4.1840000000000002</v>
      </c>
      <c r="E37">
        <v>1471</v>
      </c>
      <c r="F37">
        <v>20796389</v>
      </c>
      <c r="G37">
        <v>1E-4</v>
      </c>
      <c r="H37">
        <v>6670.7278999999999</v>
      </c>
    </row>
    <row r="38" spans="1:10" x14ac:dyDescent="0.25">
      <c r="A38" t="s">
        <v>119</v>
      </c>
      <c r="B38" t="s">
        <v>20</v>
      </c>
      <c r="C38" t="s">
        <v>30</v>
      </c>
      <c r="D38">
        <v>4.1820000000000004</v>
      </c>
      <c r="E38">
        <v>2871</v>
      </c>
      <c r="F38">
        <v>21179334</v>
      </c>
      <c r="G38">
        <v>1E-4</v>
      </c>
      <c r="H38">
        <v>6704.7424000000001</v>
      </c>
    </row>
    <row r="39" spans="1:10" x14ac:dyDescent="0.25">
      <c r="A39" t="s">
        <v>121</v>
      </c>
      <c r="B39" t="s">
        <v>20</v>
      </c>
      <c r="C39" t="s">
        <v>30</v>
      </c>
      <c r="D39">
        <v>4.1710000000000003</v>
      </c>
      <c r="E39">
        <v>2748</v>
      </c>
      <c r="F39">
        <v>20101666</v>
      </c>
      <c r="G39">
        <v>1E-4</v>
      </c>
      <c r="H39">
        <v>6705.3477999999996</v>
      </c>
    </row>
    <row r="40" spans="1:10" x14ac:dyDescent="0.25">
      <c r="A40" t="s">
        <v>123</v>
      </c>
      <c r="B40" t="s">
        <v>20</v>
      </c>
      <c r="C40" t="s">
        <v>30</v>
      </c>
      <c r="D40">
        <v>4.1790000000000003</v>
      </c>
      <c r="E40">
        <v>1337</v>
      </c>
      <c r="F40">
        <v>18626997</v>
      </c>
      <c r="G40">
        <v>1E-4</v>
      </c>
      <c r="H40">
        <v>6671.2780000000002</v>
      </c>
    </row>
    <row r="41" spans="1:10" x14ac:dyDescent="0.25">
      <c r="A41" t="s">
        <v>31</v>
      </c>
    </row>
    <row r="42" spans="1:10" x14ac:dyDescent="0.25">
      <c r="A42" t="s">
        <v>9</v>
      </c>
      <c r="B42" t="s">
        <v>11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</row>
    <row r="43" spans="1:10" x14ac:dyDescent="0.25">
      <c r="A43" t="s">
        <v>105</v>
      </c>
      <c r="B43" t="s">
        <v>17</v>
      </c>
      <c r="C43" t="s">
        <v>30</v>
      </c>
      <c r="D43">
        <v>5.3289999999999997</v>
      </c>
      <c r="E43">
        <v>339</v>
      </c>
      <c r="F43">
        <v>376</v>
      </c>
      <c r="G43">
        <v>0.90310000000000001</v>
      </c>
      <c r="H43">
        <v>616360.54469999997</v>
      </c>
    </row>
    <row r="44" spans="1:10" x14ac:dyDescent="0.25">
      <c r="A44" t="s">
        <v>106</v>
      </c>
      <c r="B44" t="s">
        <v>20</v>
      </c>
      <c r="C44" t="s">
        <v>30</v>
      </c>
      <c r="D44">
        <v>5.3460000000000001</v>
      </c>
      <c r="E44">
        <v>22361814</v>
      </c>
      <c r="F44">
        <v>37225151</v>
      </c>
      <c r="G44">
        <v>0.60070000000000001</v>
      </c>
      <c r="H44">
        <v>409497.51390000002</v>
      </c>
    </row>
    <row r="45" spans="1:10" x14ac:dyDescent="0.25">
      <c r="A45" t="s">
        <v>107</v>
      </c>
      <c r="B45" t="s">
        <v>20</v>
      </c>
      <c r="C45" t="s">
        <v>30</v>
      </c>
      <c r="D45">
        <v>5.3150000000000004</v>
      </c>
      <c r="E45">
        <v>3253</v>
      </c>
      <c r="F45">
        <v>2829</v>
      </c>
      <c r="G45">
        <v>1.1498999999999999</v>
      </c>
      <c r="H45">
        <v>785181.06700000004</v>
      </c>
    </row>
    <row r="46" spans="1:10" x14ac:dyDescent="0.25">
      <c r="A46" t="s">
        <v>109</v>
      </c>
      <c r="B46" t="s">
        <v>20</v>
      </c>
      <c r="C46" t="s">
        <v>30</v>
      </c>
      <c r="D46">
        <v>5.4029999999999996</v>
      </c>
      <c r="E46">
        <v>1947</v>
      </c>
      <c r="F46">
        <v>1771</v>
      </c>
      <c r="G46">
        <v>1.0996999999999999</v>
      </c>
      <c r="H46">
        <v>750860.41020000004</v>
      </c>
    </row>
    <row r="47" spans="1:10" x14ac:dyDescent="0.25">
      <c r="A47" t="s">
        <v>111</v>
      </c>
      <c r="B47" t="s">
        <v>20</v>
      </c>
      <c r="C47" t="s">
        <v>30</v>
      </c>
      <c r="D47">
        <v>5.4219999999999997</v>
      </c>
      <c r="E47">
        <v>4695</v>
      </c>
      <c r="F47">
        <v>4034</v>
      </c>
      <c r="G47">
        <v>1.1638999999999999</v>
      </c>
      <c r="H47">
        <v>794765.72340000002</v>
      </c>
    </row>
    <row r="48" spans="1:10" x14ac:dyDescent="0.25">
      <c r="A48" t="s">
        <v>113</v>
      </c>
      <c r="B48" t="s">
        <v>20</v>
      </c>
      <c r="C48" t="s">
        <v>30</v>
      </c>
      <c r="D48">
        <v>5.4</v>
      </c>
      <c r="E48">
        <v>3482</v>
      </c>
      <c r="F48">
        <v>363</v>
      </c>
      <c r="G48">
        <v>9.6050000000000004</v>
      </c>
      <c r="H48">
        <v>6569508.5762</v>
      </c>
    </row>
    <row r="49" spans="1:10" x14ac:dyDescent="0.25">
      <c r="A49" t="s">
        <v>115</v>
      </c>
      <c r="B49" t="s">
        <v>20</v>
      </c>
      <c r="C49" t="s">
        <v>30</v>
      </c>
      <c r="D49">
        <v>5.3360000000000003</v>
      </c>
      <c r="E49">
        <v>4416</v>
      </c>
      <c r="F49">
        <v>14848336</v>
      </c>
      <c r="G49">
        <v>2.9999999999999997E-4</v>
      </c>
      <c r="H49">
        <v>0</v>
      </c>
    </row>
    <row r="50" spans="1:10" x14ac:dyDescent="0.25">
      <c r="A50" t="s">
        <v>117</v>
      </c>
      <c r="B50" t="s">
        <v>20</v>
      </c>
      <c r="C50" t="s">
        <v>30</v>
      </c>
      <c r="D50">
        <v>5.1920000000000002</v>
      </c>
      <c r="E50">
        <v>3110</v>
      </c>
      <c r="F50">
        <v>20796389</v>
      </c>
      <c r="G50">
        <v>1E-4</v>
      </c>
      <c r="H50">
        <v>0</v>
      </c>
    </row>
    <row r="51" spans="1:10" x14ac:dyDescent="0.25">
      <c r="A51" t="s">
        <v>119</v>
      </c>
      <c r="B51" t="s">
        <v>20</v>
      </c>
      <c r="C51" t="s">
        <v>30</v>
      </c>
      <c r="F51">
        <v>21179334</v>
      </c>
      <c r="H51" t="s">
        <v>43</v>
      </c>
    </row>
    <row r="52" spans="1:10" x14ac:dyDescent="0.25">
      <c r="A52" t="s">
        <v>121</v>
      </c>
      <c r="B52" t="s">
        <v>20</v>
      </c>
      <c r="C52" t="s">
        <v>30</v>
      </c>
      <c r="D52">
        <v>5.3639999999999999</v>
      </c>
      <c r="E52">
        <v>4575</v>
      </c>
      <c r="F52">
        <v>20101666</v>
      </c>
      <c r="G52">
        <v>2.0000000000000001E-4</v>
      </c>
      <c r="H52">
        <v>0</v>
      </c>
    </row>
    <row r="53" spans="1:10" x14ac:dyDescent="0.25">
      <c r="A53" t="s">
        <v>123</v>
      </c>
      <c r="B53" t="s">
        <v>20</v>
      </c>
      <c r="C53" t="s">
        <v>30</v>
      </c>
      <c r="D53">
        <v>5.4580000000000002</v>
      </c>
      <c r="E53">
        <v>1257</v>
      </c>
      <c r="F53">
        <v>18626997</v>
      </c>
      <c r="G53">
        <v>1E-4</v>
      </c>
      <c r="H53">
        <v>0</v>
      </c>
    </row>
    <row r="54" spans="1:10" x14ac:dyDescent="0.25">
      <c r="A54" t="s">
        <v>32</v>
      </c>
    </row>
    <row r="55" spans="1:10" x14ac:dyDescent="0.25">
      <c r="A55" t="s">
        <v>9</v>
      </c>
      <c r="B55" t="s">
        <v>11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29</v>
      </c>
    </row>
    <row r="56" spans="1:10" x14ac:dyDescent="0.25">
      <c r="A56" t="s">
        <v>105</v>
      </c>
      <c r="B56" t="s">
        <v>17</v>
      </c>
      <c r="C56" t="s">
        <v>30</v>
      </c>
      <c r="D56">
        <v>6.19</v>
      </c>
      <c r="E56">
        <v>761</v>
      </c>
      <c r="F56">
        <v>376</v>
      </c>
      <c r="G56">
        <v>2.0270000000000001</v>
      </c>
      <c r="H56">
        <v>697351.19839999999</v>
      </c>
    </row>
    <row r="57" spans="1:10" x14ac:dyDescent="0.25">
      <c r="A57" t="s">
        <v>106</v>
      </c>
      <c r="B57" t="s">
        <v>20</v>
      </c>
      <c r="C57" t="s">
        <v>30</v>
      </c>
      <c r="D57">
        <v>6.1550000000000002</v>
      </c>
      <c r="E57">
        <v>21363548</v>
      </c>
      <c r="F57">
        <v>37225151</v>
      </c>
      <c r="G57">
        <v>0.57389999999999997</v>
      </c>
      <c r="H57">
        <v>196417.09359999999</v>
      </c>
    </row>
    <row r="58" spans="1:10" x14ac:dyDescent="0.25">
      <c r="A58" t="s">
        <v>107</v>
      </c>
      <c r="B58" t="s">
        <v>20</v>
      </c>
      <c r="C58" t="s">
        <v>30</v>
      </c>
      <c r="D58">
        <v>6.2859999999999996</v>
      </c>
      <c r="E58">
        <v>3210</v>
      </c>
      <c r="F58">
        <v>2829</v>
      </c>
      <c r="G58">
        <v>1.1345000000000001</v>
      </c>
      <c r="H58">
        <v>389677.62729999999</v>
      </c>
    </row>
    <row r="59" spans="1:10" x14ac:dyDescent="0.25">
      <c r="A59" t="s">
        <v>109</v>
      </c>
      <c r="B59" t="s">
        <v>20</v>
      </c>
      <c r="C59" t="s">
        <v>30</v>
      </c>
      <c r="D59">
        <v>6.1740000000000004</v>
      </c>
      <c r="E59">
        <v>552</v>
      </c>
      <c r="F59">
        <v>1771</v>
      </c>
      <c r="G59">
        <v>0.31190000000000001</v>
      </c>
      <c r="H59">
        <v>106099.6204</v>
      </c>
    </row>
    <row r="60" spans="1:10" x14ac:dyDescent="0.25">
      <c r="A60" t="s">
        <v>111</v>
      </c>
      <c r="B60" t="s">
        <v>20</v>
      </c>
      <c r="C60" t="s">
        <v>30</v>
      </c>
      <c r="D60">
        <v>6.1630000000000003</v>
      </c>
      <c r="E60">
        <v>2257</v>
      </c>
      <c r="F60">
        <v>4034</v>
      </c>
      <c r="G60">
        <v>0.55940000000000001</v>
      </c>
      <c r="H60">
        <v>191431.78330000001</v>
      </c>
    </row>
    <row r="61" spans="1:10" x14ac:dyDescent="0.25">
      <c r="A61" t="s">
        <v>113</v>
      </c>
      <c r="B61" t="s">
        <v>20</v>
      </c>
      <c r="C61" t="s">
        <v>30</v>
      </c>
      <c r="D61">
        <v>6.1749999999999998</v>
      </c>
      <c r="E61">
        <v>2110</v>
      </c>
      <c r="F61">
        <v>363</v>
      </c>
      <c r="G61">
        <v>5.82</v>
      </c>
      <c r="H61">
        <v>2004938.8017</v>
      </c>
    </row>
    <row r="62" spans="1:10" x14ac:dyDescent="0.25">
      <c r="A62" t="s">
        <v>115</v>
      </c>
      <c r="B62" t="s">
        <v>20</v>
      </c>
      <c r="C62" t="s">
        <v>30</v>
      </c>
      <c r="D62">
        <v>6.1879999999999997</v>
      </c>
      <c r="E62">
        <v>2958</v>
      </c>
      <c r="F62">
        <v>14848336</v>
      </c>
      <c r="G62">
        <v>2.0000000000000001E-4</v>
      </c>
      <c r="H62">
        <v>0</v>
      </c>
    </row>
    <row r="63" spans="1:10" x14ac:dyDescent="0.25">
      <c r="A63" t="s">
        <v>117</v>
      </c>
      <c r="B63" t="s">
        <v>20</v>
      </c>
      <c r="C63" t="s">
        <v>30</v>
      </c>
      <c r="D63">
        <v>6.1870000000000003</v>
      </c>
      <c r="E63">
        <v>1076</v>
      </c>
      <c r="F63">
        <v>20796389</v>
      </c>
      <c r="G63">
        <v>1E-4</v>
      </c>
      <c r="H63">
        <v>0</v>
      </c>
    </row>
    <row r="64" spans="1:10" x14ac:dyDescent="0.25">
      <c r="A64" t="s">
        <v>119</v>
      </c>
      <c r="B64" t="s">
        <v>20</v>
      </c>
      <c r="C64" t="s">
        <v>30</v>
      </c>
      <c r="D64">
        <v>6.149</v>
      </c>
      <c r="E64">
        <v>1910</v>
      </c>
      <c r="F64">
        <v>21179334</v>
      </c>
      <c r="G64">
        <v>1E-4</v>
      </c>
      <c r="H64">
        <v>0</v>
      </c>
    </row>
    <row r="65" spans="1:10" x14ac:dyDescent="0.25">
      <c r="A65" t="s">
        <v>121</v>
      </c>
      <c r="B65" t="s">
        <v>20</v>
      </c>
      <c r="C65" t="s">
        <v>30</v>
      </c>
      <c r="D65">
        <v>6.19</v>
      </c>
      <c r="E65">
        <v>4128</v>
      </c>
      <c r="F65">
        <v>20101666</v>
      </c>
      <c r="G65">
        <v>2.0000000000000001E-4</v>
      </c>
      <c r="H65">
        <v>0</v>
      </c>
    </row>
    <row r="66" spans="1:10" x14ac:dyDescent="0.25">
      <c r="A66" t="s">
        <v>123</v>
      </c>
      <c r="B66" t="s">
        <v>20</v>
      </c>
      <c r="C66" t="s">
        <v>30</v>
      </c>
      <c r="D66">
        <v>6.1619999999999999</v>
      </c>
      <c r="E66">
        <v>4995</v>
      </c>
      <c r="F66">
        <v>18626997</v>
      </c>
      <c r="G66">
        <v>2.9999999999999997E-4</v>
      </c>
      <c r="H66">
        <v>0</v>
      </c>
    </row>
    <row r="67" spans="1:10" x14ac:dyDescent="0.25">
      <c r="A67" t="s">
        <v>33</v>
      </c>
    </row>
    <row r="68" spans="1:10" x14ac:dyDescent="0.25">
      <c r="A68" t="s">
        <v>9</v>
      </c>
      <c r="B68" t="s">
        <v>11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29</v>
      </c>
    </row>
    <row r="69" spans="1:10" x14ac:dyDescent="0.25">
      <c r="A69" t="s">
        <v>105</v>
      </c>
      <c r="B69" t="s">
        <v>17</v>
      </c>
      <c r="C69" t="s">
        <v>30</v>
      </c>
      <c r="D69">
        <v>7.49</v>
      </c>
      <c r="E69">
        <v>2038</v>
      </c>
      <c r="F69">
        <v>376</v>
      </c>
      <c r="G69">
        <v>5.4260000000000002</v>
      </c>
      <c r="H69">
        <v>321530.51260000002</v>
      </c>
    </row>
    <row r="70" spans="1:10" x14ac:dyDescent="0.25">
      <c r="A70" t="s">
        <v>106</v>
      </c>
      <c r="B70" t="s">
        <v>20</v>
      </c>
      <c r="C70" t="s">
        <v>30</v>
      </c>
      <c r="D70">
        <v>7.2649999999999997</v>
      </c>
      <c r="E70">
        <v>172366047</v>
      </c>
      <c r="F70">
        <v>37225151</v>
      </c>
      <c r="G70">
        <v>4.6303999999999998</v>
      </c>
      <c r="H70">
        <v>273192.50060000003</v>
      </c>
    </row>
    <row r="71" spans="1:10" x14ac:dyDescent="0.25">
      <c r="A71" t="s">
        <v>107</v>
      </c>
      <c r="B71" t="s">
        <v>20</v>
      </c>
      <c r="C71" t="s">
        <v>30</v>
      </c>
      <c r="D71">
        <v>7.4610000000000003</v>
      </c>
      <c r="E71">
        <v>3853</v>
      </c>
      <c r="F71">
        <v>2829</v>
      </c>
      <c r="G71">
        <v>1.3617999999999999</v>
      </c>
      <c r="H71">
        <v>74603.001399999994</v>
      </c>
    </row>
    <row r="72" spans="1:10" x14ac:dyDescent="0.25">
      <c r="A72" t="s">
        <v>109</v>
      </c>
      <c r="B72" t="s">
        <v>20</v>
      </c>
      <c r="C72" t="s">
        <v>30</v>
      </c>
      <c r="D72">
        <v>7.5789999999999997</v>
      </c>
      <c r="E72">
        <v>39966</v>
      </c>
      <c r="F72">
        <v>1771</v>
      </c>
      <c r="G72">
        <v>22.570900000000002</v>
      </c>
      <c r="H72">
        <v>1363196.1240999999</v>
      </c>
    </row>
    <row r="73" spans="1:10" x14ac:dyDescent="0.25">
      <c r="A73" t="s">
        <v>111</v>
      </c>
      <c r="B73" t="s">
        <v>20</v>
      </c>
      <c r="C73" t="s">
        <v>30</v>
      </c>
      <c r="D73">
        <v>7.4909999999999997</v>
      </c>
      <c r="E73">
        <v>1659</v>
      </c>
      <c r="F73">
        <v>4034</v>
      </c>
      <c r="G73">
        <v>0.41120000000000001</v>
      </c>
      <c r="H73">
        <v>16849.2569</v>
      </c>
    </row>
    <row r="74" spans="1:10" x14ac:dyDescent="0.25">
      <c r="A74" t="s">
        <v>113</v>
      </c>
      <c r="B74" t="s">
        <v>20</v>
      </c>
      <c r="C74" t="s">
        <v>30</v>
      </c>
      <c r="D74">
        <v>7.4930000000000003</v>
      </c>
      <c r="E74">
        <v>2212</v>
      </c>
      <c r="F74">
        <v>363</v>
      </c>
      <c r="G74">
        <v>6.1013999999999999</v>
      </c>
      <c r="H74">
        <v>362569.3187</v>
      </c>
    </row>
    <row r="75" spans="1:10" x14ac:dyDescent="0.25">
      <c r="A75" t="s">
        <v>115</v>
      </c>
      <c r="B75" t="s">
        <v>20</v>
      </c>
      <c r="C75" t="s">
        <v>30</v>
      </c>
      <c r="D75">
        <v>7.2389999999999999</v>
      </c>
      <c r="E75">
        <v>433815</v>
      </c>
      <c r="F75">
        <v>14848336</v>
      </c>
      <c r="G75">
        <v>2.92E-2</v>
      </c>
      <c r="H75">
        <v>0</v>
      </c>
    </row>
    <row r="76" spans="1:10" x14ac:dyDescent="0.25">
      <c r="A76" t="s">
        <v>117</v>
      </c>
      <c r="B76" t="s">
        <v>20</v>
      </c>
      <c r="C76" t="s">
        <v>30</v>
      </c>
      <c r="D76">
        <v>7.4969999999999999</v>
      </c>
      <c r="E76">
        <v>1928</v>
      </c>
      <c r="F76">
        <v>20796389</v>
      </c>
      <c r="G76">
        <v>1E-4</v>
      </c>
      <c r="H76">
        <v>0</v>
      </c>
    </row>
    <row r="77" spans="1:10" x14ac:dyDescent="0.25">
      <c r="A77" t="s">
        <v>119</v>
      </c>
      <c r="B77" t="s">
        <v>20</v>
      </c>
      <c r="C77" t="s">
        <v>30</v>
      </c>
      <c r="D77">
        <v>7.4960000000000004</v>
      </c>
      <c r="E77">
        <v>2340</v>
      </c>
      <c r="F77">
        <v>21179334</v>
      </c>
      <c r="G77">
        <v>1E-4</v>
      </c>
      <c r="H77">
        <v>0</v>
      </c>
    </row>
    <row r="78" spans="1:10" x14ac:dyDescent="0.25">
      <c r="A78" t="s">
        <v>121</v>
      </c>
      <c r="B78" t="s">
        <v>20</v>
      </c>
      <c r="C78" t="s">
        <v>30</v>
      </c>
      <c r="D78">
        <v>7.492</v>
      </c>
      <c r="E78">
        <v>1310</v>
      </c>
      <c r="F78">
        <v>20101666</v>
      </c>
      <c r="G78">
        <v>1E-4</v>
      </c>
      <c r="H78">
        <v>0</v>
      </c>
    </row>
    <row r="79" spans="1:10" x14ac:dyDescent="0.25">
      <c r="A79" t="s">
        <v>123</v>
      </c>
      <c r="B79" t="s">
        <v>20</v>
      </c>
      <c r="C79" t="s">
        <v>30</v>
      </c>
      <c r="D79">
        <v>7.4489999999999998</v>
      </c>
      <c r="E79">
        <v>843</v>
      </c>
      <c r="F79">
        <v>18626997</v>
      </c>
      <c r="G79">
        <v>0</v>
      </c>
      <c r="H79">
        <v>0</v>
      </c>
    </row>
    <row r="80" spans="1:10" x14ac:dyDescent="0.25">
      <c r="A80" t="s">
        <v>34</v>
      </c>
    </row>
    <row r="81" spans="1:10" x14ac:dyDescent="0.25">
      <c r="A81" t="s">
        <v>9</v>
      </c>
      <c r="B81" t="s">
        <v>11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29</v>
      </c>
    </row>
    <row r="82" spans="1:10" x14ac:dyDescent="0.25">
      <c r="A82" t="s">
        <v>105</v>
      </c>
      <c r="B82" t="s">
        <v>17</v>
      </c>
      <c r="C82" t="s">
        <v>30</v>
      </c>
      <c r="D82">
        <v>9.0289999999999999</v>
      </c>
      <c r="E82">
        <v>500</v>
      </c>
      <c r="F82">
        <v>376</v>
      </c>
      <c r="G82">
        <v>1.3315999999999999</v>
      </c>
      <c r="H82">
        <v>226861.3597</v>
      </c>
    </row>
    <row r="83" spans="1:10" x14ac:dyDescent="0.25">
      <c r="A83" t="s">
        <v>106</v>
      </c>
      <c r="B83" t="s">
        <v>20</v>
      </c>
      <c r="C83" t="s">
        <v>30</v>
      </c>
      <c r="D83">
        <v>8.7639999999999993</v>
      </c>
      <c r="E83">
        <v>25184615</v>
      </c>
      <c r="F83">
        <v>37225151</v>
      </c>
      <c r="G83">
        <v>0.67649999999999999</v>
      </c>
      <c r="H83">
        <v>114653.1268</v>
      </c>
    </row>
    <row r="84" spans="1:10" x14ac:dyDescent="0.25">
      <c r="A84" t="s">
        <v>107</v>
      </c>
      <c r="B84" t="s">
        <v>20</v>
      </c>
      <c r="C84" t="s">
        <v>30</v>
      </c>
      <c r="D84">
        <v>9.0350000000000001</v>
      </c>
      <c r="E84">
        <v>2203</v>
      </c>
      <c r="F84">
        <v>2829</v>
      </c>
      <c r="G84">
        <v>0.77880000000000005</v>
      </c>
      <c r="H84">
        <v>132166.652</v>
      </c>
    </row>
    <row r="85" spans="1:10" x14ac:dyDescent="0.25">
      <c r="A85" t="s">
        <v>109</v>
      </c>
      <c r="B85" t="s">
        <v>20</v>
      </c>
      <c r="C85" t="s">
        <v>30</v>
      </c>
      <c r="D85">
        <v>9.0890000000000004</v>
      </c>
      <c r="E85">
        <v>4973</v>
      </c>
      <c r="F85">
        <v>1771</v>
      </c>
      <c r="G85">
        <v>2.8087</v>
      </c>
      <c r="H85">
        <v>479878.6091</v>
      </c>
    </row>
    <row r="86" spans="1:10" x14ac:dyDescent="0.25">
      <c r="A86" t="s">
        <v>111</v>
      </c>
      <c r="B86" t="s">
        <v>20</v>
      </c>
      <c r="C86" t="s">
        <v>30</v>
      </c>
      <c r="D86">
        <v>9.3559999999999999</v>
      </c>
      <c r="E86">
        <v>1952</v>
      </c>
      <c r="F86">
        <v>4034</v>
      </c>
      <c r="G86">
        <v>0.4839</v>
      </c>
      <c r="H86">
        <v>81650.103300000002</v>
      </c>
    </row>
    <row r="87" spans="1:10" x14ac:dyDescent="0.25">
      <c r="A87" t="s">
        <v>113</v>
      </c>
      <c r="B87" t="s">
        <v>20</v>
      </c>
      <c r="C87" t="s">
        <v>30</v>
      </c>
      <c r="D87">
        <v>9.0350000000000001</v>
      </c>
      <c r="E87">
        <v>1386</v>
      </c>
      <c r="F87">
        <v>363</v>
      </c>
      <c r="G87">
        <v>3.8239999999999998</v>
      </c>
      <c r="H87">
        <v>653788.62379999994</v>
      </c>
    </row>
    <row r="88" spans="1:10" x14ac:dyDescent="0.25">
      <c r="A88" t="s">
        <v>115</v>
      </c>
      <c r="B88" t="s">
        <v>20</v>
      </c>
      <c r="C88" t="s">
        <v>30</v>
      </c>
      <c r="D88">
        <v>8.9489999999999998</v>
      </c>
      <c r="E88">
        <v>5300</v>
      </c>
      <c r="F88">
        <v>14848336</v>
      </c>
      <c r="G88">
        <v>4.0000000000000002E-4</v>
      </c>
      <c r="H88">
        <v>0</v>
      </c>
    </row>
    <row r="89" spans="1:10" x14ac:dyDescent="0.25">
      <c r="A89" t="s">
        <v>117</v>
      </c>
      <c r="B89" t="s">
        <v>20</v>
      </c>
      <c r="C89" t="s">
        <v>30</v>
      </c>
      <c r="D89">
        <v>9.0069999999999997</v>
      </c>
      <c r="E89">
        <v>2014</v>
      </c>
      <c r="F89">
        <v>20796389</v>
      </c>
      <c r="G89">
        <v>1E-4</v>
      </c>
      <c r="H89">
        <v>0</v>
      </c>
    </row>
    <row r="90" spans="1:10" x14ac:dyDescent="0.25">
      <c r="A90" t="s">
        <v>119</v>
      </c>
      <c r="B90" t="s">
        <v>20</v>
      </c>
      <c r="C90" t="s">
        <v>30</v>
      </c>
      <c r="D90">
        <v>9.0609999999999999</v>
      </c>
      <c r="E90">
        <v>2059</v>
      </c>
      <c r="F90">
        <v>21179334</v>
      </c>
      <c r="G90">
        <v>1E-4</v>
      </c>
      <c r="H90">
        <v>0</v>
      </c>
    </row>
    <row r="91" spans="1:10" x14ac:dyDescent="0.25">
      <c r="A91" t="s">
        <v>121</v>
      </c>
      <c r="B91" t="s">
        <v>20</v>
      </c>
      <c r="C91" t="s">
        <v>30</v>
      </c>
      <c r="D91">
        <v>9.0579999999999998</v>
      </c>
      <c r="E91">
        <v>1699</v>
      </c>
      <c r="F91">
        <v>20101666</v>
      </c>
      <c r="G91">
        <v>1E-4</v>
      </c>
      <c r="H91">
        <v>0</v>
      </c>
    </row>
    <row r="92" spans="1:10" x14ac:dyDescent="0.25">
      <c r="A92" t="s">
        <v>123</v>
      </c>
      <c r="B92" t="s">
        <v>20</v>
      </c>
      <c r="C92" t="s">
        <v>30</v>
      </c>
      <c r="D92">
        <v>9.0410000000000004</v>
      </c>
      <c r="E92">
        <v>550</v>
      </c>
      <c r="F92">
        <v>18626997</v>
      </c>
      <c r="G92">
        <v>0</v>
      </c>
      <c r="H92">
        <v>0</v>
      </c>
    </row>
    <row r="93" spans="1:10" x14ac:dyDescent="0.25">
      <c r="A93" t="s">
        <v>35</v>
      </c>
    </row>
    <row r="94" spans="1:10" x14ac:dyDescent="0.25">
      <c r="A94" t="s">
        <v>9</v>
      </c>
      <c r="B94" t="s">
        <v>11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 t="s">
        <v>28</v>
      </c>
      <c r="J94" t="s">
        <v>29</v>
      </c>
    </row>
    <row r="95" spans="1:10" x14ac:dyDescent="0.25">
      <c r="A95" t="s">
        <v>105</v>
      </c>
      <c r="B95" t="s">
        <v>17</v>
      </c>
      <c r="C95" t="s">
        <v>30</v>
      </c>
      <c r="D95">
        <v>11.124000000000001</v>
      </c>
      <c r="E95">
        <v>2454</v>
      </c>
      <c r="F95">
        <v>376</v>
      </c>
      <c r="G95">
        <v>6.5340999999999996</v>
      </c>
      <c r="H95">
        <v>378804.03</v>
      </c>
    </row>
    <row r="96" spans="1:10" x14ac:dyDescent="0.25">
      <c r="A96" t="s">
        <v>106</v>
      </c>
      <c r="B96" t="s">
        <v>20</v>
      </c>
      <c r="C96" t="s">
        <v>30</v>
      </c>
      <c r="D96">
        <v>10.808</v>
      </c>
      <c r="E96">
        <v>192214524</v>
      </c>
      <c r="F96">
        <v>37225151</v>
      </c>
      <c r="G96">
        <v>5.1635999999999997</v>
      </c>
      <c r="H96">
        <v>297924.77510000003</v>
      </c>
    </row>
    <row r="97" spans="1:10" x14ac:dyDescent="0.25">
      <c r="A97" t="s">
        <v>107</v>
      </c>
      <c r="B97" t="s">
        <v>20</v>
      </c>
      <c r="C97" t="s">
        <v>30</v>
      </c>
      <c r="D97">
        <v>11.125</v>
      </c>
      <c r="E97">
        <v>1681</v>
      </c>
      <c r="F97">
        <v>2829</v>
      </c>
      <c r="G97">
        <v>0.59430000000000005</v>
      </c>
      <c r="H97">
        <v>28280.875400000001</v>
      </c>
    </row>
    <row r="98" spans="1:10" x14ac:dyDescent="0.25">
      <c r="A98" t="s">
        <v>109</v>
      </c>
      <c r="B98" t="s">
        <v>20</v>
      </c>
      <c r="C98" t="s">
        <v>30</v>
      </c>
      <c r="D98">
        <v>11.135999999999999</v>
      </c>
      <c r="E98">
        <v>1602</v>
      </c>
      <c r="F98">
        <v>1771</v>
      </c>
      <c r="G98">
        <v>0.90500000000000003</v>
      </c>
      <c r="H98">
        <v>46617.0743</v>
      </c>
    </row>
    <row r="99" spans="1:10" x14ac:dyDescent="0.25">
      <c r="A99" t="s">
        <v>111</v>
      </c>
      <c r="B99" t="s">
        <v>20</v>
      </c>
      <c r="C99" t="s">
        <v>30</v>
      </c>
      <c r="D99">
        <v>11.092000000000001</v>
      </c>
      <c r="E99">
        <v>18863</v>
      </c>
      <c r="F99">
        <v>4034</v>
      </c>
      <c r="G99">
        <v>4.6760000000000002</v>
      </c>
      <c r="H99">
        <v>269152.53749999998</v>
      </c>
    </row>
    <row r="100" spans="1:10" x14ac:dyDescent="0.25">
      <c r="A100" t="s">
        <v>113</v>
      </c>
      <c r="B100" t="s">
        <v>20</v>
      </c>
      <c r="C100" t="s">
        <v>30</v>
      </c>
      <c r="D100">
        <v>11.162000000000001</v>
      </c>
      <c r="E100">
        <v>774</v>
      </c>
      <c r="F100">
        <v>363</v>
      </c>
      <c r="G100">
        <v>2.1360000000000001</v>
      </c>
      <c r="H100">
        <v>119259.05560000001</v>
      </c>
    </row>
    <row r="101" spans="1:10" x14ac:dyDescent="0.25">
      <c r="A101" t="s">
        <v>115</v>
      </c>
      <c r="B101" t="s">
        <v>20</v>
      </c>
      <c r="C101" t="s">
        <v>30</v>
      </c>
      <c r="D101">
        <v>11.318</v>
      </c>
      <c r="E101">
        <v>3531663</v>
      </c>
      <c r="F101">
        <v>14848336</v>
      </c>
      <c r="G101">
        <v>0.23780000000000001</v>
      </c>
      <c r="H101">
        <v>7246.0667999999996</v>
      </c>
    </row>
    <row r="102" spans="1:10" x14ac:dyDescent="0.25">
      <c r="A102" t="s">
        <v>117</v>
      </c>
      <c r="B102" t="s">
        <v>20</v>
      </c>
      <c r="C102" t="s">
        <v>30</v>
      </c>
      <c r="D102">
        <v>10.74</v>
      </c>
      <c r="E102">
        <v>3764016</v>
      </c>
      <c r="F102">
        <v>20796389</v>
      </c>
      <c r="G102">
        <v>0.18099999999999999</v>
      </c>
      <c r="H102">
        <v>3890.8926999999999</v>
      </c>
    </row>
    <row r="103" spans="1:10" x14ac:dyDescent="0.25">
      <c r="A103" t="s">
        <v>119</v>
      </c>
      <c r="B103" t="s">
        <v>20</v>
      </c>
      <c r="C103" t="s">
        <v>30</v>
      </c>
      <c r="D103">
        <v>10.741</v>
      </c>
      <c r="E103">
        <v>2126900</v>
      </c>
      <c r="F103">
        <v>21179334</v>
      </c>
      <c r="G103">
        <v>0.1004</v>
      </c>
      <c r="H103">
        <v>0</v>
      </c>
    </row>
    <row r="104" spans="1:10" x14ac:dyDescent="0.25">
      <c r="A104" t="s">
        <v>121</v>
      </c>
      <c r="B104" t="s">
        <v>20</v>
      </c>
      <c r="C104" t="s">
        <v>30</v>
      </c>
      <c r="D104">
        <v>10.738</v>
      </c>
      <c r="E104">
        <v>1360789</v>
      </c>
      <c r="F104">
        <v>20101666</v>
      </c>
      <c r="G104">
        <v>6.7699999999999996E-2</v>
      </c>
      <c r="H104">
        <v>0</v>
      </c>
    </row>
    <row r="105" spans="1:10" x14ac:dyDescent="0.25">
      <c r="A105" t="s">
        <v>123</v>
      </c>
      <c r="B105" t="s">
        <v>20</v>
      </c>
      <c r="C105" t="s">
        <v>30</v>
      </c>
      <c r="D105">
        <v>10.734999999999999</v>
      </c>
      <c r="E105">
        <v>1231172</v>
      </c>
      <c r="F105">
        <v>18626997</v>
      </c>
      <c r="G105">
        <v>6.6100000000000006E-2</v>
      </c>
      <c r="H105">
        <v>0</v>
      </c>
    </row>
    <row r="106" spans="1:10" x14ac:dyDescent="0.25">
      <c r="A106" t="s">
        <v>36</v>
      </c>
    </row>
    <row r="107" spans="1:10" x14ac:dyDescent="0.25">
      <c r="A107" t="s">
        <v>9</v>
      </c>
      <c r="B107" t="s">
        <v>11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</row>
    <row r="108" spans="1:10" x14ac:dyDescent="0.25">
      <c r="A108" t="s">
        <v>105</v>
      </c>
      <c r="B108" t="s">
        <v>17</v>
      </c>
      <c r="C108" t="s">
        <v>30</v>
      </c>
      <c r="D108">
        <v>11.956</v>
      </c>
      <c r="E108">
        <v>2995</v>
      </c>
      <c r="F108">
        <v>376</v>
      </c>
      <c r="G108">
        <v>7.9748999999999999</v>
      </c>
      <c r="H108">
        <v>1614001.5120000001</v>
      </c>
    </row>
    <row r="109" spans="1:10" x14ac:dyDescent="0.25">
      <c r="A109" t="s">
        <v>106</v>
      </c>
      <c r="B109" t="s">
        <v>20</v>
      </c>
      <c r="C109" t="s">
        <v>30</v>
      </c>
      <c r="D109">
        <v>11.458</v>
      </c>
      <c r="E109">
        <v>30993054</v>
      </c>
      <c r="F109">
        <v>37225151</v>
      </c>
      <c r="G109">
        <v>0.83260000000000001</v>
      </c>
      <c r="H109">
        <v>167598.25719999999</v>
      </c>
    </row>
    <row r="110" spans="1:10" x14ac:dyDescent="0.25">
      <c r="A110" t="s">
        <v>107</v>
      </c>
      <c r="B110" t="s">
        <v>20</v>
      </c>
      <c r="C110" t="s">
        <v>30</v>
      </c>
      <c r="D110">
        <v>11.866</v>
      </c>
      <c r="E110">
        <v>1447</v>
      </c>
      <c r="F110">
        <v>2829</v>
      </c>
      <c r="G110">
        <v>0.51139999999999997</v>
      </c>
      <c r="H110">
        <v>102550.81849999999</v>
      </c>
    </row>
    <row r="111" spans="1:10" x14ac:dyDescent="0.25">
      <c r="A111" t="s">
        <v>109</v>
      </c>
      <c r="B111" t="s">
        <v>20</v>
      </c>
      <c r="C111" t="s">
        <v>30</v>
      </c>
      <c r="D111">
        <v>11.868</v>
      </c>
      <c r="E111">
        <v>586</v>
      </c>
      <c r="F111">
        <v>1771</v>
      </c>
      <c r="G111">
        <v>0.33100000000000002</v>
      </c>
      <c r="H111">
        <v>66026.805699999997</v>
      </c>
    </row>
    <row r="112" spans="1:10" x14ac:dyDescent="0.25">
      <c r="A112" t="s">
        <v>111</v>
      </c>
      <c r="B112" t="s">
        <v>20</v>
      </c>
      <c r="C112" t="s">
        <v>30</v>
      </c>
      <c r="D112">
        <v>11.855</v>
      </c>
      <c r="E112">
        <v>526</v>
      </c>
      <c r="F112">
        <v>4034</v>
      </c>
      <c r="G112">
        <v>0.1305</v>
      </c>
      <c r="H112">
        <v>25418.991300000002</v>
      </c>
    </row>
    <row r="113" spans="1:10" x14ac:dyDescent="0.25">
      <c r="A113" t="s">
        <v>113</v>
      </c>
      <c r="B113" t="s">
        <v>20</v>
      </c>
      <c r="C113" t="s">
        <v>30</v>
      </c>
      <c r="D113">
        <v>11.867000000000001</v>
      </c>
      <c r="E113">
        <v>906</v>
      </c>
      <c r="F113">
        <v>363</v>
      </c>
      <c r="G113">
        <v>2.4981</v>
      </c>
      <c r="H113">
        <v>504883.56829999998</v>
      </c>
    </row>
    <row r="114" spans="1:10" x14ac:dyDescent="0.25">
      <c r="A114" t="s">
        <v>115</v>
      </c>
      <c r="B114" t="s">
        <v>20</v>
      </c>
      <c r="C114" t="s">
        <v>30</v>
      </c>
      <c r="D114">
        <v>11.907</v>
      </c>
      <c r="E114">
        <v>231905</v>
      </c>
      <c r="F114">
        <v>14848336</v>
      </c>
      <c r="G114">
        <v>1.5599999999999999E-2</v>
      </c>
      <c r="H114">
        <v>2153.0711999999999</v>
      </c>
    </row>
    <row r="115" spans="1:10" x14ac:dyDescent="0.25">
      <c r="A115" t="s">
        <v>117</v>
      </c>
      <c r="B115" t="s">
        <v>20</v>
      </c>
      <c r="C115" t="s">
        <v>30</v>
      </c>
      <c r="D115">
        <v>11.827</v>
      </c>
      <c r="E115">
        <v>-94</v>
      </c>
      <c r="F115">
        <v>20796389</v>
      </c>
      <c r="G115">
        <v>0</v>
      </c>
      <c r="H115">
        <v>0</v>
      </c>
    </row>
    <row r="116" spans="1:10" x14ac:dyDescent="0.25">
      <c r="A116" t="s">
        <v>119</v>
      </c>
      <c r="B116" t="s">
        <v>20</v>
      </c>
      <c r="C116" t="s">
        <v>30</v>
      </c>
      <c r="D116">
        <v>11.845000000000001</v>
      </c>
      <c r="E116">
        <v>-2188</v>
      </c>
      <c r="F116">
        <v>21179334</v>
      </c>
      <c r="G116">
        <v>-1E-4</v>
      </c>
      <c r="H116">
        <v>0</v>
      </c>
    </row>
    <row r="117" spans="1:10" x14ac:dyDescent="0.25">
      <c r="A117" t="s">
        <v>121</v>
      </c>
      <c r="B117" t="s">
        <v>20</v>
      </c>
      <c r="C117" t="s">
        <v>30</v>
      </c>
      <c r="D117">
        <v>11.823</v>
      </c>
      <c r="E117">
        <v>-136</v>
      </c>
      <c r="F117">
        <v>20101666</v>
      </c>
      <c r="G117">
        <v>0</v>
      </c>
      <c r="H117">
        <v>0</v>
      </c>
    </row>
    <row r="118" spans="1:10" x14ac:dyDescent="0.25">
      <c r="A118" t="s">
        <v>123</v>
      </c>
      <c r="B118" t="s">
        <v>20</v>
      </c>
      <c r="C118" t="s">
        <v>30</v>
      </c>
      <c r="D118">
        <v>11.808999999999999</v>
      </c>
      <c r="E118">
        <v>1021</v>
      </c>
      <c r="F118">
        <v>18626997</v>
      </c>
      <c r="G118">
        <v>1E-4</v>
      </c>
      <c r="H118">
        <v>0</v>
      </c>
    </row>
    <row r="119" spans="1:10" x14ac:dyDescent="0.25">
      <c r="A119" t="s">
        <v>37</v>
      </c>
    </row>
    <row r="120" spans="1:10" x14ac:dyDescent="0.25">
      <c r="A120" t="s">
        <v>9</v>
      </c>
      <c r="B120" t="s">
        <v>11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 t="s">
        <v>28</v>
      </c>
      <c r="J120" t="s">
        <v>29</v>
      </c>
    </row>
    <row r="121" spans="1:10" x14ac:dyDescent="0.25">
      <c r="A121" t="s">
        <v>105</v>
      </c>
      <c r="B121" t="s">
        <v>17</v>
      </c>
      <c r="C121" t="s">
        <v>30</v>
      </c>
      <c r="D121">
        <v>13.856</v>
      </c>
      <c r="E121">
        <v>1352</v>
      </c>
      <c r="F121">
        <v>376</v>
      </c>
      <c r="G121">
        <v>3.5987</v>
      </c>
      <c r="H121">
        <v>932572.92940000002</v>
      </c>
    </row>
    <row r="122" spans="1:10" x14ac:dyDescent="0.25">
      <c r="A122" t="s">
        <v>106</v>
      </c>
      <c r="B122" t="s">
        <v>20</v>
      </c>
      <c r="C122" t="s">
        <v>30</v>
      </c>
      <c r="D122">
        <v>13.416</v>
      </c>
      <c r="E122">
        <v>18257541</v>
      </c>
      <c r="F122">
        <v>37225151</v>
      </c>
      <c r="G122">
        <v>0.49049999999999999</v>
      </c>
      <c r="H122">
        <v>125861.4884</v>
      </c>
    </row>
    <row r="123" spans="1:10" x14ac:dyDescent="0.25">
      <c r="A123" t="s">
        <v>107</v>
      </c>
      <c r="B123" t="s">
        <v>20</v>
      </c>
      <c r="C123" t="s">
        <v>30</v>
      </c>
      <c r="D123">
        <v>13.927</v>
      </c>
      <c r="E123">
        <v>1825</v>
      </c>
      <c r="F123">
        <v>2829</v>
      </c>
      <c r="G123">
        <v>0.64500000000000002</v>
      </c>
      <c r="H123">
        <v>165971.97640000001</v>
      </c>
    </row>
    <row r="124" spans="1:10" x14ac:dyDescent="0.25">
      <c r="A124" t="s">
        <v>109</v>
      </c>
      <c r="B124" t="s">
        <v>20</v>
      </c>
      <c r="C124" t="s">
        <v>30</v>
      </c>
      <c r="D124">
        <v>13.878</v>
      </c>
      <c r="E124">
        <v>1756</v>
      </c>
      <c r="F124">
        <v>1771</v>
      </c>
      <c r="G124">
        <v>0.99170000000000003</v>
      </c>
      <c r="H124">
        <v>255962.02480000001</v>
      </c>
    </row>
    <row r="125" spans="1:10" x14ac:dyDescent="0.25">
      <c r="A125" t="s">
        <v>111</v>
      </c>
      <c r="B125" t="s">
        <v>20</v>
      </c>
      <c r="C125" t="s">
        <v>30</v>
      </c>
      <c r="D125">
        <v>13.53</v>
      </c>
      <c r="E125">
        <v>8139</v>
      </c>
      <c r="F125">
        <v>4034</v>
      </c>
      <c r="G125">
        <v>2.0175000000000001</v>
      </c>
      <c r="H125">
        <v>522199.03169999999</v>
      </c>
    </row>
    <row r="126" spans="1:10" x14ac:dyDescent="0.25">
      <c r="A126" t="s">
        <v>113</v>
      </c>
      <c r="B126" t="s">
        <v>20</v>
      </c>
      <c r="C126" t="s">
        <v>30</v>
      </c>
      <c r="D126">
        <v>14.454000000000001</v>
      </c>
      <c r="E126">
        <v>14829</v>
      </c>
      <c r="F126">
        <v>363</v>
      </c>
      <c r="G126">
        <v>40.898899999999998</v>
      </c>
      <c r="H126">
        <v>10613568.0066</v>
      </c>
    </row>
    <row r="127" spans="1:10" x14ac:dyDescent="0.25">
      <c r="A127" t="s">
        <v>115</v>
      </c>
      <c r="B127" t="s">
        <v>20</v>
      </c>
      <c r="C127" t="s">
        <v>30</v>
      </c>
      <c r="D127">
        <v>14.228</v>
      </c>
      <c r="E127">
        <v>14766</v>
      </c>
      <c r="F127">
        <v>14848336</v>
      </c>
      <c r="G127">
        <v>1E-3</v>
      </c>
      <c r="H127">
        <v>0</v>
      </c>
    </row>
    <row r="128" spans="1:10" x14ac:dyDescent="0.25">
      <c r="A128" t="s">
        <v>117</v>
      </c>
      <c r="B128" t="s">
        <v>20</v>
      </c>
      <c r="C128" t="s">
        <v>30</v>
      </c>
      <c r="D128">
        <v>14.042999999999999</v>
      </c>
      <c r="E128">
        <v>29304</v>
      </c>
      <c r="F128">
        <v>20796389</v>
      </c>
      <c r="G128">
        <v>1.4E-3</v>
      </c>
      <c r="H128">
        <v>0</v>
      </c>
    </row>
    <row r="129" spans="1:10" x14ac:dyDescent="0.25">
      <c r="A129" t="s">
        <v>119</v>
      </c>
      <c r="B129" t="s">
        <v>20</v>
      </c>
      <c r="C129" t="s">
        <v>30</v>
      </c>
      <c r="D129">
        <v>13.358000000000001</v>
      </c>
      <c r="E129">
        <v>337114</v>
      </c>
      <c r="F129">
        <v>21179334</v>
      </c>
      <c r="G129">
        <v>1.5900000000000001E-2</v>
      </c>
      <c r="H129">
        <v>2696.7021</v>
      </c>
    </row>
    <row r="130" spans="1:10" x14ac:dyDescent="0.25">
      <c r="A130" t="s">
        <v>121</v>
      </c>
      <c r="B130" t="s">
        <v>20</v>
      </c>
      <c r="C130" t="s">
        <v>30</v>
      </c>
      <c r="D130">
        <v>13.952</v>
      </c>
      <c r="E130">
        <v>14371</v>
      </c>
      <c r="F130">
        <v>20101666</v>
      </c>
      <c r="G130">
        <v>6.9999999999999999E-4</v>
      </c>
      <c r="H130">
        <v>0</v>
      </c>
    </row>
    <row r="131" spans="1:10" x14ac:dyDescent="0.25">
      <c r="A131" t="s">
        <v>123</v>
      </c>
      <c r="B131" t="s">
        <v>20</v>
      </c>
      <c r="C131" t="s">
        <v>30</v>
      </c>
      <c r="D131">
        <v>13.763999999999999</v>
      </c>
      <c r="E131">
        <v>9888</v>
      </c>
      <c r="F131">
        <v>18626997</v>
      </c>
      <c r="G131">
        <v>5.0000000000000001E-4</v>
      </c>
      <c r="H131">
        <v>0</v>
      </c>
    </row>
    <row r="132" spans="1:10" x14ac:dyDescent="0.25">
      <c r="A132" t="s">
        <v>38</v>
      </c>
    </row>
    <row r="133" spans="1:10" x14ac:dyDescent="0.25">
      <c r="A133" t="s">
        <v>9</v>
      </c>
      <c r="B133" t="s">
        <v>11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28</v>
      </c>
      <c r="J133" t="s">
        <v>29</v>
      </c>
    </row>
    <row r="134" spans="1:10" x14ac:dyDescent="0.25">
      <c r="A134" t="s">
        <v>105</v>
      </c>
      <c r="B134" t="s">
        <v>17</v>
      </c>
      <c r="C134" t="s">
        <v>30</v>
      </c>
      <c r="D134">
        <v>14.292</v>
      </c>
      <c r="E134">
        <v>1153</v>
      </c>
      <c r="F134">
        <v>376</v>
      </c>
      <c r="G134">
        <v>3.0710999999999999</v>
      </c>
      <c r="H134">
        <v>695333.54020000005</v>
      </c>
    </row>
    <row r="135" spans="1:10" x14ac:dyDescent="0.25">
      <c r="A135" t="s">
        <v>106</v>
      </c>
      <c r="B135" t="s">
        <v>20</v>
      </c>
      <c r="C135" t="s">
        <v>30</v>
      </c>
      <c r="D135">
        <v>14.276</v>
      </c>
      <c r="E135">
        <v>26411183</v>
      </c>
      <c r="F135">
        <v>37225151</v>
      </c>
      <c r="G135">
        <v>0.70950000000000002</v>
      </c>
      <c r="H135">
        <v>159864.8701</v>
      </c>
    </row>
    <row r="136" spans="1:10" x14ac:dyDescent="0.25">
      <c r="A136" t="s">
        <v>107</v>
      </c>
      <c r="B136" t="s">
        <v>20</v>
      </c>
      <c r="C136" t="s">
        <v>30</v>
      </c>
      <c r="D136">
        <v>14.397</v>
      </c>
      <c r="E136">
        <v>2053</v>
      </c>
      <c r="F136">
        <v>2829</v>
      </c>
      <c r="G136">
        <v>0.72560000000000002</v>
      </c>
      <c r="H136">
        <v>163518.30050000001</v>
      </c>
    </row>
    <row r="137" spans="1:10" x14ac:dyDescent="0.25">
      <c r="A137" t="s">
        <v>109</v>
      </c>
      <c r="B137" t="s">
        <v>20</v>
      </c>
      <c r="C137" t="s">
        <v>30</v>
      </c>
      <c r="D137">
        <v>14.311999999999999</v>
      </c>
      <c r="E137">
        <v>1071</v>
      </c>
      <c r="F137">
        <v>1771</v>
      </c>
      <c r="G137">
        <v>0.60499999999999998</v>
      </c>
      <c r="H137">
        <v>136166.62030000001</v>
      </c>
    </row>
    <row r="138" spans="1:10" x14ac:dyDescent="0.25">
      <c r="A138" t="s">
        <v>111</v>
      </c>
      <c r="B138" t="s">
        <v>20</v>
      </c>
      <c r="C138" t="s">
        <v>30</v>
      </c>
      <c r="D138">
        <v>14.311999999999999</v>
      </c>
      <c r="E138">
        <v>3396</v>
      </c>
      <c r="F138">
        <v>4034</v>
      </c>
      <c r="G138">
        <v>0.84189999999999998</v>
      </c>
      <c r="H138">
        <v>189895.71030000001</v>
      </c>
    </row>
    <row r="139" spans="1:10" x14ac:dyDescent="0.25">
      <c r="A139" t="s">
        <v>113</v>
      </c>
      <c r="B139" t="s">
        <v>20</v>
      </c>
      <c r="C139" t="s">
        <v>30</v>
      </c>
      <c r="D139">
        <v>14.318</v>
      </c>
      <c r="E139">
        <v>1149</v>
      </c>
      <c r="F139">
        <v>363</v>
      </c>
      <c r="G139">
        <v>3.1684000000000001</v>
      </c>
      <c r="H139">
        <v>717388.94660000002</v>
      </c>
    </row>
    <row r="140" spans="1:10" x14ac:dyDescent="0.25">
      <c r="A140" t="s">
        <v>115</v>
      </c>
      <c r="B140" t="s">
        <v>20</v>
      </c>
      <c r="C140" t="s">
        <v>30</v>
      </c>
      <c r="D140">
        <v>14.423</v>
      </c>
      <c r="E140">
        <v>11293</v>
      </c>
      <c r="F140">
        <v>14848336</v>
      </c>
      <c r="G140">
        <v>8.0000000000000004E-4</v>
      </c>
      <c r="H140">
        <v>0</v>
      </c>
    </row>
    <row r="141" spans="1:10" x14ac:dyDescent="0.25">
      <c r="A141" t="s">
        <v>117</v>
      </c>
      <c r="B141" t="s">
        <v>20</v>
      </c>
      <c r="C141" t="s">
        <v>30</v>
      </c>
      <c r="D141">
        <v>14.441000000000001</v>
      </c>
      <c r="E141">
        <v>8350</v>
      </c>
      <c r="F141">
        <v>20796389</v>
      </c>
      <c r="G141">
        <v>4.0000000000000002E-4</v>
      </c>
      <c r="H141">
        <v>0</v>
      </c>
    </row>
    <row r="142" spans="1:10" x14ac:dyDescent="0.25">
      <c r="A142" t="s">
        <v>119</v>
      </c>
      <c r="B142" t="s">
        <v>20</v>
      </c>
      <c r="C142" t="s">
        <v>30</v>
      </c>
      <c r="D142">
        <v>13.932</v>
      </c>
      <c r="E142">
        <v>8501</v>
      </c>
      <c r="F142">
        <v>21179334</v>
      </c>
      <c r="G142">
        <v>4.0000000000000002E-4</v>
      </c>
      <c r="H142">
        <v>0</v>
      </c>
    </row>
    <row r="143" spans="1:10" x14ac:dyDescent="0.25">
      <c r="A143" t="s">
        <v>121</v>
      </c>
      <c r="B143" t="s">
        <v>20</v>
      </c>
      <c r="C143" t="s">
        <v>30</v>
      </c>
      <c r="D143">
        <v>14.435</v>
      </c>
      <c r="E143">
        <v>38956</v>
      </c>
      <c r="F143">
        <v>20101666</v>
      </c>
      <c r="G143">
        <v>1.9E-3</v>
      </c>
      <c r="H143">
        <v>0</v>
      </c>
    </row>
    <row r="144" spans="1:10" x14ac:dyDescent="0.25">
      <c r="A144" t="s">
        <v>123</v>
      </c>
      <c r="B144" t="s">
        <v>20</v>
      </c>
      <c r="C144" t="s">
        <v>30</v>
      </c>
      <c r="D144">
        <v>14.308</v>
      </c>
      <c r="E144">
        <v>7725</v>
      </c>
      <c r="F144">
        <v>18626997</v>
      </c>
      <c r="G144">
        <v>4.0000000000000002E-4</v>
      </c>
      <c r="H144">
        <v>0</v>
      </c>
    </row>
    <row r="145" spans="1:10" x14ac:dyDescent="0.25">
      <c r="A145" t="s">
        <v>39</v>
      </c>
    </row>
    <row r="146" spans="1:10" x14ac:dyDescent="0.25">
      <c r="A146" t="s">
        <v>9</v>
      </c>
      <c r="B146" t="s">
        <v>11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27</v>
      </c>
      <c r="I146" t="s">
        <v>28</v>
      </c>
      <c r="J146" t="s">
        <v>29</v>
      </c>
    </row>
    <row r="147" spans="1:10" x14ac:dyDescent="0.25">
      <c r="A147" t="s">
        <v>105</v>
      </c>
      <c r="B147" t="s">
        <v>17</v>
      </c>
      <c r="C147" t="s">
        <v>30</v>
      </c>
      <c r="D147">
        <v>16.783999999999999</v>
      </c>
      <c r="E147">
        <v>1467</v>
      </c>
      <c r="F147">
        <v>376</v>
      </c>
      <c r="G147">
        <v>3.9070999999999998</v>
      </c>
      <c r="H147">
        <v>800601.1</v>
      </c>
    </row>
    <row r="148" spans="1:10" x14ac:dyDescent="0.25">
      <c r="A148" t="s">
        <v>106</v>
      </c>
      <c r="B148" t="s">
        <v>20</v>
      </c>
      <c r="C148" t="s">
        <v>30</v>
      </c>
      <c r="D148">
        <v>16.77</v>
      </c>
      <c r="E148">
        <v>338178623</v>
      </c>
      <c r="F148">
        <v>37225151</v>
      </c>
      <c r="G148">
        <v>9.0846999999999998</v>
      </c>
      <c r="H148">
        <v>1866535.5057999999</v>
      </c>
    </row>
    <row r="149" spans="1:10" x14ac:dyDescent="0.25">
      <c r="A149" t="s">
        <v>107</v>
      </c>
      <c r="B149" t="s">
        <v>20</v>
      </c>
      <c r="C149" t="s">
        <v>30</v>
      </c>
      <c r="D149">
        <v>16.831</v>
      </c>
      <c r="E149">
        <v>1986</v>
      </c>
      <c r="F149">
        <v>2829</v>
      </c>
      <c r="G149">
        <v>0.70189999999999997</v>
      </c>
      <c r="H149">
        <v>140728.1605</v>
      </c>
    </row>
    <row r="150" spans="1:10" x14ac:dyDescent="0.25">
      <c r="A150" t="s">
        <v>109</v>
      </c>
      <c r="B150" t="s">
        <v>20</v>
      </c>
      <c r="C150" t="s">
        <v>30</v>
      </c>
      <c r="D150">
        <v>16.821999999999999</v>
      </c>
      <c r="E150">
        <v>1279</v>
      </c>
      <c r="F150">
        <v>1771</v>
      </c>
      <c r="G150">
        <v>0.72219999999999995</v>
      </c>
      <c r="H150">
        <v>144912.82550000001</v>
      </c>
    </row>
    <row r="151" spans="1:10" x14ac:dyDescent="0.25">
      <c r="A151" t="s">
        <v>111</v>
      </c>
      <c r="B151" t="s">
        <v>20</v>
      </c>
      <c r="C151" t="s">
        <v>30</v>
      </c>
      <c r="D151">
        <v>16.800999999999998</v>
      </c>
      <c r="E151">
        <v>874</v>
      </c>
      <c r="F151">
        <v>4034</v>
      </c>
      <c r="G151">
        <v>0.21659999999999999</v>
      </c>
      <c r="H151">
        <v>40819.096299999997</v>
      </c>
    </row>
    <row r="152" spans="1:10" x14ac:dyDescent="0.25">
      <c r="A152" t="s">
        <v>113</v>
      </c>
      <c r="B152" t="s">
        <v>20</v>
      </c>
      <c r="C152" t="s">
        <v>30</v>
      </c>
      <c r="D152">
        <v>16.806000000000001</v>
      </c>
      <c r="E152">
        <v>2836</v>
      </c>
      <c r="F152">
        <v>363</v>
      </c>
      <c r="G152">
        <v>7.8221999999999996</v>
      </c>
      <c r="H152">
        <v>1606621.4516</v>
      </c>
    </row>
    <row r="153" spans="1:10" x14ac:dyDescent="0.25">
      <c r="A153" t="s">
        <v>115</v>
      </c>
      <c r="B153" t="s">
        <v>20</v>
      </c>
      <c r="C153" t="s">
        <v>30</v>
      </c>
      <c r="D153">
        <v>16.664999999999999</v>
      </c>
      <c r="E153">
        <v>112774018</v>
      </c>
      <c r="F153">
        <v>14848336</v>
      </c>
      <c r="G153">
        <v>7.5951000000000004</v>
      </c>
      <c r="H153">
        <v>1559859.6487</v>
      </c>
    </row>
    <row r="154" spans="1:10" x14ac:dyDescent="0.25">
      <c r="A154" t="s">
        <v>117</v>
      </c>
      <c r="B154" t="s">
        <v>20</v>
      </c>
      <c r="C154" t="s">
        <v>30</v>
      </c>
      <c r="D154">
        <v>16.677</v>
      </c>
      <c r="E154">
        <v>137506292</v>
      </c>
      <c r="F154">
        <v>20796389</v>
      </c>
      <c r="G154">
        <v>6.6120000000000001</v>
      </c>
      <c r="H154">
        <v>1357477.4282</v>
      </c>
    </row>
    <row r="155" spans="1:10" x14ac:dyDescent="0.25">
      <c r="A155" t="s">
        <v>119</v>
      </c>
      <c r="B155" t="s">
        <v>20</v>
      </c>
      <c r="C155" t="s">
        <v>30</v>
      </c>
      <c r="D155">
        <v>16.664000000000001</v>
      </c>
      <c r="E155">
        <v>101686761</v>
      </c>
      <c r="F155">
        <v>21179334</v>
      </c>
      <c r="G155">
        <v>4.8011999999999997</v>
      </c>
      <c r="H155">
        <v>984678.2095</v>
      </c>
    </row>
    <row r="156" spans="1:10" x14ac:dyDescent="0.25">
      <c r="A156" t="s">
        <v>121</v>
      </c>
      <c r="B156" t="s">
        <v>20</v>
      </c>
      <c r="C156" t="s">
        <v>30</v>
      </c>
      <c r="D156">
        <v>16.669</v>
      </c>
      <c r="E156">
        <v>115946488</v>
      </c>
      <c r="F156">
        <v>20101666</v>
      </c>
      <c r="G156">
        <v>5.7679999999999998</v>
      </c>
      <c r="H156">
        <v>1183713.9240000001</v>
      </c>
    </row>
    <row r="157" spans="1:10" x14ac:dyDescent="0.25">
      <c r="A157" t="s">
        <v>123</v>
      </c>
      <c r="B157" t="s">
        <v>20</v>
      </c>
      <c r="C157" t="s">
        <v>30</v>
      </c>
      <c r="D157">
        <v>16.643999999999998</v>
      </c>
      <c r="E157">
        <v>73195251</v>
      </c>
      <c r="F157">
        <v>18626997</v>
      </c>
      <c r="G157">
        <v>3.9295</v>
      </c>
      <c r="H157">
        <v>805216.68969999999</v>
      </c>
    </row>
    <row r="158" spans="1:10" x14ac:dyDescent="0.25">
      <c r="A158" t="s">
        <v>40</v>
      </c>
    </row>
    <row r="159" spans="1:10" x14ac:dyDescent="0.25">
      <c r="A159" t="s">
        <v>9</v>
      </c>
      <c r="B159" t="s">
        <v>11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29</v>
      </c>
    </row>
    <row r="160" spans="1:10" x14ac:dyDescent="0.25">
      <c r="A160" t="s">
        <v>105</v>
      </c>
      <c r="B160" t="s">
        <v>17</v>
      </c>
      <c r="C160" t="s">
        <v>30</v>
      </c>
      <c r="D160">
        <v>17.36</v>
      </c>
      <c r="E160">
        <v>1008</v>
      </c>
      <c r="F160">
        <v>376</v>
      </c>
      <c r="G160">
        <v>2.6844000000000001</v>
      </c>
      <c r="H160">
        <v>576756.51729999995</v>
      </c>
    </row>
    <row r="161" spans="1:10" x14ac:dyDescent="0.25">
      <c r="A161" t="s">
        <v>106</v>
      </c>
      <c r="B161" t="s">
        <v>20</v>
      </c>
      <c r="C161" t="s">
        <v>30</v>
      </c>
      <c r="D161">
        <v>17.341999999999999</v>
      </c>
      <c r="E161">
        <v>29102055</v>
      </c>
      <c r="F161">
        <v>37225151</v>
      </c>
      <c r="G161">
        <v>0.78180000000000005</v>
      </c>
      <c r="H161">
        <v>166514.15549999999</v>
      </c>
    </row>
    <row r="162" spans="1:10" x14ac:dyDescent="0.25">
      <c r="A162" t="s">
        <v>107</v>
      </c>
      <c r="B162" t="s">
        <v>20</v>
      </c>
      <c r="C162" t="s">
        <v>30</v>
      </c>
      <c r="D162">
        <v>17.384</v>
      </c>
      <c r="E162">
        <v>1107</v>
      </c>
      <c r="F162">
        <v>2829</v>
      </c>
      <c r="G162">
        <v>0.39129999999999998</v>
      </c>
      <c r="H162">
        <v>82321.366999999998</v>
      </c>
    </row>
    <row r="163" spans="1:10" x14ac:dyDescent="0.25">
      <c r="A163" t="s">
        <v>109</v>
      </c>
      <c r="B163" t="s">
        <v>20</v>
      </c>
      <c r="C163" t="s">
        <v>30</v>
      </c>
      <c r="D163">
        <v>17.402999999999999</v>
      </c>
      <c r="E163">
        <v>1862</v>
      </c>
      <c r="F163">
        <v>1771</v>
      </c>
      <c r="G163">
        <v>1.0516000000000001</v>
      </c>
      <c r="H163">
        <v>224689.0196</v>
      </c>
    </row>
    <row r="164" spans="1:10" x14ac:dyDescent="0.25">
      <c r="A164" t="s">
        <v>111</v>
      </c>
      <c r="B164" t="s">
        <v>20</v>
      </c>
      <c r="C164" t="s">
        <v>30</v>
      </c>
      <c r="D164">
        <v>17.434000000000001</v>
      </c>
      <c r="E164">
        <v>1369</v>
      </c>
      <c r="F164">
        <v>4034</v>
      </c>
      <c r="G164">
        <v>0.33929999999999999</v>
      </c>
      <c r="H164">
        <v>71102.224199999997</v>
      </c>
    </row>
    <row r="165" spans="1:10" x14ac:dyDescent="0.25">
      <c r="A165" t="s">
        <v>113</v>
      </c>
      <c r="B165" t="s">
        <v>20</v>
      </c>
      <c r="C165" t="s">
        <v>30</v>
      </c>
      <c r="D165">
        <v>17.466999999999999</v>
      </c>
      <c r="E165">
        <v>1575</v>
      </c>
      <c r="F165">
        <v>363</v>
      </c>
      <c r="G165">
        <v>4.3433000000000002</v>
      </c>
      <c r="H165">
        <v>934445.6385</v>
      </c>
    </row>
    <row r="166" spans="1:10" x14ac:dyDescent="0.25">
      <c r="A166" t="s">
        <v>115</v>
      </c>
      <c r="B166" t="s">
        <v>20</v>
      </c>
      <c r="C166" t="s">
        <v>30</v>
      </c>
      <c r="D166">
        <v>17.265000000000001</v>
      </c>
      <c r="E166">
        <v>2086435</v>
      </c>
      <c r="F166">
        <v>14848336</v>
      </c>
      <c r="G166">
        <v>0.14050000000000001</v>
      </c>
      <c r="H166">
        <v>28242.609499999999</v>
      </c>
    </row>
    <row r="167" spans="1:10" x14ac:dyDescent="0.25">
      <c r="A167" t="s">
        <v>117</v>
      </c>
      <c r="B167" t="s">
        <v>20</v>
      </c>
      <c r="C167" t="s">
        <v>30</v>
      </c>
      <c r="D167">
        <v>17.27</v>
      </c>
      <c r="E167">
        <v>2999181</v>
      </c>
      <c r="F167">
        <v>20796389</v>
      </c>
      <c r="G167">
        <v>0.14419999999999999</v>
      </c>
      <c r="H167">
        <v>29040.412100000001</v>
      </c>
    </row>
    <row r="168" spans="1:10" x14ac:dyDescent="0.25">
      <c r="A168" t="s">
        <v>119</v>
      </c>
      <c r="B168" t="s">
        <v>20</v>
      </c>
      <c r="C168" t="s">
        <v>30</v>
      </c>
      <c r="D168">
        <v>17.263000000000002</v>
      </c>
      <c r="E168">
        <v>714993</v>
      </c>
      <c r="F168">
        <v>21179334</v>
      </c>
      <c r="G168">
        <v>3.3799999999999997E-2</v>
      </c>
      <c r="H168">
        <v>5223.3678</v>
      </c>
    </row>
    <row r="169" spans="1:10" x14ac:dyDescent="0.25">
      <c r="A169" t="s">
        <v>121</v>
      </c>
      <c r="B169" t="s">
        <v>20</v>
      </c>
      <c r="C169" t="s">
        <v>30</v>
      </c>
      <c r="D169">
        <v>17.268999999999998</v>
      </c>
      <c r="E169">
        <v>1060992</v>
      </c>
      <c r="F169">
        <v>20101666</v>
      </c>
      <c r="G169">
        <v>5.28E-2</v>
      </c>
      <c r="H169">
        <v>9324.9853000000003</v>
      </c>
    </row>
    <row r="170" spans="1:10" x14ac:dyDescent="0.25">
      <c r="A170" t="s">
        <v>123</v>
      </c>
      <c r="B170" t="s">
        <v>20</v>
      </c>
      <c r="C170" t="s">
        <v>30</v>
      </c>
      <c r="D170">
        <v>16.53</v>
      </c>
      <c r="E170">
        <v>-897</v>
      </c>
      <c r="F170">
        <v>18626997</v>
      </c>
      <c r="G170">
        <v>0</v>
      </c>
      <c r="H170">
        <v>0</v>
      </c>
    </row>
    <row r="171" spans="1:10" x14ac:dyDescent="0.25">
      <c r="A171" t="s">
        <v>41</v>
      </c>
    </row>
    <row r="172" spans="1:10" x14ac:dyDescent="0.25">
      <c r="A172" t="s">
        <v>9</v>
      </c>
      <c r="B172" t="s">
        <v>11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29</v>
      </c>
    </row>
    <row r="173" spans="1:10" x14ac:dyDescent="0.25">
      <c r="A173" t="s">
        <v>105</v>
      </c>
      <c r="B173" t="s">
        <v>17</v>
      </c>
      <c r="C173" t="s">
        <v>30</v>
      </c>
      <c r="D173">
        <v>20.588000000000001</v>
      </c>
      <c r="E173">
        <v>441</v>
      </c>
      <c r="F173">
        <v>376</v>
      </c>
      <c r="G173">
        <v>1.1734</v>
      </c>
      <c r="H173">
        <v>50904.930699999997</v>
      </c>
    </row>
    <row r="174" spans="1:10" x14ac:dyDescent="0.25">
      <c r="A174" t="s">
        <v>106</v>
      </c>
      <c r="B174" t="s">
        <v>20</v>
      </c>
      <c r="C174" t="s">
        <v>30</v>
      </c>
      <c r="D174">
        <v>20.559000000000001</v>
      </c>
      <c r="E174">
        <v>130904437</v>
      </c>
      <c r="F174">
        <v>37225151</v>
      </c>
      <c r="G174">
        <v>3.5165999999999999</v>
      </c>
      <c r="H174">
        <v>154215.00440000001</v>
      </c>
    </row>
    <row r="175" spans="1:10" x14ac:dyDescent="0.25">
      <c r="A175" t="s">
        <v>107</v>
      </c>
      <c r="B175" t="s">
        <v>20</v>
      </c>
      <c r="C175" t="s">
        <v>30</v>
      </c>
      <c r="D175">
        <v>20.571000000000002</v>
      </c>
      <c r="E175">
        <v>815</v>
      </c>
      <c r="F175">
        <v>2829</v>
      </c>
      <c r="G175">
        <v>0.28820000000000001</v>
      </c>
      <c r="H175">
        <v>11877.2353</v>
      </c>
    </row>
    <row r="176" spans="1:10" x14ac:dyDescent="0.25">
      <c r="A176" t="s">
        <v>109</v>
      </c>
      <c r="B176" t="s">
        <v>20</v>
      </c>
      <c r="C176" t="s">
        <v>30</v>
      </c>
      <c r="D176">
        <v>20.603000000000002</v>
      </c>
      <c r="E176">
        <v>423</v>
      </c>
      <c r="F176">
        <v>1771</v>
      </c>
      <c r="G176">
        <v>0.23910000000000001</v>
      </c>
      <c r="H176">
        <v>9713.7045999999991</v>
      </c>
    </row>
    <row r="177" spans="1:10" x14ac:dyDescent="0.25">
      <c r="A177" t="s">
        <v>111</v>
      </c>
      <c r="B177" t="s">
        <v>20</v>
      </c>
      <c r="C177" t="s">
        <v>30</v>
      </c>
      <c r="D177">
        <v>20.61</v>
      </c>
      <c r="E177">
        <v>291</v>
      </c>
      <c r="F177">
        <v>4034</v>
      </c>
      <c r="G177">
        <v>7.2099999999999997E-2</v>
      </c>
      <c r="H177">
        <v>2350.4436000000001</v>
      </c>
    </row>
    <row r="178" spans="1:10" x14ac:dyDescent="0.25">
      <c r="A178" t="s">
        <v>113</v>
      </c>
      <c r="B178" t="s">
        <v>20</v>
      </c>
      <c r="C178" t="s">
        <v>30</v>
      </c>
      <c r="D178">
        <v>20.623999999999999</v>
      </c>
      <c r="E178">
        <v>683</v>
      </c>
      <c r="F178">
        <v>363</v>
      </c>
      <c r="G178">
        <v>1.883</v>
      </c>
      <c r="H178">
        <v>82194.470100000006</v>
      </c>
    </row>
    <row r="179" spans="1:10" x14ac:dyDescent="0.25">
      <c r="A179" t="s">
        <v>115</v>
      </c>
      <c r="B179" t="s">
        <v>20</v>
      </c>
      <c r="C179" t="s">
        <v>30</v>
      </c>
      <c r="D179">
        <v>20.474</v>
      </c>
      <c r="E179">
        <v>4112528</v>
      </c>
      <c r="F179">
        <v>14848336</v>
      </c>
      <c r="G179">
        <v>0.27700000000000002</v>
      </c>
      <c r="H179">
        <v>11384.1577</v>
      </c>
    </row>
    <row r="180" spans="1:10" x14ac:dyDescent="0.25">
      <c r="A180" t="s">
        <v>117</v>
      </c>
      <c r="B180" t="s">
        <v>20</v>
      </c>
      <c r="C180" t="s">
        <v>30</v>
      </c>
      <c r="D180">
        <v>20.472999999999999</v>
      </c>
      <c r="E180">
        <v>5819913</v>
      </c>
      <c r="F180">
        <v>20796389</v>
      </c>
      <c r="G180">
        <v>0.27989999999999998</v>
      </c>
      <c r="H180">
        <v>11511.2742</v>
      </c>
    </row>
    <row r="181" spans="1:10" x14ac:dyDescent="0.25">
      <c r="A181" t="s">
        <v>119</v>
      </c>
      <c r="B181" t="s">
        <v>20</v>
      </c>
      <c r="C181" t="s">
        <v>30</v>
      </c>
      <c r="D181">
        <v>20.463999999999999</v>
      </c>
      <c r="E181">
        <v>3434409</v>
      </c>
      <c r="F181">
        <v>21179334</v>
      </c>
      <c r="G181">
        <v>0.16220000000000001</v>
      </c>
      <c r="H181">
        <v>6322.2614999999996</v>
      </c>
    </row>
    <row r="182" spans="1:10" x14ac:dyDescent="0.25">
      <c r="A182" t="s">
        <v>121</v>
      </c>
      <c r="B182" t="s">
        <v>20</v>
      </c>
      <c r="C182" t="s">
        <v>30</v>
      </c>
      <c r="D182">
        <v>20.466999999999999</v>
      </c>
      <c r="E182">
        <v>4774638</v>
      </c>
      <c r="F182">
        <v>20101666</v>
      </c>
      <c r="G182">
        <v>0.23749999999999999</v>
      </c>
      <c r="H182">
        <v>9645.0863000000008</v>
      </c>
    </row>
    <row r="183" spans="1:10" x14ac:dyDescent="0.25">
      <c r="A183" t="s">
        <v>123</v>
      </c>
      <c r="B183" t="s">
        <v>20</v>
      </c>
      <c r="C183" t="s">
        <v>30</v>
      </c>
      <c r="D183">
        <v>20.456</v>
      </c>
      <c r="E183">
        <v>709726</v>
      </c>
      <c r="F183">
        <v>18626997</v>
      </c>
      <c r="G183">
        <v>3.8100000000000002E-2</v>
      </c>
      <c r="H183">
        <v>852.71349999999995</v>
      </c>
    </row>
    <row r="184" spans="1:10" x14ac:dyDescent="0.25">
      <c r="A184" t="s">
        <v>42</v>
      </c>
    </row>
    <row r="185" spans="1:10" x14ac:dyDescent="0.25">
      <c r="A185" t="s">
        <v>9</v>
      </c>
      <c r="B185" t="s">
        <v>11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29</v>
      </c>
    </row>
    <row r="186" spans="1:10" x14ac:dyDescent="0.25">
      <c r="A186" t="s">
        <v>105</v>
      </c>
      <c r="B186" t="s">
        <v>17</v>
      </c>
      <c r="C186" t="s">
        <v>30</v>
      </c>
      <c r="D186">
        <v>21.346</v>
      </c>
      <c r="E186">
        <v>1312</v>
      </c>
      <c r="F186">
        <v>376</v>
      </c>
      <c r="G186">
        <v>3.4946000000000002</v>
      </c>
      <c r="H186">
        <v>833291.35789999994</v>
      </c>
    </row>
    <row r="187" spans="1:10" x14ac:dyDescent="0.25">
      <c r="A187" t="s">
        <v>106</v>
      </c>
      <c r="B187" t="s">
        <v>20</v>
      </c>
      <c r="C187" t="s">
        <v>30</v>
      </c>
      <c r="D187">
        <v>21.292000000000002</v>
      </c>
      <c r="E187">
        <v>34483463</v>
      </c>
      <c r="F187">
        <v>37225151</v>
      </c>
      <c r="G187">
        <v>0.92630000000000001</v>
      </c>
      <c r="H187">
        <v>220191.19390000001</v>
      </c>
    </row>
    <row r="188" spans="1:10" x14ac:dyDescent="0.25">
      <c r="A188" t="s">
        <v>107</v>
      </c>
      <c r="B188" t="s">
        <v>20</v>
      </c>
      <c r="C188" t="s">
        <v>30</v>
      </c>
      <c r="D188">
        <v>21.334</v>
      </c>
      <c r="E188">
        <v>1254</v>
      </c>
      <c r="F188">
        <v>2829</v>
      </c>
      <c r="G188">
        <v>0.44319999999999998</v>
      </c>
      <c r="H188">
        <v>104847.5306</v>
      </c>
    </row>
    <row r="189" spans="1:10" x14ac:dyDescent="0.25">
      <c r="A189" t="s">
        <v>109</v>
      </c>
      <c r="B189" t="s">
        <v>20</v>
      </c>
      <c r="C189" t="s">
        <v>30</v>
      </c>
      <c r="D189">
        <v>21.341000000000001</v>
      </c>
      <c r="E189">
        <v>1859</v>
      </c>
      <c r="F189">
        <v>1771</v>
      </c>
      <c r="G189">
        <v>1.05</v>
      </c>
      <c r="H189">
        <v>249701.14319999999</v>
      </c>
    </row>
    <row r="190" spans="1:10" x14ac:dyDescent="0.25">
      <c r="A190" t="s">
        <v>111</v>
      </c>
      <c r="B190" t="s">
        <v>20</v>
      </c>
      <c r="C190" t="s">
        <v>30</v>
      </c>
      <c r="D190">
        <v>21.338000000000001</v>
      </c>
      <c r="E190">
        <v>596</v>
      </c>
      <c r="F190">
        <v>4034</v>
      </c>
      <c r="G190">
        <v>0.1479</v>
      </c>
      <c r="H190">
        <v>34346.812299999998</v>
      </c>
    </row>
    <row r="191" spans="1:10" x14ac:dyDescent="0.25">
      <c r="A191" t="s">
        <v>113</v>
      </c>
      <c r="B191" t="s">
        <v>20</v>
      </c>
      <c r="C191" t="s">
        <v>30</v>
      </c>
      <c r="D191">
        <v>21.356000000000002</v>
      </c>
      <c r="E191">
        <v>838</v>
      </c>
      <c r="F191">
        <v>363</v>
      </c>
      <c r="G191">
        <v>2.3117999999999999</v>
      </c>
      <c r="H191">
        <v>550923.10880000005</v>
      </c>
    </row>
    <row r="192" spans="1:10" x14ac:dyDescent="0.25">
      <c r="A192" t="s">
        <v>115</v>
      </c>
      <c r="B192" t="s">
        <v>20</v>
      </c>
      <c r="C192" t="s">
        <v>30</v>
      </c>
      <c r="D192">
        <v>20.47</v>
      </c>
      <c r="E192">
        <v>572184</v>
      </c>
      <c r="F192">
        <v>14848336</v>
      </c>
      <c r="G192">
        <v>3.85E-2</v>
      </c>
      <c r="H192">
        <v>8249.4603999999999</v>
      </c>
    </row>
    <row r="193" spans="1:10" x14ac:dyDescent="0.25">
      <c r="A193" t="s">
        <v>117</v>
      </c>
      <c r="B193" t="s">
        <v>20</v>
      </c>
      <c r="C193" t="s">
        <v>30</v>
      </c>
      <c r="D193">
        <v>21.12</v>
      </c>
      <c r="E193">
        <v>397</v>
      </c>
      <c r="F193">
        <v>20796389</v>
      </c>
      <c r="G193">
        <v>0</v>
      </c>
      <c r="H193">
        <v>0</v>
      </c>
    </row>
    <row r="194" spans="1:10" x14ac:dyDescent="0.25">
      <c r="A194" t="s">
        <v>119</v>
      </c>
      <c r="B194" t="s">
        <v>20</v>
      </c>
      <c r="C194" t="s">
        <v>30</v>
      </c>
      <c r="D194">
        <v>21.041</v>
      </c>
      <c r="E194">
        <v>33813</v>
      </c>
      <c r="F194">
        <v>21179334</v>
      </c>
      <c r="G194">
        <v>1.6000000000000001E-3</v>
      </c>
      <c r="H194">
        <v>0</v>
      </c>
    </row>
    <row r="195" spans="1:10" x14ac:dyDescent="0.25">
      <c r="A195" t="s">
        <v>121</v>
      </c>
      <c r="B195" t="s">
        <v>20</v>
      </c>
      <c r="C195" t="s">
        <v>30</v>
      </c>
      <c r="D195">
        <v>21.622</v>
      </c>
      <c r="E195">
        <v>315</v>
      </c>
      <c r="F195">
        <v>20101666</v>
      </c>
      <c r="G195">
        <v>0</v>
      </c>
      <c r="H195">
        <v>0</v>
      </c>
    </row>
    <row r="196" spans="1:10" x14ac:dyDescent="0.25">
      <c r="A196" t="s">
        <v>123</v>
      </c>
      <c r="B196" t="s">
        <v>20</v>
      </c>
      <c r="C196" t="s">
        <v>30</v>
      </c>
      <c r="D196">
        <v>21.437000000000001</v>
      </c>
      <c r="E196">
        <v>6570</v>
      </c>
      <c r="F196">
        <v>18626997</v>
      </c>
      <c r="G196">
        <v>4.0000000000000002E-4</v>
      </c>
      <c r="H196">
        <v>0</v>
      </c>
    </row>
    <row r="197" spans="1:10" x14ac:dyDescent="0.25">
      <c r="A197" t="s">
        <v>44</v>
      </c>
    </row>
    <row r="198" spans="1:10" x14ac:dyDescent="0.25">
      <c r="A198" t="s">
        <v>9</v>
      </c>
      <c r="B198" t="s">
        <v>11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28</v>
      </c>
      <c r="J198" t="s">
        <v>29</v>
      </c>
    </row>
    <row r="199" spans="1:10" x14ac:dyDescent="0.25">
      <c r="A199" t="s">
        <v>105</v>
      </c>
      <c r="B199" t="s">
        <v>17</v>
      </c>
      <c r="C199" t="s">
        <v>30</v>
      </c>
      <c r="D199">
        <v>25.065000000000001</v>
      </c>
      <c r="E199">
        <v>1752</v>
      </c>
      <c r="F199">
        <v>376</v>
      </c>
      <c r="G199">
        <v>4.6646000000000001</v>
      </c>
      <c r="H199">
        <v>756451.91570000001</v>
      </c>
    </row>
    <row r="200" spans="1:10" x14ac:dyDescent="0.25">
      <c r="A200" t="s">
        <v>106</v>
      </c>
      <c r="B200" t="s">
        <v>20</v>
      </c>
      <c r="C200" t="s">
        <v>30</v>
      </c>
      <c r="D200">
        <v>25.004000000000001</v>
      </c>
      <c r="E200">
        <v>95691642</v>
      </c>
      <c r="F200">
        <v>37225151</v>
      </c>
      <c r="G200">
        <v>2.5706000000000002</v>
      </c>
      <c r="H200">
        <v>414356.86310000002</v>
      </c>
    </row>
    <row r="201" spans="1:10" x14ac:dyDescent="0.25">
      <c r="A201" t="s">
        <v>107</v>
      </c>
      <c r="B201" t="s">
        <v>20</v>
      </c>
      <c r="C201" t="s">
        <v>30</v>
      </c>
      <c r="D201">
        <v>25.114999999999998</v>
      </c>
      <c r="E201">
        <v>2053</v>
      </c>
      <c r="F201">
        <v>2829</v>
      </c>
      <c r="G201">
        <v>0.72560000000000002</v>
      </c>
      <c r="H201">
        <v>112941.102</v>
      </c>
    </row>
    <row r="202" spans="1:10" x14ac:dyDescent="0.25">
      <c r="A202" t="s">
        <v>109</v>
      </c>
      <c r="B202" t="s">
        <v>20</v>
      </c>
      <c r="C202" t="s">
        <v>30</v>
      </c>
      <c r="D202">
        <v>25.065000000000001</v>
      </c>
      <c r="E202">
        <v>3178</v>
      </c>
      <c r="F202">
        <v>1771</v>
      </c>
      <c r="G202">
        <v>1.7946</v>
      </c>
      <c r="H202">
        <v>287574.67810000002</v>
      </c>
    </row>
    <row r="203" spans="1:10" x14ac:dyDescent="0.25">
      <c r="A203" t="s">
        <v>111</v>
      </c>
      <c r="B203" t="s">
        <v>20</v>
      </c>
      <c r="C203" t="s">
        <v>30</v>
      </c>
      <c r="D203">
        <v>25.097999999999999</v>
      </c>
      <c r="E203">
        <v>1996</v>
      </c>
      <c r="F203">
        <v>4034</v>
      </c>
      <c r="G203">
        <v>0.49469999999999997</v>
      </c>
      <c r="H203">
        <v>75220.624599999996</v>
      </c>
    </row>
    <row r="204" spans="1:10" x14ac:dyDescent="0.25">
      <c r="A204" t="s">
        <v>113</v>
      </c>
      <c r="B204" t="s">
        <v>20</v>
      </c>
      <c r="C204" t="s">
        <v>30</v>
      </c>
      <c r="D204">
        <v>24.844999999999999</v>
      </c>
      <c r="E204">
        <v>3001</v>
      </c>
      <c r="F204">
        <v>363</v>
      </c>
      <c r="G204">
        <v>8.2779000000000007</v>
      </c>
      <c r="H204">
        <v>1346747.4412</v>
      </c>
    </row>
    <row r="205" spans="1:10" x14ac:dyDescent="0.25">
      <c r="A205" t="s">
        <v>115</v>
      </c>
      <c r="B205" t="s">
        <v>20</v>
      </c>
      <c r="C205" t="s">
        <v>30</v>
      </c>
      <c r="D205">
        <v>24.835000000000001</v>
      </c>
      <c r="E205">
        <v>22804654</v>
      </c>
      <c r="F205">
        <v>14848336</v>
      </c>
      <c r="G205">
        <v>1.5358000000000001</v>
      </c>
      <c r="H205">
        <v>245306.6176</v>
      </c>
    </row>
    <row r="206" spans="1:10" x14ac:dyDescent="0.25">
      <c r="A206" t="s">
        <v>117</v>
      </c>
      <c r="B206" t="s">
        <v>20</v>
      </c>
      <c r="C206" t="s">
        <v>30</v>
      </c>
      <c r="D206">
        <v>24.864000000000001</v>
      </c>
      <c r="E206">
        <v>33396990</v>
      </c>
      <c r="F206">
        <v>20796389</v>
      </c>
      <c r="G206">
        <v>1.6059000000000001</v>
      </c>
      <c r="H206">
        <v>256752.92610000001</v>
      </c>
    </row>
    <row r="207" spans="1:10" x14ac:dyDescent="0.25">
      <c r="A207" t="s">
        <v>119</v>
      </c>
      <c r="B207" t="s">
        <v>20</v>
      </c>
      <c r="C207" t="s">
        <v>30</v>
      </c>
      <c r="D207">
        <v>24.85</v>
      </c>
      <c r="E207">
        <v>29556082</v>
      </c>
      <c r="F207">
        <v>21179334</v>
      </c>
      <c r="G207">
        <v>1.3955</v>
      </c>
      <c r="H207">
        <v>222382.13159999999</v>
      </c>
    </row>
    <row r="208" spans="1:10" x14ac:dyDescent="0.25">
      <c r="A208" t="s">
        <v>121</v>
      </c>
      <c r="B208" t="s">
        <v>20</v>
      </c>
      <c r="C208" t="s">
        <v>30</v>
      </c>
      <c r="D208">
        <v>24.850999999999999</v>
      </c>
      <c r="E208">
        <v>31751800</v>
      </c>
      <c r="F208">
        <v>20101666</v>
      </c>
      <c r="G208">
        <v>1.5795999999999999</v>
      </c>
      <c r="H208">
        <v>252449.36060000001</v>
      </c>
    </row>
    <row r="209" spans="1:10" x14ac:dyDescent="0.25">
      <c r="A209" t="s">
        <v>123</v>
      </c>
      <c r="B209" t="s">
        <v>20</v>
      </c>
      <c r="C209" t="s">
        <v>30</v>
      </c>
      <c r="D209">
        <v>24.838000000000001</v>
      </c>
      <c r="E209">
        <v>31266608</v>
      </c>
      <c r="F209">
        <v>18626997</v>
      </c>
      <c r="G209">
        <v>1.6786000000000001</v>
      </c>
      <c r="H209">
        <v>268623.3971</v>
      </c>
    </row>
    <row r="210" spans="1:10" x14ac:dyDescent="0.25">
      <c r="A210" t="s">
        <v>45</v>
      </c>
    </row>
    <row r="211" spans="1:10" x14ac:dyDescent="0.25">
      <c r="A211" t="s">
        <v>9</v>
      </c>
      <c r="B211" t="s">
        <v>11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29</v>
      </c>
    </row>
    <row r="212" spans="1:10" x14ac:dyDescent="0.25">
      <c r="A212" t="s">
        <v>105</v>
      </c>
      <c r="B212" t="s">
        <v>17</v>
      </c>
      <c r="C212" t="s">
        <v>30</v>
      </c>
      <c r="D212">
        <v>25.565000000000001</v>
      </c>
      <c r="E212">
        <v>1928</v>
      </c>
      <c r="F212">
        <v>376</v>
      </c>
      <c r="G212">
        <v>5.1334999999999997</v>
      </c>
      <c r="H212">
        <v>1302040.3954</v>
      </c>
    </row>
    <row r="213" spans="1:10" x14ac:dyDescent="0.25">
      <c r="A213" t="s">
        <v>106</v>
      </c>
      <c r="B213" t="s">
        <v>20</v>
      </c>
      <c r="C213" t="s">
        <v>30</v>
      </c>
      <c r="D213">
        <v>25.483000000000001</v>
      </c>
      <c r="E213">
        <v>71335697</v>
      </c>
      <c r="F213">
        <v>37225151</v>
      </c>
      <c r="G213">
        <v>1.9162999999999999</v>
      </c>
      <c r="H213">
        <v>481785.4326</v>
      </c>
    </row>
    <row r="214" spans="1:10" x14ac:dyDescent="0.25">
      <c r="A214" t="s">
        <v>107</v>
      </c>
      <c r="B214" t="s">
        <v>20</v>
      </c>
      <c r="C214" t="s">
        <v>30</v>
      </c>
      <c r="D214">
        <v>25.588000000000001</v>
      </c>
      <c r="E214">
        <v>858</v>
      </c>
      <c r="F214">
        <v>2829</v>
      </c>
      <c r="G214">
        <v>0.30330000000000001</v>
      </c>
      <c r="H214">
        <v>70510.722599999994</v>
      </c>
    </row>
    <row r="215" spans="1:10" x14ac:dyDescent="0.25">
      <c r="A215" t="s">
        <v>109</v>
      </c>
      <c r="B215" t="s">
        <v>20</v>
      </c>
      <c r="C215" t="s">
        <v>30</v>
      </c>
      <c r="D215">
        <v>25.558</v>
      </c>
      <c r="E215">
        <v>327</v>
      </c>
      <c r="F215">
        <v>1771</v>
      </c>
      <c r="G215">
        <v>0.1847</v>
      </c>
      <c r="H215">
        <v>40285.624900000003</v>
      </c>
    </row>
    <row r="216" spans="1:10" x14ac:dyDescent="0.25">
      <c r="A216" t="s">
        <v>111</v>
      </c>
      <c r="B216" t="s">
        <v>20</v>
      </c>
      <c r="C216" t="s">
        <v>30</v>
      </c>
      <c r="D216">
        <v>25.524999999999999</v>
      </c>
      <c r="E216">
        <v>4818</v>
      </c>
      <c r="F216">
        <v>4034</v>
      </c>
      <c r="G216">
        <v>1.1943999999999999</v>
      </c>
      <c r="H216">
        <v>297726.31109999999</v>
      </c>
    </row>
    <row r="217" spans="1:10" x14ac:dyDescent="0.25">
      <c r="A217" t="s">
        <v>113</v>
      </c>
      <c r="B217" t="s">
        <v>20</v>
      </c>
      <c r="C217" t="s">
        <v>30</v>
      </c>
      <c r="D217">
        <v>25.573</v>
      </c>
      <c r="E217">
        <v>621</v>
      </c>
      <c r="F217">
        <v>363</v>
      </c>
      <c r="G217">
        <v>1.7132000000000001</v>
      </c>
      <c r="H217">
        <v>429998.09869999997</v>
      </c>
    </row>
    <row r="218" spans="1:10" x14ac:dyDescent="0.25">
      <c r="A218" t="s">
        <v>115</v>
      </c>
      <c r="B218" t="s">
        <v>20</v>
      </c>
      <c r="C218" t="s">
        <v>30</v>
      </c>
      <c r="D218">
        <v>25.634</v>
      </c>
      <c r="E218">
        <v>1829275</v>
      </c>
      <c r="F218">
        <v>14848336</v>
      </c>
      <c r="G218">
        <v>0.1232</v>
      </c>
      <c r="H218">
        <v>24600.107400000001</v>
      </c>
    </row>
    <row r="219" spans="1:10" x14ac:dyDescent="0.25">
      <c r="A219" t="s">
        <v>117</v>
      </c>
      <c r="B219" t="s">
        <v>20</v>
      </c>
      <c r="C219" t="s">
        <v>30</v>
      </c>
      <c r="D219">
        <v>25.349</v>
      </c>
      <c r="E219">
        <v>21098541</v>
      </c>
      <c r="F219">
        <v>20796389</v>
      </c>
      <c r="G219">
        <v>1.0145</v>
      </c>
      <c r="H219">
        <v>251858.06030000001</v>
      </c>
    </row>
    <row r="220" spans="1:10" x14ac:dyDescent="0.25">
      <c r="A220" t="s">
        <v>119</v>
      </c>
      <c r="B220" t="s">
        <v>20</v>
      </c>
      <c r="C220" t="s">
        <v>30</v>
      </c>
      <c r="D220">
        <v>25.297999999999998</v>
      </c>
      <c r="E220">
        <v>6310449</v>
      </c>
      <c r="F220">
        <v>21179334</v>
      </c>
      <c r="G220">
        <v>0.29799999999999999</v>
      </c>
      <c r="H220">
        <v>69156.638900000005</v>
      </c>
    </row>
    <row r="221" spans="1:10" x14ac:dyDescent="0.25">
      <c r="A221" t="s">
        <v>121</v>
      </c>
      <c r="B221" t="s">
        <v>20</v>
      </c>
      <c r="C221" t="s">
        <v>30</v>
      </c>
      <c r="D221">
        <v>25.318000000000001</v>
      </c>
      <c r="E221">
        <v>9592133</v>
      </c>
      <c r="F221">
        <v>20101666</v>
      </c>
      <c r="G221">
        <v>0.47720000000000001</v>
      </c>
      <c r="H221">
        <v>114853.3753</v>
      </c>
    </row>
    <row r="222" spans="1:10" x14ac:dyDescent="0.25">
      <c r="A222" t="s">
        <v>123</v>
      </c>
      <c r="B222" t="s">
        <v>20</v>
      </c>
      <c r="C222" t="s">
        <v>30</v>
      </c>
      <c r="D222">
        <v>25.295999999999999</v>
      </c>
      <c r="E222">
        <v>1846649</v>
      </c>
      <c r="F222">
        <v>18626997</v>
      </c>
      <c r="G222">
        <v>9.9099999999999994E-2</v>
      </c>
      <c r="H222">
        <v>18465.913199999999</v>
      </c>
    </row>
    <row r="223" spans="1:10" x14ac:dyDescent="0.25">
      <c r="A223" t="s">
        <v>46</v>
      </c>
    </row>
    <row r="224" spans="1:10" x14ac:dyDescent="0.25">
      <c r="A224" t="s">
        <v>9</v>
      </c>
      <c r="B224" t="s">
        <v>11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27</v>
      </c>
      <c r="I224" t="s">
        <v>28</v>
      </c>
      <c r="J224" t="s">
        <v>29</v>
      </c>
    </row>
    <row r="225" spans="1:10" x14ac:dyDescent="0.25">
      <c r="A225" t="s">
        <v>105</v>
      </c>
      <c r="B225" t="s">
        <v>17</v>
      </c>
      <c r="C225" t="s">
        <v>30</v>
      </c>
      <c r="D225">
        <v>26.798999999999999</v>
      </c>
      <c r="E225">
        <v>3161</v>
      </c>
      <c r="F225">
        <v>376</v>
      </c>
      <c r="G225">
        <v>8.4175000000000004</v>
      </c>
      <c r="H225">
        <v>894771.05649999995</v>
      </c>
    </row>
    <row r="226" spans="1:10" x14ac:dyDescent="0.25">
      <c r="A226" t="s">
        <v>106</v>
      </c>
      <c r="B226" t="s">
        <v>20</v>
      </c>
      <c r="C226" t="s">
        <v>30</v>
      </c>
      <c r="D226">
        <v>26.722000000000001</v>
      </c>
      <c r="E226">
        <v>27128765</v>
      </c>
      <c r="F226">
        <v>37225151</v>
      </c>
      <c r="G226">
        <v>0.7288</v>
      </c>
      <c r="H226">
        <v>77784.450700000001</v>
      </c>
    </row>
    <row r="227" spans="1:10" x14ac:dyDescent="0.25">
      <c r="A227" t="s">
        <v>107</v>
      </c>
      <c r="B227" t="s">
        <v>20</v>
      </c>
      <c r="C227" t="s">
        <v>30</v>
      </c>
      <c r="D227">
        <v>26.72</v>
      </c>
      <c r="E227">
        <v>5157</v>
      </c>
      <c r="F227">
        <v>2829</v>
      </c>
      <c r="G227">
        <v>1.8227</v>
      </c>
      <c r="H227">
        <v>194017.36780000001</v>
      </c>
    </row>
    <row r="228" spans="1:10" x14ac:dyDescent="0.25">
      <c r="A228" t="s">
        <v>109</v>
      </c>
      <c r="B228" t="s">
        <v>20</v>
      </c>
      <c r="C228" t="s">
        <v>30</v>
      </c>
      <c r="D228">
        <v>26.754000000000001</v>
      </c>
      <c r="E228">
        <v>3745</v>
      </c>
      <c r="F228">
        <v>1771</v>
      </c>
      <c r="G228">
        <v>2.1149</v>
      </c>
      <c r="H228">
        <v>225066.52549999999</v>
      </c>
    </row>
    <row r="229" spans="1:10" x14ac:dyDescent="0.25">
      <c r="A229" t="s">
        <v>111</v>
      </c>
      <c r="B229" t="s">
        <v>20</v>
      </c>
      <c r="C229" t="s">
        <v>30</v>
      </c>
      <c r="D229">
        <v>26.785</v>
      </c>
      <c r="E229">
        <v>2510</v>
      </c>
      <c r="F229">
        <v>4034</v>
      </c>
      <c r="G229">
        <v>0.62209999999999999</v>
      </c>
      <c r="H229">
        <v>66449.441900000005</v>
      </c>
    </row>
    <row r="230" spans="1:10" x14ac:dyDescent="0.25">
      <c r="A230" t="s">
        <v>113</v>
      </c>
      <c r="B230" t="s">
        <v>20</v>
      </c>
      <c r="C230" t="s">
        <v>30</v>
      </c>
      <c r="D230">
        <v>26.763999999999999</v>
      </c>
      <c r="E230">
        <v>2969</v>
      </c>
      <c r="F230">
        <v>363</v>
      </c>
      <c r="G230">
        <v>8.1896000000000004</v>
      </c>
      <c r="H230">
        <v>870552.50989999995</v>
      </c>
    </row>
    <row r="231" spans="1:10" x14ac:dyDescent="0.25">
      <c r="A231" t="s">
        <v>115</v>
      </c>
      <c r="B231" t="s">
        <v>20</v>
      </c>
      <c r="C231" t="s">
        <v>30</v>
      </c>
      <c r="D231">
        <v>26.827999999999999</v>
      </c>
      <c r="E231">
        <v>5320357</v>
      </c>
      <c r="F231">
        <v>14848336</v>
      </c>
      <c r="G231">
        <v>0.35830000000000001</v>
      </c>
      <c r="H231">
        <v>38420.081400000003</v>
      </c>
    </row>
    <row r="232" spans="1:10" x14ac:dyDescent="0.25">
      <c r="A232" t="s">
        <v>117</v>
      </c>
      <c r="B232" t="s">
        <v>20</v>
      </c>
      <c r="C232" t="s">
        <v>30</v>
      </c>
      <c r="D232">
        <v>26.725000000000001</v>
      </c>
      <c r="E232">
        <v>92615</v>
      </c>
      <c r="F232">
        <v>20796389</v>
      </c>
      <c r="G232">
        <v>4.4999999999999997E-3</v>
      </c>
      <c r="H232">
        <v>819.78750000000002</v>
      </c>
    </row>
    <row r="233" spans="1:10" x14ac:dyDescent="0.25">
      <c r="A233" t="s">
        <v>119</v>
      </c>
      <c r="B233" t="s">
        <v>20</v>
      </c>
      <c r="C233" t="s">
        <v>30</v>
      </c>
      <c r="D233">
        <v>26.721</v>
      </c>
      <c r="E233">
        <v>29781</v>
      </c>
      <c r="F233">
        <v>21179334</v>
      </c>
      <c r="G233">
        <v>1.4E-3</v>
      </c>
      <c r="H233">
        <v>495.99520000000001</v>
      </c>
    </row>
    <row r="234" spans="1:10" x14ac:dyDescent="0.25">
      <c r="A234" t="s">
        <v>121</v>
      </c>
      <c r="B234" t="s">
        <v>20</v>
      </c>
      <c r="C234" t="s">
        <v>30</v>
      </c>
      <c r="D234">
        <v>26.692</v>
      </c>
      <c r="E234">
        <v>-888</v>
      </c>
      <c r="F234">
        <v>20101666</v>
      </c>
      <c r="G234">
        <v>0</v>
      </c>
      <c r="H234">
        <v>341.88889999999998</v>
      </c>
    </row>
    <row r="235" spans="1:10" x14ac:dyDescent="0.25">
      <c r="A235" t="s">
        <v>123</v>
      </c>
      <c r="B235" t="s">
        <v>20</v>
      </c>
      <c r="C235" t="s">
        <v>30</v>
      </c>
      <c r="D235">
        <v>26.841000000000001</v>
      </c>
      <c r="E235">
        <v>5686</v>
      </c>
      <c r="F235">
        <v>18626997</v>
      </c>
      <c r="G235">
        <v>2.9999999999999997E-4</v>
      </c>
      <c r="H235">
        <v>379.01389999999998</v>
      </c>
    </row>
    <row r="236" spans="1:10" x14ac:dyDescent="0.25">
      <c r="A236" t="s">
        <v>47</v>
      </c>
    </row>
    <row r="237" spans="1:10" x14ac:dyDescent="0.25">
      <c r="A237" t="s">
        <v>9</v>
      </c>
      <c r="B237" t="s">
        <v>11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27</v>
      </c>
      <c r="I237" t="s">
        <v>28</v>
      </c>
      <c r="J237" t="s">
        <v>29</v>
      </c>
    </row>
    <row r="238" spans="1:10" x14ac:dyDescent="0.25">
      <c r="A238" t="s">
        <v>105</v>
      </c>
      <c r="B238" t="s">
        <v>17</v>
      </c>
      <c r="C238" t="s">
        <v>30</v>
      </c>
      <c r="D238">
        <v>26.978999999999999</v>
      </c>
      <c r="E238">
        <v>1431</v>
      </c>
      <c r="F238">
        <v>376</v>
      </c>
      <c r="G238">
        <v>3.8098999999999998</v>
      </c>
      <c r="H238">
        <v>599001.42740000004</v>
      </c>
    </row>
    <row r="239" spans="1:10" x14ac:dyDescent="0.25">
      <c r="A239" t="s">
        <v>106</v>
      </c>
      <c r="B239" t="s">
        <v>20</v>
      </c>
      <c r="C239" t="s">
        <v>30</v>
      </c>
      <c r="D239">
        <v>26.931999999999999</v>
      </c>
      <c r="E239">
        <v>44918840</v>
      </c>
      <c r="F239">
        <v>37225151</v>
      </c>
      <c r="G239">
        <v>1.2067000000000001</v>
      </c>
      <c r="H239">
        <v>189655.9976</v>
      </c>
    </row>
    <row r="240" spans="1:10" x14ac:dyDescent="0.25">
      <c r="A240" t="s">
        <v>107</v>
      </c>
      <c r="B240" t="s">
        <v>20</v>
      </c>
      <c r="C240" t="s">
        <v>30</v>
      </c>
      <c r="D240">
        <v>27.006</v>
      </c>
      <c r="E240">
        <v>790</v>
      </c>
      <c r="F240">
        <v>2829</v>
      </c>
      <c r="G240">
        <v>0.2792</v>
      </c>
      <c r="H240">
        <v>43817.659200000002</v>
      </c>
    </row>
    <row r="241" spans="1:10" x14ac:dyDescent="0.25">
      <c r="A241" t="s">
        <v>109</v>
      </c>
      <c r="B241" t="s">
        <v>20</v>
      </c>
      <c r="C241" t="s">
        <v>30</v>
      </c>
      <c r="D241">
        <v>26.962</v>
      </c>
      <c r="E241">
        <v>2382</v>
      </c>
      <c r="F241">
        <v>1771</v>
      </c>
      <c r="G241">
        <v>1.3453999999999999</v>
      </c>
      <c r="H241">
        <v>211475.6128</v>
      </c>
    </row>
    <row r="242" spans="1:10" x14ac:dyDescent="0.25">
      <c r="A242" t="s">
        <v>111</v>
      </c>
      <c r="B242" t="s">
        <v>20</v>
      </c>
      <c r="C242" t="s">
        <v>30</v>
      </c>
      <c r="D242">
        <v>27.003</v>
      </c>
      <c r="E242">
        <v>1009</v>
      </c>
      <c r="F242">
        <v>4034</v>
      </c>
      <c r="G242">
        <v>0.25019999999999998</v>
      </c>
      <c r="H242">
        <v>39254.523399999998</v>
      </c>
    </row>
    <row r="243" spans="1:10" x14ac:dyDescent="0.25">
      <c r="A243" t="s">
        <v>113</v>
      </c>
      <c r="B243" t="s">
        <v>20</v>
      </c>
      <c r="C243" t="s">
        <v>30</v>
      </c>
      <c r="D243">
        <v>27.015000000000001</v>
      </c>
      <c r="E243">
        <v>763</v>
      </c>
      <c r="F243">
        <v>363</v>
      </c>
      <c r="G243">
        <v>2.1046</v>
      </c>
      <c r="H243">
        <v>330845.34669999999</v>
      </c>
    </row>
    <row r="244" spans="1:10" x14ac:dyDescent="0.25">
      <c r="A244" t="s">
        <v>115</v>
      </c>
      <c r="B244" t="s">
        <v>20</v>
      </c>
      <c r="C244" t="s">
        <v>30</v>
      </c>
      <c r="D244">
        <v>26.827999999999999</v>
      </c>
      <c r="E244">
        <v>9289290</v>
      </c>
      <c r="F244">
        <v>14848336</v>
      </c>
      <c r="G244">
        <v>0.62560000000000004</v>
      </c>
      <c r="H244">
        <v>98285.392900000006</v>
      </c>
    </row>
    <row r="245" spans="1:10" x14ac:dyDescent="0.25">
      <c r="A245" t="s">
        <v>117</v>
      </c>
      <c r="B245" t="s">
        <v>20</v>
      </c>
      <c r="C245" t="s">
        <v>30</v>
      </c>
      <c r="D245">
        <v>26.846</v>
      </c>
      <c r="E245">
        <v>21672926</v>
      </c>
      <c r="F245">
        <v>20796389</v>
      </c>
      <c r="G245">
        <v>1.0421</v>
      </c>
      <c r="H245">
        <v>163784.12549999999</v>
      </c>
    </row>
    <row r="246" spans="1:10" x14ac:dyDescent="0.25">
      <c r="A246" t="s">
        <v>119</v>
      </c>
      <c r="B246" t="s">
        <v>20</v>
      </c>
      <c r="C246" t="s">
        <v>30</v>
      </c>
      <c r="D246">
        <v>26.821000000000002</v>
      </c>
      <c r="E246">
        <v>7208678</v>
      </c>
      <c r="F246">
        <v>21179334</v>
      </c>
      <c r="G246">
        <v>0.34039999999999998</v>
      </c>
      <c r="H246">
        <v>53431.366699999999</v>
      </c>
    </row>
    <row r="247" spans="1:10" x14ac:dyDescent="0.25">
      <c r="A247" t="s">
        <v>121</v>
      </c>
      <c r="B247" t="s">
        <v>20</v>
      </c>
      <c r="C247" t="s">
        <v>30</v>
      </c>
      <c r="D247">
        <v>26.821999999999999</v>
      </c>
      <c r="E247">
        <v>12868332</v>
      </c>
      <c r="F247">
        <v>20101666</v>
      </c>
      <c r="G247">
        <v>0.64019999999999999</v>
      </c>
      <c r="H247">
        <v>100573.47530000001</v>
      </c>
    </row>
    <row r="248" spans="1:10" x14ac:dyDescent="0.25">
      <c r="A248" t="s">
        <v>123</v>
      </c>
      <c r="B248" t="s">
        <v>20</v>
      </c>
      <c r="C248" t="s">
        <v>30</v>
      </c>
      <c r="D248">
        <v>26.795000000000002</v>
      </c>
      <c r="E248">
        <v>529669</v>
      </c>
      <c r="F248">
        <v>18626997</v>
      </c>
      <c r="G248">
        <v>2.8400000000000002E-2</v>
      </c>
      <c r="H248">
        <v>4381.9413999999997</v>
      </c>
    </row>
    <row r="249" spans="1:10" x14ac:dyDescent="0.25">
      <c r="A249" t="s">
        <v>48</v>
      </c>
    </row>
    <row r="250" spans="1:10" x14ac:dyDescent="0.25">
      <c r="A250" t="s">
        <v>9</v>
      </c>
      <c r="B250" t="s">
        <v>11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27</v>
      </c>
      <c r="I250" t="s">
        <v>28</v>
      </c>
      <c r="J250" t="s">
        <v>29</v>
      </c>
    </row>
    <row r="251" spans="1:10" x14ac:dyDescent="0.25">
      <c r="A251" t="s">
        <v>105</v>
      </c>
      <c r="B251" t="s">
        <v>17</v>
      </c>
      <c r="C251" t="s">
        <v>30</v>
      </c>
      <c r="D251">
        <v>27.715</v>
      </c>
      <c r="E251">
        <v>4900</v>
      </c>
      <c r="F251">
        <v>376</v>
      </c>
      <c r="G251">
        <v>13.0458</v>
      </c>
      <c r="H251">
        <v>2097119.6488999999</v>
      </c>
    </row>
    <row r="252" spans="1:10" x14ac:dyDescent="0.25">
      <c r="A252" t="s">
        <v>106</v>
      </c>
      <c r="B252" t="s">
        <v>20</v>
      </c>
      <c r="C252" t="s">
        <v>30</v>
      </c>
      <c r="D252">
        <v>27.587</v>
      </c>
      <c r="E252">
        <v>44621481</v>
      </c>
      <c r="F252">
        <v>37225151</v>
      </c>
      <c r="G252">
        <v>1.1987000000000001</v>
      </c>
      <c r="H252">
        <v>192614.4148</v>
      </c>
    </row>
    <row r="253" spans="1:10" x14ac:dyDescent="0.25">
      <c r="A253" t="s">
        <v>107</v>
      </c>
      <c r="B253" t="s">
        <v>20</v>
      </c>
      <c r="C253" t="s">
        <v>30</v>
      </c>
      <c r="D253">
        <v>27.645</v>
      </c>
      <c r="E253">
        <v>3660</v>
      </c>
      <c r="F253">
        <v>2829</v>
      </c>
      <c r="G253">
        <v>1.2935000000000001</v>
      </c>
      <c r="H253">
        <v>207850.4534</v>
      </c>
    </row>
    <row r="254" spans="1:10" x14ac:dyDescent="0.25">
      <c r="A254" t="s">
        <v>109</v>
      </c>
      <c r="B254" t="s">
        <v>20</v>
      </c>
      <c r="C254" t="s">
        <v>30</v>
      </c>
      <c r="D254">
        <v>27.667000000000002</v>
      </c>
      <c r="E254">
        <v>4093</v>
      </c>
      <c r="F254">
        <v>1771</v>
      </c>
      <c r="G254">
        <v>2.3113999999999999</v>
      </c>
      <c r="H254">
        <v>371488.3799</v>
      </c>
    </row>
    <row r="255" spans="1:10" x14ac:dyDescent="0.25">
      <c r="A255" t="s">
        <v>111</v>
      </c>
      <c r="B255" t="s">
        <v>20</v>
      </c>
      <c r="C255" t="s">
        <v>30</v>
      </c>
      <c r="D255">
        <v>27.629000000000001</v>
      </c>
      <c r="E255">
        <v>319</v>
      </c>
      <c r="F255">
        <v>4034</v>
      </c>
      <c r="G255">
        <v>7.9100000000000004E-2</v>
      </c>
      <c r="H255">
        <v>12638.085499999999</v>
      </c>
    </row>
    <row r="256" spans="1:10" x14ac:dyDescent="0.25">
      <c r="A256" t="s">
        <v>113</v>
      </c>
      <c r="B256" t="s">
        <v>20</v>
      </c>
      <c r="C256" t="s">
        <v>30</v>
      </c>
      <c r="D256">
        <v>27.67</v>
      </c>
      <c r="E256">
        <v>990</v>
      </c>
      <c r="F256">
        <v>363</v>
      </c>
      <c r="G256">
        <v>2.7307000000000001</v>
      </c>
      <c r="H256">
        <v>438902.19280000002</v>
      </c>
    </row>
    <row r="257" spans="1:10" x14ac:dyDescent="0.25">
      <c r="A257" t="s">
        <v>115</v>
      </c>
      <c r="B257" t="s">
        <v>20</v>
      </c>
      <c r="C257" t="s">
        <v>30</v>
      </c>
      <c r="D257">
        <v>27.643000000000001</v>
      </c>
      <c r="E257">
        <v>153215</v>
      </c>
      <c r="F257">
        <v>14848336</v>
      </c>
      <c r="G257">
        <v>1.03E-2</v>
      </c>
      <c r="H257">
        <v>1574.7802999999999</v>
      </c>
    </row>
    <row r="258" spans="1:10" x14ac:dyDescent="0.25">
      <c r="A258" t="s">
        <v>117</v>
      </c>
      <c r="B258" t="s">
        <v>20</v>
      </c>
      <c r="C258" t="s">
        <v>30</v>
      </c>
      <c r="D258">
        <v>27.513000000000002</v>
      </c>
      <c r="E258">
        <v>17663</v>
      </c>
      <c r="F258">
        <v>20796389</v>
      </c>
      <c r="G258">
        <v>8.0000000000000004E-4</v>
      </c>
      <c r="H258">
        <v>52.5124</v>
      </c>
    </row>
    <row r="259" spans="1:10" x14ac:dyDescent="0.25">
      <c r="A259" t="s">
        <v>119</v>
      </c>
      <c r="B259" t="s">
        <v>20</v>
      </c>
      <c r="C259" t="s">
        <v>30</v>
      </c>
      <c r="D259">
        <v>28.344000000000001</v>
      </c>
      <c r="E259">
        <v>11502</v>
      </c>
      <c r="F259">
        <v>21179334</v>
      </c>
      <c r="G259">
        <v>5.0000000000000001E-4</v>
      </c>
      <c r="H259">
        <v>3.282</v>
      </c>
    </row>
    <row r="260" spans="1:10" x14ac:dyDescent="0.25">
      <c r="A260" t="s">
        <v>121</v>
      </c>
      <c r="B260" t="s">
        <v>20</v>
      </c>
      <c r="C260" t="s">
        <v>30</v>
      </c>
      <c r="D260">
        <v>27.614000000000001</v>
      </c>
      <c r="E260">
        <v>63920</v>
      </c>
      <c r="F260">
        <v>20101666</v>
      </c>
      <c r="G260">
        <v>3.2000000000000002E-3</v>
      </c>
      <c r="H260">
        <v>427.16329999999999</v>
      </c>
    </row>
    <row r="261" spans="1:10" x14ac:dyDescent="0.25">
      <c r="A261" t="s">
        <v>123</v>
      </c>
      <c r="B261" t="s">
        <v>20</v>
      </c>
      <c r="C261" t="s">
        <v>30</v>
      </c>
      <c r="D261">
        <v>27.654</v>
      </c>
      <c r="E261">
        <v>2099</v>
      </c>
      <c r="F261">
        <v>18626997</v>
      </c>
      <c r="G261">
        <v>1E-4</v>
      </c>
      <c r="H261">
        <v>0</v>
      </c>
    </row>
    <row r="262" spans="1:10" x14ac:dyDescent="0.25">
      <c r="A262" t="s">
        <v>49</v>
      </c>
    </row>
    <row r="263" spans="1:10" x14ac:dyDescent="0.25">
      <c r="A263" t="s">
        <v>9</v>
      </c>
      <c r="B263" t="s">
        <v>11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 t="s">
        <v>27</v>
      </c>
      <c r="I263" t="s">
        <v>28</v>
      </c>
      <c r="J263" t="s">
        <v>29</v>
      </c>
    </row>
    <row r="264" spans="1:10" x14ac:dyDescent="0.25">
      <c r="A264" t="s">
        <v>105</v>
      </c>
      <c r="B264" t="s">
        <v>17</v>
      </c>
      <c r="C264" t="s">
        <v>30</v>
      </c>
      <c r="D264">
        <v>29.07</v>
      </c>
      <c r="E264">
        <v>637</v>
      </c>
      <c r="F264">
        <v>376</v>
      </c>
      <c r="G264">
        <v>1.6963999999999999</v>
      </c>
      <c r="H264">
        <v>1099472.5349000001</v>
      </c>
    </row>
    <row r="265" spans="1:10" x14ac:dyDescent="0.25">
      <c r="A265" t="s">
        <v>106</v>
      </c>
      <c r="B265" t="s">
        <v>20</v>
      </c>
      <c r="C265" t="s">
        <v>30</v>
      </c>
      <c r="D265">
        <v>29.001000000000001</v>
      </c>
      <c r="E265">
        <v>33188472</v>
      </c>
      <c r="F265">
        <v>37225151</v>
      </c>
      <c r="G265">
        <v>0.89159999999999995</v>
      </c>
      <c r="H265">
        <v>578747.79700000002</v>
      </c>
    </row>
    <row r="266" spans="1:10" x14ac:dyDescent="0.25">
      <c r="A266" t="s">
        <v>107</v>
      </c>
      <c r="B266" t="s">
        <v>20</v>
      </c>
      <c r="C266" t="s">
        <v>30</v>
      </c>
      <c r="D266">
        <v>29.084</v>
      </c>
      <c r="E266">
        <v>1149</v>
      </c>
      <c r="F266">
        <v>2829</v>
      </c>
      <c r="G266">
        <v>0.40610000000000002</v>
      </c>
      <c r="H266">
        <v>264649.59039999999</v>
      </c>
    </row>
    <row r="267" spans="1:10" x14ac:dyDescent="0.25">
      <c r="A267" t="s">
        <v>109</v>
      </c>
      <c r="B267" t="s">
        <v>20</v>
      </c>
      <c r="C267" t="s">
        <v>30</v>
      </c>
      <c r="D267">
        <v>29.068999999999999</v>
      </c>
      <c r="E267">
        <v>1343</v>
      </c>
      <c r="F267">
        <v>1771</v>
      </c>
      <c r="G267">
        <v>0.75819999999999999</v>
      </c>
      <c r="H267">
        <v>492478.28009999997</v>
      </c>
    </row>
    <row r="268" spans="1:10" x14ac:dyDescent="0.25">
      <c r="A268" t="s">
        <v>111</v>
      </c>
      <c r="B268" t="s">
        <v>20</v>
      </c>
      <c r="C268" t="s">
        <v>30</v>
      </c>
      <c r="D268">
        <v>29.074000000000002</v>
      </c>
      <c r="E268">
        <v>2014</v>
      </c>
      <c r="F268">
        <v>4034</v>
      </c>
      <c r="G268">
        <v>0.49919999999999998</v>
      </c>
      <c r="H268">
        <v>324862.11239999998</v>
      </c>
    </row>
    <row r="269" spans="1:10" x14ac:dyDescent="0.25">
      <c r="A269" t="s">
        <v>113</v>
      </c>
      <c r="B269" t="s">
        <v>20</v>
      </c>
      <c r="C269" t="s">
        <v>30</v>
      </c>
      <c r="D269">
        <v>29.003</v>
      </c>
      <c r="E269">
        <v>657</v>
      </c>
      <c r="F269">
        <v>363</v>
      </c>
      <c r="G269">
        <v>1.8112999999999999</v>
      </c>
      <c r="H269">
        <v>1173807.8389999999</v>
      </c>
    </row>
    <row r="270" spans="1:10" x14ac:dyDescent="0.25">
      <c r="A270" t="s">
        <v>115</v>
      </c>
      <c r="B270" t="s">
        <v>20</v>
      </c>
      <c r="C270" t="s">
        <v>30</v>
      </c>
      <c r="D270">
        <v>28.899000000000001</v>
      </c>
      <c r="E270">
        <v>1323851</v>
      </c>
      <c r="F270">
        <v>14848336</v>
      </c>
      <c r="G270">
        <v>8.9200000000000002E-2</v>
      </c>
      <c r="H270">
        <v>59575.627200000003</v>
      </c>
    </row>
    <row r="271" spans="1:10" x14ac:dyDescent="0.25">
      <c r="A271" t="s">
        <v>117</v>
      </c>
      <c r="B271" t="s">
        <v>20</v>
      </c>
      <c r="C271" t="s">
        <v>30</v>
      </c>
      <c r="D271">
        <v>28.922000000000001</v>
      </c>
      <c r="E271">
        <v>3584065</v>
      </c>
      <c r="F271">
        <v>20796389</v>
      </c>
      <c r="G271">
        <v>0.17230000000000001</v>
      </c>
      <c r="H271">
        <v>113396.5543</v>
      </c>
    </row>
    <row r="272" spans="1:10" x14ac:dyDescent="0.25">
      <c r="A272" t="s">
        <v>119</v>
      </c>
      <c r="B272" t="s">
        <v>20</v>
      </c>
      <c r="C272" t="s">
        <v>30</v>
      </c>
      <c r="D272">
        <v>28.902999999999999</v>
      </c>
      <c r="E272">
        <v>1632082</v>
      </c>
      <c r="F272">
        <v>21179334</v>
      </c>
      <c r="G272">
        <v>7.7100000000000002E-2</v>
      </c>
      <c r="H272">
        <v>51747.863299999997</v>
      </c>
    </row>
    <row r="273" spans="1:10" x14ac:dyDescent="0.25">
      <c r="A273" t="s">
        <v>121</v>
      </c>
      <c r="B273" t="s">
        <v>20</v>
      </c>
      <c r="C273" t="s">
        <v>30</v>
      </c>
      <c r="D273">
        <v>28.902999999999999</v>
      </c>
      <c r="E273">
        <v>1911326</v>
      </c>
      <c r="F273">
        <v>20101666</v>
      </c>
      <c r="G273">
        <v>9.5100000000000004E-2</v>
      </c>
      <c r="H273">
        <v>63409.0743</v>
      </c>
    </row>
    <row r="274" spans="1:10" x14ac:dyDescent="0.25">
      <c r="A274" t="s">
        <v>123</v>
      </c>
      <c r="B274" t="s">
        <v>20</v>
      </c>
      <c r="C274" t="s">
        <v>30</v>
      </c>
      <c r="D274">
        <v>29.105</v>
      </c>
      <c r="E274">
        <v>1029</v>
      </c>
      <c r="F274">
        <v>18626997</v>
      </c>
      <c r="G274">
        <v>1E-4</v>
      </c>
      <c r="H274">
        <v>1923.9938999999999</v>
      </c>
    </row>
    <row r="275" spans="1:10" x14ac:dyDescent="0.25">
      <c r="A275" t="s">
        <v>50</v>
      </c>
    </row>
    <row r="276" spans="1:10" x14ac:dyDescent="0.25">
      <c r="A276" t="s">
        <v>9</v>
      </c>
      <c r="B276" t="s">
        <v>11</v>
      </c>
      <c r="C276" t="s">
        <v>22</v>
      </c>
      <c r="D276" t="s">
        <v>23</v>
      </c>
      <c r="E276" t="s">
        <v>24</v>
      </c>
      <c r="F276" t="s">
        <v>25</v>
      </c>
      <c r="G276" t="s">
        <v>26</v>
      </c>
      <c r="H276" t="s">
        <v>27</v>
      </c>
      <c r="I276" t="s">
        <v>28</v>
      </c>
      <c r="J276" t="s">
        <v>29</v>
      </c>
    </row>
    <row r="277" spans="1:10" x14ac:dyDescent="0.25">
      <c r="A277" t="s">
        <v>105</v>
      </c>
      <c r="B277" t="s">
        <v>17</v>
      </c>
      <c r="C277" t="s">
        <v>30</v>
      </c>
      <c r="D277">
        <v>29.731000000000002</v>
      </c>
      <c r="E277">
        <v>1667</v>
      </c>
      <c r="F277">
        <v>376</v>
      </c>
      <c r="G277">
        <v>4.4371999999999998</v>
      </c>
      <c r="H277">
        <v>1326584.1761</v>
      </c>
    </row>
    <row r="278" spans="1:10" x14ac:dyDescent="0.25">
      <c r="A278" t="s">
        <v>106</v>
      </c>
      <c r="B278" t="s">
        <v>20</v>
      </c>
      <c r="C278" t="s">
        <v>30</v>
      </c>
      <c r="D278">
        <v>29.690999999999999</v>
      </c>
      <c r="E278">
        <v>13556957</v>
      </c>
      <c r="F278">
        <v>37225151</v>
      </c>
      <c r="G278">
        <v>0.36420000000000002</v>
      </c>
      <c r="H278">
        <v>109044.7931</v>
      </c>
    </row>
    <row r="279" spans="1:10" x14ac:dyDescent="0.25">
      <c r="A279" t="s">
        <v>107</v>
      </c>
      <c r="B279" t="s">
        <v>20</v>
      </c>
      <c r="C279" t="s">
        <v>30</v>
      </c>
      <c r="D279">
        <v>29.763999999999999</v>
      </c>
      <c r="E279">
        <v>1426</v>
      </c>
      <c r="F279">
        <v>2829</v>
      </c>
      <c r="G279">
        <v>0.504</v>
      </c>
      <c r="H279">
        <v>150838.91880000001</v>
      </c>
    </row>
    <row r="280" spans="1:10" x14ac:dyDescent="0.25">
      <c r="A280" t="s">
        <v>109</v>
      </c>
      <c r="B280" t="s">
        <v>20</v>
      </c>
      <c r="C280" t="s">
        <v>30</v>
      </c>
      <c r="D280">
        <v>29.792999999999999</v>
      </c>
      <c r="E280">
        <v>2994</v>
      </c>
      <c r="F280">
        <v>1771</v>
      </c>
      <c r="G280">
        <v>1.6910000000000001</v>
      </c>
      <c r="H280">
        <v>505647.2513</v>
      </c>
    </row>
    <row r="281" spans="1:10" x14ac:dyDescent="0.25">
      <c r="A281" t="s">
        <v>111</v>
      </c>
      <c r="B281" t="s">
        <v>20</v>
      </c>
      <c r="C281" t="s">
        <v>30</v>
      </c>
      <c r="D281">
        <v>29.760999999999999</v>
      </c>
      <c r="E281">
        <v>616</v>
      </c>
      <c r="F281">
        <v>4034</v>
      </c>
      <c r="G281">
        <v>0.1527</v>
      </c>
      <c r="H281">
        <v>45833.784500000002</v>
      </c>
    </row>
    <row r="282" spans="1:10" x14ac:dyDescent="0.25">
      <c r="A282" t="s">
        <v>113</v>
      </c>
      <c r="B282" t="s">
        <v>20</v>
      </c>
      <c r="C282" t="s">
        <v>30</v>
      </c>
      <c r="D282">
        <v>29.757999999999999</v>
      </c>
      <c r="E282">
        <v>1108</v>
      </c>
      <c r="F282">
        <v>363</v>
      </c>
      <c r="G282">
        <v>3.0554999999999999</v>
      </c>
      <c r="H282">
        <v>913550.29590000003</v>
      </c>
    </row>
    <row r="283" spans="1:10" x14ac:dyDescent="0.25">
      <c r="A283" t="s">
        <v>115</v>
      </c>
      <c r="B283" t="s">
        <v>20</v>
      </c>
      <c r="C283" t="s">
        <v>30</v>
      </c>
      <c r="D283">
        <v>29.798999999999999</v>
      </c>
      <c r="E283">
        <v>4397</v>
      </c>
      <c r="F283">
        <v>14848336</v>
      </c>
      <c r="G283">
        <v>2.9999999999999997E-4</v>
      </c>
      <c r="H283">
        <v>268.35539999999997</v>
      </c>
    </row>
    <row r="284" spans="1:10" x14ac:dyDescent="0.25">
      <c r="A284" t="s">
        <v>117</v>
      </c>
      <c r="B284" t="s">
        <v>20</v>
      </c>
      <c r="C284" t="s">
        <v>30</v>
      </c>
      <c r="D284">
        <v>28.835999999999999</v>
      </c>
      <c r="E284">
        <v>25375</v>
      </c>
      <c r="F284">
        <v>20796389</v>
      </c>
      <c r="G284">
        <v>1.1999999999999999E-3</v>
      </c>
      <c r="H284">
        <v>544.56479999999999</v>
      </c>
    </row>
    <row r="285" spans="1:10" x14ac:dyDescent="0.25">
      <c r="A285" t="s">
        <v>119</v>
      </c>
      <c r="B285" t="s">
        <v>20</v>
      </c>
      <c r="C285" t="s">
        <v>30</v>
      </c>
      <c r="D285">
        <v>29.76</v>
      </c>
      <c r="E285">
        <v>6889</v>
      </c>
      <c r="F285">
        <v>21179334</v>
      </c>
      <c r="G285">
        <v>2.9999999999999997E-4</v>
      </c>
      <c r="H285">
        <v>277.06169999999997</v>
      </c>
    </row>
    <row r="286" spans="1:10" x14ac:dyDescent="0.25">
      <c r="A286" t="s">
        <v>121</v>
      </c>
      <c r="B286" t="s">
        <v>20</v>
      </c>
      <c r="C286" t="s">
        <v>30</v>
      </c>
      <c r="D286">
        <v>29.779</v>
      </c>
      <c r="E286">
        <v>3048</v>
      </c>
      <c r="F286">
        <v>20101666</v>
      </c>
      <c r="G286">
        <v>2.0000000000000001E-4</v>
      </c>
      <c r="H286">
        <v>225.1592</v>
      </c>
    </row>
    <row r="287" spans="1:10" x14ac:dyDescent="0.25">
      <c r="A287" t="s">
        <v>123</v>
      </c>
      <c r="B287" t="s">
        <v>20</v>
      </c>
      <c r="C287" t="s">
        <v>30</v>
      </c>
      <c r="D287">
        <v>29.73</v>
      </c>
      <c r="E287">
        <v>499</v>
      </c>
      <c r="F287">
        <v>18626997</v>
      </c>
      <c r="G287">
        <v>0</v>
      </c>
      <c r="H287">
        <v>187.84030000000001</v>
      </c>
    </row>
    <row r="288" spans="1:10" x14ac:dyDescent="0.25">
      <c r="A288" t="s">
        <v>51</v>
      </c>
    </row>
    <row r="289" spans="1:10" x14ac:dyDescent="0.25">
      <c r="A289" t="s">
        <v>9</v>
      </c>
      <c r="B289" t="s">
        <v>11</v>
      </c>
      <c r="C289" t="s">
        <v>22</v>
      </c>
      <c r="D289" t="s">
        <v>23</v>
      </c>
      <c r="E289" t="s">
        <v>24</v>
      </c>
      <c r="F289" t="s">
        <v>25</v>
      </c>
      <c r="G289" t="s">
        <v>26</v>
      </c>
      <c r="H289" t="s">
        <v>27</v>
      </c>
      <c r="I289" t="s">
        <v>28</v>
      </c>
      <c r="J289" t="s">
        <v>29</v>
      </c>
    </row>
    <row r="290" spans="1:10" x14ac:dyDescent="0.25">
      <c r="A290" t="s">
        <v>105</v>
      </c>
      <c r="B290" t="s">
        <v>17</v>
      </c>
      <c r="C290" t="s">
        <v>30</v>
      </c>
      <c r="D290">
        <v>34.581000000000003</v>
      </c>
      <c r="E290">
        <v>840</v>
      </c>
      <c r="F290">
        <v>376</v>
      </c>
      <c r="G290">
        <v>2.2372999999999998</v>
      </c>
      <c r="H290">
        <v>1031290.9288</v>
      </c>
    </row>
    <row r="291" spans="1:10" x14ac:dyDescent="0.25">
      <c r="A291" t="s">
        <v>106</v>
      </c>
      <c r="B291" t="s">
        <v>20</v>
      </c>
      <c r="C291" t="s">
        <v>30</v>
      </c>
      <c r="D291">
        <v>34.534999999999997</v>
      </c>
      <c r="E291">
        <v>22285939</v>
      </c>
      <c r="F291">
        <v>37225151</v>
      </c>
      <c r="G291">
        <v>0.59870000000000001</v>
      </c>
      <c r="H291">
        <v>277066.29320000001</v>
      </c>
    </row>
    <row r="292" spans="1:10" x14ac:dyDescent="0.25">
      <c r="A292" t="s">
        <v>107</v>
      </c>
      <c r="B292" t="s">
        <v>20</v>
      </c>
      <c r="C292" t="s">
        <v>30</v>
      </c>
      <c r="D292">
        <v>34.588000000000001</v>
      </c>
      <c r="E292">
        <v>641</v>
      </c>
      <c r="F292">
        <v>2829</v>
      </c>
      <c r="G292">
        <v>0.2266</v>
      </c>
      <c r="H292">
        <v>105813.3974</v>
      </c>
    </row>
    <row r="293" spans="1:10" x14ac:dyDescent="0.25">
      <c r="A293" t="s">
        <v>109</v>
      </c>
      <c r="B293" t="s">
        <v>20</v>
      </c>
      <c r="C293" t="s">
        <v>30</v>
      </c>
      <c r="D293">
        <v>34.606000000000002</v>
      </c>
      <c r="E293">
        <v>514</v>
      </c>
      <c r="F293">
        <v>1771</v>
      </c>
      <c r="G293">
        <v>0.29049999999999998</v>
      </c>
      <c r="H293">
        <v>135205.89809999999</v>
      </c>
    </row>
    <row r="294" spans="1:10" x14ac:dyDescent="0.25">
      <c r="A294" t="s">
        <v>111</v>
      </c>
      <c r="B294" t="s">
        <v>20</v>
      </c>
      <c r="C294" t="s">
        <v>30</v>
      </c>
      <c r="D294">
        <v>34.548000000000002</v>
      </c>
      <c r="E294">
        <v>2009</v>
      </c>
      <c r="F294">
        <v>4034</v>
      </c>
      <c r="G294">
        <v>0.49790000000000001</v>
      </c>
      <c r="H294">
        <v>230694.97409999999</v>
      </c>
    </row>
    <row r="295" spans="1:10" x14ac:dyDescent="0.25">
      <c r="A295" t="s">
        <v>113</v>
      </c>
      <c r="B295" t="s">
        <v>20</v>
      </c>
      <c r="C295" t="s">
        <v>30</v>
      </c>
      <c r="D295">
        <v>34.595999999999997</v>
      </c>
      <c r="E295">
        <v>652</v>
      </c>
      <c r="F295">
        <v>363</v>
      </c>
      <c r="G295">
        <v>1.798</v>
      </c>
      <c r="H295">
        <v>829063.45460000006</v>
      </c>
    </row>
    <row r="296" spans="1:10" x14ac:dyDescent="0.25">
      <c r="A296" t="s">
        <v>115</v>
      </c>
      <c r="B296" t="s">
        <v>20</v>
      </c>
      <c r="C296" t="s">
        <v>30</v>
      </c>
      <c r="D296">
        <v>34.581000000000003</v>
      </c>
      <c r="E296">
        <v>19680</v>
      </c>
      <c r="F296">
        <v>14848336</v>
      </c>
      <c r="G296">
        <v>1.2999999999999999E-3</v>
      </c>
      <c r="H296">
        <v>2123.9128999999998</v>
      </c>
    </row>
    <row r="297" spans="1:10" x14ac:dyDescent="0.25">
      <c r="A297" t="s">
        <v>117</v>
      </c>
      <c r="B297" t="s">
        <v>20</v>
      </c>
      <c r="C297" t="s">
        <v>30</v>
      </c>
      <c r="D297">
        <v>34.585999999999999</v>
      </c>
      <c r="E297">
        <v>3195</v>
      </c>
      <c r="F297">
        <v>20796389</v>
      </c>
      <c r="G297">
        <v>2.0000000000000001E-4</v>
      </c>
      <c r="H297">
        <v>1584.6005</v>
      </c>
    </row>
    <row r="298" spans="1:10" x14ac:dyDescent="0.25">
      <c r="A298" t="s">
        <v>119</v>
      </c>
      <c r="B298" t="s">
        <v>20</v>
      </c>
      <c r="C298" t="s">
        <v>30</v>
      </c>
      <c r="D298">
        <v>34.593000000000004</v>
      </c>
      <c r="E298">
        <v>5562</v>
      </c>
      <c r="F298">
        <v>21179334</v>
      </c>
      <c r="G298">
        <v>2.9999999999999997E-4</v>
      </c>
      <c r="H298">
        <v>1634.7460000000001</v>
      </c>
    </row>
    <row r="299" spans="1:10" x14ac:dyDescent="0.25">
      <c r="A299" t="s">
        <v>121</v>
      </c>
      <c r="B299" t="s">
        <v>20</v>
      </c>
      <c r="C299" t="s">
        <v>30</v>
      </c>
      <c r="D299">
        <v>34.564999999999998</v>
      </c>
      <c r="E299">
        <v>114503</v>
      </c>
      <c r="F299">
        <v>20101666</v>
      </c>
      <c r="G299">
        <v>5.7000000000000002E-3</v>
      </c>
      <c r="H299">
        <v>4135.6598000000004</v>
      </c>
    </row>
    <row r="300" spans="1:10" x14ac:dyDescent="0.25">
      <c r="A300" t="s">
        <v>123</v>
      </c>
      <c r="B300" t="s">
        <v>20</v>
      </c>
      <c r="C300" t="s">
        <v>30</v>
      </c>
      <c r="D300">
        <v>34.573999999999998</v>
      </c>
      <c r="E300">
        <v>3272</v>
      </c>
      <c r="F300">
        <v>18626997</v>
      </c>
      <c r="G300">
        <v>2.0000000000000001E-4</v>
      </c>
      <c r="H300">
        <v>1594.7213999999999</v>
      </c>
    </row>
    <row r="301" spans="1:10" x14ac:dyDescent="0.25">
      <c r="A301" t="s">
        <v>52</v>
      </c>
    </row>
    <row r="302" spans="1:10" x14ac:dyDescent="0.25">
      <c r="A302" t="s">
        <v>9</v>
      </c>
      <c r="B302" t="s">
        <v>11</v>
      </c>
      <c r="C302" t="s">
        <v>22</v>
      </c>
      <c r="D302" t="s">
        <v>23</v>
      </c>
      <c r="E302" t="s">
        <v>24</v>
      </c>
      <c r="F302" t="s">
        <v>25</v>
      </c>
      <c r="G302" t="s">
        <v>26</v>
      </c>
      <c r="H302" t="s">
        <v>27</v>
      </c>
      <c r="I302" t="s">
        <v>28</v>
      </c>
      <c r="J302" t="s">
        <v>29</v>
      </c>
    </row>
    <row r="303" spans="1:10" x14ac:dyDescent="0.25">
      <c r="A303" t="s">
        <v>105</v>
      </c>
      <c r="B303" t="s">
        <v>17</v>
      </c>
      <c r="C303" t="s">
        <v>30</v>
      </c>
      <c r="D303">
        <v>35.097000000000001</v>
      </c>
      <c r="E303">
        <v>191</v>
      </c>
      <c r="F303">
        <v>376</v>
      </c>
      <c r="G303">
        <v>0.50919999999999999</v>
      </c>
      <c r="H303">
        <v>87107.756399999998</v>
      </c>
    </row>
    <row r="304" spans="1:10" x14ac:dyDescent="0.25">
      <c r="A304" t="s">
        <v>106</v>
      </c>
      <c r="B304" t="s">
        <v>20</v>
      </c>
      <c r="C304" t="s">
        <v>30</v>
      </c>
      <c r="D304">
        <v>35.006999999999998</v>
      </c>
      <c r="E304">
        <v>11000112</v>
      </c>
      <c r="F304">
        <v>37225151</v>
      </c>
      <c r="G304">
        <v>0.29549999999999998</v>
      </c>
      <c r="H304">
        <v>50590.762300000002</v>
      </c>
    </row>
    <row r="305" spans="1:10" x14ac:dyDescent="0.25">
      <c r="A305" t="s">
        <v>107</v>
      </c>
      <c r="B305" t="s">
        <v>20</v>
      </c>
      <c r="C305" t="s">
        <v>30</v>
      </c>
      <c r="D305">
        <v>35.064999999999998</v>
      </c>
      <c r="E305">
        <v>797</v>
      </c>
      <c r="F305">
        <v>2829</v>
      </c>
      <c r="G305">
        <v>0.28179999999999999</v>
      </c>
      <c r="H305">
        <v>48245.590100000001</v>
      </c>
    </row>
    <row r="306" spans="1:10" x14ac:dyDescent="0.25">
      <c r="A306" t="s">
        <v>109</v>
      </c>
      <c r="B306" t="s">
        <v>20</v>
      </c>
      <c r="C306" t="s">
        <v>30</v>
      </c>
      <c r="D306">
        <v>35.063000000000002</v>
      </c>
      <c r="E306">
        <v>475</v>
      </c>
      <c r="F306">
        <v>1771</v>
      </c>
      <c r="G306">
        <v>0.26800000000000002</v>
      </c>
      <c r="H306">
        <v>45899.627</v>
      </c>
    </row>
    <row r="307" spans="1:10" x14ac:dyDescent="0.25">
      <c r="A307" t="s">
        <v>111</v>
      </c>
      <c r="B307" t="s">
        <v>20</v>
      </c>
      <c r="C307" t="s">
        <v>30</v>
      </c>
      <c r="D307">
        <v>35.216999999999999</v>
      </c>
      <c r="E307">
        <v>685</v>
      </c>
      <c r="F307">
        <v>4034</v>
      </c>
      <c r="G307">
        <v>0.1699</v>
      </c>
      <c r="H307">
        <v>29123.576799999999</v>
      </c>
    </row>
    <row r="308" spans="1:10" x14ac:dyDescent="0.25">
      <c r="A308" t="s">
        <v>113</v>
      </c>
      <c r="B308" t="s">
        <v>20</v>
      </c>
      <c r="C308" t="s">
        <v>30</v>
      </c>
      <c r="D308">
        <v>35.058999999999997</v>
      </c>
      <c r="E308">
        <v>1275</v>
      </c>
      <c r="F308">
        <v>363</v>
      </c>
      <c r="G308">
        <v>3.5158</v>
      </c>
      <c r="H308">
        <v>600869.33440000005</v>
      </c>
    </row>
    <row r="309" spans="1:10" x14ac:dyDescent="0.25">
      <c r="A309" t="s">
        <v>115</v>
      </c>
      <c r="B309" t="s">
        <v>20</v>
      </c>
      <c r="C309" t="s">
        <v>30</v>
      </c>
      <c r="D309">
        <v>34.906999999999996</v>
      </c>
      <c r="E309">
        <v>231728</v>
      </c>
      <c r="F309">
        <v>14848336</v>
      </c>
      <c r="G309">
        <v>1.5599999999999999E-2</v>
      </c>
      <c r="H309">
        <v>2761.9609</v>
      </c>
    </row>
    <row r="310" spans="1:10" x14ac:dyDescent="0.25">
      <c r="A310" t="s">
        <v>117</v>
      </c>
      <c r="B310" t="s">
        <v>20</v>
      </c>
      <c r="C310" t="s">
        <v>30</v>
      </c>
      <c r="D310">
        <v>34.768000000000001</v>
      </c>
      <c r="E310">
        <v>0</v>
      </c>
      <c r="F310">
        <v>20796389</v>
      </c>
      <c r="G310">
        <v>0</v>
      </c>
      <c r="H310" t="s">
        <v>43</v>
      </c>
    </row>
    <row r="311" spans="1:10" x14ac:dyDescent="0.25">
      <c r="A311" t="s">
        <v>119</v>
      </c>
      <c r="B311" t="s">
        <v>20</v>
      </c>
      <c r="C311" t="s">
        <v>30</v>
      </c>
      <c r="D311">
        <v>35.22</v>
      </c>
      <c r="E311">
        <v>-45942</v>
      </c>
      <c r="F311">
        <v>21179334</v>
      </c>
      <c r="G311">
        <v>-2.2000000000000001E-3</v>
      </c>
      <c r="H311">
        <v>0</v>
      </c>
    </row>
    <row r="312" spans="1:10" x14ac:dyDescent="0.25">
      <c r="A312" t="s">
        <v>121</v>
      </c>
      <c r="B312" t="s">
        <v>20</v>
      </c>
      <c r="C312" t="s">
        <v>30</v>
      </c>
      <c r="D312">
        <v>34.567999999999998</v>
      </c>
      <c r="E312">
        <v>2201594</v>
      </c>
      <c r="F312">
        <v>20101666</v>
      </c>
      <c r="G312">
        <v>0.1095</v>
      </c>
      <c r="H312">
        <v>18810.503799999999</v>
      </c>
    </row>
    <row r="313" spans="1:10" x14ac:dyDescent="0.25">
      <c r="A313" t="s">
        <v>123</v>
      </c>
      <c r="B313" t="s">
        <v>20</v>
      </c>
      <c r="C313" t="s">
        <v>30</v>
      </c>
      <c r="D313">
        <v>35.088000000000001</v>
      </c>
      <c r="E313">
        <v>1971</v>
      </c>
      <c r="F313">
        <v>18626997</v>
      </c>
      <c r="G313">
        <v>1E-4</v>
      </c>
      <c r="H313">
        <v>113.223</v>
      </c>
    </row>
    <row r="314" spans="1:10" x14ac:dyDescent="0.25">
      <c r="A314" t="s">
        <v>53</v>
      </c>
    </row>
    <row r="315" spans="1:10" x14ac:dyDescent="0.25">
      <c r="A315" t="s">
        <v>9</v>
      </c>
      <c r="B315" t="s">
        <v>11</v>
      </c>
      <c r="C315" t="s">
        <v>22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 t="s">
        <v>28</v>
      </c>
      <c r="J315" t="s">
        <v>29</v>
      </c>
    </row>
    <row r="316" spans="1:10" x14ac:dyDescent="0.25">
      <c r="A316" t="s">
        <v>105</v>
      </c>
      <c r="B316" t="s">
        <v>17</v>
      </c>
      <c r="C316" t="s">
        <v>30</v>
      </c>
      <c r="D316">
        <v>36.737000000000002</v>
      </c>
      <c r="E316">
        <v>2049</v>
      </c>
      <c r="F316">
        <v>376</v>
      </c>
      <c r="G316">
        <v>5.4561000000000002</v>
      </c>
      <c r="H316">
        <v>472692.71389999997</v>
      </c>
    </row>
    <row r="317" spans="1:10" x14ac:dyDescent="0.25">
      <c r="A317" t="s">
        <v>106</v>
      </c>
      <c r="B317" t="s">
        <v>20</v>
      </c>
      <c r="C317" t="s">
        <v>30</v>
      </c>
      <c r="D317">
        <v>36.692999999999998</v>
      </c>
      <c r="E317">
        <v>46637877</v>
      </c>
      <c r="F317">
        <v>37225151</v>
      </c>
      <c r="G317">
        <v>1.2528999999999999</v>
      </c>
      <c r="H317">
        <v>108725.69620000001</v>
      </c>
    </row>
    <row r="318" spans="1:10" x14ac:dyDescent="0.25">
      <c r="A318" t="s">
        <v>107</v>
      </c>
      <c r="B318" t="s">
        <v>20</v>
      </c>
      <c r="C318" t="s">
        <v>30</v>
      </c>
      <c r="D318">
        <v>36.741999999999997</v>
      </c>
      <c r="E318">
        <v>13124</v>
      </c>
      <c r="F318">
        <v>2829</v>
      </c>
      <c r="G318">
        <v>4.6384999999999996</v>
      </c>
      <c r="H318">
        <v>401890.60920000001</v>
      </c>
    </row>
    <row r="319" spans="1:10" x14ac:dyDescent="0.25">
      <c r="A319" t="s">
        <v>109</v>
      </c>
      <c r="B319" t="s">
        <v>20</v>
      </c>
      <c r="C319" t="s">
        <v>30</v>
      </c>
      <c r="D319">
        <v>36.75</v>
      </c>
      <c r="E319">
        <v>1443</v>
      </c>
      <c r="F319">
        <v>1771</v>
      </c>
      <c r="G319">
        <v>0.81469999999999998</v>
      </c>
      <c r="H319">
        <v>70784.648499999996</v>
      </c>
    </row>
    <row r="320" spans="1:10" x14ac:dyDescent="0.25">
      <c r="A320" t="s">
        <v>111</v>
      </c>
      <c r="B320" t="s">
        <v>20</v>
      </c>
      <c r="C320" t="s">
        <v>30</v>
      </c>
      <c r="D320">
        <v>36.771000000000001</v>
      </c>
      <c r="E320">
        <v>3337</v>
      </c>
      <c r="F320">
        <v>4034</v>
      </c>
      <c r="G320">
        <v>0.82730000000000004</v>
      </c>
      <c r="H320">
        <v>71876.714500000002</v>
      </c>
    </row>
    <row r="321" spans="1:10" x14ac:dyDescent="0.25">
      <c r="A321" t="s">
        <v>113</v>
      </c>
      <c r="B321" t="s">
        <v>20</v>
      </c>
      <c r="C321" t="s">
        <v>30</v>
      </c>
      <c r="D321">
        <v>36.746000000000002</v>
      </c>
      <c r="E321">
        <v>1546</v>
      </c>
      <c r="F321">
        <v>363</v>
      </c>
      <c r="G321">
        <v>4.2630999999999997</v>
      </c>
      <c r="H321">
        <v>369386.1532</v>
      </c>
    </row>
    <row r="322" spans="1:10" x14ac:dyDescent="0.25">
      <c r="A322" t="s">
        <v>115</v>
      </c>
      <c r="B322" t="s">
        <v>20</v>
      </c>
      <c r="C322" t="s">
        <v>30</v>
      </c>
      <c r="D322">
        <v>36.593000000000004</v>
      </c>
      <c r="E322">
        <v>662735</v>
      </c>
      <c r="F322">
        <v>14848336</v>
      </c>
      <c r="G322">
        <v>4.4600000000000001E-2</v>
      </c>
      <c r="H322">
        <v>4104.0790999999999</v>
      </c>
    </row>
    <row r="323" spans="1:10" x14ac:dyDescent="0.25">
      <c r="A323" t="s">
        <v>117</v>
      </c>
      <c r="B323" t="s">
        <v>20</v>
      </c>
      <c r="C323" t="s">
        <v>30</v>
      </c>
      <c r="D323">
        <v>36.591000000000001</v>
      </c>
      <c r="E323">
        <v>7582575</v>
      </c>
      <c r="F323">
        <v>20796389</v>
      </c>
      <c r="G323">
        <v>0.36459999999999998</v>
      </c>
      <c r="H323">
        <v>31811.209800000001</v>
      </c>
    </row>
    <row r="324" spans="1:10" x14ac:dyDescent="0.25">
      <c r="A324" t="s">
        <v>119</v>
      </c>
      <c r="B324" t="s">
        <v>20</v>
      </c>
      <c r="C324" t="s">
        <v>30</v>
      </c>
      <c r="D324">
        <v>36.579000000000001</v>
      </c>
      <c r="E324">
        <v>2094432</v>
      </c>
      <c r="F324">
        <v>21179334</v>
      </c>
      <c r="G324">
        <v>9.8900000000000002E-2</v>
      </c>
      <c r="H324">
        <v>8802.2317999999996</v>
      </c>
    </row>
    <row r="325" spans="1:10" x14ac:dyDescent="0.25">
      <c r="A325" t="s">
        <v>121</v>
      </c>
      <c r="B325" t="s">
        <v>20</v>
      </c>
      <c r="C325" t="s">
        <v>30</v>
      </c>
      <c r="D325">
        <v>36.584000000000003</v>
      </c>
      <c r="E325">
        <v>4872236</v>
      </c>
      <c r="F325">
        <v>20101666</v>
      </c>
      <c r="G325">
        <v>0.2424</v>
      </c>
      <c r="H325">
        <v>21227.137500000001</v>
      </c>
    </row>
    <row r="326" spans="1:10" x14ac:dyDescent="0.25">
      <c r="A326" t="s">
        <v>123</v>
      </c>
      <c r="B326" t="s">
        <v>20</v>
      </c>
      <c r="C326" t="s">
        <v>30</v>
      </c>
      <c r="D326">
        <v>36.761000000000003</v>
      </c>
      <c r="E326">
        <v>7145</v>
      </c>
      <c r="F326">
        <v>18626997</v>
      </c>
      <c r="G326">
        <v>4.0000000000000002E-4</v>
      </c>
      <c r="H326">
        <v>272.42099999999999</v>
      </c>
    </row>
    <row r="327" spans="1:10" x14ac:dyDescent="0.25">
      <c r="A327" t="s">
        <v>54</v>
      </c>
    </row>
    <row r="328" spans="1:10" x14ac:dyDescent="0.25">
      <c r="A328" t="s">
        <v>9</v>
      </c>
      <c r="B328" t="s">
        <v>11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 t="s">
        <v>27</v>
      </c>
      <c r="I328" t="s">
        <v>28</v>
      </c>
      <c r="J328" t="s">
        <v>29</v>
      </c>
    </row>
    <row r="329" spans="1:10" x14ac:dyDescent="0.25">
      <c r="A329" t="s">
        <v>105</v>
      </c>
      <c r="B329" t="s">
        <v>17</v>
      </c>
      <c r="C329" t="s">
        <v>30</v>
      </c>
      <c r="D329">
        <v>37.487000000000002</v>
      </c>
      <c r="E329">
        <v>974</v>
      </c>
      <c r="F329">
        <v>376</v>
      </c>
      <c r="G329">
        <v>2.5924999999999998</v>
      </c>
      <c r="H329">
        <v>205393.96549999999</v>
      </c>
    </row>
    <row r="330" spans="1:10" x14ac:dyDescent="0.25">
      <c r="A330" t="s">
        <v>106</v>
      </c>
      <c r="B330" t="s">
        <v>20</v>
      </c>
      <c r="C330" t="s">
        <v>30</v>
      </c>
      <c r="D330">
        <v>37.375999999999998</v>
      </c>
      <c r="E330">
        <v>33211524</v>
      </c>
      <c r="F330">
        <v>37225151</v>
      </c>
      <c r="G330">
        <v>0.89219999999999999</v>
      </c>
      <c r="H330">
        <v>70959.859299999996</v>
      </c>
    </row>
    <row r="331" spans="1:10" x14ac:dyDescent="0.25">
      <c r="A331" t="s">
        <v>107</v>
      </c>
      <c r="B331" t="s">
        <v>20</v>
      </c>
      <c r="C331" t="s">
        <v>30</v>
      </c>
      <c r="D331">
        <v>37.427</v>
      </c>
      <c r="E331">
        <v>1452</v>
      </c>
      <c r="F331">
        <v>2829</v>
      </c>
      <c r="G331">
        <v>0.5131</v>
      </c>
      <c r="H331">
        <v>40990.186500000003</v>
      </c>
    </row>
    <row r="332" spans="1:10" x14ac:dyDescent="0.25">
      <c r="A332" t="s">
        <v>109</v>
      </c>
      <c r="B332" t="s">
        <v>20</v>
      </c>
      <c r="C332" t="s">
        <v>30</v>
      </c>
      <c r="D332">
        <v>37.44</v>
      </c>
      <c r="E332">
        <v>1906</v>
      </c>
      <c r="F332">
        <v>1771</v>
      </c>
      <c r="G332">
        <v>1.0762</v>
      </c>
      <c r="H332">
        <v>85510.205199999997</v>
      </c>
    </row>
    <row r="333" spans="1:10" x14ac:dyDescent="0.25">
      <c r="A333" t="s">
        <v>111</v>
      </c>
      <c r="B333" t="s">
        <v>20</v>
      </c>
      <c r="C333" t="s">
        <v>30</v>
      </c>
      <c r="D333">
        <v>37.436</v>
      </c>
      <c r="E333">
        <v>597</v>
      </c>
      <c r="F333">
        <v>4034</v>
      </c>
      <c r="G333">
        <v>0.1479</v>
      </c>
      <c r="H333">
        <v>12111.099200000001</v>
      </c>
    </row>
    <row r="334" spans="1:10" x14ac:dyDescent="0.25">
      <c r="A334" t="s">
        <v>113</v>
      </c>
      <c r="B334" t="s">
        <v>20</v>
      </c>
      <c r="C334" t="s">
        <v>30</v>
      </c>
      <c r="D334">
        <v>37.411999999999999</v>
      </c>
      <c r="E334">
        <v>2609</v>
      </c>
      <c r="F334">
        <v>363</v>
      </c>
      <c r="G334">
        <v>7.1971999999999996</v>
      </c>
      <c r="H334">
        <v>569473.20140000002</v>
      </c>
    </row>
    <row r="335" spans="1:10" x14ac:dyDescent="0.25">
      <c r="A335" t="s">
        <v>115</v>
      </c>
      <c r="B335" t="s">
        <v>20</v>
      </c>
      <c r="C335" t="s">
        <v>30</v>
      </c>
      <c r="D335">
        <v>37.518000000000001</v>
      </c>
      <c r="E335">
        <v>5804607</v>
      </c>
      <c r="F335">
        <v>14848336</v>
      </c>
      <c r="G335">
        <v>0.39090000000000003</v>
      </c>
      <c r="H335">
        <v>31327.736400000002</v>
      </c>
    </row>
    <row r="336" spans="1:10" x14ac:dyDescent="0.25">
      <c r="A336" t="s">
        <v>117</v>
      </c>
      <c r="B336" t="s">
        <v>20</v>
      </c>
      <c r="C336" t="s">
        <v>30</v>
      </c>
      <c r="D336">
        <v>37.396000000000001</v>
      </c>
      <c r="E336">
        <v>-55904</v>
      </c>
      <c r="F336">
        <v>20796389</v>
      </c>
      <c r="G336">
        <v>-2.7000000000000001E-3</v>
      </c>
      <c r="H336">
        <v>206.18039999999999</v>
      </c>
    </row>
    <row r="337" spans="1:10" x14ac:dyDescent="0.25">
      <c r="A337" t="s">
        <v>119</v>
      </c>
      <c r="B337" t="s">
        <v>20</v>
      </c>
      <c r="C337" t="s">
        <v>30</v>
      </c>
      <c r="D337">
        <v>37.389000000000003</v>
      </c>
      <c r="E337">
        <v>-491</v>
      </c>
      <c r="F337">
        <v>21179334</v>
      </c>
      <c r="G337">
        <v>0</v>
      </c>
      <c r="H337">
        <v>416.89240000000001</v>
      </c>
    </row>
    <row r="338" spans="1:10" x14ac:dyDescent="0.25">
      <c r="A338" t="s">
        <v>121</v>
      </c>
      <c r="B338" t="s">
        <v>20</v>
      </c>
      <c r="C338" t="s">
        <v>30</v>
      </c>
      <c r="D338">
        <v>37.375</v>
      </c>
      <c r="E338">
        <v>-838</v>
      </c>
      <c r="F338">
        <v>20101666</v>
      </c>
      <c r="G338">
        <v>0</v>
      </c>
      <c r="H338">
        <v>415.42880000000002</v>
      </c>
    </row>
    <row r="339" spans="1:10" x14ac:dyDescent="0.25">
      <c r="A339" t="s">
        <v>123</v>
      </c>
      <c r="B339" t="s">
        <v>20</v>
      </c>
      <c r="C339" t="s">
        <v>30</v>
      </c>
      <c r="D339">
        <v>37.44</v>
      </c>
      <c r="E339">
        <v>12608</v>
      </c>
      <c r="F339">
        <v>18626997</v>
      </c>
      <c r="G339">
        <v>6.9999999999999999E-4</v>
      </c>
      <c r="H339">
        <v>472.24079999999998</v>
      </c>
    </row>
    <row r="340" spans="1:10" x14ac:dyDescent="0.25">
      <c r="A340" t="s">
        <v>55</v>
      </c>
    </row>
    <row r="341" spans="1:10" x14ac:dyDescent="0.25">
      <c r="A341" t="s">
        <v>9</v>
      </c>
      <c r="B341" t="s">
        <v>11</v>
      </c>
      <c r="C341" t="s">
        <v>22</v>
      </c>
      <c r="D341" t="s">
        <v>23</v>
      </c>
      <c r="E341" t="s">
        <v>24</v>
      </c>
      <c r="F341" t="s">
        <v>25</v>
      </c>
      <c r="G341" t="s">
        <v>26</v>
      </c>
      <c r="H341" t="s">
        <v>27</v>
      </c>
      <c r="I341" t="s">
        <v>28</v>
      </c>
      <c r="J341" t="s">
        <v>29</v>
      </c>
    </row>
    <row r="342" spans="1:10" x14ac:dyDescent="0.25">
      <c r="A342" t="s">
        <v>105</v>
      </c>
      <c r="B342" t="s">
        <v>17</v>
      </c>
      <c r="C342" t="s">
        <v>30</v>
      </c>
      <c r="D342">
        <v>37.686</v>
      </c>
      <c r="E342">
        <v>1310</v>
      </c>
      <c r="F342">
        <v>376</v>
      </c>
      <c r="G342">
        <v>3.4889000000000001</v>
      </c>
      <c r="H342">
        <v>654709.43489999999</v>
      </c>
    </row>
    <row r="343" spans="1:10" x14ac:dyDescent="0.25">
      <c r="A343" t="s">
        <v>106</v>
      </c>
      <c r="B343" t="s">
        <v>20</v>
      </c>
      <c r="C343" t="s">
        <v>30</v>
      </c>
      <c r="D343">
        <v>37.612000000000002</v>
      </c>
      <c r="E343">
        <v>50684681</v>
      </c>
      <c r="F343">
        <v>37225151</v>
      </c>
      <c r="G343">
        <v>1.3615999999999999</v>
      </c>
      <c r="H343">
        <v>255833.58100000001</v>
      </c>
    </row>
    <row r="344" spans="1:10" x14ac:dyDescent="0.25">
      <c r="A344" t="s">
        <v>107</v>
      </c>
      <c r="B344" t="s">
        <v>20</v>
      </c>
      <c r="C344" t="s">
        <v>30</v>
      </c>
      <c r="D344">
        <v>37.685000000000002</v>
      </c>
      <c r="E344">
        <v>5026</v>
      </c>
      <c r="F344">
        <v>2829</v>
      </c>
      <c r="G344">
        <v>1.7763</v>
      </c>
      <c r="H344">
        <v>333591.18800000002</v>
      </c>
    </row>
    <row r="345" spans="1:10" x14ac:dyDescent="0.25">
      <c r="A345" t="s">
        <v>109</v>
      </c>
      <c r="B345" t="s">
        <v>20</v>
      </c>
      <c r="C345" t="s">
        <v>30</v>
      </c>
      <c r="D345">
        <v>37.706000000000003</v>
      </c>
      <c r="E345">
        <v>1198</v>
      </c>
      <c r="F345">
        <v>1771</v>
      </c>
      <c r="G345">
        <v>0.6764</v>
      </c>
      <c r="H345">
        <v>127375.2308</v>
      </c>
    </row>
    <row r="346" spans="1:10" x14ac:dyDescent="0.25">
      <c r="A346" t="s">
        <v>111</v>
      </c>
      <c r="B346" t="s">
        <v>20</v>
      </c>
      <c r="C346" t="s">
        <v>30</v>
      </c>
      <c r="D346">
        <v>37.651000000000003</v>
      </c>
      <c r="E346">
        <v>1298</v>
      </c>
      <c r="F346">
        <v>4034</v>
      </c>
      <c r="G346">
        <v>0.32179999999999997</v>
      </c>
      <c r="H346">
        <v>60873.054199999999</v>
      </c>
    </row>
    <row r="347" spans="1:10" x14ac:dyDescent="0.25">
      <c r="A347" t="s">
        <v>113</v>
      </c>
      <c r="B347" t="s">
        <v>20</v>
      </c>
      <c r="C347" t="s">
        <v>30</v>
      </c>
      <c r="D347">
        <v>37.505000000000003</v>
      </c>
      <c r="E347">
        <v>3491</v>
      </c>
      <c r="F347">
        <v>363</v>
      </c>
      <c r="G347">
        <v>9.6287000000000003</v>
      </c>
      <c r="H347">
        <v>1805895.7235000001</v>
      </c>
    </row>
    <row r="348" spans="1:10" x14ac:dyDescent="0.25">
      <c r="A348" t="s">
        <v>115</v>
      </c>
      <c r="B348" t="s">
        <v>20</v>
      </c>
      <c r="C348" t="s">
        <v>30</v>
      </c>
      <c r="D348">
        <v>37.526000000000003</v>
      </c>
      <c r="E348">
        <v>11543165</v>
      </c>
      <c r="F348">
        <v>14848336</v>
      </c>
      <c r="G348">
        <v>0.77739999999999998</v>
      </c>
      <c r="H348">
        <v>146304.3731</v>
      </c>
    </row>
    <row r="349" spans="1:10" x14ac:dyDescent="0.25">
      <c r="A349" t="s">
        <v>117</v>
      </c>
      <c r="B349" t="s">
        <v>20</v>
      </c>
      <c r="C349" t="s">
        <v>30</v>
      </c>
      <c r="D349">
        <v>37.539000000000001</v>
      </c>
      <c r="E349">
        <v>23005708</v>
      </c>
      <c r="F349">
        <v>20796389</v>
      </c>
      <c r="G349">
        <v>1.1062000000000001</v>
      </c>
      <c r="H349">
        <v>207959.0986</v>
      </c>
    </row>
    <row r="350" spans="1:10" x14ac:dyDescent="0.25">
      <c r="A350" t="s">
        <v>119</v>
      </c>
      <c r="B350" t="s">
        <v>20</v>
      </c>
      <c r="C350" t="s">
        <v>30</v>
      </c>
      <c r="D350">
        <v>37.518999999999998</v>
      </c>
      <c r="E350">
        <v>15139406</v>
      </c>
      <c r="F350">
        <v>21179334</v>
      </c>
      <c r="G350">
        <v>0.71479999999999999</v>
      </c>
      <c r="H350">
        <v>134569.91310000001</v>
      </c>
    </row>
    <row r="351" spans="1:10" x14ac:dyDescent="0.25">
      <c r="A351" t="s">
        <v>121</v>
      </c>
      <c r="B351" t="s">
        <v>20</v>
      </c>
      <c r="C351" t="s">
        <v>30</v>
      </c>
      <c r="D351">
        <v>37.533000000000001</v>
      </c>
      <c r="E351">
        <v>23570412</v>
      </c>
      <c r="F351">
        <v>20101666</v>
      </c>
      <c r="G351">
        <v>1.1726000000000001</v>
      </c>
      <c r="H351">
        <v>220394.7077</v>
      </c>
    </row>
    <row r="352" spans="1:10" x14ac:dyDescent="0.25">
      <c r="A352" t="s">
        <v>123</v>
      </c>
      <c r="B352" t="s">
        <v>20</v>
      </c>
      <c r="C352" t="s">
        <v>30</v>
      </c>
      <c r="D352">
        <v>37.719000000000001</v>
      </c>
      <c r="E352">
        <v>1147</v>
      </c>
      <c r="F352">
        <v>18626997</v>
      </c>
      <c r="G352">
        <v>1E-4</v>
      </c>
      <c r="H352">
        <v>555.16780000000006</v>
      </c>
    </row>
    <row r="353" spans="1:10" x14ac:dyDescent="0.25">
      <c r="A353" t="s">
        <v>56</v>
      </c>
    </row>
    <row r="354" spans="1:10" x14ac:dyDescent="0.25">
      <c r="A354" t="s">
        <v>9</v>
      </c>
      <c r="B354" t="s">
        <v>11</v>
      </c>
      <c r="C354" t="s">
        <v>22</v>
      </c>
      <c r="D354" t="s">
        <v>23</v>
      </c>
      <c r="E354" t="s">
        <v>24</v>
      </c>
      <c r="F354" t="s">
        <v>25</v>
      </c>
      <c r="G354" t="s">
        <v>26</v>
      </c>
      <c r="H354" t="s">
        <v>27</v>
      </c>
      <c r="I354" t="s">
        <v>28</v>
      </c>
      <c r="J354" t="s">
        <v>29</v>
      </c>
    </row>
    <row r="355" spans="1:10" x14ac:dyDescent="0.25">
      <c r="A355" t="s">
        <v>105</v>
      </c>
      <c r="B355" t="s">
        <v>17</v>
      </c>
      <c r="C355" t="s">
        <v>30</v>
      </c>
      <c r="D355">
        <v>39.023000000000003</v>
      </c>
      <c r="E355">
        <v>426</v>
      </c>
      <c r="F355">
        <v>376</v>
      </c>
      <c r="G355">
        <v>1.1355</v>
      </c>
      <c r="H355">
        <v>90182.918699999995</v>
      </c>
    </row>
    <row r="356" spans="1:10" x14ac:dyDescent="0.25">
      <c r="A356" t="s">
        <v>106</v>
      </c>
      <c r="B356" t="s">
        <v>20</v>
      </c>
      <c r="C356" t="s">
        <v>30</v>
      </c>
      <c r="D356">
        <v>38.938000000000002</v>
      </c>
      <c r="E356">
        <v>32845294</v>
      </c>
      <c r="F356">
        <v>37225151</v>
      </c>
      <c r="G356">
        <v>0.88229999999999997</v>
      </c>
      <c r="H356">
        <v>79404.540900000007</v>
      </c>
    </row>
    <row r="357" spans="1:10" x14ac:dyDescent="0.25">
      <c r="A357" t="s">
        <v>107</v>
      </c>
      <c r="B357" t="s">
        <v>20</v>
      </c>
      <c r="C357" t="s">
        <v>30</v>
      </c>
      <c r="D357">
        <v>39.027999999999999</v>
      </c>
      <c r="E357">
        <v>982</v>
      </c>
      <c r="F357">
        <v>2829</v>
      </c>
      <c r="G357">
        <v>0.34720000000000001</v>
      </c>
      <c r="H357">
        <v>49465.142200000002</v>
      </c>
    </row>
    <row r="358" spans="1:10" x14ac:dyDescent="0.25">
      <c r="A358" t="s">
        <v>109</v>
      </c>
      <c r="B358" t="s">
        <v>20</v>
      </c>
      <c r="C358" t="s">
        <v>30</v>
      </c>
      <c r="D358">
        <v>38.999000000000002</v>
      </c>
      <c r="E358">
        <v>1032</v>
      </c>
      <c r="F358">
        <v>1771</v>
      </c>
      <c r="G358">
        <v>0.5827</v>
      </c>
      <c r="H358">
        <v>64368.114399999999</v>
      </c>
    </row>
    <row r="359" spans="1:10" x14ac:dyDescent="0.25">
      <c r="A359" t="s">
        <v>111</v>
      </c>
      <c r="B359" t="s">
        <v>20</v>
      </c>
      <c r="C359" t="s">
        <v>30</v>
      </c>
      <c r="D359">
        <v>39.005000000000003</v>
      </c>
      <c r="E359">
        <v>716</v>
      </c>
      <c r="F359">
        <v>4034</v>
      </c>
      <c r="G359">
        <v>0.17749999999999999</v>
      </c>
      <c r="H359">
        <v>35022.438900000001</v>
      </c>
    </row>
    <row r="360" spans="1:10" x14ac:dyDescent="0.25">
      <c r="A360" t="s">
        <v>113</v>
      </c>
      <c r="B360" t="s">
        <v>20</v>
      </c>
      <c r="C360" t="s">
        <v>30</v>
      </c>
      <c r="D360">
        <v>39.009</v>
      </c>
      <c r="E360">
        <v>1910</v>
      </c>
      <c r="F360">
        <v>363</v>
      </c>
      <c r="G360">
        <v>5.2691999999999997</v>
      </c>
      <c r="H360">
        <v>194995.90299999999</v>
      </c>
    </row>
    <row r="361" spans="1:10" x14ac:dyDescent="0.25">
      <c r="A361" t="s">
        <v>115</v>
      </c>
      <c r="B361" t="s">
        <v>20</v>
      </c>
      <c r="C361" t="s">
        <v>30</v>
      </c>
      <c r="D361">
        <v>39.789000000000001</v>
      </c>
      <c r="E361">
        <v>2248890</v>
      </c>
      <c r="F361">
        <v>14848336</v>
      </c>
      <c r="G361">
        <v>0.1515</v>
      </c>
      <c r="H361">
        <v>32247.192500000001</v>
      </c>
    </row>
    <row r="362" spans="1:10" x14ac:dyDescent="0.25">
      <c r="A362" t="s">
        <v>117</v>
      </c>
      <c r="B362" t="s">
        <v>20</v>
      </c>
      <c r="C362" t="s">
        <v>30</v>
      </c>
      <c r="D362">
        <v>39.661999999999999</v>
      </c>
      <c r="E362">
        <v>-1596</v>
      </c>
      <c r="F362">
        <v>20796389</v>
      </c>
      <c r="G362">
        <v>-1E-4</v>
      </c>
      <c r="H362" t="s">
        <v>43</v>
      </c>
    </row>
    <row r="363" spans="1:10" x14ac:dyDescent="0.25">
      <c r="A363" t="s">
        <v>119</v>
      </c>
      <c r="B363" t="s">
        <v>20</v>
      </c>
      <c r="C363" t="s">
        <v>30</v>
      </c>
      <c r="D363">
        <v>39.659999999999997</v>
      </c>
      <c r="E363">
        <v>-10801</v>
      </c>
      <c r="F363">
        <v>21179334</v>
      </c>
      <c r="G363">
        <v>-5.0000000000000001E-4</v>
      </c>
      <c r="H363" t="s">
        <v>43</v>
      </c>
    </row>
    <row r="364" spans="1:10" x14ac:dyDescent="0.25">
      <c r="A364" t="s">
        <v>121</v>
      </c>
      <c r="B364" t="s">
        <v>20</v>
      </c>
      <c r="C364" t="s">
        <v>30</v>
      </c>
      <c r="D364">
        <v>39.683</v>
      </c>
      <c r="E364">
        <v>62685</v>
      </c>
      <c r="F364">
        <v>20101666</v>
      </c>
      <c r="G364">
        <v>3.0999999999999999E-3</v>
      </c>
      <c r="H364" t="s">
        <v>43</v>
      </c>
    </row>
    <row r="365" spans="1:10" x14ac:dyDescent="0.25">
      <c r="A365" t="s">
        <v>123</v>
      </c>
      <c r="B365" t="s">
        <v>20</v>
      </c>
      <c r="C365" t="s">
        <v>30</v>
      </c>
      <c r="D365">
        <v>39.000999999999998</v>
      </c>
      <c r="E365">
        <v>861</v>
      </c>
      <c r="F365">
        <v>18626997</v>
      </c>
      <c r="G365">
        <v>0</v>
      </c>
      <c r="H365" t="s">
        <v>43</v>
      </c>
    </row>
    <row r="366" spans="1:10" x14ac:dyDescent="0.25">
      <c r="A366" t="s">
        <v>57</v>
      </c>
    </row>
    <row r="367" spans="1:10" x14ac:dyDescent="0.25">
      <c r="A367" t="s">
        <v>9</v>
      </c>
      <c r="B367" t="s">
        <v>11</v>
      </c>
      <c r="C367" t="s">
        <v>22</v>
      </c>
      <c r="D367" t="s">
        <v>23</v>
      </c>
      <c r="E367" t="s">
        <v>24</v>
      </c>
      <c r="F367" t="s">
        <v>25</v>
      </c>
      <c r="G367" t="s">
        <v>26</v>
      </c>
      <c r="H367" t="s">
        <v>27</v>
      </c>
      <c r="I367" t="s">
        <v>28</v>
      </c>
      <c r="J367" t="s">
        <v>29</v>
      </c>
    </row>
    <row r="368" spans="1:10" x14ac:dyDescent="0.25">
      <c r="A368" t="s">
        <v>105</v>
      </c>
      <c r="B368" t="s">
        <v>17</v>
      </c>
      <c r="C368" t="s">
        <v>30</v>
      </c>
      <c r="D368">
        <v>39.444000000000003</v>
      </c>
      <c r="E368">
        <v>169</v>
      </c>
      <c r="F368">
        <v>376</v>
      </c>
      <c r="G368">
        <v>0.44890000000000002</v>
      </c>
      <c r="H368">
        <v>19160.971300000001</v>
      </c>
    </row>
    <row r="369" spans="1:10" x14ac:dyDescent="0.25">
      <c r="A369" t="s">
        <v>106</v>
      </c>
      <c r="B369" t="s">
        <v>20</v>
      </c>
      <c r="C369" t="s">
        <v>30</v>
      </c>
      <c r="D369">
        <v>39.396999999999998</v>
      </c>
      <c r="E369">
        <v>103389657</v>
      </c>
      <c r="F369">
        <v>37225151</v>
      </c>
      <c r="G369">
        <v>2.7774000000000001</v>
      </c>
      <c r="H369">
        <v>120353.7188</v>
      </c>
    </row>
    <row r="370" spans="1:10" x14ac:dyDescent="0.25">
      <c r="A370" t="s">
        <v>107</v>
      </c>
      <c r="B370" t="s">
        <v>20</v>
      </c>
      <c r="C370" t="s">
        <v>30</v>
      </c>
      <c r="D370">
        <v>39.463000000000001</v>
      </c>
      <c r="E370">
        <v>219</v>
      </c>
      <c r="F370">
        <v>2829</v>
      </c>
      <c r="G370">
        <v>7.7499999999999999E-2</v>
      </c>
      <c r="H370">
        <v>3021.2251999999999</v>
      </c>
    </row>
    <row r="371" spans="1:10" x14ac:dyDescent="0.25">
      <c r="A371" t="s">
        <v>109</v>
      </c>
      <c r="B371" t="s">
        <v>20</v>
      </c>
      <c r="C371" t="s">
        <v>30</v>
      </c>
      <c r="D371">
        <v>39.445999999999998</v>
      </c>
      <c r="E371">
        <v>1084</v>
      </c>
      <c r="F371">
        <v>1771</v>
      </c>
      <c r="G371">
        <v>0.61219999999999997</v>
      </c>
      <c r="H371">
        <v>26257.147300000001</v>
      </c>
    </row>
    <row r="372" spans="1:10" x14ac:dyDescent="0.25">
      <c r="A372" t="s">
        <v>111</v>
      </c>
      <c r="B372" t="s">
        <v>20</v>
      </c>
      <c r="C372" t="s">
        <v>30</v>
      </c>
      <c r="D372">
        <v>39.447000000000003</v>
      </c>
      <c r="E372">
        <v>1681</v>
      </c>
      <c r="F372">
        <v>4034</v>
      </c>
      <c r="G372">
        <v>0.41670000000000001</v>
      </c>
      <c r="H372">
        <v>17763.305700000001</v>
      </c>
    </row>
    <row r="373" spans="1:10" x14ac:dyDescent="0.25">
      <c r="A373" t="s">
        <v>113</v>
      </c>
      <c r="B373" t="s">
        <v>20</v>
      </c>
      <c r="C373" t="s">
        <v>30</v>
      </c>
      <c r="D373">
        <v>39.429000000000002</v>
      </c>
      <c r="E373">
        <v>791</v>
      </c>
      <c r="F373">
        <v>363</v>
      </c>
      <c r="G373">
        <v>2.1804999999999999</v>
      </c>
      <c r="H373">
        <v>94414.819199999998</v>
      </c>
    </row>
    <row r="374" spans="1:10" x14ac:dyDescent="0.25">
      <c r="A374" t="s">
        <v>115</v>
      </c>
      <c r="B374" t="s">
        <v>20</v>
      </c>
      <c r="C374" t="s">
        <v>30</v>
      </c>
      <c r="D374">
        <v>39.771000000000001</v>
      </c>
      <c r="E374">
        <v>228329</v>
      </c>
      <c r="F374">
        <v>14848336</v>
      </c>
      <c r="G374">
        <v>1.54E-2</v>
      </c>
      <c r="H374">
        <v>322.9982</v>
      </c>
    </row>
    <row r="375" spans="1:10" x14ac:dyDescent="0.25">
      <c r="A375" t="s">
        <v>117</v>
      </c>
      <c r="B375" t="s">
        <v>20</v>
      </c>
      <c r="C375" t="s">
        <v>30</v>
      </c>
      <c r="D375">
        <v>39.423999999999999</v>
      </c>
      <c r="E375">
        <v>35</v>
      </c>
      <c r="F375">
        <v>20796389</v>
      </c>
      <c r="G375">
        <v>0</v>
      </c>
      <c r="H375">
        <v>0</v>
      </c>
    </row>
    <row r="376" spans="1:10" x14ac:dyDescent="0.25">
      <c r="A376" t="s">
        <v>119</v>
      </c>
      <c r="B376" t="s">
        <v>20</v>
      </c>
      <c r="C376" t="s">
        <v>30</v>
      </c>
      <c r="D376">
        <v>39.238</v>
      </c>
      <c r="E376">
        <v>20033</v>
      </c>
      <c r="F376">
        <v>21179334</v>
      </c>
      <c r="G376">
        <v>8.9999999999999998E-4</v>
      </c>
      <c r="H376">
        <v>0</v>
      </c>
    </row>
    <row r="377" spans="1:10" x14ac:dyDescent="0.25">
      <c r="A377" t="s">
        <v>121</v>
      </c>
      <c r="B377" t="s">
        <v>20</v>
      </c>
      <c r="C377" t="s">
        <v>30</v>
      </c>
      <c r="D377">
        <v>39.671999999999997</v>
      </c>
      <c r="E377">
        <v>-335</v>
      </c>
      <c r="F377">
        <v>20101666</v>
      </c>
      <c r="G377">
        <v>0</v>
      </c>
      <c r="H377">
        <v>0</v>
      </c>
    </row>
    <row r="378" spans="1:10" x14ac:dyDescent="0.25">
      <c r="A378" t="s">
        <v>123</v>
      </c>
      <c r="B378" t="s">
        <v>20</v>
      </c>
      <c r="C378" t="s">
        <v>30</v>
      </c>
      <c r="D378">
        <v>39.457000000000001</v>
      </c>
      <c r="E378">
        <v>1941</v>
      </c>
      <c r="F378">
        <v>18626997</v>
      </c>
      <c r="G378">
        <v>1E-4</v>
      </c>
      <c r="H378">
        <v>0</v>
      </c>
    </row>
    <row r="379" spans="1:10" x14ac:dyDescent="0.25">
      <c r="A379" t="s">
        <v>58</v>
      </c>
    </row>
    <row r="380" spans="1:10" x14ac:dyDescent="0.25">
      <c r="A380" t="s">
        <v>9</v>
      </c>
      <c r="B380" t="s">
        <v>11</v>
      </c>
      <c r="C380" t="s">
        <v>22</v>
      </c>
      <c r="D380" t="s">
        <v>23</v>
      </c>
      <c r="E380" t="s">
        <v>24</v>
      </c>
      <c r="F380" t="s">
        <v>25</v>
      </c>
      <c r="G380" t="s">
        <v>26</v>
      </c>
      <c r="H380" t="s">
        <v>27</v>
      </c>
      <c r="I380" t="s">
        <v>28</v>
      </c>
      <c r="J380" t="s">
        <v>29</v>
      </c>
    </row>
    <row r="381" spans="1:10" x14ac:dyDescent="0.25">
      <c r="A381" t="s">
        <v>105</v>
      </c>
      <c r="B381" t="s">
        <v>17</v>
      </c>
      <c r="C381" t="s">
        <v>30</v>
      </c>
      <c r="D381">
        <v>39.947000000000003</v>
      </c>
      <c r="E381">
        <v>1621</v>
      </c>
      <c r="F381">
        <v>376</v>
      </c>
      <c r="G381">
        <v>4.3167</v>
      </c>
      <c r="H381">
        <v>568660.49010000005</v>
      </c>
    </row>
    <row r="382" spans="1:10" x14ac:dyDescent="0.25">
      <c r="A382" t="s">
        <v>106</v>
      </c>
      <c r="B382" t="s">
        <v>20</v>
      </c>
      <c r="C382" t="s">
        <v>30</v>
      </c>
      <c r="D382">
        <v>39.866</v>
      </c>
      <c r="E382">
        <v>20362452</v>
      </c>
      <c r="F382">
        <v>37225151</v>
      </c>
      <c r="G382">
        <v>0.54700000000000004</v>
      </c>
      <c r="H382">
        <v>172613.17509999999</v>
      </c>
    </row>
    <row r="383" spans="1:10" x14ac:dyDescent="0.25">
      <c r="A383" t="s">
        <v>107</v>
      </c>
      <c r="B383" t="s">
        <v>20</v>
      </c>
      <c r="C383" t="s">
        <v>30</v>
      </c>
      <c r="D383">
        <v>39.932000000000002</v>
      </c>
      <c r="E383">
        <v>2521</v>
      </c>
      <c r="F383">
        <v>2829</v>
      </c>
      <c r="G383">
        <v>0.8911</v>
      </c>
      <c r="H383">
        <v>232301.22210000001</v>
      </c>
    </row>
    <row r="384" spans="1:10" x14ac:dyDescent="0.25">
      <c r="A384" t="s">
        <v>109</v>
      </c>
      <c r="B384" t="s">
        <v>20</v>
      </c>
      <c r="C384" t="s">
        <v>30</v>
      </c>
      <c r="D384">
        <v>39.890999999999998</v>
      </c>
      <c r="E384">
        <v>2314</v>
      </c>
      <c r="F384">
        <v>1771</v>
      </c>
      <c r="G384">
        <v>1.3067</v>
      </c>
      <c r="H384">
        <v>290952.56760000001</v>
      </c>
    </row>
    <row r="385" spans="1:10" x14ac:dyDescent="0.25">
      <c r="A385" t="s">
        <v>111</v>
      </c>
      <c r="B385" t="s">
        <v>20</v>
      </c>
      <c r="C385" t="s">
        <v>30</v>
      </c>
      <c r="D385">
        <v>39.94</v>
      </c>
      <c r="E385">
        <v>1628</v>
      </c>
      <c r="F385">
        <v>4034</v>
      </c>
      <c r="G385">
        <v>0.4037</v>
      </c>
      <c r="H385">
        <v>142518.84080000001</v>
      </c>
    </row>
    <row r="386" spans="1:10" x14ac:dyDescent="0.25">
      <c r="A386" t="s">
        <v>113</v>
      </c>
      <c r="B386" t="s">
        <v>20</v>
      </c>
      <c r="C386" t="s">
        <v>30</v>
      </c>
      <c r="D386">
        <v>39.901000000000003</v>
      </c>
      <c r="E386">
        <v>1081</v>
      </c>
      <c r="F386">
        <v>363</v>
      </c>
      <c r="G386">
        <v>2.9819</v>
      </c>
      <c r="H386">
        <v>464151.07569999999</v>
      </c>
    </row>
    <row r="387" spans="1:10" x14ac:dyDescent="0.25">
      <c r="A387" t="s">
        <v>115</v>
      </c>
      <c r="B387" t="s">
        <v>20</v>
      </c>
      <c r="C387" t="s">
        <v>30</v>
      </c>
      <c r="D387">
        <v>39.776000000000003</v>
      </c>
      <c r="E387">
        <v>3406005</v>
      </c>
      <c r="F387">
        <v>14848336</v>
      </c>
      <c r="G387">
        <v>0.22939999999999999</v>
      </c>
      <c r="H387">
        <v>98202.708400000003</v>
      </c>
    </row>
    <row r="388" spans="1:10" x14ac:dyDescent="0.25">
      <c r="A388" t="s">
        <v>117</v>
      </c>
      <c r="B388" t="s">
        <v>20</v>
      </c>
      <c r="C388" t="s">
        <v>30</v>
      </c>
      <c r="D388">
        <v>39.793999999999997</v>
      </c>
      <c r="E388">
        <v>8013629</v>
      </c>
      <c r="F388">
        <v>20796389</v>
      </c>
      <c r="G388">
        <v>0.38529999999999998</v>
      </c>
      <c r="H388">
        <v>138334.2598</v>
      </c>
    </row>
    <row r="389" spans="1:10" x14ac:dyDescent="0.25">
      <c r="A389" t="s">
        <v>119</v>
      </c>
      <c r="B389" t="s">
        <v>20</v>
      </c>
      <c r="C389" t="s">
        <v>30</v>
      </c>
      <c r="D389">
        <v>39.784999999999997</v>
      </c>
      <c r="E389">
        <v>3714156</v>
      </c>
      <c r="F389">
        <v>21179334</v>
      </c>
      <c r="G389">
        <v>0.1754</v>
      </c>
      <c r="H389">
        <v>81596.109400000001</v>
      </c>
    </row>
    <row r="390" spans="1:10" x14ac:dyDescent="0.25">
      <c r="A390" t="s">
        <v>121</v>
      </c>
      <c r="B390" t="s">
        <v>20</v>
      </c>
      <c r="C390" t="s">
        <v>30</v>
      </c>
      <c r="D390">
        <v>39.786999999999999</v>
      </c>
      <c r="E390">
        <v>7831410</v>
      </c>
      <c r="F390">
        <v>20101666</v>
      </c>
      <c r="G390">
        <v>0.3896</v>
      </c>
      <c r="H390">
        <v>139313.0478</v>
      </c>
    </row>
    <row r="391" spans="1:10" x14ac:dyDescent="0.25">
      <c r="A391" t="s">
        <v>123</v>
      </c>
      <c r="B391" t="s">
        <v>20</v>
      </c>
      <c r="C391" t="s">
        <v>30</v>
      </c>
      <c r="D391">
        <v>39.947000000000003</v>
      </c>
      <c r="E391">
        <v>2327</v>
      </c>
      <c r="F391">
        <v>18626997</v>
      </c>
      <c r="G391">
        <v>1E-4</v>
      </c>
      <c r="H391">
        <v>611.62099999999998</v>
      </c>
    </row>
    <row r="392" spans="1:10" x14ac:dyDescent="0.25">
      <c r="A392" t="s">
        <v>59</v>
      </c>
    </row>
    <row r="393" spans="1:10" x14ac:dyDescent="0.25">
      <c r="A393" t="s">
        <v>9</v>
      </c>
      <c r="B393" t="s">
        <v>11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 t="s">
        <v>27</v>
      </c>
      <c r="I393" t="s">
        <v>28</v>
      </c>
      <c r="J393" t="s">
        <v>29</v>
      </c>
    </row>
    <row r="394" spans="1:10" x14ac:dyDescent="0.25">
      <c r="A394" t="s">
        <v>105</v>
      </c>
      <c r="B394" t="s">
        <v>17</v>
      </c>
      <c r="C394" t="s">
        <v>30</v>
      </c>
      <c r="D394">
        <v>44.027000000000001</v>
      </c>
      <c r="E394">
        <v>7092</v>
      </c>
      <c r="F394">
        <v>376</v>
      </c>
      <c r="G394">
        <v>18.884399999999999</v>
      </c>
      <c r="H394">
        <v>4050251.5249000001</v>
      </c>
    </row>
    <row r="395" spans="1:10" x14ac:dyDescent="0.25">
      <c r="A395" t="s">
        <v>106</v>
      </c>
      <c r="B395" t="s">
        <v>20</v>
      </c>
      <c r="C395" t="s">
        <v>30</v>
      </c>
      <c r="D395">
        <v>44.472000000000001</v>
      </c>
      <c r="E395">
        <v>28164729</v>
      </c>
      <c r="F395">
        <v>37225151</v>
      </c>
      <c r="G395">
        <v>0.75660000000000005</v>
      </c>
      <c r="H395">
        <v>161085.6642</v>
      </c>
    </row>
    <row r="396" spans="1:10" x14ac:dyDescent="0.25">
      <c r="A396" t="s">
        <v>107</v>
      </c>
      <c r="B396" t="s">
        <v>20</v>
      </c>
      <c r="C396" t="s">
        <v>30</v>
      </c>
      <c r="D396">
        <v>44.923000000000002</v>
      </c>
      <c r="E396">
        <v>5692</v>
      </c>
      <c r="F396">
        <v>2829</v>
      </c>
      <c r="G396">
        <v>2.0116999999999998</v>
      </c>
      <c r="H396">
        <v>430364.34899999999</v>
      </c>
    </row>
    <row r="397" spans="1:10" x14ac:dyDescent="0.25">
      <c r="A397" t="s">
        <v>109</v>
      </c>
      <c r="B397" t="s">
        <v>20</v>
      </c>
      <c r="C397" t="s">
        <v>30</v>
      </c>
      <c r="D397">
        <v>44.96</v>
      </c>
      <c r="E397">
        <v>24461</v>
      </c>
      <c r="F397">
        <v>1771</v>
      </c>
      <c r="G397">
        <v>13.814399999999999</v>
      </c>
      <c r="H397">
        <v>2962529.0655</v>
      </c>
    </row>
    <row r="398" spans="1:10" x14ac:dyDescent="0.25">
      <c r="A398" t="s">
        <v>111</v>
      </c>
      <c r="B398" t="s">
        <v>20</v>
      </c>
      <c r="C398" t="s">
        <v>30</v>
      </c>
      <c r="D398">
        <v>44.536999999999999</v>
      </c>
      <c r="E398">
        <v>3639</v>
      </c>
      <c r="F398">
        <v>4034</v>
      </c>
      <c r="G398">
        <v>0.90210000000000001</v>
      </c>
      <c r="H398">
        <v>192302.60690000001</v>
      </c>
    </row>
    <row r="399" spans="1:10" x14ac:dyDescent="0.25">
      <c r="A399" t="s">
        <v>113</v>
      </c>
      <c r="B399" t="s">
        <v>20</v>
      </c>
      <c r="C399" t="s">
        <v>30</v>
      </c>
      <c r="D399">
        <v>44.537999999999997</v>
      </c>
      <c r="E399">
        <v>8593</v>
      </c>
      <c r="F399">
        <v>363</v>
      </c>
      <c r="G399">
        <v>23.6998</v>
      </c>
      <c r="H399">
        <v>5083364.6566000003</v>
      </c>
    </row>
    <row r="400" spans="1:10" x14ac:dyDescent="0.25">
      <c r="A400" t="s">
        <v>115</v>
      </c>
      <c r="B400" t="s">
        <v>20</v>
      </c>
      <c r="C400" t="s">
        <v>30</v>
      </c>
      <c r="D400">
        <v>44.92</v>
      </c>
      <c r="E400">
        <v>253346</v>
      </c>
      <c r="F400">
        <v>14848336</v>
      </c>
      <c r="G400">
        <v>1.7100000000000001E-2</v>
      </c>
      <c r="H400">
        <v>2422.9315000000001</v>
      </c>
    </row>
    <row r="401" spans="1:10" x14ac:dyDescent="0.25">
      <c r="A401" t="s">
        <v>117</v>
      </c>
      <c r="B401" t="s">
        <v>20</v>
      </c>
      <c r="C401" t="s">
        <v>30</v>
      </c>
      <c r="D401">
        <v>45.061999999999998</v>
      </c>
      <c r="E401">
        <v>19050</v>
      </c>
      <c r="F401">
        <v>20796389</v>
      </c>
      <c r="G401">
        <v>8.9999999999999998E-4</v>
      </c>
      <c r="H401">
        <v>0</v>
      </c>
    </row>
    <row r="402" spans="1:10" x14ac:dyDescent="0.25">
      <c r="A402" t="s">
        <v>119</v>
      </c>
      <c r="B402" t="s">
        <v>20</v>
      </c>
      <c r="C402" t="s">
        <v>30</v>
      </c>
      <c r="D402">
        <v>44.65</v>
      </c>
      <c r="E402">
        <v>13203</v>
      </c>
      <c r="F402">
        <v>21179334</v>
      </c>
      <c r="G402">
        <v>5.9999999999999995E-4</v>
      </c>
      <c r="H402">
        <v>0</v>
      </c>
    </row>
    <row r="403" spans="1:10" x14ac:dyDescent="0.25">
      <c r="A403" t="s">
        <v>121</v>
      </c>
      <c r="B403" t="s">
        <v>20</v>
      </c>
      <c r="C403" t="s">
        <v>30</v>
      </c>
      <c r="D403">
        <v>44.820999999999998</v>
      </c>
      <c r="E403">
        <v>289</v>
      </c>
      <c r="F403">
        <v>20101666</v>
      </c>
      <c r="G403">
        <v>0</v>
      </c>
      <c r="H403">
        <v>0</v>
      </c>
    </row>
    <row r="404" spans="1:10" x14ac:dyDescent="0.25">
      <c r="A404" t="s">
        <v>123</v>
      </c>
      <c r="B404" t="s">
        <v>20</v>
      </c>
      <c r="C404" t="s">
        <v>30</v>
      </c>
      <c r="D404">
        <v>44.753999999999998</v>
      </c>
      <c r="E404">
        <v>-407</v>
      </c>
      <c r="F404">
        <v>18626997</v>
      </c>
      <c r="G404">
        <v>0</v>
      </c>
      <c r="H404">
        <v>0</v>
      </c>
    </row>
    <row r="405" spans="1:10" x14ac:dyDescent="0.25">
      <c r="A405" t="s">
        <v>60</v>
      </c>
    </row>
    <row r="406" spans="1:10" x14ac:dyDescent="0.25">
      <c r="A406" t="s">
        <v>9</v>
      </c>
      <c r="B406" t="s">
        <v>11</v>
      </c>
      <c r="C406" t="s">
        <v>22</v>
      </c>
      <c r="D406" t="s">
        <v>23</v>
      </c>
      <c r="E406" t="s">
        <v>24</v>
      </c>
      <c r="F406" t="s">
        <v>25</v>
      </c>
      <c r="G406" t="s">
        <v>26</v>
      </c>
      <c r="H406" t="s">
        <v>27</v>
      </c>
      <c r="I406" t="s">
        <v>28</v>
      </c>
      <c r="J406" t="s">
        <v>29</v>
      </c>
    </row>
    <row r="407" spans="1:10" x14ac:dyDescent="0.25">
      <c r="A407" t="s">
        <v>105</v>
      </c>
      <c r="B407" t="s">
        <v>17</v>
      </c>
      <c r="C407" t="s">
        <v>30</v>
      </c>
      <c r="D407">
        <v>45.167999999999999</v>
      </c>
      <c r="E407">
        <v>721</v>
      </c>
      <c r="F407">
        <v>376</v>
      </c>
      <c r="G407">
        <v>1.9198999999999999</v>
      </c>
      <c r="H407">
        <v>279135.83679999999</v>
      </c>
    </row>
    <row r="408" spans="1:10" x14ac:dyDescent="0.25">
      <c r="A408" t="s">
        <v>106</v>
      </c>
      <c r="B408" t="s">
        <v>20</v>
      </c>
      <c r="C408" t="s">
        <v>30</v>
      </c>
      <c r="D408">
        <v>45.107999999999997</v>
      </c>
      <c r="E408">
        <v>26706273</v>
      </c>
      <c r="F408">
        <v>37225151</v>
      </c>
      <c r="G408">
        <v>0.71740000000000004</v>
      </c>
      <c r="H408">
        <v>105836.1862</v>
      </c>
    </row>
    <row r="409" spans="1:10" x14ac:dyDescent="0.25">
      <c r="A409" t="s">
        <v>107</v>
      </c>
      <c r="B409" t="s">
        <v>20</v>
      </c>
      <c r="C409" t="s">
        <v>30</v>
      </c>
      <c r="D409">
        <v>45.18</v>
      </c>
      <c r="E409">
        <v>489</v>
      </c>
      <c r="F409">
        <v>2829</v>
      </c>
      <c r="G409">
        <v>0.17269999999999999</v>
      </c>
      <c r="H409">
        <v>27326.1368</v>
      </c>
    </row>
    <row r="410" spans="1:10" x14ac:dyDescent="0.25">
      <c r="A410" t="s">
        <v>109</v>
      </c>
      <c r="B410" t="s">
        <v>20</v>
      </c>
      <c r="C410" t="s">
        <v>30</v>
      </c>
      <c r="D410">
        <v>45.195</v>
      </c>
      <c r="E410">
        <v>927</v>
      </c>
      <c r="F410">
        <v>1771</v>
      </c>
      <c r="G410">
        <v>0.52339999999999998</v>
      </c>
      <c r="H410">
        <v>77875.6109</v>
      </c>
    </row>
    <row r="411" spans="1:10" x14ac:dyDescent="0.25">
      <c r="A411" t="s">
        <v>111</v>
      </c>
      <c r="B411" t="s">
        <v>20</v>
      </c>
      <c r="C411" t="s">
        <v>30</v>
      </c>
      <c r="D411">
        <v>45.131999999999998</v>
      </c>
      <c r="E411">
        <v>2625</v>
      </c>
      <c r="F411">
        <v>4034</v>
      </c>
      <c r="G411">
        <v>0.65069999999999995</v>
      </c>
      <c r="H411">
        <v>96219.250499999995</v>
      </c>
    </row>
    <row r="412" spans="1:10" x14ac:dyDescent="0.25">
      <c r="A412" t="s">
        <v>113</v>
      </c>
      <c r="B412" t="s">
        <v>20</v>
      </c>
      <c r="C412" t="s">
        <v>30</v>
      </c>
      <c r="D412">
        <v>45.204000000000001</v>
      </c>
      <c r="E412">
        <v>3406</v>
      </c>
      <c r="F412">
        <v>363</v>
      </c>
      <c r="G412">
        <v>9.3940999999999999</v>
      </c>
      <c r="H412">
        <v>1356320.6598</v>
      </c>
    </row>
    <row r="413" spans="1:10" x14ac:dyDescent="0.25">
      <c r="A413" t="s">
        <v>115</v>
      </c>
      <c r="B413" t="s">
        <v>20</v>
      </c>
      <c r="C413" t="s">
        <v>30</v>
      </c>
      <c r="D413">
        <v>44.965000000000003</v>
      </c>
      <c r="E413">
        <v>1283694</v>
      </c>
      <c r="F413">
        <v>14848336</v>
      </c>
      <c r="G413">
        <v>8.6499999999999994E-2</v>
      </c>
      <c r="H413">
        <v>14900.680399999999</v>
      </c>
    </row>
    <row r="414" spans="1:10" x14ac:dyDescent="0.25">
      <c r="A414" t="s">
        <v>117</v>
      </c>
      <c r="B414" t="s">
        <v>20</v>
      </c>
      <c r="C414" t="s">
        <v>30</v>
      </c>
      <c r="D414">
        <v>44.972000000000001</v>
      </c>
      <c r="E414">
        <v>4396593</v>
      </c>
      <c r="F414">
        <v>20796389</v>
      </c>
      <c r="G414">
        <v>0.2114</v>
      </c>
      <c r="H414">
        <v>32909.543100000003</v>
      </c>
    </row>
    <row r="415" spans="1:10" x14ac:dyDescent="0.25">
      <c r="A415" t="s">
        <v>119</v>
      </c>
      <c r="B415" t="s">
        <v>20</v>
      </c>
      <c r="C415" t="s">
        <v>30</v>
      </c>
      <c r="D415">
        <v>44.984000000000002</v>
      </c>
      <c r="E415">
        <v>4070976</v>
      </c>
      <c r="F415">
        <v>21179334</v>
      </c>
      <c r="G415">
        <v>0.19220000000000001</v>
      </c>
      <c r="H415">
        <v>30142.903900000001</v>
      </c>
    </row>
    <row r="416" spans="1:10" x14ac:dyDescent="0.25">
      <c r="A416" t="s">
        <v>121</v>
      </c>
      <c r="B416" t="s">
        <v>20</v>
      </c>
      <c r="C416" t="s">
        <v>30</v>
      </c>
      <c r="D416">
        <v>44.981000000000002</v>
      </c>
      <c r="E416">
        <v>3212661</v>
      </c>
      <c r="F416">
        <v>20101666</v>
      </c>
      <c r="G416">
        <v>0.1598</v>
      </c>
      <c r="H416">
        <v>25474.2994</v>
      </c>
    </row>
    <row r="417" spans="1:10" x14ac:dyDescent="0.25">
      <c r="A417" t="s">
        <v>123</v>
      </c>
      <c r="B417" t="s">
        <v>20</v>
      </c>
      <c r="C417" t="s">
        <v>30</v>
      </c>
      <c r="D417">
        <v>44.981000000000002</v>
      </c>
      <c r="E417">
        <v>5803204</v>
      </c>
      <c r="F417">
        <v>18626997</v>
      </c>
      <c r="G417">
        <v>0.3115</v>
      </c>
      <c r="H417">
        <v>47341.216999999997</v>
      </c>
    </row>
    <row r="418" spans="1:10" x14ac:dyDescent="0.25">
      <c r="A418" t="s">
        <v>61</v>
      </c>
    </row>
    <row r="419" spans="1:10" x14ac:dyDescent="0.25">
      <c r="A419" t="s">
        <v>9</v>
      </c>
      <c r="B419" t="s">
        <v>11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 t="s">
        <v>28</v>
      </c>
      <c r="J419" t="s">
        <v>29</v>
      </c>
    </row>
    <row r="420" spans="1:10" x14ac:dyDescent="0.25">
      <c r="A420" t="s">
        <v>105</v>
      </c>
      <c r="B420" t="s">
        <v>17</v>
      </c>
      <c r="C420" t="s">
        <v>30</v>
      </c>
      <c r="D420">
        <v>47.29</v>
      </c>
      <c r="E420">
        <v>646</v>
      </c>
      <c r="F420">
        <v>376</v>
      </c>
      <c r="G420">
        <v>1.7199</v>
      </c>
      <c r="H420">
        <v>168042.4656</v>
      </c>
    </row>
    <row r="421" spans="1:10" x14ac:dyDescent="0.25">
      <c r="A421" t="s">
        <v>106</v>
      </c>
      <c r="B421" t="s">
        <v>20</v>
      </c>
      <c r="C421" t="s">
        <v>30</v>
      </c>
      <c r="D421">
        <v>47.201999999999998</v>
      </c>
      <c r="E421">
        <v>34880847</v>
      </c>
      <c r="F421">
        <v>37225151</v>
      </c>
      <c r="G421">
        <v>0.93700000000000006</v>
      </c>
      <c r="H421">
        <v>92426.353400000007</v>
      </c>
    </row>
    <row r="422" spans="1:10" x14ac:dyDescent="0.25">
      <c r="A422" t="s">
        <v>107</v>
      </c>
      <c r="B422" t="s">
        <v>20</v>
      </c>
      <c r="C422" t="s">
        <v>30</v>
      </c>
      <c r="D422">
        <v>47.271999999999998</v>
      </c>
      <c r="E422">
        <v>1973</v>
      </c>
      <c r="F422">
        <v>2829</v>
      </c>
      <c r="G422">
        <v>0.69750000000000001</v>
      </c>
      <c r="H422">
        <v>69288.155299999999</v>
      </c>
    </row>
    <row r="423" spans="1:10" x14ac:dyDescent="0.25">
      <c r="A423" t="s">
        <v>109</v>
      </c>
      <c r="B423" t="s">
        <v>20</v>
      </c>
      <c r="C423" t="s">
        <v>30</v>
      </c>
      <c r="D423">
        <v>47.326000000000001</v>
      </c>
      <c r="E423">
        <v>1530</v>
      </c>
      <c r="F423">
        <v>1771</v>
      </c>
      <c r="G423">
        <v>0.86399999999999999</v>
      </c>
      <c r="H423">
        <v>85370.155700000003</v>
      </c>
    </row>
    <row r="424" spans="1:10" x14ac:dyDescent="0.25">
      <c r="A424" t="s">
        <v>111</v>
      </c>
      <c r="B424" t="s">
        <v>20</v>
      </c>
      <c r="C424" t="s">
        <v>30</v>
      </c>
      <c r="D424">
        <v>47.280999999999999</v>
      </c>
      <c r="E424">
        <v>2396</v>
      </c>
      <c r="F424">
        <v>4034</v>
      </c>
      <c r="G424">
        <v>0.59399999999999997</v>
      </c>
      <c r="H424">
        <v>59289.450299999997</v>
      </c>
    </row>
    <row r="425" spans="1:10" x14ac:dyDescent="0.25">
      <c r="A425" t="s">
        <v>113</v>
      </c>
      <c r="B425" t="s">
        <v>20</v>
      </c>
      <c r="C425" t="s">
        <v>30</v>
      </c>
      <c r="D425">
        <v>47.311</v>
      </c>
      <c r="E425">
        <v>1915</v>
      </c>
      <c r="F425">
        <v>363</v>
      </c>
      <c r="G425">
        <v>5.2821999999999996</v>
      </c>
      <c r="H425">
        <v>512133.51160000003</v>
      </c>
    </row>
    <row r="426" spans="1:10" x14ac:dyDescent="0.25">
      <c r="A426" t="s">
        <v>115</v>
      </c>
      <c r="B426" t="s">
        <v>20</v>
      </c>
      <c r="C426" t="s">
        <v>30</v>
      </c>
      <c r="D426">
        <v>47.219000000000001</v>
      </c>
      <c r="E426">
        <v>8804</v>
      </c>
      <c r="F426">
        <v>14848336</v>
      </c>
      <c r="G426">
        <v>5.9999999999999995E-4</v>
      </c>
      <c r="H426">
        <v>1974.1491000000001</v>
      </c>
    </row>
    <row r="427" spans="1:10" x14ac:dyDescent="0.25">
      <c r="A427" t="s">
        <v>117</v>
      </c>
      <c r="B427" t="s">
        <v>20</v>
      </c>
      <c r="C427" t="s">
        <v>30</v>
      </c>
      <c r="D427">
        <v>47.595999999999997</v>
      </c>
      <c r="E427">
        <v>1235819</v>
      </c>
      <c r="F427">
        <v>20796389</v>
      </c>
      <c r="G427">
        <v>5.9400000000000001E-2</v>
      </c>
      <c r="H427">
        <v>7656.8611000000001</v>
      </c>
    </row>
    <row r="428" spans="1:10" x14ac:dyDescent="0.25">
      <c r="A428" t="s">
        <v>119</v>
      </c>
      <c r="B428" t="s">
        <v>20</v>
      </c>
      <c r="C428" t="s">
        <v>30</v>
      </c>
      <c r="D428">
        <v>47.185000000000002</v>
      </c>
      <c r="E428">
        <v>8759</v>
      </c>
      <c r="F428">
        <v>21179334</v>
      </c>
      <c r="G428">
        <v>4.0000000000000002E-4</v>
      </c>
      <c r="H428">
        <v>1956.8237999999999</v>
      </c>
    </row>
    <row r="429" spans="1:10" x14ac:dyDescent="0.25">
      <c r="A429" t="s">
        <v>121</v>
      </c>
      <c r="B429" t="s">
        <v>20</v>
      </c>
      <c r="C429" t="s">
        <v>30</v>
      </c>
      <c r="D429">
        <v>47.606000000000002</v>
      </c>
      <c r="E429">
        <v>1331600</v>
      </c>
      <c r="F429">
        <v>20101666</v>
      </c>
      <c r="G429">
        <v>6.6199999999999995E-2</v>
      </c>
      <c r="H429">
        <v>8315.4807000000001</v>
      </c>
    </row>
    <row r="430" spans="1:10" x14ac:dyDescent="0.25">
      <c r="A430" t="s">
        <v>123</v>
      </c>
      <c r="B430" t="s">
        <v>20</v>
      </c>
      <c r="C430" t="s">
        <v>30</v>
      </c>
      <c r="D430">
        <v>47.286000000000001</v>
      </c>
      <c r="E430">
        <v>2061</v>
      </c>
      <c r="F430">
        <v>18626997</v>
      </c>
      <c r="G430">
        <v>1E-4</v>
      </c>
      <c r="H430">
        <v>1927.5685000000001</v>
      </c>
    </row>
    <row r="431" spans="1:10" x14ac:dyDescent="0.25">
      <c r="A431" t="s">
        <v>62</v>
      </c>
    </row>
    <row r="432" spans="1:10" x14ac:dyDescent="0.25">
      <c r="A432" t="s">
        <v>9</v>
      </c>
      <c r="B432" t="s">
        <v>11</v>
      </c>
      <c r="C432" t="s">
        <v>22</v>
      </c>
      <c r="D432" t="s">
        <v>23</v>
      </c>
      <c r="E432" t="s">
        <v>24</v>
      </c>
      <c r="F432" t="s">
        <v>25</v>
      </c>
      <c r="G432" t="s">
        <v>26</v>
      </c>
      <c r="H432" t="s">
        <v>27</v>
      </c>
      <c r="I432" t="s">
        <v>28</v>
      </c>
      <c r="J432" t="s">
        <v>29</v>
      </c>
    </row>
    <row r="433" spans="1:10" x14ac:dyDescent="0.25">
      <c r="A433" t="s">
        <v>105</v>
      </c>
      <c r="B433" t="s">
        <v>17</v>
      </c>
      <c r="C433" t="s">
        <v>30</v>
      </c>
      <c r="D433">
        <v>51.494</v>
      </c>
      <c r="E433">
        <v>5981</v>
      </c>
      <c r="F433">
        <v>376</v>
      </c>
      <c r="G433">
        <v>15.9253</v>
      </c>
      <c r="H433">
        <v>1357014.3759000001</v>
      </c>
    </row>
    <row r="434" spans="1:10" x14ac:dyDescent="0.25">
      <c r="A434" t="s">
        <v>106</v>
      </c>
      <c r="B434" t="s">
        <v>20</v>
      </c>
      <c r="C434" t="s">
        <v>30</v>
      </c>
      <c r="D434">
        <v>51.402999999999999</v>
      </c>
      <c r="E434">
        <v>13583112</v>
      </c>
      <c r="F434">
        <v>37225151</v>
      </c>
      <c r="G434">
        <v>0.3649</v>
      </c>
      <c r="H434">
        <v>30345.025600000001</v>
      </c>
    </row>
    <row r="435" spans="1:10" x14ac:dyDescent="0.25">
      <c r="A435" t="s">
        <v>107</v>
      </c>
      <c r="B435" t="s">
        <v>20</v>
      </c>
      <c r="C435" t="s">
        <v>30</v>
      </c>
      <c r="D435">
        <v>51.442</v>
      </c>
      <c r="E435">
        <v>3064</v>
      </c>
      <c r="F435">
        <v>2829</v>
      </c>
      <c r="G435">
        <v>1.083</v>
      </c>
      <c r="H435">
        <v>91573.690799999997</v>
      </c>
    </row>
    <row r="436" spans="1:10" x14ac:dyDescent="0.25">
      <c r="A436" t="s">
        <v>109</v>
      </c>
      <c r="B436" t="s">
        <v>20</v>
      </c>
      <c r="C436" t="s">
        <v>30</v>
      </c>
      <c r="D436">
        <v>51.468000000000004</v>
      </c>
      <c r="E436">
        <v>2022</v>
      </c>
      <c r="F436">
        <v>1771</v>
      </c>
      <c r="G436">
        <v>1.1422000000000001</v>
      </c>
      <c r="H436">
        <v>96615.077000000005</v>
      </c>
    </row>
    <row r="437" spans="1:10" x14ac:dyDescent="0.25">
      <c r="A437" t="s">
        <v>111</v>
      </c>
      <c r="B437" t="s">
        <v>20</v>
      </c>
      <c r="C437" t="s">
        <v>30</v>
      </c>
      <c r="D437">
        <v>51.456000000000003</v>
      </c>
      <c r="E437">
        <v>7124</v>
      </c>
      <c r="F437">
        <v>4034</v>
      </c>
      <c r="G437">
        <v>1.7661</v>
      </c>
      <c r="H437">
        <v>149813.26449999999</v>
      </c>
    </row>
    <row r="438" spans="1:10" x14ac:dyDescent="0.25">
      <c r="A438" t="s">
        <v>113</v>
      </c>
      <c r="B438" t="s">
        <v>20</v>
      </c>
      <c r="C438" t="s">
        <v>30</v>
      </c>
      <c r="D438">
        <v>51.432000000000002</v>
      </c>
      <c r="E438">
        <v>9013</v>
      </c>
      <c r="F438">
        <v>363</v>
      </c>
      <c r="G438">
        <v>24.8581</v>
      </c>
      <c r="H438">
        <v>2118620.2444000002</v>
      </c>
    </row>
    <row r="439" spans="1:10" x14ac:dyDescent="0.25">
      <c r="A439" t="s">
        <v>115</v>
      </c>
      <c r="B439" t="s">
        <v>20</v>
      </c>
      <c r="C439" t="s">
        <v>30</v>
      </c>
      <c r="D439">
        <v>51.514000000000003</v>
      </c>
      <c r="E439">
        <v>224570</v>
      </c>
      <c r="F439">
        <v>14848336</v>
      </c>
      <c r="G439">
        <v>1.5100000000000001E-2</v>
      </c>
      <c r="H439">
        <v>524.20960000000002</v>
      </c>
    </row>
    <row r="440" spans="1:10" x14ac:dyDescent="0.25">
      <c r="A440" t="s">
        <v>117</v>
      </c>
      <c r="B440" t="s">
        <v>20</v>
      </c>
      <c r="C440" t="s">
        <v>30</v>
      </c>
      <c r="D440">
        <v>51.36</v>
      </c>
      <c r="E440">
        <v>1205842</v>
      </c>
      <c r="F440">
        <v>20796389</v>
      </c>
      <c r="G440">
        <v>5.8000000000000003E-2</v>
      </c>
      <c r="H440">
        <v>4178.3334999999997</v>
      </c>
    </row>
    <row r="441" spans="1:10" x14ac:dyDescent="0.25">
      <c r="A441" t="s">
        <v>119</v>
      </c>
      <c r="B441" t="s">
        <v>20</v>
      </c>
      <c r="C441" t="s">
        <v>30</v>
      </c>
      <c r="D441">
        <v>51.359000000000002</v>
      </c>
      <c r="E441">
        <v>624080</v>
      </c>
      <c r="F441">
        <v>21179334</v>
      </c>
      <c r="G441">
        <v>2.9499999999999998E-2</v>
      </c>
      <c r="H441">
        <v>1747.0162</v>
      </c>
    </row>
    <row r="442" spans="1:10" x14ac:dyDescent="0.25">
      <c r="A442" t="s">
        <v>121</v>
      </c>
      <c r="B442" t="s">
        <v>20</v>
      </c>
      <c r="C442" t="s">
        <v>30</v>
      </c>
      <c r="D442">
        <v>51.356999999999999</v>
      </c>
      <c r="E442">
        <v>1145497</v>
      </c>
      <c r="F442">
        <v>20101666</v>
      </c>
      <c r="G442">
        <v>5.7000000000000002E-2</v>
      </c>
      <c r="H442">
        <v>4093.2411000000002</v>
      </c>
    </row>
    <row r="443" spans="1:10" x14ac:dyDescent="0.25">
      <c r="A443" t="s">
        <v>123</v>
      </c>
      <c r="B443" t="s">
        <v>20</v>
      </c>
      <c r="C443" t="s">
        <v>30</v>
      </c>
      <c r="D443">
        <v>51.420999999999999</v>
      </c>
      <c r="E443">
        <v>2060</v>
      </c>
      <c r="F443">
        <v>18626997</v>
      </c>
      <c r="G443">
        <v>1E-4</v>
      </c>
      <c r="H443">
        <v>0</v>
      </c>
    </row>
    <row r="444" spans="1:10" x14ac:dyDescent="0.25">
      <c r="A444" t="s">
        <v>63</v>
      </c>
    </row>
    <row r="445" spans="1:10" x14ac:dyDescent="0.25">
      <c r="A445" t="s">
        <v>9</v>
      </c>
      <c r="B445" t="s">
        <v>11</v>
      </c>
      <c r="C445" t="s">
        <v>22</v>
      </c>
      <c r="D445" t="s">
        <v>23</v>
      </c>
      <c r="E445" t="s">
        <v>24</v>
      </c>
      <c r="F445" t="s">
        <v>25</v>
      </c>
      <c r="G445" t="s">
        <v>26</v>
      </c>
      <c r="H445" t="s">
        <v>27</v>
      </c>
      <c r="I445" t="s">
        <v>28</v>
      </c>
      <c r="J445" t="s">
        <v>29</v>
      </c>
    </row>
    <row r="446" spans="1:10" x14ac:dyDescent="0.25">
      <c r="A446" t="s">
        <v>105</v>
      </c>
      <c r="B446" t="s">
        <v>17</v>
      </c>
      <c r="C446" t="s">
        <v>30</v>
      </c>
      <c r="D446">
        <v>51.585000000000001</v>
      </c>
      <c r="E446">
        <v>3600</v>
      </c>
      <c r="F446">
        <v>376</v>
      </c>
      <c r="G446">
        <v>9.5843000000000007</v>
      </c>
      <c r="H446">
        <v>2163310.2571</v>
      </c>
    </row>
    <row r="447" spans="1:10" x14ac:dyDescent="0.25">
      <c r="A447" t="s">
        <v>106</v>
      </c>
      <c r="B447" t="s">
        <v>20</v>
      </c>
      <c r="C447" t="s">
        <v>30</v>
      </c>
      <c r="D447">
        <v>51.540999999999997</v>
      </c>
      <c r="E447">
        <v>13584503</v>
      </c>
      <c r="F447">
        <v>37225151</v>
      </c>
      <c r="G447">
        <v>0.3649</v>
      </c>
      <c r="H447">
        <v>81064.242100000003</v>
      </c>
    </row>
    <row r="448" spans="1:10" x14ac:dyDescent="0.25">
      <c r="A448" t="s">
        <v>107</v>
      </c>
      <c r="B448" t="s">
        <v>20</v>
      </c>
      <c r="C448" t="s">
        <v>30</v>
      </c>
      <c r="D448">
        <v>51.558</v>
      </c>
      <c r="E448">
        <v>2559</v>
      </c>
      <c r="F448">
        <v>2829</v>
      </c>
      <c r="G448">
        <v>0.90439999999999998</v>
      </c>
      <c r="H448">
        <v>202911.3033</v>
      </c>
    </row>
    <row r="449" spans="1:10" x14ac:dyDescent="0.25">
      <c r="A449" t="s">
        <v>109</v>
      </c>
      <c r="B449" t="s">
        <v>20</v>
      </c>
      <c r="C449" t="s">
        <v>30</v>
      </c>
      <c r="D449">
        <v>51.658000000000001</v>
      </c>
      <c r="E449">
        <v>2523</v>
      </c>
      <c r="F449">
        <v>1771</v>
      </c>
      <c r="G449">
        <v>1.4251</v>
      </c>
      <c r="H449">
        <v>320520.66649999999</v>
      </c>
    </row>
    <row r="450" spans="1:10" x14ac:dyDescent="0.25">
      <c r="A450" t="s">
        <v>111</v>
      </c>
      <c r="B450" t="s">
        <v>20</v>
      </c>
      <c r="C450" t="s">
        <v>30</v>
      </c>
      <c r="D450">
        <v>51.597000000000001</v>
      </c>
      <c r="E450">
        <v>1843</v>
      </c>
      <c r="F450">
        <v>4034</v>
      </c>
      <c r="G450">
        <v>0.45700000000000002</v>
      </c>
      <c r="H450">
        <v>101853.54180000001</v>
      </c>
    </row>
    <row r="451" spans="1:10" x14ac:dyDescent="0.25">
      <c r="A451" t="s">
        <v>113</v>
      </c>
      <c r="B451" t="s">
        <v>20</v>
      </c>
      <c r="C451" t="s">
        <v>30</v>
      </c>
      <c r="D451">
        <v>51.585000000000001</v>
      </c>
      <c r="E451">
        <v>7326</v>
      </c>
      <c r="F451">
        <v>363</v>
      </c>
      <c r="G451">
        <v>20.207100000000001</v>
      </c>
      <c r="H451">
        <v>4562523.1837999998</v>
      </c>
    </row>
    <row r="452" spans="1:10" x14ac:dyDescent="0.25">
      <c r="A452" t="s">
        <v>115</v>
      </c>
      <c r="B452" t="s">
        <v>20</v>
      </c>
      <c r="C452" t="s">
        <v>30</v>
      </c>
      <c r="D452">
        <v>51.511000000000003</v>
      </c>
      <c r="E452">
        <v>268966</v>
      </c>
      <c r="F452">
        <v>14848336</v>
      </c>
      <c r="G452">
        <v>1.8100000000000002E-2</v>
      </c>
      <c r="H452">
        <v>2734.5747000000001</v>
      </c>
    </row>
    <row r="453" spans="1:10" x14ac:dyDescent="0.25">
      <c r="A453" t="s">
        <v>117</v>
      </c>
      <c r="B453" t="s">
        <v>20</v>
      </c>
      <c r="C453" t="s">
        <v>30</v>
      </c>
      <c r="D453">
        <v>51.511000000000003</v>
      </c>
      <c r="E453">
        <v>798894</v>
      </c>
      <c r="F453">
        <v>20796389</v>
      </c>
      <c r="G453">
        <v>3.8399999999999997E-2</v>
      </c>
      <c r="H453">
        <v>7319.6243000000004</v>
      </c>
    </row>
    <row r="454" spans="1:10" x14ac:dyDescent="0.25">
      <c r="A454" t="s">
        <v>119</v>
      </c>
      <c r="B454" t="s">
        <v>20</v>
      </c>
      <c r="C454" t="s">
        <v>30</v>
      </c>
      <c r="D454">
        <v>51.521999999999998</v>
      </c>
      <c r="E454">
        <v>172158</v>
      </c>
      <c r="F454">
        <v>21179334</v>
      </c>
      <c r="G454">
        <v>8.0999999999999996E-3</v>
      </c>
      <c r="H454">
        <v>479.27080000000001</v>
      </c>
    </row>
    <row r="455" spans="1:10" x14ac:dyDescent="0.25">
      <c r="A455" t="s">
        <v>121</v>
      </c>
      <c r="B455" t="s">
        <v>20</v>
      </c>
      <c r="C455" t="s">
        <v>30</v>
      </c>
      <c r="D455">
        <v>51.509</v>
      </c>
      <c r="E455">
        <v>531315</v>
      </c>
      <c r="F455">
        <v>20101666</v>
      </c>
      <c r="G455">
        <v>2.64E-2</v>
      </c>
      <c r="H455">
        <v>4613.0577999999996</v>
      </c>
    </row>
    <row r="456" spans="1:10" x14ac:dyDescent="0.25">
      <c r="A456" t="s">
        <v>123</v>
      </c>
      <c r="B456" t="s">
        <v>20</v>
      </c>
      <c r="C456" t="s">
        <v>30</v>
      </c>
      <c r="D456">
        <v>51.576000000000001</v>
      </c>
      <c r="E456">
        <v>4660</v>
      </c>
      <c r="F456">
        <v>18626997</v>
      </c>
      <c r="G456">
        <v>2.9999999999999997E-4</v>
      </c>
      <c r="H456">
        <v>0</v>
      </c>
    </row>
    <row r="457" spans="1:10" x14ac:dyDescent="0.25">
      <c r="A457" t="s">
        <v>64</v>
      </c>
    </row>
    <row r="458" spans="1:10" x14ac:dyDescent="0.25">
      <c r="A458" t="s">
        <v>9</v>
      </c>
      <c r="B458" t="s">
        <v>11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 t="s">
        <v>27</v>
      </c>
      <c r="I458" t="s">
        <v>28</v>
      </c>
      <c r="J458" t="s">
        <v>29</v>
      </c>
    </row>
    <row r="459" spans="1:10" x14ac:dyDescent="0.25">
      <c r="A459" t="s">
        <v>105</v>
      </c>
      <c r="B459" t="s">
        <v>17</v>
      </c>
      <c r="C459" t="s">
        <v>30</v>
      </c>
      <c r="D459">
        <v>52.92</v>
      </c>
      <c r="E459">
        <v>958</v>
      </c>
      <c r="F459">
        <v>376</v>
      </c>
      <c r="G459">
        <v>2.5499000000000001</v>
      </c>
      <c r="H459">
        <v>1312325.7556</v>
      </c>
    </row>
    <row r="460" spans="1:10" x14ac:dyDescent="0.25">
      <c r="A460" t="s">
        <v>106</v>
      </c>
      <c r="B460" t="s">
        <v>20</v>
      </c>
      <c r="C460" t="s">
        <v>30</v>
      </c>
      <c r="D460">
        <v>52.887</v>
      </c>
      <c r="E460">
        <v>44934966</v>
      </c>
      <c r="F460">
        <v>37225151</v>
      </c>
      <c r="G460">
        <v>1.2071000000000001</v>
      </c>
      <c r="H460">
        <v>619989.45449999999</v>
      </c>
    </row>
    <row r="461" spans="1:10" x14ac:dyDescent="0.25">
      <c r="A461" t="s">
        <v>107</v>
      </c>
      <c r="B461" t="s">
        <v>20</v>
      </c>
      <c r="C461" t="s">
        <v>30</v>
      </c>
      <c r="D461">
        <v>52.902999999999999</v>
      </c>
      <c r="E461">
        <v>2747</v>
      </c>
      <c r="F461">
        <v>2829</v>
      </c>
      <c r="G461">
        <v>0.9708</v>
      </c>
      <c r="H461">
        <v>498169.24579999998</v>
      </c>
    </row>
    <row r="462" spans="1:10" x14ac:dyDescent="0.25">
      <c r="A462" t="s">
        <v>109</v>
      </c>
      <c r="B462" t="s">
        <v>20</v>
      </c>
      <c r="C462" t="s">
        <v>30</v>
      </c>
      <c r="D462">
        <v>52.927</v>
      </c>
      <c r="E462">
        <v>5270</v>
      </c>
      <c r="F462">
        <v>1771</v>
      </c>
      <c r="G462">
        <v>2.976</v>
      </c>
      <c r="H462">
        <v>1532002.8226999999</v>
      </c>
    </row>
    <row r="463" spans="1:10" x14ac:dyDescent="0.25">
      <c r="A463" t="s">
        <v>111</v>
      </c>
      <c r="B463" t="s">
        <v>20</v>
      </c>
      <c r="C463" t="s">
        <v>30</v>
      </c>
      <c r="D463">
        <v>52.923999999999999</v>
      </c>
      <c r="E463">
        <v>6608</v>
      </c>
      <c r="F463">
        <v>4034</v>
      </c>
      <c r="G463">
        <v>1.6379999999999999</v>
      </c>
      <c r="H463">
        <v>842161.94090000005</v>
      </c>
    </row>
    <row r="464" spans="1:10" x14ac:dyDescent="0.25">
      <c r="A464" t="s">
        <v>113</v>
      </c>
      <c r="B464" t="s">
        <v>20</v>
      </c>
      <c r="C464" t="s">
        <v>30</v>
      </c>
      <c r="D464">
        <v>52.947000000000003</v>
      </c>
      <c r="E464">
        <v>12842</v>
      </c>
      <c r="F464">
        <v>363</v>
      </c>
      <c r="G464">
        <v>35.420400000000001</v>
      </c>
      <c r="H464">
        <v>18259706.8543</v>
      </c>
    </row>
    <row r="465" spans="1:10" x14ac:dyDescent="0.25">
      <c r="A465" t="s">
        <v>115</v>
      </c>
      <c r="B465" t="s">
        <v>20</v>
      </c>
      <c r="C465" t="s">
        <v>30</v>
      </c>
      <c r="D465">
        <v>52.956000000000003</v>
      </c>
      <c r="E465">
        <v>5964</v>
      </c>
      <c r="F465">
        <v>14848336</v>
      </c>
      <c r="G465">
        <v>4.0000000000000002E-4</v>
      </c>
      <c r="H465">
        <v>0</v>
      </c>
    </row>
    <row r="466" spans="1:10" x14ac:dyDescent="0.25">
      <c r="A466" t="s">
        <v>117</v>
      </c>
      <c r="B466" t="s">
        <v>20</v>
      </c>
      <c r="C466" t="s">
        <v>30</v>
      </c>
      <c r="D466">
        <v>52.764000000000003</v>
      </c>
      <c r="E466">
        <v>72</v>
      </c>
      <c r="F466">
        <v>20796389</v>
      </c>
      <c r="G466">
        <v>0</v>
      </c>
      <c r="H466">
        <v>0</v>
      </c>
    </row>
    <row r="467" spans="1:10" x14ac:dyDescent="0.25">
      <c r="A467" t="s">
        <v>119</v>
      </c>
      <c r="B467" t="s">
        <v>20</v>
      </c>
      <c r="C467" t="s">
        <v>30</v>
      </c>
      <c r="D467">
        <v>52.848999999999997</v>
      </c>
      <c r="E467">
        <v>48843</v>
      </c>
      <c r="F467">
        <v>21179334</v>
      </c>
      <c r="G467">
        <v>2.3E-3</v>
      </c>
      <c r="H467">
        <v>0</v>
      </c>
    </row>
    <row r="468" spans="1:10" x14ac:dyDescent="0.25">
      <c r="A468" t="s">
        <v>121</v>
      </c>
      <c r="B468" t="s">
        <v>20</v>
      </c>
      <c r="C468" t="s">
        <v>30</v>
      </c>
      <c r="D468">
        <v>52.83</v>
      </c>
      <c r="E468">
        <v>50681</v>
      </c>
      <c r="F468">
        <v>20101666</v>
      </c>
      <c r="G468">
        <v>2.5000000000000001E-3</v>
      </c>
      <c r="H468">
        <v>0</v>
      </c>
    </row>
    <row r="469" spans="1:10" x14ac:dyDescent="0.25">
      <c r="A469" t="s">
        <v>123</v>
      </c>
      <c r="B469" t="s">
        <v>20</v>
      </c>
      <c r="C469" t="s">
        <v>30</v>
      </c>
      <c r="D469">
        <v>52.856999999999999</v>
      </c>
      <c r="E469">
        <v>24386</v>
      </c>
      <c r="F469">
        <v>18626997</v>
      </c>
      <c r="G469">
        <v>1.2999999999999999E-3</v>
      </c>
      <c r="H469">
        <v>0</v>
      </c>
    </row>
    <row r="470" spans="1:10" x14ac:dyDescent="0.25">
      <c r="A470" t="s">
        <v>65</v>
      </c>
    </row>
    <row r="471" spans="1:10" x14ac:dyDescent="0.25">
      <c r="A471" t="s">
        <v>9</v>
      </c>
      <c r="B471" t="s">
        <v>11</v>
      </c>
      <c r="C471" t="s">
        <v>22</v>
      </c>
      <c r="D471" t="s">
        <v>23</v>
      </c>
      <c r="E471" t="s">
        <v>24</v>
      </c>
      <c r="F471" t="s">
        <v>25</v>
      </c>
      <c r="G471" t="s">
        <v>26</v>
      </c>
      <c r="H471" t="s">
        <v>27</v>
      </c>
      <c r="I471" t="s">
        <v>28</v>
      </c>
      <c r="J471" t="s">
        <v>29</v>
      </c>
    </row>
    <row r="472" spans="1:10" x14ac:dyDescent="0.25">
      <c r="A472" t="s">
        <v>105</v>
      </c>
      <c r="B472" t="s">
        <v>17</v>
      </c>
      <c r="C472" t="s">
        <v>30</v>
      </c>
      <c r="D472">
        <v>53.146999999999998</v>
      </c>
      <c r="E472">
        <v>5167</v>
      </c>
      <c r="F472">
        <v>376</v>
      </c>
      <c r="G472">
        <v>13.758900000000001</v>
      </c>
      <c r="H472">
        <v>478334.55859999999</v>
      </c>
    </row>
    <row r="473" spans="1:10" x14ac:dyDescent="0.25">
      <c r="A473" t="s">
        <v>106</v>
      </c>
      <c r="B473" t="s">
        <v>20</v>
      </c>
      <c r="C473" t="s">
        <v>30</v>
      </c>
      <c r="D473">
        <v>53.15</v>
      </c>
      <c r="E473">
        <v>15592363</v>
      </c>
      <c r="F473">
        <v>37225151</v>
      </c>
      <c r="G473">
        <v>0.41889999999999999</v>
      </c>
      <c r="H473">
        <v>11860.511699999999</v>
      </c>
    </row>
    <row r="474" spans="1:10" x14ac:dyDescent="0.25">
      <c r="A474" t="s">
        <v>107</v>
      </c>
      <c r="B474" t="s">
        <v>20</v>
      </c>
      <c r="C474" t="s">
        <v>30</v>
      </c>
      <c r="D474">
        <v>53.210999999999999</v>
      </c>
      <c r="E474">
        <v>2105</v>
      </c>
      <c r="F474">
        <v>2829</v>
      </c>
      <c r="G474">
        <v>0.74409999999999998</v>
      </c>
      <c r="H474">
        <v>23232.8249</v>
      </c>
    </row>
    <row r="475" spans="1:10" x14ac:dyDescent="0.25">
      <c r="A475" t="s">
        <v>109</v>
      </c>
      <c r="B475" t="s">
        <v>20</v>
      </c>
      <c r="C475" t="s">
        <v>30</v>
      </c>
      <c r="D475">
        <v>53.125999999999998</v>
      </c>
      <c r="E475">
        <v>3528</v>
      </c>
      <c r="F475">
        <v>1771</v>
      </c>
      <c r="G475">
        <v>1.9923</v>
      </c>
      <c r="H475">
        <v>66879.493400000007</v>
      </c>
    </row>
    <row r="476" spans="1:10" x14ac:dyDescent="0.25">
      <c r="A476" t="s">
        <v>111</v>
      </c>
      <c r="B476" t="s">
        <v>20</v>
      </c>
      <c r="C476" t="s">
        <v>30</v>
      </c>
      <c r="D476">
        <v>53.151000000000003</v>
      </c>
      <c r="E476">
        <v>4268</v>
      </c>
      <c r="F476">
        <v>4034</v>
      </c>
      <c r="G476">
        <v>1.0580000000000001</v>
      </c>
      <c r="H476">
        <v>34211.179100000001</v>
      </c>
    </row>
    <row r="477" spans="1:10" x14ac:dyDescent="0.25">
      <c r="A477" t="s">
        <v>113</v>
      </c>
      <c r="B477" t="s">
        <v>20</v>
      </c>
      <c r="C477" t="s">
        <v>30</v>
      </c>
      <c r="D477">
        <v>53.146000000000001</v>
      </c>
      <c r="E477">
        <v>3908</v>
      </c>
      <c r="F477">
        <v>363</v>
      </c>
      <c r="G477">
        <v>10.778700000000001</v>
      </c>
      <c r="H477">
        <v>374124.17210000003</v>
      </c>
    </row>
    <row r="478" spans="1:10" x14ac:dyDescent="0.25">
      <c r="A478" t="s">
        <v>115</v>
      </c>
      <c r="B478" t="s">
        <v>20</v>
      </c>
      <c r="C478" t="s">
        <v>30</v>
      </c>
      <c r="D478">
        <v>53.158000000000001</v>
      </c>
      <c r="E478">
        <v>1846</v>
      </c>
      <c r="F478">
        <v>14848336</v>
      </c>
      <c r="G478">
        <v>1E-4</v>
      </c>
      <c r="H478">
        <v>0</v>
      </c>
    </row>
    <row r="479" spans="1:10" x14ac:dyDescent="0.25">
      <c r="A479" t="s">
        <v>117</v>
      </c>
      <c r="B479" t="s">
        <v>20</v>
      </c>
      <c r="C479" t="s">
        <v>30</v>
      </c>
      <c r="D479">
        <v>53.183</v>
      </c>
      <c r="E479">
        <v>6640</v>
      </c>
      <c r="F479">
        <v>20796389</v>
      </c>
      <c r="G479">
        <v>2.9999999999999997E-4</v>
      </c>
      <c r="H479">
        <v>0</v>
      </c>
    </row>
    <row r="480" spans="1:10" x14ac:dyDescent="0.25">
      <c r="A480" t="s">
        <v>119</v>
      </c>
      <c r="B480" t="s">
        <v>20</v>
      </c>
      <c r="C480" t="s">
        <v>30</v>
      </c>
      <c r="D480">
        <v>53.140999999999998</v>
      </c>
      <c r="E480">
        <v>9273</v>
      </c>
      <c r="F480">
        <v>21179334</v>
      </c>
      <c r="G480">
        <v>4.0000000000000002E-4</v>
      </c>
      <c r="H480">
        <v>0</v>
      </c>
    </row>
    <row r="481" spans="1:8" x14ac:dyDescent="0.25">
      <c r="A481" t="s">
        <v>121</v>
      </c>
      <c r="B481" t="s">
        <v>20</v>
      </c>
      <c r="C481" t="s">
        <v>30</v>
      </c>
      <c r="D481">
        <v>53.143999999999998</v>
      </c>
      <c r="E481">
        <v>7924</v>
      </c>
      <c r="F481">
        <v>20101666</v>
      </c>
      <c r="G481">
        <v>4.0000000000000002E-4</v>
      </c>
      <c r="H481">
        <v>0</v>
      </c>
    </row>
    <row r="482" spans="1:8" x14ac:dyDescent="0.25">
      <c r="A482" t="s">
        <v>123</v>
      </c>
      <c r="B482" t="s">
        <v>20</v>
      </c>
      <c r="C482" t="s">
        <v>30</v>
      </c>
      <c r="D482">
        <v>53.140999999999998</v>
      </c>
      <c r="E482">
        <v>16315</v>
      </c>
      <c r="F482">
        <v>18626997</v>
      </c>
      <c r="G482">
        <v>8.9999999999999998E-4</v>
      </c>
      <c r="H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230717_FA-Quant-Report_ISTD</vt:lpstr>
      <vt:lpstr>Diagramm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Patrick Fink</cp:lastModifiedBy>
  <dcterms:created xsi:type="dcterms:W3CDTF">2023-09-06T11:12:21Z</dcterms:created>
  <dcterms:modified xsi:type="dcterms:W3CDTF">2023-10-18T11:49:21Z</dcterms:modified>
</cp:coreProperties>
</file>