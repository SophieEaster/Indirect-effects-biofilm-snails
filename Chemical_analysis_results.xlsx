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0830fbf1ec50fa/Desktop/Promotion/Bioassays/Schneckenversuch 2023/"/>
    </mc:Choice>
  </mc:AlternateContent>
  <xr:revisionPtr revIDLastSave="378" documentId="8_{DCB7D890-6050-4B50-9BE1-B02DE613A2A8}" xr6:coauthVersionLast="47" xr6:coauthVersionMax="47" xr10:uidLastSave="{79411709-0A86-456B-91B6-E3D16774D0E3}"/>
  <bookViews>
    <workbookView xWindow="-110" yWindow="-110" windowWidth="19420" windowHeight="10300" activeTab="2" xr2:uid="{D5D59A82-DB58-4466-82BD-E25C5CDAFCC6}"/>
  </bookViews>
  <sheets>
    <sheet name="Tabelle1" sheetId="1" r:id="rId1"/>
    <sheet name="Tabelle für Anhang" sheetId="2" r:id="rId2"/>
    <sheet name="txt Datei githu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" l="1"/>
  <c r="N18" i="1"/>
  <c r="N15" i="1"/>
  <c r="N12" i="1"/>
  <c r="L18" i="1"/>
  <c r="L21" i="1"/>
  <c r="L15" i="1"/>
  <c r="L12" i="1"/>
</calcChain>
</file>

<file path=xl/sharedStrings.xml><?xml version="1.0" encoding="utf-8"?>
<sst xmlns="http://schemas.openxmlformats.org/spreadsheetml/2006/main" count="296" uniqueCount="107">
  <si>
    <t>#</t>
  </si>
  <si>
    <t>ID</t>
  </si>
  <si>
    <t>Probenname / Name auf Vial</t>
  </si>
  <si>
    <t>Medium</t>
  </si>
  <si>
    <t>nom. Ciprofloxacin</t>
  </si>
  <si>
    <t>nom. Propyzamid</t>
  </si>
  <si>
    <t>Comment</t>
  </si>
  <si>
    <t>gemess. Propyzamid µg/L</t>
  </si>
  <si>
    <t>gemess. Ciproxyfloxazin µg/L</t>
  </si>
  <si>
    <t>SO101</t>
  </si>
  <si>
    <t>Leaching, 21.04.23, Cip</t>
  </si>
  <si>
    <t>Borgmann</t>
  </si>
  <si>
    <t>/</t>
  </si>
  <si>
    <t>ab hier Leaching bei Schneckenversuch in Borgmann Medium</t>
  </si>
  <si>
    <t>&lt;LOQ</t>
  </si>
  <si>
    <t>SO102</t>
  </si>
  <si>
    <t>Leaching, 14.04.23, Cip</t>
  </si>
  <si>
    <t>SO103</t>
  </si>
  <si>
    <t>Leaching, 21.04.23, Mix</t>
  </si>
  <si>
    <t>SO104</t>
  </si>
  <si>
    <t>17.03.23, Week 1, NC</t>
  </si>
  <si>
    <t>SO105</t>
  </si>
  <si>
    <t>24.03.23, Week 1, NC, new</t>
  </si>
  <si>
    <t>SO106</t>
  </si>
  <si>
    <t>24.03.23, Week 2, NC</t>
  </si>
  <si>
    <t>SO107</t>
  </si>
  <si>
    <t>31.03.23, Week 3, NC</t>
  </si>
  <si>
    <t>Achtung Vial kaputt</t>
  </si>
  <si>
    <t>SO108</t>
  </si>
  <si>
    <t>17.03.23, Week 1, Pro</t>
  </si>
  <si>
    <t>10 ug/l</t>
  </si>
  <si>
    <t>SO109</t>
  </si>
  <si>
    <t>24.03.23, Week 1, Pro, new</t>
  </si>
  <si>
    <t>SO110</t>
  </si>
  <si>
    <t>24.03.23, Week 1, Pro, old</t>
  </si>
  <si>
    <t>10 ug/L</t>
  </si>
  <si>
    <t>SO111</t>
  </si>
  <si>
    <t>24.03.23, Week 2, Pro</t>
  </si>
  <si>
    <t>SO112</t>
  </si>
  <si>
    <t>31.03.23, Week 3, Pro</t>
  </si>
  <si>
    <t>SO113</t>
  </si>
  <si>
    <t>07.04.23, Week 3, Pro, old</t>
  </si>
  <si>
    <t>SO114</t>
  </si>
  <si>
    <t>07.04.23, Week 3, Pro, new</t>
  </si>
  <si>
    <t>SO115</t>
  </si>
  <si>
    <t>17.03.23, Week 1, Mix</t>
  </si>
  <si>
    <t>100 ug/L</t>
  </si>
  <si>
    <t>ab hier Schneckenversuch mit Borgmann Medium</t>
  </si>
  <si>
    <t>SO116</t>
  </si>
  <si>
    <t>17.03.23, Week 1, Cip</t>
  </si>
  <si>
    <t>SO117</t>
  </si>
  <si>
    <t>24.03.23, Week 1, Mix, new</t>
  </si>
  <si>
    <t>SO118</t>
  </si>
  <si>
    <t>24.03.23, Week 1, Cip, new</t>
  </si>
  <si>
    <t>SO119</t>
  </si>
  <si>
    <t>24.03.23, Week 1, Cip, old</t>
  </si>
  <si>
    <t>SO120</t>
  </si>
  <si>
    <t>24.03.23, Week 1, Mix, old</t>
  </si>
  <si>
    <t>SO121</t>
  </si>
  <si>
    <t>24.03.23, Week 2, Mix</t>
  </si>
  <si>
    <t>SO122</t>
  </si>
  <si>
    <t>24.03.23, Week 2, Cip</t>
  </si>
  <si>
    <t>SO123</t>
  </si>
  <si>
    <t>31.03.23, Week 3, Mix</t>
  </si>
  <si>
    <t>SO124</t>
  </si>
  <si>
    <t>31.03.23, Week 3, Cip</t>
  </si>
  <si>
    <t>SO125</t>
  </si>
  <si>
    <t>07.04.23, Week 3, Cip, new</t>
  </si>
  <si>
    <t>SO126</t>
  </si>
  <si>
    <t>07.04.23, Week 3, Cip, old</t>
  </si>
  <si>
    <t>SO127</t>
  </si>
  <si>
    <t>07.04.23, Week 3, Mix, old</t>
  </si>
  <si>
    <t>SO128</t>
  </si>
  <si>
    <t>07.04.23, Week 3, Mix, new</t>
  </si>
  <si>
    <t>Cip</t>
  </si>
  <si>
    <t>Mix Pro</t>
  </si>
  <si>
    <t>Mix Cip</t>
  </si>
  <si>
    <t>Mittelwerte</t>
  </si>
  <si>
    <t>Treatment</t>
  </si>
  <si>
    <t>Aggregierte Tabelle in Anhang (eventuell noch nominale Konzentrationen dazu?)</t>
  </si>
  <si>
    <t>SD</t>
  </si>
  <si>
    <t>Propyzamide</t>
  </si>
  <si>
    <t>Ciprofloxacin</t>
  </si>
  <si>
    <t>Mix - Pro</t>
  </si>
  <si>
    <t>Mixture - Propyzamide</t>
  </si>
  <si>
    <t>Mixture - Ciprofloxacin</t>
  </si>
  <si>
    <t>Mean measured concentration (µg/L)</t>
  </si>
  <si>
    <t xml:space="preserve">Pro </t>
  </si>
  <si>
    <t>Mix-Cip</t>
  </si>
  <si>
    <t>Mean measured concentrations of chemicals in ug/L and theirs standard deviation. A table with all measured concentrations is provided at ….github DOI? Concentrations deviated due to ….</t>
  </si>
  <si>
    <t>Negative Control</t>
  </si>
  <si>
    <t>-</t>
  </si>
  <si>
    <t>Nominal    concentration (µg/L)</t>
  </si>
  <si>
    <t>Leaching Feeding assay</t>
  </si>
  <si>
    <t>measurement</t>
  </si>
  <si>
    <t>mixture</t>
  </si>
  <si>
    <t>propyzamide</t>
  </si>
  <si>
    <t>no</t>
  </si>
  <si>
    <r>
      <t>concentration_</t>
    </r>
    <r>
      <rPr>
        <sz val="11"/>
        <color theme="1"/>
        <rFont val="Aptos Narrow"/>
        <family val="2"/>
      </rPr>
      <t>µ</t>
    </r>
    <r>
      <rPr>
        <sz val="11"/>
        <color theme="1"/>
        <rFont val="Aptos Narrow"/>
        <family val="2"/>
        <scheme val="minor"/>
      </rPr>
      <t>g_L</t>
    </r>
  </si>
  <si>
    <t>negative_control</t>
  </si>
  <si>
    <t>treatment</t>
  </si>
  <si>
    <t>ciprofloxacin</t>
  </si>
  <si>
    <t>yes</t>
  </si>
  <si>
    <t>leaching</t>
  </si>
  <si>
    <t>Standardabweichung</t>
  </si>
  <si>
    <t>stock_solution_propyzamide</t>
  </si>
  <si>
    <t>stock_solution_ciprofloxacin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</si>
</sst>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2" borderId="4" xfId="0" applyFill="1" applyBorder="1" applyAlignment="1">
      <alignment horizontal="center"/>
    </xf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4" xfId="0" applyFill="1" applyBorder="1" applyAlignment="1">
      <alignment horizontal="center"/>
    </xf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55D5-52E4-4F0A-BFBC-6E373173DFD2}">
  <dimension ref="A1:N30"/>
  <sheetViews>
    <sheetView topLeftCell="A7" zoomScale="69" zoomScaleNormal="69" workbookViewId="0">
      <selection activeCell="N22" sqref="N22"/>
    </sheetView>
  </sheetViews>
  <sheetFormatPr baseColWidth="10" defaultRowHeight="14.5" x14ac:dyDescent="0.35"/>
  <cols>
    <col min="3" max="3" width="35.1796875" customWidth="1"/>
    <col min="11" max="11" width="14.6328125" customWidth="1"/>
    <col min="13" max="13" width="17" customWidth="1"/>
  </cols>
  <sheetData>
    <row r="1" spans="1:14" ht="43.5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</row>
    <row r="2" spans="1:14" x14ac:dyDescent="0.35">
      <c r="A2" s="8"/>
      <c r="B2" s="8"/>
      <c r="C2" s="8"/>
      <c r="D2" s="9"/>
      <c r="E2" s="10"/>
      <c r="F2" s="11"/>
      <c r="G2" s="5"/>
      <c r="H2" s="6">
        <v>1</v>
      </c>
      <c r="I2" s="7">
        <v>7.5</v>
      </c>
    </row>
    <row r="3" spans="1:14" x14ac:dyDescent="0.35">
      <c r="A3" s="12">
        <v>26</v>
      </c>
      <c r="B3" s="12" t="s">
        <v>9</v>
      </c>
      <c r="C3" s="13" t="s">
        <v>10</v>
      </c>
      <c r="D3" s="14" t="s">
        <v>11</v>
      </c>
      <c r="E3" s="15" t="s">
        <v>12</v>
      </c>
      <c r="F3" s="16" t="s">
        <v>12</v>
      </c>
      <c r="G3" t="s">
        <v>13</v>
      </c>
      <c r="H3" t="s">
        <v>14</v>
      </c>
      <c r="I3" t="s">
        <v>14</v>
      </c>
    </row>
    <row r="4" spans="1:14" x14ac:dyDescent="0.35">
      <c r="A4" s="12">
        <v>27</v>
      </c>
      <c r="B4" s="12" t="s">
        <v>15</v>
      </c>
      <c r="C4" s="14" t="s">
        <v>16</v>
      </c>
      <c r="D4" s="14" t="s">
        <v>11</v>
      </c>
      <c r="E4" s="15" t="s">
        <v>12</v>
      </c>
      <c r="F4" s="16" t="s">
        <v>12</v>
      </c>
      <c r="H4" t="s">
        <v>14</v>
      </c>
      <c r="I4" t="s">
        <v>14</v>
      </c>
      <c r="N4" t="s">
        <v>74</v>
      </c>
    </row>
    <row r="5" spans="1:14" ht="15" thickBot="1" x14ac:dyDescent="0.4">
      <c r="A5" s="12">
        <v>28</v>
      </c>
      <c r="B5" s="17" t="s">
        <v>17</v>
      </c>
      <c r="C5" s="18" t="s">
        <v>18</v>
      </c>
      <c r="D5" s="18" t="s">
        <v>11</v>
      </c>
      <c r="E5" s="17" t="s">
        <v>12</v>
      </c>
      <c r="F5" s="19" t="s">
        <v>12</v>
      </c>
      <c r="G5" s="20"/>
      <c r="H5" s="20" t="s">
        <v>14</v>
      </c>
      <c r="I5" s="20" t="s">
        <v>14</v>
      </c>
      <c r="N5" t="s">
        <v>75</v>
      </c>
    </row>
    <row r="6" spans="1:14" x14ac:dyDescent="0.35">
      <c r="A6" s="12">
        <v>3</v>
      </c>
      <c r="B6" s="21" t="s">
        <v>19</v>
      </c>
      <c r="C6" s="22" t="s">
        <v>20</v>
      </c>
      <c r="D6" s="22" t="s">
        <v>11</v>
      </c>
      <c r="E6" s="23" t="s">
        <v>12</v>
      </c>
      <c r="F6" s="24" t="s">
        <v>12</v>
      </c>
      <c r="G6" s="25"/>
      <c r="H6" s="25" t="s">
        <v>14</v>
      </c>
      <c r="I6" s="25" t="s">
        <v>14</v>
      </c>
      <c r="N6" t="s">
        <v>76</v>
      </c>
    </row>
    <row r="7" spans="1:14" x14ac:dyDescent="0.35">
      <c r="A7" s="12">
        <v>5</v>
      </c>
      <c r="B7" s="21" t="s">
        <v>21</v>
      </c>
      <c r="C7" s="22" t="s">
        <v>22</v>
      </c>
      <c r="D7" s="22" t="s">
        <v>11</v>
      </c>
      <c r="E7" s="23" t="s">
        <v>12</v>
      </c>
      <c r="F7" s="24" t="s">
        <v>12</v>
      </c>
      <c r="G7" s="25"/>
      <c r="H7" s="25" t="s">
        <v>14</v>
      </c>
      <c r="I7" s="25" t="s">
        <v>14</v>
      </c>
    </row>
    <row r="8" spans="1:14" x14ac:dyDescent="0.35">
      <c r="A8" s="12">
        <v>13</v>
      </c>
      <c r="B8" s="21" t="s">
        <v>23</v>
      </c>
      <c r="C8" s="22" t="s">
        <v>24</v>
      </c>
      <c r="D8" s="22" t="s">
        <v>11</v>
      </c>
      <c r="E8" s="23" t="s">
        <v>12</v>
      </c>
      <c r="F8" s="24" t="s">
        <v>12</v>
      </c>
      <c r="G8" s="25"/>
      <c r="H8" s="25" t="s">
        <v>14</v>
      </c>
      <c r="I8" s="25" t="s">
        <v>14</v>
      </c>
    </row>
    <row r="9" spans="1:14" x14ac:dyDescent="0.35">
      <c r="A9" s="12">
        <v>16</v>
      </c>
      <c r="B9" s="21" t="s">
        <v>25</v>
      </c>
      <c r="C9" s="22" t="s">
        <v>26</v>
      </c>
      <c r="D9" s="22" t="s">
        <v>11</v>
      </c>
      <c r="E9" s="23" t="s">
        <v>12</v>
      </c>
      <c r="F9" s="24" t="s">
        <v>12</v>
      </c>
      <c r="G9" s="26" t="s">
        <v>27</v>
      </c>
      <c r="H9" s="25" t="s">
        <v>14</v>
      </c>
      <c r="I9" s="25" t="s">
        <v>14</v>
      </c>
    </row>
    <row r="10" spans="1:14" x14ac:dyDescent="0.35">
      <c r="A10" s="12">
        <v>4</v>
      </c>
      <c r="B10" s="27" t="s">
        <v>28</v>
      </c>
      <c r="C10" s="28" t="s">
        <v>29</v>
      </c>
      <c r="D10" s="28" t="s">
        <v>11</v>
      </c>
      <c r="E10" s="29" t="s">
        <v>12</v>
      </c>
      <c r="F10" s="30" t="s">
        <v>30</v>
      </c>
      <c r="G10" s="31"/>
      <c r="H10" s="31">
        <v>7.27</v>
      </c>
      <c r="I10" s="31" t="s">
        <v>14</v>
      </c>
    </row>
    <row r="11" spans="1:14" x14ac:dyDescent="0.35">
      <c r="A11" s="12">
        <v>6</v>
      </c>
      <c r="B11" s="27" t="s">
        <v>31</v>
      </c>
      <c r="C11" s="28" t="s">
        <v>32</v>
      </c>
      <c r="D11" s="28" t="s">
        <v>11</v>
      </c>
      <c r="E11" s="29" t="s">
        <v>12</v>
      </c>
      <c r="F11" s="30" t="s">
        <v>30</v>
      </c>
      <c r="G11" s="31"/>
      <c r="H11" s="31">
        <v>6.8</v>
      </c>
      <c r="I11" s="31" t="s">
        <v>14</v>
      </c>
      <c r="K11" t="s">
        <v>77</v>
      </c>
      <c r="N11" t="s">
        <v>104</v>
      </c>
    </row>
    <row r="12" spans="1:14" x14ac:dyDescent="0.35">
      <c r="A12" s="12">
        <v>10</v>
      </c>
      <c r="B12" s="27" t="s">
        <v>33</v>
      </c>
      <c r="C12" s="28" t="s">
        <v>34</v>
      </c>
      <c r="D12" s="28" t="s">
        <v>11</v>
      </c>
      <c r="E12" s="29" t="s">
        <v>12</v>
      </c>
      <c r="F12" s="30" t="s">
        <v>35</v>
      </c>
      <c r="G12" s="31"/>
      <c r="H12" s="31">
        <v>9.2100000000000009</v>
      </c>
      <c r="I12" s="31" t="s">
        <v>14</v>
      </c>
      <c r="K12" t="s">
        <v>87</v>
      </c>
      <c r="L12">
        <f>AVERAGE(H11,H16,H10,H12,H13,H14,H15)</f>
        <v>7.2114285714285709</v>
      </c>
      <c r="N12">
        <f>_xlfn.STDEV.P(H10:H16)</f>
        <v>0.99604114331872406</v>
      </c>
    </row>
    <row r="13" spans="1:14" x14ac:dyDescent="0.35">
      <c r="A13" s="12">
        <v>12</v>
      </c>
      <c r="B13" s="27" t="s">
        <v>36</v>
      </c>
      <c r="C13" s="28" t="s">
        <v>37</v>
      </c>
      <c r="D13" s="28" t="s">
        <v>11</v>
      </c>
      <c r="E13" s="29" t="s">
        <v>12</v>
      </c>
      <c r="F13" s="30" t="s">
        <v>35</v>
      </c>
      <c r="G13" s="31"/>
      <c r="H13" s="31">
        <v>5.56</v>
      </c>
      <c r="I13" s="31" t="s">
        <v>14</v>
      </c>
    </row>
    <row r="14" spans="1:14" x14ac:dyDescent="0.35">
      <c r="A14" s="12">
        <v>17</v>
      </c>
      <c r="B14" s="27" t="s">
        <v>38</v>
      </c>
      <c r="C14" s="28" t="s">
        <v>39</v>
      </c>
      <c r="D14" s="28" t="s">
        <v>11</v>
      </c>
      <c r="E14" s="29" t="s">
        <v>12</v>
      </c>
      <c r="F14" s="30" t="s">
        <v>35</v>
      </c>
      <c r="G14" s="31"/>
      <c r="H14" s="31">
        <v>7.3</v>
      </c>
      <c r="I14" s="31" t="s">
        <v>14</v>
      </c>
    </row>
    <row r="15" spans="1:14" x14ac:dyDescent="0.35">
      <c r="A15" s="12">
        <v>20</v>
      </c>
      <c r="B15" s="27" t="s">
        <v>40</v>
      </c>
      <c r="C15" s="28" t="s">
        <v>41</v>
      </c>
      <c r="D15" s="28" t="s">
        <v>11</v>
      </c>
      <c r="E15" s="29" t="s">
        <v>12</v>
      </c>
      <c r="F15" s="30" t="s">
        <v>35</v>
      </c>
      <c r="G15" s="31"/>
      <c r="H15" s="31">
        <v>7.03</v>
      </c>
      <c r="I15" s="31" t="s">
        <v>14</v>
      </c>
      <c r="K15" t="s">
        <v>74</v>
      </c>
      <c r="L15">
        <f>AVERAGE(I18,I20,I27,I24,I26,I28)</f>
        <v>65.915000000000006</v>
      </c>
      <c r="N15">
        <f>_xlfn.STDEV.P(I18,I20,I24,I26,I27,I28)</f>
        <v>28.681101065568129</v>
      </c>
    </row>
    <row r="16" spans="1:14" x14ac:dyDescent="0.35">
      <c r="A16" s="12">
        <v>21</v>
      </c>
      <c r="B16" s="27" t="s">
        <v>42</v>
      </c>
      <c r="C16" s="28" t="s">
        <v>43</v>
      </c>
      <c r="D16" s="28" t="s">
        <v>11</v>
      </c>
      <c r="E16" s="29" t="s">
        <v>12</v>
      </c>
      <c r="F16" s="30" t="s">
        <v>35</v>
      </c>
      <c r="G16" s="31"/>
      <c r="H16" s="31">
        <v>7.31</v>
      </c>
      <c r="I16" s="31" t="s">
        <v>14</v>
      </c>
    </row>
    <row r="17" spans="1:14" x14ac:dyDescent="0.35">
      <c r="A17" s="12">
        <v>1</v>
      </c>
      <c r="B17" s="12" t="s">
        <v>44</v>
      </c>
      <c r="C17" s="14" t="s">
        <v>45</v>
      </c>
      <c r="D17" s="14" t="s">
        <v>11</v>
      </c>
      <c r="E17" s="15" t="s">
        <v>46</v>
      </c>
      <c r="F17" s="16" t="s">
        <v>35</v>
      </c>
      <c r="G17" t="s">
        <v>47</v>
      </c>
      <c r="H17">
        <v>7.21</v>
      </c>
      <c r="I17">
        <v>57.79</v>
      </c>
    </row>
    <row r="18" spans="1:14" x14ac:dyDescent="0.35">
      <c r="A18" s="12">
        <v>2</v>
      </c>
      <c r="B18" s="32" t="s">
        <v>48</v>
      </c>
      <c r="C18" s="33" t="s">
        <v>49</v>
      </c>
      <c r="D18" s="33" t="s">
        <v>11</v>
      </c>
      <c r="E18" s="34" t="s">
        <v>46</v>
      </c>
      <c r="F18" s="35" t="s">
        <v>12</v>
      </c>
      <c r="G18" s="36"/>
      <c r="H18" s="36" t="s">
        <v>14</v>
      </c>
      <c r="I18" s="36">
        <v>55.46</v>
      </c>
      <c r="K18" t="s">
        <v>83</v>
      </c>
      <c r="L18">
        <f>AVERAGE(H17,H19,H22,H23,H25,H29,H30)</f>
        <v>6.6942857142857131</v>
      </c>
      <c r="N18">
        <f>_xlfn.STDEV.P(H17,H19,H22,H23,H25,H29,H30)</f>
        <v>1.3577382152773418</v>
      </c>
    </row>
    <row r="19" spans="1:14" x14ac:dyDescent="0.35">
      <c r="A19" s="12">
        <v>7</v>
      </c>
      <c r="B19" s="12" t="s">
        <v>50</v>
      </c>
      <c r="C19" s="14" t="s">
        <v>51</v>
      </c>
      <c r="D19" s="14" t="s">
        <v>11</v>
      </c>
      <c r="E19" s="15" t="s">
        <v>46</v>
      </c>
      <c r="F19" s="16" t="s">
        <v>35</v>
      </c>
      <c r="H19">
        <v>7.26</v>
      </c>
      <c r="I19">
        <v>52.51</v>
      </c>
    </row>
    <row r="20" spans="1:14" x14ac:dyDescent="0.35">
      <c r="A20" s="12">
        <v>8</v>
      </c>
      <c r="B20" s="32" t="s">
        <v>52</v>
      </c>
      <c r="C20" s="33" t="s">
        <v>53</v>
      </c>
      <c r="D20" s="33" t="s">
        <v>11</v>
      </c>
      <c r="E20" s="34" t="s">
        <v>46</v>
      </c>
      <c r="F20" s="35" t="s">
        <v>12</v>
      </c>
      <c r="G20" s="36"/>
      <c r="H20" s="36" t="s">
        <v>14</v>
      </c>
      <c r="I20" s="36">
        <v>38.74</v>
      </c>
    </row>
    <row r="21" spans="1:14" x14ac:dyDescent="0.35">
      <c r="A21" s="12">
        <v>9</v>
      </c>
      <c r="B21" s="32" t="s">
        <v>54</v>
      </c>
      <c r="C21" s="33" t="s">
        <v>55</v>
      </c>
      <c r="D21" s="33" t="s">
        <v>11</v>
      </c>
      <c r="E21" s="34" t="s">
        <v>46</v>
      </c>
      <c r="F21" s="35" t="s">
        <v>12</v>
      </c>
      <c r="G21" s="36"/>
      <c r="H21" s="36" t="s">
        <v>14</v>
      </c>
      <c r="I21" s="36" t="s">
        <v>14</v>
      </c>
      <c r="K21" t="s">
        <v>88</v>
      </c>
      <c r="L21">
        <f>AVERAGE(I17,I19,I22,I23,I25,I29,I30)</f>
        <v>43.984285714285711</v>
      </c>
      <c r="N21">
        <f>_xlfn.STDEV.P(I17,I19,I22,I23,I25,I29,I30)</f>
        <v>18.564305117342691</v>
      </c>
    </row>
    <row r="22" spans="1:14" x14ac:dyDescent="0.35">
      <c r="A22" s="12">
        <v>11</v>
      </c>
      <c r="B22" s="12" t="s">
        <v>56</v>
      </c>
      <c r="C22" s="14" t="s">
        <v>57</v>
      </c>
      <c r="D22" s="14" t="s">
        <v>11</v>
      </c>
      <c r="E22" s="15" t="s">
        <v>46</v>
      </c>
      <c r="F22" s="16" t="s">
        <v>35</v>
      </c>
      <c r="H22">
        <v>8.91</v>
      </c>
      <c r="I22">
        <v>12.62</v>
      </c>
    </row>
    <row r="23" spans="1:14" x14ac:dyDescent="0.35">
      <c r="A23" s="12">
        <v>14</v>
      </c>
      <c r="B23" s="12" t="s">
        <v>58</v>
      </c>
      <c r="C23" s="14" t="s">
        <v>59</v>
      </c>
      <c r="D23" s="14" t="s">
        <v>11</v>
      </c>
      <c r="E23" s="15" t="s">
        <v>46</v>
      </c>
      <c r="F23" s="16" t="s">
        <v>35</v>
      </c>
      <c r="H23">
        <v>5.91</v>
      </c>
      <c r="I23">
        <v>50.9</v>
      </c>
    </row>
    <row r="24" spans="1:14" x14ac:dyDescent="0.35">
      <c r="A24" s="12">
        <v>15</v>
      </c>
      <c r="B24" s="32" t="s">
        <v>60</v>
      </c>
      <c r="C24" s="33" t="s">
        <v>61</v>
      </c>
      <c r="D24" s="33" t="s">
        <v>11</v>
      </c>
      <c r="E24" s="34" t="s">
        <v>46</v>
      </c>
      <c r="F24" s="35" t="s">
        <v>12</v>
      </c>
      <c r="G24" s="36"/>
      <c r="H24" s="36" t="s">
        <v>14</v>
      </c>
      <c r="I24" s="36">
        <v>99.77</v>
      </c>
    </row>
    <row r="25" spans="1:14" x14ac:dyDescent="0.35">
      <c r="A25" s="12">
        <v>18</v>
      </c>
      <c r="B25" s="12" t="s">
        <v>62</v>
      </c>
      <c r="C25" s="14" t="s">
        <v>63</v>
      </c>
      <c r="D25" s="14" t="s">
        <v>11</v>
      </c>
      <c r="E25" s="15" t="s">
        <v>46</v>
      </c>
      <c r="F25" s="16" t="s">
        <v>35</v>
      </c>
      <c r="G25" s="37" t="s">
        <v>27</v>
      </c>
      <c r="H25">
        <v>4.09</v>
      </c>
      <c r="I25">
        <v>50.29</v>
      </c>
    </row>
    <row r="26" spans="1:14" x14ac:dyDescent="0.35">
      <c r="A26" s="12">
        <v>19</v>
      </c>
      <c r="B26" s="32" t="s">
        <v>64</v>
      </c>
      <c r="C26" s="33" t="s">
        <v>65</v>
      </c>
      <c r="D26" s="33" t="s">
        <v>11</v>
      </c>
      <c r="E26" s="34" t="s">
        <v>46</v>
      </c>
      <c r="F26" s="35" t="s">
        <v>12</v>
      </c>
      <c r="G26" s="36"/>
      <c r="H26" s="36" t="s">
        <v>14</v>
      </c>
      <c r="I26" s="36">
        <v>103.31</v>
      </c>
    </row>
    <row r="27" spans="1:14" x14ac:dyDescent="0.35">
      <c r="A27" s="38">
        <v>22</v>
      </c>
      <c r="B27" s="32" t="s">
        <v>66</v>
      </c>
      <c r="C27" s="39" t="s">
        <v>67</v>
      </c>
      <c r="D27" s="39" t="s">
        <v>11</v>
      </c>
      <c r="E27" s="40" t="s">
        <v>46</v>
      </c>
      <c r="F27" s="41" t="s">
        <v>12</v>
      </c>
      <c r="G27" s="42"/>
      <c r="H27" s="36" t="s">
        <v>14</v>
      </c>
      <c r="I27" s="42">
        <v>71.22</v>
      </c>
    </row>
    <row r="28" spans="1:14" x14ac:dyDescent="0.35">
      <c r="A28" s="12">
        <v>23</v>
      </c>
      <c r="B28" s="32" t="s">
        <v>68</v>
      </c>
      <c r="C28" s="33" t="s">
        <v>69</v>
      </c>
      <c r="D28" s="33" t="s">
        <v>11</v>
      </c>
      <c r="E28" s="34" t="s">
        <v>46</v>
      </c>
      <c r="F28" s="35" t="s">
        <v>12</v>
      </c>
      <c r="G28" s="36"/>
      <c r="H28" s="36" t="s">
        <v>14</v>
      </c>
      <c r="I28" s="36">
        <v>26.99</v>
      </c>
    </row>
    <row r="29" spans="1:14" x14ac:dyDescent="0.35">
      <c r="A29" s="12">
        <v>24</v>
      </c>
      <c r="B29" s="12" t="s">
        <v>70</v>
      </c>
      <c r="C29" s="14" t="s">
        <v>71</v>
      </c>
      <c r="D29" s="14" t="s">
        <v>11</v>
      </c>
      <c r="E29" s="15" t="s">
        <v>46</v>
      </c>
      <c r="F29" s="16" t="s">
        <v>35</v>
      </c>
      <c r="H29">
        <v>6.68</v>
      </c>
      <c r="I29">
        <v>18.77</v>
      </c>
    </row>
    <row r="30" spans="1:14" x14ac:dyDescent="0.35">
      <c r="A30" s="12">
        <v>25</v>
      </c>
      <c r="B30" s="12" t="s">
        <v>72</v>
      </c>
      <c r="C30" s="43" t="s">
        <v>73</v>
      </c>
      <c r="D30" s="43" t="s">
        <v>11</v>
      </c>
      <c r="E30" s="44" t="s">
        <v>46</v>
      </c>
      <c r="F30" s="45" t="s">
        <v>35</v>
      </c>
      <c r="G30" s="46"/>
      <c r="H30">
        <v>6.8</v>
      </c>
      <c r="I30" s="46">
        <v>65.010000000000005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4A08-99D2-4A48-BA69-FFFFFC0916C4}">
  <dimension ref="E2:O38"/>
  <sheetViews>
    <sheetView topLeftCell="A15" zoomScale="62" zoomScaleNormal="62" workbookViewId="0">
      <selection activeCell="O29" sqref="O29"/>
    </sheetView>
  </sheetViews>
  <sheetFormatPr baseColWidth="10" defaultRowHeight="14.5" x14ac:dyDescent="0.35"/>
  <cols>
    <col min="3" max="3" width="13.08984375" customWidth="1"/>
    <col min="4" max="4" width="13.54296875" customWidth="1"/>
    <col min="5" max="5" width="13.81640625" customWidth="1"/>
    <col min="6" max="6" width="13.6328125" customWidth="1"/>
    <col min="8" max="8" width="16.08984375" customWidth="1"/>
    <col min="9" max="9" width="15.6328125" customWidth="1"/>
    <col min="10" max="10" width="15" customWidth="1"/>
    <col min="11" max="11" width="14.1796875" customWidth="1"/>
    <col min="12" max="12" width="20.90625" customWidth="1"/>
    <col min="13" max="13" width="18.08984375" customWidth="1"/>
    <col min="14" max="14" width="18.26953125" customWidth="1"/>
    <col min="15" max="15" width="18.36328125" customWidth="1"/>
  </cols>
  <sheetData>
    <row r="2" spans="5:15" x14ac:dyDescent="0.35">
      <c r="E2" t="s">
        <v>79</v>
      </c>
    </row>
    <row r="12" spans="5:15" s="47" customFormat="1" x14ac:dyDescent="0.35">
      <c r="E12" s="56"/>
      <c r="F12" s="56"/>
    </row>
    <row r="13" spans="5:15" s="48" customFormat="1" ht="29" customHeight="1" x14ac:dyDescent="0.35"/>
    <row r="16" spans="5:15" s="47" customFormat="1" ht="29" customHeight="1" x14ac:dyDescent="0.35">
      <c r="L16" s="54"/>
      <c r="M16" s="55"/>
      <c r="N16" s="55"/>
      <c r="O16" s="54"/>
    </row>
    <row r="17" spans="12:15" x14ac:dyDescent="0.35">
      <c r="L17" s="50"/>
      <c r="M17" s="50"/>
      <c r="N17" s="50"/>
      <c r="O17" s="50"/>
    </row>
    <row r="18" spans="12:15" x14ac:dyDescent="0.35">
      <c r="L18" s="50"/>
      <c r="M18" s="50"/>
      <c r="N18" s="51"/>
      <c r="O18" s="51"/>
    </row>
    <row r="19" spans="12:15" x14ac:dyDescent="0.35">
      <c r="L19" s="50"/>
      <c r="M19" s="50"/>
      <c r="N19" s="51"/>
      <c r="O19" s="51"/>
    </row>
    <row r="20" spans="12:15" x14ac:dyDescent="0.35">
      <c r="L20" s="50"/>
      <c r="M20" s="50"/>
      <c r="N20" s="51"/>
      <c r="O20" s="51"/>
    </row>
    <row r="21" spans="12:15" x14ac:dyDescent="0.35">
      <c r="L21" s="50"/>
      <c r="M21" s="50"/>
      <c r="N21" s="51"/>
      <c r="O21" s="51"/>
    </row>
    <row r="22" spans="12:15" x14ac:dyDescent="0.35">
      <c r="L22" s="16"/>
      <c r="M22" s="16"/>
      <c r="N22" s="16"/>
      <c r="O22" s="16"/>
    </row>
    <row r="23" spans="12:15" x14ac:dyDescent="0.35">
      <c r="L23" s="16"/>
      <c r="M23" s="16"/>
      <c r="N23" s="16"/>
      <c r="O23" s="16"/>
    </row>
    <row r="24" spans="12:15" x14ac:dyDescent="0.35">
      <c r="L24" s="49" t="s">
        <v>89</v>
      </c>
      <c r="M24" s="16"/>
      <c r="N24" s="16"/>
      <c r="O24" s="16"/>
    </row>
    <row r="25" spans="12:15" x14ac:dyDescent="0.35">
      <c r="L25" s="16"/>
      <c r="M25" s="16"/>
      <c r="N25" s="16"/>
      <c r="O25" s="16"/>
    </row>
    <row r="26" spans="12:15" x14ac:dyDescent="0.35">
      <c r="L26" s="16"/>
      <c r="M26" s="16"/>
      <c r="N26" s="16"/>
      <c r="O26" s="16"/>
    </row>
    <row r="27" spans="12:15" s="47" customFormat="1" ht="29.5" customHeight="1" x14ac:dyDescent="0.35">
      <c r="L27" s="52" t="s">
        <v>78</v>
      </c>
      <c r="M27" s="53" t="s">
        <v>92</v>
      </c>
      <c r="N27" s="53" t="s">
        <v>86</v>
      </c>
      <c r="O27" s="52" t="s">
        <v>80</v>
      </c>
    </row>
    <row r="28" spans="12:15" x14ac:dyDescent="0.35">
      <c r="L28" s="50" t="s">
        <v>90</v>
      </c>
      <c r="M28" s="50">
        <v>0</v>
      </c>
      <c r="N28" s="50" t="s">
        <v>14</v>
      </c>
      <c r="O28" s="50" t="s">
        <v>91</v>
      </c>
    </row>
    <row r="29" spans="12:15" x14ac:dyDescent="0.35">
      <c r="L29" s="50" t="s">
        <v>81</v>
      </c>
      <c r="M29" s="50">
        <v>10</v>
      </c>
      <c r="N29" s="51">
        <v>7.2114285714285709</v>
      </c>
      <c r="O29" s="51">
        <v>0.99604114331872406</v>
      </c>
    </row>
    <row r="30" spans="12:15" x14ac:dyDescent="0.35">
      <c r="L30" s="50" t="s">
        <v>82</v>
      </c>
      <c r="M30" s="50">
        <v>100</v>
      </c>
      <c r="N30" s="51">
        <v>65.915000000000006</v>
      </c>
      <c r="O30" s="51">
        <v>28.681101065568129</v>
      </c>
    </row>
    <row r="31" spans="12:15" x14ac:dyDescent="0.35">
      <c r="L31" s="50" t="s">
        <v>84</v>
      </c>
      <c r="M31" s="50">
        <v>10</v>
      </c>
      <c r="N31" s="51">
        <v>6.6942857142857131</v>
      </c>
      <c r="O31" s="51">
        <v>1.3577382152773418</v>
      </c>
    </row>
    <row r="32" spans="12:15" x14ac:dyDescent="0.35">
      <c r="L32" s="50" t="s">
        <v>85</v>
      </c>
      <c r="M32" s="50">
        <v>100</v>
      </c>
      <c r="N32" s="51">
        <v>43.984285714285711</v>
      </c>
      <c r="O32" s="51">
        <v>18.564305117342691</v>
      </c>
    </row>
    <row r="33" spans="12:15" x14ac:dyDescent="0.35">
      <c r="L33" s="16" t="s">
        <v>93</v>
      </c>
      <c r="M33" s="16">
        <v>0</v>
      </c>
      <c r="N33" s="16" t="s">
        <v>14</v>
      </c>
      <c r="O33" s="16" t="s">
        <v>91</v>
      </c>
    </row>
    <row r="34" spans="12:15" x14ac:dyDescent="0.35">
      <c r="L34" s="16"/>
      <c r="M34" s="16"/>
      <c r="N34" s="16"/>
      <c r="O34" s="16"/>
    </row>
    <row r="35" spans="12:15" x14ac:dyDescent="0.35">
      <c r="L35" s="16"/>
      <c r="M35" s="16"/>
      <c r="N35" s="16"/>
      <c r="O35" s="16"/>
    </row>
    <row r="36" spans="12:15" x14ac:dyDescent="0.35">
      <c r="L36" s="16"/>
      <c r="M36" s="16"/>
      <c r="N36" s="16"/>
      <c r="O36" s="16"/>
    </row>
    <row r="37" spans="12:15" x14ac:dyDescent="0.35">
      <c r="L37" s="16"/>
      <c r="M37" s="16"/>
      <c r="N37" s="16"/>
      <c r="O37" s="16"/>
    </row>
    <row r="38" spans="12:15" x14ac:dyDescent="0.35">
      <c r="L38" s="16"/>
      <c r="M38" s="16"/>
      <c r="N38" s="16"/>
      <c r="O38" s="16"/>
    </row>
  </sheetData>
  <mergeCells count="1">
    <mergeCell ref="E12:F1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87D4-86D3-4BF5-940E-C7D28AE7E78A}">
  <dimension ref="A1:I40"/>
  <sheetViews>
    <sheetView tabSelected="1" workbookViewId="0">
      <selection activeCell="B9" sqref="B9"/>
    </sheetView>
  </sheetViews>
  <sheetFormatPr baseColWidth="10" defaultRowHeight="14.5" x14ac:dyDescent="0.35"/>
  <cols>
    <col min="1" max="1" width="13.26953125" customWidth="1"/>
    <col min="2" max="2" width="15.90625" customWidth="1"/>
    <col min="4" max="4" width="22" style="16" customWidth="1"/>
    <col min="6" max="6" width="31.08984375" customWidth="1"/>
  </cols>
  <sheetData>
    <row r="1" spans="1:9" x14ac:dyDescent="0.35">
      <c r="A1" s="16" t="s">
        <v>94</v>
      </c>
      <c r="B1" s="16" t="s">
        <v>100</v>
      </c>
      <c r="C1" s="16" t="s">
        <v>95</v>
      </c>
      <c r="D1" s="16" t="s">
        <v>98</v>
      </c>
    </row>
    <row r="2" spans="1:9" x14ac:dyDescent="0.35">
      <c r="A2" s="16">
        <v>1</v>
      </c>
      <c r="B2" s="16" t="s">
        <v>99</v>
      </c>
      <c r="C2" s="16" t="s">
        <v>97</v>
      </c>
      <c r="D2" s="16" t="s">
        <v>14</v>
      </c>
      <c r="G2" s="16"/>
      <c r="H2" s="16"/>
    </row>
    <row r="3" spans="1:9" x14ac:dyDescent="0.35">
      <c r="A3" s="16">
        <v>2</v>
      </c>
      <c r="B3" s="16" t="s">
        <v>99</v>
      </c>
      <c r="C3" s="16" t="s">
        <v>97</v>
      </c>
      <c r="D3" s="16" t="s">
        <v>14</v>
      </c>
      <c r="G3" s="16"/>
      <c r="H3" s="16"/>
    </row>
    <row r="4" spans="1:9" x14ac:dyDescent="0.35">
      <c r="A4" s="16">
        <v>3</v>
      </c>
      <c r="B4" s="16" t="s">
        <v>99</v>
      </c>
      <c r="C4" s="16" t="s">
        <v>97</v>
      </c>
      <c r="D4" s="16" t="s">
        <v>14</v>
      </c>
      <c r="G4" s="16"/>
      <c r="H4" s="16"/>
    </row>
    <row r="5" spans="1:9" x14ac:dyDescent="0.35">
      <c r="A5" s="16">
        <v>4</v>
      </c>
      <c r="B5" s="16" t="s">
        <v>99</v>
      </c>
      <c r="C5" s="16" t="s">
        <v>97</v>
      </c>
      <c r="D5" s="16" t="s">
        <v>14</v>
      </c>
      <c r="G5" s="16"/>
      <c r="H5" s="16"/>
    </row>
    <row r="6" spans="1:9" x14ac:dyDescent="0.35">
      <c r="A6" s="16">
        <v>5</v>
      </c>
      <c r="B6" s="16" t="s">
        <v>105</v>
      </c>
      <c r="C6" s="16" t="s">
        <v>97</v>
      </c>
      <c r="D6" s="57">
        <v>6477.2208604513562</v>
      </c>
      <c r="G6" s="16"/>
      <c r="H6" s="16"/>
    </row>
    <row r="7" spans="1:9" x14ac:dyDescent="0.35">
      <c r="A7" s="16">
        <v>6</v>
      </c>
      <c r="B7" s="16" t="s">
        <v>105</v>
      </c>
      <c r="C7" s="16" t="s">
        <v>97</v>
      </c>
      <c r="D7" s="57">
        <v>7207.2521342236496</v>
      </c>
      <c r="G7" s="16"/>
      <c r="H7" s="16"/>
    </row>
    <row r="8" spans="1:9" x14ac:dyDescent="0.35">
      <c r="A8" s="16">
        <v>7</v>
      </c>
      <c r="B8" s="16" t="s">
        <v>105</v>
      </c>
      <c r="C8" s="16" t="s">
        <v>97</v>
      </c>
      <c r="D8" s="57">
        <v>5877.8632406389997</v>
      </c>
      <c r="G8" s="16"/>
      <c r="H8" s="16"/>
      <c r="I8" s="37"/>
    </row>
    <row r="9" spans="1:9" x14ac:dyDescent="0.35">
      <c r="A9" s="16">
        <v>8</v>
      </c>
      <c r="B9" s="16" t="s">
        <v>106</v>
      </c>
      <c r="C9" s="16" t="s">
        <v>97</v>
      </c>
      <c r="D9" s="57">
        <v>67371.548090227501</v>
      </c>
      <c r="G9" s="16"/>
      <c r="H9" s="16"/>
    </row>
    <row r="10" spans="1:9" x14ac:dyDescent="0.35">
      <c r="A10" s="16">
        <v>9</v>
      </c>
      <c r="B10" s="16" t="s">
        <v>106</v>
      </c>
      <c r="C10" s="16" t="s">
        <v>97</v>
      </c>
      <c r="D10" s="57">
        <v>58766.148598642088</v>
      </c>
      <c r="G10" s="16"/>
      <c r="H10" s="16"/>
    </row>
    <row r="11" spans="1:9" x14ac:dyDescent="0.35">
      <c r="A11" s="16">
        <v>10</v>
      </c>
      <c r="B11" s="16" t="s">
        <v>106</v>
      </c>
      <c r="C11" s="16" t="s">
        <v>97</v>
      </c>
      <c r="D11" s="57">
        <v>59173.202046529594</v>
      </c>
      <c r="G11" s="16"/>
      <c r="H11" s="16"/>
    </row>
    <row r="12" spans="1:9" x14ac:dyDescent="0.35">
      <c r="A12" s="16">
        <v>11</v>
      </c>
      <c r="B12" s="16" t="s">
        <v>96</v>
      </c>
      <c r="C12" s="16" t="s">
        <v>97</v>
      </c>
      <c r="D12" s="16">
        <v>7.27</v>
      </c>
      <c r="G12" s="16"/>
      <c r="H12" s="16"/>
    </row>
    <row r="13" spans="1:9" x14ac:dyDescent="0.35">
      <c r="A13" s="16">
        <v>12</v>
      </c>
      <c r="B13" s="16" t="s">
        <v>96</v>
      </c>
      <c r="C13" s="16" t="s">
        <v>97</v>
      </c>
      <c r="D13" s="57">
        <v>6.8</v>
      </c>
      <c r="G13" s="16"/>
      <c r="H13" s="16"/>
    </row>
    <row r="14" spans="1:9" x14ac:dyDescent="0.35">
      <c r="A14" s="16">
        <v>13</v>
      </c>
      <c r="B14" s="16" t="s">
        <v>96</v>
      </c>
      <c r="C14" s="16" t="s">
        <v>97</v>
      </c>
      <c r="D14" s="16">
        <v>9.2100000000000009</v>
      </c>
      <c r="G14" s="16"/>
      <c r="H14" s="16"/>
    </row>
    <row r="15" spans="1:9" x14ac:dyDescent="0.35">
      <c r="A15" s="16">
        <v>14</v>
      </c>
      <c r="B15" s="16" t="s">
        <v>96</v>
      </c>
      <c r="C15" s="16" t="s">
        <v>97</v>
      </c>
      <c r="D15" s="16">
        <v>5.56</v>
      </c>
      <c r="G15" s="16"/>
      <c r="H15" s="16"/>
    </row>
    <row r="16" spans="1:9" x14ac:dyDescent="0.35">
      <c r="A16" s="16">
        <v>15</v>
      </c>
      <c r="B16" s="16" t="s">
        <v>96</v>
      </c>
      <c r="C16" s="16" t="s">
        <v>97</v>
      </c>
      <c r="D16" s="57">
        <v>7.3</v>
      </c>
      <c r="G16" s="16"/>
      <c r="H16" s="16"/>
    </row>
    <row r="17" spans="1:9" x14ac:dyDescent="0.35">
      <c r="A17" s="16">
        <v>16</v>
      </c>
      <c r="B17" s="16" t="s">
        <v>96</v>
      </c>
      <c r="C17" s="16" t="s">
        <v>97</v>
      </c>
      <c r="D17" s="16">
        <v>7.03</v>
      </c>
      <c r="G17" s="16"/>
      <c r="H17" s="16"/>
    </row>
    <row r="18" spans="1:9" x14ac:dyDescent="0.35">
      <c r="A18" s="16">
        <v>17</v>
      </c>
      <c r="B18" s="16" t="s">
        <v>96</v>
      </c>
      <c r="C18" s="16" t="s">
        <v>97</v>
      </c>
      <c r="D18" s="16">
        <v>7.31</v>
      </c>
      <c r="G18" s="16"/>
      <c r="H18" s="16"/>
    </row>
    <row r="19" spans="1:9" x14ac:dyDescent="0.35">
      <c r="A19" s="16">
        <v>18</v>
      </c>
      <c r="B19" s="16" t="s">
        <v>101</v>
      </c>
      <c r="C19" s="16" t="s">
        <v>97</v>
      </c>
      <c r="D19" s="16">
        <v>55.46</v>
      </c>
      <c r="G19" s="16"/>
      <c r="H19" s="16"/>
    </row>
    <row r="20" spans="1:9" x14ac:dyDescent="0.35">
      <c r="A20" s="16">
        <v>19</v>
      </c>
      <c r="B20" s="16" t="s">
        <v>101</v>
      </c>
      <c r="C20" s="16" t="s">
        <v>97</v>
      </c>
      <c r="D20" s="16">
        <v>38.74</v>
      </c>
      <c r="G20" s="16"/>
      <c r="H20" s="16"/>
    </row>
    <row r="21" spans="1:9" x14ac:dyDescent="0.35">
      <c r="A21" s="16">
        <v>20</v>
      </c>
      <c r="B21" s="16" t="s">
        <v>101</v>
      </c>
      <c r="C21" s="16" t="s">
        <v>97</v>
      </c>
      <c r="D21" s="16">
        <v>99.77</v>
      </c>
      <c r="G21" s="16"/>
      <c r="H21" s="16"/>
    </row>
    <row r="22" spans="1:9" x14ac:dyDescent="0.35">
      <c r="A22" s="16">
        <v>21</v>
      </c>
      <c r="B22" s="16" t="s">
        <v>101</v>
      </c>
      <c r="C22" s="16" t="s">
        <v>97</v>
      </c>
      <c r="D22" s="16">
        <v>103.31</v>
      </c>
      <c r="G22" s="16"/>
      <c r="H22" s="16"/>
    </row>
    <row r="23" spans="1:9" x14ac:dyDescent="0.35">
      <c r="A23" s="16">
        <v>22</v>
      </c>
      <c r="B23" s="16" t="s">
        <v>101</v>
      </c>
      <c r="C23" s="16" t="s">
        <v>97</v>
      </c>
      <c r="D23" s="16">
        <v>71.22</v>
      </c>
      <c r="G23" s="16"/>
      <c r="H23" s="16"/>
    </row>
    <row r="24" spans="1:9" x14ac:dyDescent="0.35">
      <c r="A24" s="16">
        <v>23</v>
      </c>
      <c r="B24" s="16" t="s">
        <v>101</v>
      </c>
      <c r="C24" s="16" t="s">
        <v>97</v>
      </c>
      <c r="D24" s="16">
        <v>26.99</v>
      </c>
      <c r="G24" s="16"/>
      <c r="H24" s="16"/>
      <c r="I24" s="37"/>
    </row>
    <row r="25" spans="1:9" x14ac:dyDescent="0.35">
      <c r="A25" s="16">
        <v>24</v>
      </c>
      <c r="B25" s="16" t="s">
        <v>96</v>
      </c>
      <c r="C25" s="16" t="s">
        <v>102</v>
      </c>
      <c r="D25" s="16">
        <v>7.21</v>
      </c>
      <c r="G25" s="16"/>
      <c r="H25" s="16"/>
    </row>
    <row r="26" spans="1:9" x14ac:dyDescent="0.35">
      <c r="A26" s="16">
        <v>25</v>
      </c>
      <c r="B26" s="16" t="s">
        <v>96</v>
      </c>
      <c r="C26" s="16" t="s">
        <v>102</v>
      </c>
      <c r="D26" s="16">
        <v>7.26</v>
      </c>
      <c r="G26" s="16"/>
      <c r="H26" s="16"/>
    </row>
    <row r="27" spans="1:9" x14ac:dyDescent="0.35">
      <c r="A27" s="16">
        <v>26</v>
      </c>
      <c r="B27" s="16" t="s">
        <v>96</v>
      </c>
      <c r="C27" s="16" t="s">
        <v>102</v>
      </c>
      <c r="D27" s="16">
        <v>8.91</v>
      </c>
      <c r="G27" s="16"/>
      <c r="H27" s="16"/>
    </row>
    <row r="28" spans="1:9" x14ac:dyDescent="0.35">
      <c r="A28" s="16">
        <v>27</v>
      </c>
      <c r="B28" s="16" t="s">
        <v>96</v>
      </c>
      <c r="C28" s="16" t="s">
        <v>102</v>
      </c>
      <c r="D28" s="16">
        <v>5.91</v>
      </c>
      <c r="G28" s="16"/>
      <c r="H28" s="16"/>
    </row>
    <row r="29" spans="1:9" x14ac:dyDescent="0.35">
      <c r="A29" s="16">
        <v>28</v>
      </c>
      <c r="B29" s="16" t="s">
        <v>96</v>
      </c>
      <c r="C29" s="16" t="s">
        <v>102</v>
      </c>
      <c r="D29" s="16">
        <v>4.09</v>
      </c>
      <c r="G29" s="16"/>
      <c r="H29" s="16"/>
    </row>
    <row r="30" spans="1:9" x14ac:dyDescent="0.35">
      <c r="A30" s="16">
        <v>29</v>
      </c>
      <c r="B30" s="16" t="s">
        <v>96</v>
      </c>
      <c r="C30" s="16" t="s">
        <v>102</v>
      </c>
      <c r="D30" s="16">
        <v>6.68</v>
      </c>
    </row>
    <row r="31" spans="1:9" x14ac:dyDescent="0.35">
      <c r="A31" s="16">
        <v>30</v>
      </c>
      <c r="B31" s="16" t="s">
        <v>96</v>
      </c>
      <c r="C31" s="16" t="s">
        <v>102</v>
      </c>
      <c r="D31" s="57">
        <v>6.8</v>
      </c>
    </row>
    <row r="32" spans="1:9" x14ac:dyDescent="0.35">
      <c r="A32" s="16">
        <v>31</v>
      </c>
      <c r="B32" s="16" t="s">
        <v>101</v>
      </c>
      <c r="C32" s="16" t="s">
        <v>102</v>
      </c>
      <c r="D32" s="16">
        <v>57.79</v>
      </c>
    </row>
    <row r="33" spans="1:4" x14ac:dyDescent="0.35">
      <c r="A33" s="16">
        <v>32</v>
      </c>
      <c r="B33" s="16" t="s">
        <v>101</v>
      </c>
      <c r="C33" s="16" t="s">
        <v>102</v>
      </c>
      <c r="D33" s="16">
        <v>52.51</v>
      </c>
    </row>
    <row r="34" spans="1:4" x14ac:dyDescent="0.35">
      <c r="A34" s="16">
        <v>33</v>
      </c>
      <c r="B34" s="16" t="s">
        <v>101</v>
      </c>
      <c r="C34" s="16" t="s">
        <v>102</v>
      </c>
      <c r="D34" s="16">
        <v>12.62</v>
      </c>
    </row>
    <row r="35" spans="1:4" x14ac:dyDescent="0.35">
      <c r="A35" s="16">
        <v>34</v>
      </c>
      <c r="B35" s="16" t="s">
        <v>101</v>
      </c>
      <c r="C35" s="16" t="s">
        <v>102</v>
      </c>
      <c r="D35" s="57">
        <v>50.9</v>
      </c>
    </row>
    <row r="36" spans="1:4" x14ac:dyDescent="0.35">
      <c r="A36" s="16">
        <v>35</v>
      </c>
      <c r="B36" s="16" t="s">
        <v>101</v>
      </c>
      <c r="C36" s="16" t="s">
        <v>102</v>
      </c>
      <c r="D36" s="16">
        <v>18.77</v>
      </c>
    </row>
    <row r="37" spans="1:4" x14ac:dyDescent="0.35">
      <c r="A37" s="16">
        <v>36</v>
      </c>
      <c r="B37" s="16" t="s">
        <v>101</v>
      </c>
      <c r="C37" s="16" t="s">
        <v>102</v>
      </c>
      <c r="D37" s="16">
        <v>65.010000000000005</v>
      </c>
    </row>
    <row r="38" spans="1:4" x14ac:dyDescent="0.35">
      <c r="A38" s="16">
        <v>37</v>
      </c>
      <c r="B38" s="16" t="s">
        <v>103</v>
      </c>
      <c r="C38" s="16" t="s">
        <v>97</v>
      </c>
      <c r="D38" s="16" t="s">
        <v>14</v>
      </c>
    </row>
    <row r="39" spans="1:4" x14ac:dyDescent="0.35">
      <c r="A39" s="16">
        <v>38</v>
      </c>
      <c r="B39" s="16" t="s">
        <v>103</v>
      </c>
      <c r="C39" s="16" t="s">
        <v>97</v>
      </c>
      <c r="D39" s="16" t="s">
        <v>14</v>
      </c>
    </row>
    <row r="40" spans="1:4" x14ac:dyDescent="0.35">
      <c r="A40" s="16">
        <v>39</v>
      </c>
      <c r="B40" s="16" t="s">
        <v>103</v>
      </c>
      <c r="C40" s="16" t="s">
        <v>97</v>
      </c>
      <c r="D40" s="16" t="s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 für Anhang</vt:lpstr>
      <vt:lpstr>txt Datei github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Oster</dc:creator>
  <cp:lastModifiedBy>Sophie Oster</cp:lastModifiedBy>
  <dcterms:created xsi:type="dcterms:W3CDTF">2024-03-09T17:38:19Z</dcterms:created>
  <dcterms:modified xsi:type="dcterms:W3CDTF">2024-06-23T14:32:43Z</dcterms:modified>
</cp:coreProperties>
</file>