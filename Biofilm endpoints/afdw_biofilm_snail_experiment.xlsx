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Biofilm endpoints/"/>
    </mc:Choice>
  </mc:AlternateContent>
  <xr:revisionPtr revIDLastSave="318" documentId="11_B731D073247C5B9541B6F492153AA8E262D1CCC1" xr6:coauthVersionLast="47" xr6:coauthVersionMax="47" xr10:uidLastSave="{B37B252D-0556-44CE-9E19-164B7434BAE6}"/>
  <bookViews>
    <workbookView xWindow="28680" yWindow="-120" windowWidth="29040" windowHeight="15720" activeTab="2" xr2:uid="{00000000-000D-0000-FFFF-FFFF00000000}"/>
  </bookViews>
  <sheets>
    <sheet name="Tabelle1" sheetId="1" r:id="rId1"/>
    <sheet name="sortiert" sheetId="4" r:id="rId2"/>
    <sheet name="für 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I5" i="4"/>
  <c r="I8" i="4"/>
  <c r="I9" i="4"/>
  <c r="I10" i="4"/>
  <c r="I11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H4" i="4"/>
  <c r="H5" i="4"/>
  <c r="H8" i="4"/>
  <c r="H9" i="4"/>
  <c r="H10" i="4"/>
  <c r="H11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G4" i="4"/>
  <c r="G5" i="4"/>
  <c r="G6" i="4"/>
  <c r="G7" i="4"/>
  <c r="H7" i="4" s="1"/>
  <c r="I7" i="4" s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" i="4"/>
  <c r="E4" i="4" l="1"/>
  <c r="E5" i="4"/>
  <c r="E7" i="4"/>
  <c r="E8" i="4"/>
  <c r="E9" i="4"/>
  <c r="E10" i="4"/>
  <c r="E11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D4" i="4"/>
  <c r="D5" i="4"/>
  <c r="D6" i="4"/>
  <c r="H6" i="4" s="1"/>
  <c r="I6" i="4" s="1"/>
  <c r="D7" i="4"/>
  <c r="D8" i="4"/>
  <c r="D9" i="4"/>
  <c r="D10" i="4"/>
  <c r="D11" i="4"/>
  <c r="D12" i="4"/>
  <c r="H12" i="4" s="1"/>
  <c r="I12" i="4" s="1"/>
  <c r="D13" i="4"/>
  <c r="H13" i="4" s="1"/>
  <c r="I13" i="4" s="1"/>
  <c r="D14" i="4"/>
  <c r="H14" i="4" s="1"/>
  <c r="I14" i="4" s="1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" i="4"/>
  <c r="H3" i="4" s="1"/>
  <c r="I3" i="4" s="1"/>
  <c r="E12" i="4" l="1"/>
  <c r="E14" i="4"/>
  <c r="E13" i="4"/>
  <c r="E6" i="4"/>
  <c r="E3" i="4"/>
</calcChain>
</file>

<file path=xl/sharedStrings.xml><?xml version="1.0" encoding="utf-8"?>
<sst xmlns="http://schemas.openxmlformats.org/spreadsheetml/2006/main" count="281" uniqueCount="104">
  <si>
    <t>snail experiment AFDW</t>
  </si>
  <si>
    <t>Filter nr</t>
  </si>
  <si>
    <t>emtpy weight</t>
  </si>
  <si>
    <t>rot1</t>
  </si>
  <si>
    <t>rot2</t>
  </si>
  <si>
    <t>395rot</t>
  </si>
  <si>
    <t>dryweight</t>
  </si>
  <si>
    <t>mg</t>
  </si>
  <si>
    <t>W3NC3</t>
  </si>
  <si>
    <t>W3NC1</t>
  </si>
  <si>
    <t>W3NC2</t>
  </si>
  <si>
    <t>W3Pro1</t>
  </si>
  <si>
    <t>W3Cip3</t>
  </si>
  <si>
    <t>sample</t>
  </si>
  <si>
    <t>W1Pro3</t>
  </si>
  <si>
    <t>W1NC3</t>
  </si>
  <si>
    <t>W3Cip2</t>
  </si>
  <si>
    <t>W3Cip1</t>
  </si>
  <si>
    <t>W3Pro3</t>
  </si>
  <si>
    <t>W3Pro2</t>
  </si>
  <si>
    <t>W2NC2</t>
  </si>
  <si>
    <t>W2NC1</t>
  </si>
  <si>
    <t>W1Cip1</t>
  </si>
  <si>
    <t>W1NC1</t>
  </si>
  <si>
    <t>W1NC2</t>
  </si>
  <si>
    <t>W2NC3</t>
  </si>
  <si>
    <t>W2Cip1</t>
  </si>
  <si>
    <t>W2Cip3</t>
  </si>
  <si>
    <t>W2Pro3</t>
  </si>
  <si>
    <t>W3Mix3</t>
  </si>
  <si>
    <t>W2Mix3</t>
  </si>
  <si>
    <t>W3Mix2</t>
  </si>
  <si>
    <t>W2Pro2</t>
  </si>
  <si>
    <t>W2Pro1</t>
  </si>
  <si>
    <t>W1Pro2</t>
  </si>
  <si>
    <t>W2Cip2</t>
  </si>
  <si>
    <t>W2Mix1</t>
  </si>
  <si>
    <t>W1Cip2</t>
  </si>
  <si>
    <t>W2Mix2</t>
  </si>
  <si>
    <t>W1Pro1</t>
  </si>
  <si>
    <t>W1Cip3</t>
  </si>
  <si>
    <t>W3Mix1</t>
  </si>
  <si>
    <t>W1Mix3</t>
  </si>
  <si>
    <t>W1Mix2</t>
  </si>
  <si>
    <t>muffeled</t>
  </si>
  <si>
    <t>W1Mix1</t>
  </si>
  <si>
    <t>W1_NC1</t>
  </si>
  <si>
    <t>W1_NC2</t>
  </si>
  <si>
    <t>W1_NC3</t>
  </si>
  <si>
    <t>W1_Cip1</t>
  </si>
  <si>
    <t>W1_Cip2</t>
  </si>
  <si>
    <t>W1_Cip3</t>
  </si>
  <si>
    <t>W1_Pro1</t>
  </si>
  <si>
    <t>W1_Pro2</t>
  </si>
  <si>
    <t>W1_Pro3</t>
  </si>
  <si>
    <t>W1_Mix1</t>
  </si>
  <si>
    <t>W1_Mix2</t>
  </si>
  <si>
    <t>W1_Mix3</t>
  </si>
  <si>
    <t>W2_NC1</t>
  </si>
  <si>
    <t>W2_NC2</t>
  </si>
  <si>
    <t>W2_NC3</t>
  </si>
  <si>
    <t>W2_Cip1</t>
  </si>
  <si>
    <t>W2_Cip2</t>
  </si>
  <si>
    <t>W2_Cip3</t>
  </si>
  <si>
    <t>W2_Pro1</t>
  </si>
  <si>
    <t>W2_Pro2</t>
  </si>
  <si>
    <t>W2_Pro3</t>
  </si>
  <si>
    <t>W2_Mix1</t>
  </si>
  <si>
    <t>W2_Mix2</t>
  </si>
  <si>
    <t>W2_Mix3</t>
  </si>
  <si>
    <t>W3_NC1</t>
  </si>
  <si>
    <t>W3_NC2</t>
  </si>
  <si>
    <t>W3_NC3</t>
  </si>
  <si>
    <t>W3_Cip1</t>
  </si>
  <si>
    <t>W3_Cip2</t>
  </si>
  <si>
    <t>W3_Cip3</t>
  </si>
  <si>
    <t>W3_Pro1</t>
  </si>
  <si>
    <t>W3_Pro2</t>
  </si>
  <si>
    <t>W3_Pro3</t>
  </si>
  <si>
    <t>W3_Mix1</t>
  </si>
  <si>
    <t>W3_Mix2</t>
  </si>
  <si>
    <t>W3_Mix3</t>
  </si>
  <si>
    <t>treatment</t>
  </si>
  <si>
    <t>week</t>
  </si>
  <si>
    <t>NC</t>
  </si>
  <si>
    <t>Cip</t>
  </si>
  <si>
    <t>Pro</t>
  </si>
  <si>
    <t>Mix</t>
  </si>
  <si>
    <t>afdw_after_colonisation</t>
  </si>
  <si>
    <t>Info:</t>
  </si>
  <si>
    <t>both organic and inorganic content of the sample</t>
  </si>
  <si>
    <t>during the burning process all organic content (carbon) reacts with oxygen to CO2 and therefore, leaves the sample</t>
  </si>
  <si>
    <t>organic material that left the sample due to the burning process</t>
  </si>
  <si>
    <t>organic material on two tiles</t>
  </si>
  <si>
    <r>
      <t>2 Kacheln haben eine Fläche von 44,18 cm</t>
    </r>
    <r>
      <rPr>
        <b/>
        <sz val="10"/>
        <color theme="1"/>
        <rFont val="Calibri"/>
        <family val="2"/>
      </rPr>
      <t>²</t>
    </r>
  </si>
  <si>
    <t>filter weight (mg)</t>
  </si>
  <si>
    <t>with dried algae (mg)</t>
  </si>
  <si>
    <t>dry mass (dried algae - filter weight) (mg)</t>
  </si>
  <si>
    <r>
      <t>dry mass on two tiles (mg/cm</t>
    </r>
    <r>
      <rPr>
        <b/>
        <sz val="10"/>
        <color theme="1"/>
        <rFont val="Calibri"/>
        <family val="2"/>
      </rPr>
      <t>²)</t>
    </r>
  </si>
  <si>
    <t>filter after muffeling  (mg)</t>
  </si>
  <si>
    <t>inorganic material on filter after ashing (mg)</t>
  </si>
  <si>
    <t>afdw (mg)</t>
  </si>
  <si>
    <r>
      <t>afdw (mg/cm</t>
    </r>
    <r>
      <rPr>
        <b/>
        <sz val="10"/>
        <color theme="1"/>
        <rFont val="Calibri"/>
        <family val="2"/>
      </rPr>
      <t>²</t>
    </r>
    <r>
      <rPr>
        <b/>
        <sz val="9.3000000000000007"/>
        <color theme="1"/>
        <rFont val="Calibri"/>
        <family val="2"/>
      </rPr>
      <t>)</t>
    </r>
  </si>
  <si>
    <t>organic matter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</si>
</sst>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.3000000000000007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opLeftCell="A16" workbookViewId="0">
      <selection activeCell="I20" sqref="I20"/>
    </sheetView>
  </sheetViews>
  <sheetFormatPr baseColWidth="10" defaultRowHeight="14.5" x14ac:dyDescent="0.35"/>
  <cols>
    <col min="3" max="3" width="10.90625" style="3"/>
    <col min="7" max="7" width="10.90625" style="3"/>
  </cols>
  <sheetData>
    <row r="1" spans="1:8" x14ac:dyDescent="0.35">
      <c r="B1" t="s">
        <v>0</v>
      </c>
    </row>
    <row r="3" spans="1:8" x14ac:dyDescent="0.35">
      <c r="A3" t="s">
        <v>13</v>
      </c>
      <c r="B3" t="s">
        <v>1</v>
      </c>
      <c r="C3" s="3" t="s">
        <v>2</v>
      </c>
      <c r="E3" t="s">
        <v>6</v>
      </c>
      <c r="G3" s="3" t="s">
        <v>44</v>
      </c>
    </row>
    <row r="4" spans="1:8" x14ac:dyDescent="0.35">
      <c r="A4" t="s">
        <v>29</v>
      </c>
      <c r="B4">
        <v>399</v>
      </c>
      <c r="C4">
        <v>130.75</v>
      </c>
      <c r="D4" t="s">
        <v>7</v>
      </c>
      <c r="E4">
        <v>148.26</v>
      </c>
      <c r="F4" t="s">
        <v>7</v>
      </c>
      <c r="G4" s="3">
        <v>134.69999999999999</v>
      </c>
      <c r="H4" t="s">
        <v>7</v>
      </c>
    </row>
    <row r="5" spans="1:8" x14ac:dyDescent="0.35">
      <c r="A5" t="s">
        <v>31</v>
      </c>
      <c r="B5">
        <v>400</v>
      </c>
      <c r="C5">
        <v>136.71</v>
      </c>
      <c r="D5" t="s">
        <v>7</v>
      </c>
      <c r="E5">
        <v>159</v>
      </c>
      <c r="F5" t="s">
        <v>7</v>
      </c>
      <c r="G5" s="3">
        <v>140.72</v>
      </c>
      <c r="H5" t="s">
        <v>7</v>
      </c>
    </row>
    <row r="6" spans="1:8" x14ac:dyDescent="0.35">
      <c r="A6" t="s">
        <v>41</v>
      </c>
      <c r="B6">
        <v>398</v>
      </c>
      <c r="C6">
        <v>136.74</v>
      </c>
      <c r="D6" t="s">
        <v>7</v>
      </c>
      <c r="E6">
        <v>142.13999999999999</v>
      </c>
      <c r="F6" t="s">
        <v>7</v>
      </c>
      <c r="G6" s="3">
        <v>136.91</v>
      </c>
      <c r="H6" t="s">
        <v>7</v>
      </c>
    </row>
    <row r="7" spans="1:8" x14ac:dyDescent="0.35">
      <c r="A7" t="s">
        <v>25</v>
      </c>
      <c r="B7">
        <v>397</v>
      </c>
      <c r="C7">
        <v>135.74</v>
      </c>
      <c r="D7" t="s">
        <v>7</v>
      </c>
      <c r="E7">
        <v>141.21</v>
      </c>
      <c r="F7" t="s">
        <v>7</v>
      </c>
      <c r="G7" s="3">
        <v>136.26</v>
      </c>
      <c r="H7" t="s">
        <v>7</v>
      </c>
    </row>
    <row r="8" spans="1:8" x14ac:dyDescent="0.35">
      <c r="A8" t="s">
        <v>20</v>
      </c>
      <c r="B8">
        <v>396</v>
      </c>
      <c r="C8">
        <v>133.80000000000001</v>
      </c>
      <c r="D8" t="s">
        <v>7</v>
      </c>
      <c r="E8">
        <v>146.09</v>
      </c>
      <c r="F8" t="s">
        <v>7</v>
      </c>
      <c r="G8" s="3">
        <v>137</v>
      </c>
      <c r="H8" t="s">
        <v>7</v>
      </c>
    </row>
    <row r="9" spans="1:8" x14ac:dyDescent="0.35">
      <c r="A9" t="s">
        <v>21</v>
      </c>
      <c r="B9">
        <v>395</v>
      </c>
      <c r="C9">
        <v>131.89999999999998</v>
      </c>
      <c r="D9" t="s">
        <v>7</v>
      </c>
      <c r="E9">
        <v>155.09</v>
      </c>
      <c r="F9" t="s">
        <v>7</v>
      </c>
      <c r="G9" s="3">
        <v>140.69999999999999</v>
      </c>
      <c r="H9" t="s">
        <v>7</v>
      </c>
    </row>
    <row r="10" spans="1:8" x14ac:dyDescent="0.35">
      <c r="A10" t="s">
        <v>28</v>
      </c>
      <c r="B10">
        <v>394</v>
      </c>
      <c r="C10">
        <v>138.07</v>
      </c>
      <c r="D10" t="s">
        <v>7</v>
      </c>
      <c r="E10">
        <v>143.07</v>
      </c>
      <c r="F10" t="s">
        <v>7</v>
      </c>
      <c r="G10" s="3">
        <v>139.68</v>
      </c>
      <c r="H10" t="s">
        <v>7</v>
      </c>
    </row>
    <row r="11" spans="1:8" x14ac:dyDescent="0.35">
      <c r="A11" t="s">
        <v>32</v>
      </c>
      <c r="B11">
        <v>393</v>
      </c>
      <c r="C11">
        <v>133.47</v>
      </c>
      <c r="D11" t="s">
        <v>7</v>
      </c>
      <c r="E11">
        <v>136.93</v>
      </c>
      <c r="F11" t="s">
        <v>7</v>
      </c>
      <c r="G11" s="3">
        <v>134.11000000000001</v>
      </c>
      <c r="H11" t="s">
        <v>7</v>
      </c>
    </row>
    <row r="12" spans="1:8" x14ac:dyDescent="0.35">
      <c r="A12" t="s">
        <v>33</v>
      </c>
      <c r="B12">
        <v>392</v>
      </c>
      <c r="C12">
        <v>131.82</v>
      </c>
      <c r="D12" t="s">
        <v>7</v>
      </c>
      <c r="E12">
        <v>135.77000000000001</v>
      </c>
      <c r="F12" t="s">
        <v>7</v>
      </c>
      <c r="G12" s="3">
        <v>132.71</v>
      </c>
      <c r="H12" t="s">
        <v>7</v>
      </c>
    </row>
    <row r="13" spans="1:8" x14ac:dyDescent="0.35">
      <c r="A13" t="s">
        <v>27</v>
      </c>
      <c r="B13">
        <v>391</v>
      </c>
      <c r="C13">
        <v>134.65</v>
      </c>
      <c r="D13" t="s">
        <v>7</v>
      </c>
      <c r="E13">
        <v>139.80000000000001</v>
      </c>
      <c r="F13" t="s">
        <v>7</v>
      </c>
      <c r="G13" s="3">
        <v>136.32</v>
      </c>
      <c r="H13" t="s">
        <v>7</v>
      </c>
    </row>
    <row r="14" spans="1:8" x14ac:dyDescent="0.35">
      <c r="A14" t="s">
        <v>42</v>
      </c>
      <c r="B14" t="s">
        <v>3</v>
      </c>
      <c r="C14" s="10">
        <v>130.19999999999999</v>
      </c>
      <c r="D14" t="s">
        <v>7</v>
      </c>
      <c r="E14">
        <v>134.21</v>
      </c>
      <c r="F14" t="s">
        <v>7</v>
      </c>
      <c r="G14">
        <v>131.41</v>
      </c>
      <c r="H14" t="s">
        <v>7</v>
      </c>
    </row>
    <row r="15" spans="1:8" x14ac:dyDescent="0.35">
      <c r="A15" t="s">
        <v>43</v>
      </c>
      <c r="B15" t="s">
        <v>4</v>
      </c>
      <c r="C15" s="10">
        <v>135.25</v>
      </c>
      <c r="D15" t="s">
        <v>7</v>
      </c>
      <c r="E15">
        <v>138.43</v>
      </c>
      <c r="F15" t="s">
        <v>7</v>
      </c>
      <c r="G15">
        <v>135.32</v>
      </c>
      <c r="H15" t="s">
        <v>7</v>
      </c>
    </row>
    <row r="16" spans="1:8" x14ac:dyDescent="0.35">
      <c r="A16" t="s">
        <v>35</v>
      </c>
      <c r="B16">
        <v>2</v>
      </c>
      <c r="C16">
        <v>132.42999999999998</v>
      </c>
      <c r="D16" t="s">
        <v>7</v>
      </c>
      <c r="E16">
        <v>137.78</v>
      </c>
      <c r="F16" t="s">
        <v>7</v>
      </c>
      <c r="G16" s="3">
        <v>133.66</v>
      </c>
      <c r="H16" t="s">
        <v>7</v>
      </c>
    </row>
    <row r="17" spans="1:8" x14ac:dyDescent="0.35">
      <c r="A17" t="s">
        <v>26</v>
      </c>
      <c r="B17">
        <v>1</v>
      </c>
      <c r="C17">
        <v>133.95000000000002</v>
      </c>
      <c r="D17" t="s">
        <v>7</v>
      </c>
      <c r="E17">
        <v>143.51</v>
      </c>
      <c r="F17" t="s">
        <v>7</v>
      </c>
      <c r="G17" s="3">
        <v>136.69</v>
      </c>
      <c r="H17" t="s">
        <v>7</v>
      </c>
    </row>
    <row r="18" spans="1:8" x14ac:dyDescent="0.35">
      <c r="A18" t="s">
        <v>30</v>
      </c>
      <c r="B18">
        <v>3</v>
      </c>
      <c r="C18">
        <v>135.06</v>
      </c>
      <c r="D18" t="s">
        <v>7</v>
      </c>
      <c r="E18">
        <v>141.59</v>
      </c>
      <c r="F18" t="s">
        <v>7</v>
      </c>
      <c r="G18" s="3">
        <v>137.19999999999999</v>
      </c>
      <c r="H18" t="s">
        <v>7</v>
      </c>
    </row>
    <row r="19" spans="1:8" x14ac:dyDescent="0.35">
      <c r="A19" t="s">
        <v>38</v>
      </c>
      <c r="B19">
        <v>4</v>
      </c>
      <c r="C19">
        <v>133.79</v>
      </c>
      <c r="D19" t="s">
        <v>7</v>
      </c>
      <c r="E19">
        <v>137.19</v>
      </c>
      <c r="F19" t="s">
        <v>7</v>
      </c>
      <c r="G19" s="3">
        <v>134.66999999999999</v>
      </c>
      <c r="H19" t="s">
        <v>7</v>
      </c>
    </row>
    <row r="20" spans="1:8" x14ac:dyDescent="0.35">
      <c r="A20" t="s">
        <v>36</v>
      </c>
      <c r="B20">
        <v>5</v>
      </c>
      <c r="C20">
        <v>132.51</v>
      </c>
      <c r="D20" t="s">
        <v>7</v>
      </c>
      <c r="E20">
        <v>136.29</v>
      </c>
      <c r="F20" t="s">
        <v>7</v>
      </c>
      <c r="G20" s="3">
        <v>132.79</v>
      </c>
      <c r="H20" t="s">
        <v>7</v>
      </c>
    </row>
    <row r="21" spans="1:8" x14ac:dyDescent="0.35">
      <c r="A21" t="s">
        <v>15</v>
      </c>
      <c r="B21">
        <v>6</v>
      </c>
      <c r="C21">
        <v>133.06</v>
      </c>
      <c r="D21" t="s">
        <v>7</v>
      </c>
      <c r="E21">
        <v>137.5</v>
      </c>
      <c r="F21" t="s">
        <v>7</v>
      </c>
      <c r="G21" s="3">
        <v>133.11000000000001</v>
      </c>
      <c r="H21" t="s">
        <v>7</v>
      </c>
    </row>
    <row r="22" spans="1:8" x14ac:dyDescent="0.35">
      <c r="A22" t="s">
        <v>24</v>
      </c>
      <c r="B22">
        <v>7</v>
      </c>
      <c r="C22">
        <v>135.08000000000001</v>
      </c>
      <c r="D22" t="s">
        <v>7</v>
      </c>
      <c r="E22">
        <v>138.61000000000001</v>
      </c>
      <c r="F22" t="s">
        <v>7</v>
      </c>
      <c r="G22" s="3">
        <v>135.15</v>
      </c>
      <c r="H22" t="s">
        <v>7</v>
      </c>
    </row>
    <row r="23" spans="1:8" x14ac:dyDescent="0.35">
      <c r="A23" t="s">
        <v>23</v>
      </c>
      <c r="B23">
        <v>8</v>
      </c>
      <c r="C23">
        <v>136.22999999999999</v>
      </c>
      <c r="D23" t="s">
        <v>7</v>
      </c>
      <c r="E23">
        <v>140.22</v>
      </c>
      <c r="F23" t="s">
        <v>7</v>
      </c>
      <c r="G23" s="3">
        <v>136.97999999999999</v>
      </c>
      <c r="H23" t="s">
        <v>7</v>
      </c>
    </row>
    <row r="24" spans="1:8" x14ac:dyDescent="0.35">
      <c r="A24" t="s">
        <v>14</v>
      </c>
      <c r="B24">
        <v>9</v>
      </c>
      <c r="C24">
        <v>136.57</v>
      </c>
      <c r="D24" t="s">
        <v>7</v>
      </c>
      <c r="E24">
        <v>145.88</v>
      </c>
      <c r="F24" t="s">
        <v>7</v>
      </c>
      <c r="G24" s="3">
        <v>137.83000000000001</v>
      </c>
      <c r="H24" t="s">
        <v>7</v>
      </c>
    </row>
    <row r="25" spans="1:8" x14ac:dyDescent="0.35">
      <c r="A25" t="s">
        <v>34</v>
      </c>
      <c r="B25">
        <v>10</v>
      </c>
      <c r="C25">
        <v>137.84</v>
      </c>
      <c r="D25" t="s">
        <v>7</v>
      </c>
      <c r="E25">
        <v>143.57</v>
      </c>
      <c r="F25" t="s">
        <v>7</v>
      </c>
      <c r="G25" s="3">
        <v>137.96</v>
      </c>
      <c r="H25" t="s">
        <v>7</v>
      </c>
    </row>
    <row r="26" spans="1:8" x14ac:dyDescent="0.35">
      <c r="A26" t="s">
        <v>39</v>
      </c>
      <c r="B26">
        <v>11</v>
      </c>
      <c r="C26">
        <v>130.45999999999998</v>
      </c>
      <c r="D26" t="s">
        <v>7</v>
      </c>
      <c r="E26">
        <v>135.27000000000001</v>
      </c>
      <c r="F26" t="s">
        <v>7</v>
      </c>
      <c r="G26" s="3">
        <v>131.03</v>
      </c>
      <c r="H26" t="s">
        <v>7</v>
      </c>
    </row>
    <row r="27" spans="1:8" x14ac:dyDescent="0.35">
      <c r="A27" t="s">
        <v>40</v>
      </c>
      <c r="B27">
        <v>12</v>
      </c>
      <c r="C27">
        <v>138.41999999999999</v>
      </c>
      <c r="D27" t="s">
        <v>7</v>
      </c>
      <c r="E27">
        <v>141.49</v>
      </c>
      <c r="F27" t="s">
        <v>7</v>
      </c>
      <c r="G27">
        <v>138.43</v>
      </c>
      <c r="H27" t="s">
        <v>7</v>
      </c>
    </row>
    <row r="28" spans="1:8" x14ac:dyDescent="0.35">
      <c r="A28" t="s">
        <v>37</v>
      </c>
      <c r="B28">
        <v>13</v>
      </c>
      <c r="C28">
        <v>130.82</v>
      </c>
      <c r="D28" t="s">
        <v>7</v>
      </c>
      <c r="E28">
        <v>135.22</v>
      </c>
      <c r="F28" t="s">
        <v>7</v>
      </c>
      <c r="G28" s="3">
        <v>130.65</v>
      </c>
      <c r="H28" t="s">
        <v>7</v>
      </c>
    </row>
    <row r="29" spans="1:8" x14ac:dyDescent="0.35">
      <c r="A29" t="s">
        <v>22</v>
      </c>
      <c r="B29">
        <v>14</v>
      </c>
      <c r="C29">
        <v>126.87</v>
      </c>
      <c r="D29" t="s">
        <v>7</v>
      </c>
      <c r="E29">
        <v>130.65</v>
      </c>
      <c r="F29" t="s">
        <v>7</v>
      </c>
      <c r="G29" s="3">
        <v>127.68</v>
      </c>
      <c r="H29" t="s">
        <v>7</v>
      </c>
    </row>
    <row r="30" spans="1:8" x14ac:dyDescent="0.35">
      <c r="A30" t="s">
        <v>45</v>
      </c>
      <c r="B30" t="s">
        <v>5</v>
      </c>
      <c r="C30" s="10">
        <v>134.75</v>
      </c>
      <c r="D30" t="s">
        <v>7</v>
      </c>
      <c r="E30">
        <v>137.91</v>
      </c>
      <c r="F30" t="s">
        <v>7</v>
      </c>
      <c r="G30">
        <v>134.99</v>
      </c>
      <c r="H30" t="s">
        <v>7</v>
      </c>
    </row>
    <row r="31" spans="1:8" x14ac:dyDescent="0.35">
      <c r="A31" s="1" t="s">
        <v>8</v>
      </c>
      <c r="B31">
        <v>15</v>
      </c>
      <c r="C31">
        <v>130.83000000000001</v>
      </c>
      <c r="D31" t="s">
        <v>7</v>
      </c>
      <c r="E31">
        <v>177.8</v>
      </c>
      <c r="F31" t="s">
        <v>7</v>
      </c>
      <c r="G31" s="3">
        <v>151.52000000000001</v>
      </c>
      <c r="H31" t="s">
        <v>7</v>
      </c>
    </row>
    <row r="32" spans="1:8" x14ac:dyDescent="0.35">
      <c r="A32" t="s">
        <v>9</v>
      </c>
      <c r="B32">
        <v>16</v>
      </c>
      <c r="C32">
        <v>134.05000000000001</v>
      </c>
      <c r="D32" t="s">
        <v>7</v>
      </c>
      <c r="E32">
        <v>185.88</v>
      </c>
      <c r="F32" t="s">
        <v>7</v>
      </c>
      <c r="G32" s="3">
        <v>157.49</v>
      </c>
      <c r="H32" t="s">
        <v>7</v>
      </c>
    </row>
    <row r="33" spans="1:8" x14ac:dyDescent="0.35">
      <c r="A33" t="s">
        <v>10</v>
      </c>
      <c r="B33">
        <v>17</v>
      </c>
      <c r="C33">
        <v>131.78</v>
      </c>
      <c r="D33" t="s">
        <v>7</v>
      </c>
      <c r="E33">
        <v>160.71</v>
      </c>
      <c r="F33" t="s">
        <v>7</v>
      </c>
      <c r="G33" s="3">
        <v>146.46</v>
      </c>
      <c r="H33" t="s">
        <v>7</v>
      </c>
    </row>
    <row r="34" spans="1:8" x14ac:dyDescent="0.35">
      <c r="A34" t="s">
        <v>11</v>
      </c>
      <c r="B34">
        <v>18</v>
      </c>
      <c r="C34">
        <v>136.03</v>
      </c>
      <c r="D34" t="s">
        <v>7</v>
      </c>
      <c r="E34">
        <v>173.25</v>
      </c>
      <c r="F34" t="s">
        <v>7</v>
      </c>
      <c r="G34" s="3">
        <v>149.80000000000001</v>
      </c>
      <c r="H34" t="s">
        <v>7</v>
      </c>
    </row>
    <row r="35" spans="1:8" x14ac:dyDescent="0.35">
      <c r="A35" t="s">
        <v>12</v>
      </c>
      <c r="B35">
        <v>19</v>
      </c>
      <c r="C35">
        <v>135.65</v>
      </c>
      <c r="D35" t="s">
        <v>7</v>
      </c>
      <c r="E35">
        <v>153.88</v>
      </c>
      <c r="F35" t="s">
        <v>7</v>
      </c>
      <c r="G35" s="3">
        <v>146.07</v>
      </c>
      <c r="H35" t="s">
        <v>7</v>
      </c>
    </row>
    <row r="36" spans="1:8" x14ac:dyDescent="0.35">
      <c r="A36" t="s">
        <v>16</v>
      </c>
      <c r="B36">
        <v>20</v>
      </c>
      <c r="C36">
        <v>133.34</v>
      </c>
      <c r="D36" t="s">
        <v>7</v>
      </c>
      <c r="E36">
        <v>155.78</v>
      </c>
      <c r="F36" t="s">
        <v>7</v>
      </c>
      <c r="G36" s="3">
        <v>147.93</v>
      </c>
      <c r="H36" t="s">
        <v>7</v>
      </c>
    </row>
    <row r="37" spans="1:8" x14ac:dyDescent="0.35">
      <c r="A37" t="s">
        <v>17</v>
      </c>
      <c r="B37">
        <v>21</v>
      </c>
      <c r="C37">
        <v>132.56</v>
      </c>
      <c r="D37" t="s">
        <v>7</v>
      </c>
      <c r="E37">
        <v>151.44999999999999</v>
      </c>
      <c r="F37" t="s">
        <v>7</v>
      </c>
      <c r="G37" s="3">
        <v>142.18</v>
      </c>
      <c r="H37" t="s">
        <v>7</v>
      </c>
    </row>
    <row r="38" spans="1:8" x14ac:dyDescent="0.35">
      <c r="A38" t="s">
        <v>18</v>
      </c>
      <c r="B38">
        <v>22</v>
      </c>
      <c r="C38">
        <v>134.55000000000001</v>
      </c>
      <c r="D38" t="s">
        <v>7</v>
      </c>
      <c r="E38">
        <v>160.4</v>
      </c>
      <c r="F38" t="s">
        <v>7</v>
      </c>
      <c r="G38" s="3">
        <v>145.04</v>
      </c>
      <c r="H38" t="s">
        <v>7</v>
      </c>
    </row>
    <row r="39" spans="1:8" x14ac:dyDescent="0.35">
      <c r="A39" t="s">
        <v>19</v>
      </c>
      <c r="B39">
        <v>23</v>
      </c>
      <c r="C39">
        <v>133.93</v>
      </c>
      <c r="D39" t="s">
        <v>7</v>
      </c>
      <c r="E39">
        <v>173.33</v>
      </c>
      <c r="F39" t="s">
        <v>7</v>
      </c>
      <c r="G39" s="3">
        <v>149.31</v>
      </c>
      <c r="H39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DC22-889B-4716-968C-94BBD1DECD6A}">
  <dimension ref="A1:N38"/>
  <sheetViews>
    <sheetView topLeftCell="A3" workbookViewId="0">
      <selection activeCell="I3" sqref="I3:I38"/>
    </sheetView>
  </sheetViews>
  <sheetFormatPr baseColWidth="10" defaultRowHeight="14.5" x14ac:dyDescent="0.35"/>
  <sheetData>
    <row r="1" spans="1:12" ht="112" customHeight="1" thickBot="1" x14ac:dyDescent="0.4">
      <c r="A1" s="4" t="s">
        <v>89</v>
      </c>
      <c r="B1" s="5"/>
      <c r="C1" s="6"/>
      <c r="D1" s="6" t="s">
        <v>90</v>
      </c>
      <c r="E1" s="5"/>
      <c r="F1" s="6" t="s">
        <v>91</v>
      </c>
      <c r="G1" s="5"/>
      <c r="H1" s="7" t="s">
        <v>92</v>
      </c>
      <c r="I1" s="6" t="s">
        <v>93</v>
      </c>
      <c r="J1" s="5"/>
      <c r="K1" s="5"/>
      <c r="L1" s="8" t="s">
        <v>94</v>
      </c>
    </row>
    <row r="2" spans="1:12" ht="52" x14ac:dyDescent="0.35">
      <c r="A2" s="9" t="s">
        <v>13</v>
      </c>
      <c r="B2" s="9" t="s">
        <v>95</v>
      </c>
      <c r="C2" s="9" t="s">
        <v>96</v>
      </c>
      <c r="D2" s="9" t="s">
        <v>97</v>
      </c>
      <c r="E2" s="9" t="s">
        <v>98</v>
      </c>
      <c r="F2" s="9" t="s">
        <v>99</v>
      </c>
      <c r="G2" s="9" t="s">
        <v>100</v>
      </c>
      <c r="H2" s="9" t="s">
        <v>101</v>
      </c>
      <c r="I2" s="9" t="s">
        <v>102</v>
      </c>
      <c r="J2" s="9" t="s">
        <v>103</v>
      </c>
    </row>
    <row r="3" spans="1:12" x14ac:dyDescent="0.35">
      <c r="A3" t="s">
        <v>46</v>
      </c>
      <c r="B3" s="10">
        <v>136.22999999999999</v>
      </c>
      <c r="C3">
        <v>140.22</v>
      </c>
      <c r="D3">
        <f>C3-B3</f>
        <v>3.9900000000000091</v>
      </c>
      <c r="E3">
        <f>D3/44.18</f>
        <v>9.0312358533273185E-2</v>
      </c>
      <c r="F3">
        <v>136.97999999999999</v>
      </c>
      <c r="G3">
        <f>F3-B3</f>
        <v>0.75</v>
      </c>
      <c r="H3">
        <f>D3-G3</f>
        <v>3.2400000000000091</v>
      </c>
      <c r="I3">
        <f>H3/44.18</f>
        <v>7.3336351290176752E-2</v>
      </c>
    </row>
    <row r="4" spans="1:12" x14ac:dyDescent="0.35">
      <c r="A4" t="s">
        <v>47</v>
      </c>
      <c r="B4">
        <v>135.08000000000001</v>
      </c>
      <c r="C4">
        <v>138.61000000000001</v>
      </c>
      <c r="D4">
        <f t="shared" ref="D4:D38" si="0">C4-B4</f>
        <v>3.5300000000000011</v>
      </c>
      <c r="E4">
        <f t="shared" ref="E4:E38" si="1">D4/44.18</f>
        <v>7.9900407424173855E-2</v>
      </c>
      <c r="F4">
        <v>135.15</v>
      </c>
      <c r="G4">
        <f t="shared" ref="G4:G38" si="2">F4-B4</f>
        <v>6.9999999999993179E-2</v>
      </c>
      <c r="H4">
        <f t="shared" ref="H4:H38" si="3">D4-G4</f>
        <v>3.460000000000008</v>
      </c>
      <c r="I4">
        <f t="shared" ref="I4:I38" si="4">H4/44.18</f>
        <v>7.831598008148502E-2</v>
      </c>
    </row>
    <row r="5" spans="1:12" x14ac:dyDescent="0.35">
      <c r="A5" t="s">
        <v>48</v>
      </c>
      <c r="B5">
        <v>133.06</v>
      </c>
      <c r="C5">
        <v>137.5</v>
      </c>
      <c r="D5">
        <f t="shared" si="0"/>
        <v>4.4399999999999977</v>
      </c>
      <c r="E5">
        <f t="shared" si="1"/>
        <v>0.10049796287913078</v>
      </c>
      <c r="F5">
        <v>133.11000000000001</v>
      </c>
      <c r="G5">
        <f t="shared" si="2"/>
        <v>5.0000000000011369E-2</v>
      </c>
      <c r="H5">
        <f t="shared" si="3"/>
        <v>4.3899999999999864</v>
      </c>
      <c r="I5">
        <f t="shared" si="4"/>
        <v>9.9366229062924097E-2</v>
      </c>
    </row>
    <row r="6" spans="1:12" x14ac:dyDescent="0.35">
      <c r="A6" t="s">
        <v>49</v>
      </c>
      <c r="B6" s="10">
        <v>126.87</v>
      </c>
      <c r="C6">
        <v>130.65</v>
      </c>
      <c r="D6">
        <f t="shared" si="0"/>
        <v>3.7800000000000011</v>
      </c>
      <c r="E6">
        <f t="shared" si="1"/>
        <v>8.5559076505206E-2</v>
      </c>
      <c r="F6">
        <v>127.68</v>
      </c>
      <c r="G6">
        <f t="shared" si="2"/>
        <v>0.81000000000000227</v>
      </c>
      <c r="H6">
        <f t="shared" si="3"/>
        <v>2.9699999999999989</v>
      </c>
      <c r="I6">
        <f t="shared" si="4"/>
        <v>6.7224988682661815E-2</v>
      </c>
      <c r="L6" s="2"/>
    </row>
    <row r="7" spans="1:12" x14ac:dyDescent="0.35">
      <c r="A7" t="s">
        <v>50</v>
      </c>
      <c r="B7">
        <v>130.82</v>
      </c>
      <c r="C7">
        <v>135.22</v>
      </c>
      <c r="D7">
        <f t="shared" si="0"/>
        <v>4.4000000000000057</v>
      </c>
      <c r="E7">
        <f t="shared" si="1"/>
        <v>9.9592575826165819E-2</v>
      </c>
      <c r="F7">
        <v>130.85</v>
      </c>
      <c r="G7">
        <f t="shared" si="2"/>
        <v>3.0000000000001137E-2</v>
      </c>
      <c r="H7">
        <f t="shared" si="3"/>
        <v>4.3700000000000045</v>
      </c>
      <c r="I7">
        <f t="shared" si="4"/>
        <v>9.8913535536441929E-2</v>
      </c>
      <c r="L7" s="2"/>
    </row>
    <row r="8" spans="1:12" x14ac:dyDescent="0.35">
      <c r="A8" t="s">
        <v>51</v>
      </c>
      <c r="B8" s="10">
        <v>138.41999999999999</v>
      </c>
      <c r="C8">
        <v>141.49</v>
      </c>
      <c r="D8">
        <f t="shared" si="0"/>
        <v>3.0700000000000216</v>
      </c>
      <c r="E8">
        <f t="shared" si="1"/>
        <v>6.9488456315075178E-2</v>
      </c>
      <c r="F8">
        <v>138.43</v>
      </c>
      <c r="G8">
        <f t="shared" si="2"/>
        <v>1.0000000000019327E-2</v>
      </c>
      <c r="H8">
        <f t="shared" si="3"/>
        <v>3.0600000000000023</v>
      </c>
      <c r="I8">
        <f t="shared" si="4"/>
        <v>6.9262109551833456E-2</v>
      </c>
      <c r="L8" s="2"/>
    </row>
    <row r="9" spans="1:12" x14ac:dyDescent="0.35">
      <c r="A9" t="s">
        <v>52</v>
      </c>
      <c r="B9">
        <v>130.45999999999998</v>
      </c>
      <c r="C9">
        <v>135.27000000000001</v>
      </c>
      <c r="D9">
        <f t="shared" si="0"/>
        <v>4.8100000000000307</v>
      </c>
      <c r="E9">
        <f t="shared" si="1"/>
        <v>0.10887279311905909</v>
      </c>
      <c r="F9">
        <v>131.03</v>
      </c>
      <c r="G9">
        <f t="shared" si="2"/>
        <v>0.5700000000000216</v>
      </c>
      <c r="H9">
        <f t="shared" si="3"/>
        <v>4.2400000000000091</v>
      </c>
      <c r="I9">
        <f t="shared" si="4"/>
        <v>9.5971027614305315E-2</v>
      </c>
    </row>
    <row r="10" spans="1:12" x14ac:dyDescent="0.35">
      <c r="A10" t="s">
        <v>53</v>
      </c>
      <c r="B10">
        <v>137.84</v>
      </c>
      <c r="C10">
        <v>143.57</v>
      </c>
      <c r="D10">
        <f t="shared" si="0"/>
        <v>5.7299999999999898</v>
      </c>
      <c r="E10">
        <f t="shared" si="1"/>
        <v>0.12969669533725645</v>
      </c>
      <c r="F10">
        <v>137.96</v>
      </c>
      <c r="G10">
        <f t="shared" si="2"/>
        <v>0.12000000000000455</v>
      </c>
      <c r="H10">
        <f t="shared" si="3"/>
        <v>5.6099999999999852</v>
      </c>
      <c r="I10">
        <f t="shared" si="4"/>
        <v>0.12698053417836092</v>
      </c>
    </row>
    <row r="11" spans="1:12" x14ac:dyDescent="0.35">
      <c r="A11" t="s">
        <v>54</v>
      </c>
      <c r="B11">
        <v>136.57</v>
      </c>
      <c r="C11">
        <v>145.88</v>
      </c>
      <c r="D11">
        <f t="shared" si="0"/>
        <v>9.3100000000000023</v>
      </c>
      <c r="E11">
        <f t="shared" si="1"/>
        <v>0.210728836577637</v>
      </c>
      <c r="F11">
        <v>137.83000000000001</v>
      </c>
      <c r="G11">
        <f t="shared" si="2"/>
        <v>1.2600000000000193</v>
      </c>
      <c r="H11">
        <f t="shared" si="3"/>
        <v>8.0499999999999829</v>
      </c>
      <c r="I11">
        <f t="shared" si="4"/>
        <v>0.18220914440923455</v>
      </c>
      <c r="K11" s="3"/>
    </row>
    <row r="12" spans="1:12" x14ac:dyDescent="0.35">
      <c r="A12" t="s">
        <v>55</v>
      </c>
      <c r="B12" s="10">
        <v>134.75</v>
      </c>
      <c r="C12">
        <v>137.91</v>
      </c>
      <c r="D12">
        <f t="shared" si="0"/>
        <v>3.1599999999999966</v>
      </c>
      <c r="E12">
        <f t="shared" si="1"/>
        <v>7.1525577184246195E-2</v>
      </c>
      <c r="F12">
        <v>134.99</v>
      </c>
      <c r="G12">
        <f t="shared" si="2"/>
        <v>0.24000000000000909</v>
      </c>
      <c r="H12">
        <f t="shared" si="3"/>
        <v>2.9199999999999875</v>
      </c>
      <c r="I12">
        <f t="shared" si="4"/>
        <v>6.6093254866455134E-2</v>
      </c>
      <c r="K12" s="2"/>
    </row>
    <row r="13" spans="1:12" x14ac:dyDescent="0.35">
      <c r="A13" t="s">
        <v>56</v>
      </c>
      <c r="B13" s="10">
        <v>135.25</v>
      </c>
      <c r="C13">
        <v>138.43</v>
      </c>
      <c r="D13">
        <f t="shared" si="0"/>
        <v>3.1800000000000068</v>
      </c>
      <c r="E13">
        <f t="shared" si="1"/>
        <v>7.1978270710728987E-2</v>
      </c>
      <c r="F13">
        <v>135.32</v>
      </c>
      <c r="G13">
        <f t="shared" si="2"/>
        <v>6.9999999999993179E-2</v>
      </c>
      <c r="H13">
        <f t="shared" si="3"/>
        <v>3.1100000000000136</v>
      </c>
      <c r="I13">
        <f t="shared" si="4"/>
        <v>7.0393843368040152E-2</v>
      </c>
    </row>
    <row r="14" spans="1:12" x14ac:dyDescent="0.35">
      <c r="A14" t="s">
        <v>57</v>
      </c>
      <c r="B14" s="10">
        <v>130.19999999999999</v>
      </c>
      <c r="C14">
        <v>134.21</v>
      </c>
      <c r="D14">
        <f t="shared" si="0"/>
        <v>4.0100000000000193</v>
      </c>
      <c r="E14">
        <f t="shared" si="1"/>
        <v>9.0765052059755977E-2</v>
      </c>
      <c r="F14">
        <v>131.41</v>
      </c>
      <c r="G14">
        <f t="shared" si="2"/>
        <v>1.210000000000008</v>
      </c>
      <c r="H14">
        <f t="shared" si="3"/>
        <v>2.8000000000000114</v>
      </c>
      <c r="I14">
        <f t="shared" si="4"/>
        <v>6.3377093707560242E-2</v>
      </c>
    </row>
    <row r="15" spans="1:12" x14ac:dyDescent="0.35">
      <c r="A15" t="s">
        <v>58</v>
      </c>
      <c r="B15">
        <v>131.89999999999998</v>
      </c>
      <c r="C15">
        <v>155.09</v>
      </c>
      <c r="D15">
        <f t="shared" si="0"/>
        <v>23.190000000000026</v>
      </c>
      <c r="E15">
        <f t="shared" si="1"/>
        <v>0.524898143956542</v>
      </c>
      <c r="F15">
        <v>140.69999999999999</v>
      </c>
      <c r="G15">
        <f t="shared" si="2"/>
        <v>8.8000000000000114</v>
      </c>
      <c r="H15">
        <f t="shared" si="3"/>
        <v>14.390000000000015</v>
      </c>
      <c r="I15">
        <f t="shared" si="4"/>
        <v>0.32571299230421041</v>
      </c>
      <c r="K15" s="2"/>
    </row>
    <row r="16" spans="1:12" x14ac:dyDescent="0.35">
      <c r="A16" t="s">
        <v>59</v>
      </c>
      <c r="B16">
        <v>133.80000000000001</v>
      </c>
      <c r="C16">
        <v>146.09</v>
      </c>
      <c r="D16">
        <f t="shared" si="0"/>
        <v>12.289999999999992</v>
      </c>
      <c r="E16">
        <f t="shared" si="1"/>
        <v>0.2781801720235399</v>
      </c>
      <c r="F16">
        <v>137</v>
      </c>
      <c r="G16">
        <f t="shared" si="2"/>
        <v>3.1999999999999886</v>
      </c>
      <c r="H16">
        <f t="shared" si="3"/>
        <v>9.0900000000000034</v>
      </c>
      <c r="I16">
        <f t="shared" si="4"/>
        <v>0.20574920778632874</v>
      </c>
    </row>
    <row r="17" spans="1:12" x14ac:dyDescent="0.35">
      <c r="A17" t="s">
        <v>60</v>
      </c>
      <c r="B17">
        <v>135.74</v>
      </c>
      <c r="C17">
        <v>141.21</v>
      </c>
      <c r="D17">
        <f t="shared" si="0"/>
        <v>5.4699999999999989</v>
      </c>
      <c r="E17">
        <f t="shared" si="1"/>
        <v>0.12381167949298323</v>
      </c>
      <c r="F17">
        <v>136.26</v>
      </c>
      <c r="G17">
        <f t="shared" si="2"/>
        <v>0.51999999999998181</v>
      </c>
      <c r="H17">
        <f t="shared" si="3"/>
        <v>4.9500000000000171</v>
      </c>
      <c r="I17">
        <f t="shared" si="4"/>
        <v>0.11204164780443679</v>
      </c>
    </row>
    <row r="18" spans="1:12" x14ac:dyDescent="0.35">
      <c r="A18" t="s">
        <v>61</v>
      </c>
      <c r="B18">
        <v>133.95000000000002</v>
      </c>
      <c r="C18">
        <v>143.51</v>
      </c>
      <c r="D18">
        <f t="shared" si="0"/>
        <v>9.5599999999999739</v>
      </c>
      <c r="E18">
        <f t="shared" si="1"/>
        <v>0.21638750565866849</v>
      </c>
      <c r="F18">
        <v>136.69</v>
      </c>
      <c r="G18">
        <f t="shared" si="2"/>
        <v>2.7399999999999807</v>
      </c>
      <c r="H18">
        <f t="shared" si="3"/>
        <v>6.8199999999999932</v>
      </c>
      <c r="I18">
        <f t="shared" si="4"/>
        <v>0.15436849253055665</v>
      </c>
    </row>
    <row r="19" spans="1:12" x14ac:dyDescent="0.35">
      <c r="A19" t="s">
        <v>62</v>
      </c>
      <c r="B19">
        <v>132.42999999999998</v>
      </c>
      <c r="C19">
        <v>137.78</v>
      </c>
      <c r="D19">
        <f t="shared" si="0"/>
        <v>5.3500000000000227</v>
      </c>
      <c r="E19">
        <f t="shared" si="1"/>
        <v>0.12109551833408834</v>
      </c>
      <c r="F19" s="3">
        <v>133.66</v>
      </c>
      <c r="G19">
        <f t="shared" si="2"/>
        <v>1.2300000000000182</v>
      </c>
      <c r="H19">
        <f t="shared" si="3"/>
        <v>4.1200000000000045</v>
      </c>
      <c r="I19">
        <f t="shared" si="4"/>
        <v>9.3254866455409785E-2</v>
      </c>
    </row>
    <row r="20" spans="1:12" x14ac:dyDescent="0.35">
      <c r="A20" t="s">
        <v>63</v>
      </c>
      <c r="B20">
        <v>134.65</v>
      </c>
      <c r="C20">
        <v>139.80000000000001</v>
      </c>
      <c r="D20">
        <f t="shared" si="0"/>
        <v>5.1500000000000057</v>
      </c>
      <c r="E20">
        <f t="shared" si="1"/>
        <v>0.11656858306926224</v>
      </c>
      <c r="F20">
        <v>136.32</v>
      </c>
      <c r="G20">
        <f t="shared" si="2"/>
        <v>1.6699999999999875</v>
      </c>
      <c r="H20">
        <f t="shared" si="3"/>
        <v>3.4800000000000182</v>
      </c>
      <c r="I20">
        <f t="shared" si="4"/>
        <v>7.8768673607967812E-2</v>
      </c>
      <c r="L20" s="2"/>
    </row>
    <row r="21" spans="1:12" x14ac:dyDescent="0.35">
      <c r="A21" t="s">
        <v>64</v>
      </c>
      <c r="B21">
        <v>131.82</v>
      </c>
      <c r="C21">
        <v>135.77000000000001</v>
      </c>
      <c r="D21">
        <f t="shared" si="0"/>
        <v>3.9500000000000171</v>
      </c>
      <c r="E21">
        <f t="shared" si="1"/>
        <v>8.9406971480308212E-2</v>
      </c>
      <c r="F21">
        <v>132.71</v>
      </c>
      <c r="G21">
        <f t="shared" si="2"/>
        <v>0.89000000000001478</v>
      </c>
      <c r="H21">
        <f t="shared" si="3"/>
        <v>3.0600000000000023</v>
      </c>
      <c r="I21">
        <f t="shared" si="4"/>
        <v>6.9262109551833456E-2</v>
      </c>
    </row>
    <row r="22" spans="1:12" x14ac:dyDescent="0.35">
      <c r="A22" t="s">
        <v>65</v>
      </c>
      <c r="B22">
        <v>133.47</v>
      </c>
      <c r="C22">
        <v>136.93</v>
      </c>
      <c r="D22">
        <f t="shared" si="0"/>
        <v>3.460000000000008</v>
      </c>
      <c r="E22">
        <f t="shared" si="1"/>
        <v>7.831598008148502E-2</v>
      </c>
      <c r="F22">
        <v>134.11000000000001</v>
      </c>
      <c r="G22">
        <f t="shared" si="2"/>
        <v>0.64000000000001478</v>
      </c>
      <c r="H22">
        <f t="shared" si="3"/>
        <v>2.8199999999999932</v>
      </c>
      <c r="I22">
        <f t="shared" si="4"/>
        <v>6.3829787234042396E-2</v>
      </c>
      <c r="L22" s="2"/>
    </row>
    <row r="23" spans="1:12" x14ac:dyDescent="0.35">
      <c r="A23" t="s">
        <v>66</v>
      </c>
      <c r="B23">
        <v>138.07</v>
      </c>
      <c r="C23">
        <v>143.07</v>
      </c>
      <c r="D23">
        <f t="shared" si="0"/>
        <v>5</v>
      </c>
      <c r="E23">
        <f t="shared" si="1"/>
        <v>0.11317338162064283</v>
      </c>
      <c r="F23">
        <v>139.68</v>
      </c>
      <c r="G23">
        <f t="shared" si="2"/>
        <v>1.6100000000000136</v>
      </c>
      <c r="H23">
        <f t="shared" si="3"/>
        <v>3.3899999999999864</v>
      </c>
      <c r="I23">
        <f t="shared" si="4"/>
        <v>7.6731552738795533E-2</v>
      </c>
      <c r="L23" s="2"/>
    </row>
    <row r="24" spans="1:12" x14ac:dyDescent="0.35">
      <c r="A24" t="s">
        <v>67</v>
      </c>
      <c r="B24">
        <v>132.51</v>
      </c>
      <c r="C24">
        <v>136.29</v>
      </c>
      <c r="D24">
        <f t="shared" si="0"/>
        <v>3.7800000000000011</v>
      </c>
      <c r="E24">
        <f t="shared" si="1"/>
        <v>8.5559076505206E-2</v>
      </c>
      <c r="F24" s="3">
        <v>132.79</v>
      </c>
      <c r="G24">
        <f t="shared" si="2"/>
        <v>0.28000000000000114</v>
      </c>
      <c r="H24">
        <f t="shared" si="3"/>
        <v>3.5</v>
      </c>
      <c r="I24">
        <f t="shared" si="4"/>
        <v>7.922136713444998E-2</v>
      </c>
      <c r="K24" s="2"/>
    </row>
    <row r="25" spans="1:12" x14ac:dyDescent="0.35">
      <c r="A25" t="s">
        <v>68</v>
      </c>
      <c r="B25">
        <v>133.79</v>
      </c>
      <c r="C25">
        <v>137.19</v>
      </c>
      <c r="D25">
        <f t="shared" si="0"/>
        <v>3.4000000000000057</v>
      </c>
      <c r="E25">
        <f t="shared" si="1"/>
        <v>7.6957899502037255E-2</v>
      </c>
      <c r="F25" s="3">
        <v>134.66999999999999</v>
      </c>
      <c r="G25">
        <f t="shared" si="2"/>
        <v>0.87999999999999545</v>
      </c>
      <c r="H25">
        <f t="shared" si="3"/>
        <v>2.5200000000000102</v>
      </c>
      <c r="I25">
        <f t="shared" si="4"/>
        <v>5.7039384336804215E-2</v>
      </c>
      <c r="K25" s="2"/>
    </row>
    <row r="26" spans="1:12" x14ac:dyDescent="0.35">
      <c r="A26" t="s">
        <v>69</v>
      </c>
      <c r="B26">
        <v>135.06</v>
      </c>
      <c r="C26">
        <v>141.59</v>
      </c>
      <c r="D26">
        <f t="shared" si="0"/>
        <v>6.5300000000000011</v>
      </c>
      <c r="E26">
        <f t="shared" si="1"/>
        <v>0.14780443639655955</v>
      </c>
      <c r="F26" s="3">
        <v>137.19999999999999</v>
      </c>
      <c r="G26">
        <f t="shared" si="2"/>
        <v>2.1399999999999864</v>
      </c>
      <c r="H26">
        <f t="shared" si="3"/>
        <v>4.3900000000000148</v>
      </c>
      <c r="I26">
        <f t="shared" si="4"/>
        <v>9.9366229062924735E-2</v>
      </c>
      <c r="K26" s="2"/>
    </row>
    <row r="27" spans="1:12" x14ac:dyDescent="0.35">
      <c r="A27" t="s">
        <v>70</v>
      </c>
      <c r="B27">
        <v>134.05000000000001</v>
      </c>
      <c r="C27">
        <v>185.88</v>
      </c>
      <c r="D27">
        <f t="shared" si="0"/>
        <v>51.829999999999984</v>
      </c>
      <c r="E27">
        <f t="shared" si="1"/>
        <v>1.1731552738795832</v>
      </c>
      <c r="F27" s="3">
        <v>157.49</v>
      </c>
      <c r="G27">
        <f t="shared" si="2"/>
        <v>23.439999999999998</v>
      </c>
      <c r="H27">
        <f t="shared" si="3"/>
        <v>28.389999999999986</v>
      </c>
      <c r="I27">
        <f t="shared" si="4"/>
        <v>0.64259846084200967</v>
      </c>
    </row>
    <row r="28" spans="1:12" x14ac:dyDescent="0.35">
      <c r="A28" t="s">
        <v>71</v>
      </c>
      <c r="B28">
        <v>131.78</v>
      </c>
      <c r="C28">
        <v>160.71</v>
      </c>
      <c r="D28">
        <f t="shared" si="0"/>
        <v>28.930000000000007</v>
      </c>
      <c r="E28">
        <f t="shared" si="1"/>
        <v>0.65482118605703954</v>
      </c>
      <c r="F28" s="3">
        <v>146.46</v>
      </c>
      <c r="G28">
        <f t="shared" si="2"/>
        <v>14.680000000000007</v>
      </c>
      <c r="H28">
        <f t="shared" si="3"/>
        <v>14.25</v>
      </c>
      <c r="I28">
        <f t="shared" si="4"/>
        <v>0.32254413761883205</v>
      </c>
      <c r="J28" s="3"/>
    </row>
    <row r="29" spans="1:12" x14ac:dyDescent="0.35">
      <c r="A29" t="s">
        <v>72</v>
      </c>
      <c r="B29">
        <v>130.83000000000001</v>
      </c>
      <c r="C29">
        <v>177.8</v>
      </c>
      <c r="D29">
        <f t="shared" si="0"/>
        <v>46.97</v>
      </c>
      <c r="E29">
        <f t="shared" si="1"/>
        <v>1.0631507469443187</v>
      </c>
      <c r="F29" s="3">
        <v>151.52000000000001</v>
      </c>
      <c r="G29">
        <f t="shared" si="2"/>
        <v>20.689999999999998</v>
      </c>
      <c r="H29">
        <f t="shared" si="3"/>
        <v>26.28</v>
      </c>
      <c r="I29">
        <f t="shared" si="4"/>
        <v>0.59483929379809874</v>
      </c>
      <c r="J29" s="3"/>
    </row>
    <row r="30" spans="1:12" x14ac:dyDescent="0.35">
      <c r="A30" t="s">
        <v>73</v>
      </c>
      <c r="B30">
        <v>132.56</v>
      </c>
      <c r="C30">
        <v>151.44999999999999</v>
      </c>
      <c r="D30">
        <f t="shared" si="0"/>
        <v>18.889999999999986</v>
      </c>
      <c r="E30">
        <f t="shared" si="1"/>
        <v>0.42756903576278826</v>
      </c>
      <c r="F30" s="3">
        <v>142.18</v>
      </c>
      <c r="G30">
        <f t="shared" si="2"/>
        <v>9.6200000000000045</v>
      </c>
      <c r="H30">
        <f t="shared" si="3"/>
        <v>9.2699999999999818</v>
      </c>
      <c r="I30">
        <f t="shared" si="4"/>
        <v>0.20982344952467138</v>
      </c>
      <c r="J30" s="3"/>
    </row>
    <row r="31" spans="1:12" x14ac:dyDescent="0.35">
      <c r="A31" t="s">
        <v>74</v>
      </c>
      <c r="B31">
        <v>133.34</v>
      </c>
      <c r="C31">
        <v>155.78</v>
      </c>
      <c r="D31">
        <f t="shared" si="0"/>
        <v>22.439999999999998</v>
      </c>
      <c r="E31">
        <f t="shared" si="1"/>
        <v>0.50792213671344499</v>
      </c>
      <c r="F31" s="3">
        <v>147.93</v>
      </c>
      <c r="G31">
        <f t="shared" si="2"/>
        <v>14.590000000000003</v>
      </c>
      <c r="H31">
        <f t="shared" si="3"/>
        <v>7.8499999999999943</v>
      </c>
      <c r="I31">
        <f t="shared" si="4"/>
        <v>0.1776822091444091</v>
      </c>
      <c r="J31" s="3"/>
    </row>
    <row r="32" spans="1:12" x14ac:dyDescent="0.35">
      <c r="A32" t="s">
        <v>75</v>
      </c>
      <c r="B32">
        <v>135.65</v>
      </c>
      <c r="C32">
        <v>153.88</v>
      </c>
      <c r="D32">
        <f t="shared" si="0"/>
        <v>18.22999999999999</v>
      </c>
      <c r="E32">
        <f t="shared" si="1"/>
        <v>0.4126301493888635</v>
      </c>
      <c r="F32" s="3">
        <v>146.07</v>
      </c>
      <c r="G32">
        <f t="shared" si="2"/>
        <v>10.419999999999987</v>
      </c>
      <c r="H32">
        <f t="shared" si="3"/>
        <v>7.8100000000000023</v>
      </c>
      <c r="I32">
        <f t="shared" si="4"/>
        <v>0.17677682209144416</v>
      </c>
      <c r="J32" s="3"/>
    </row>
    <row r="33" spans="1:14" x14ac:dyDescent="0.35">
      <c r="A33" t="s">
        <v>76</v>
      </c>
      <c r="B33">
        <v>136.03</v>
      </c>
      <c r="C33">
        <v>173.25</v>
      </c>
      <c r="D33">
        <f t="shared" si="0"/>
        <v>37.22</v>
      </c>
      <c r="E33">
        <f t="shared" si="1"/>
        <v>0.84246265278406518</v>
      </c>
      <c r="F33" s="3">
        <v>149.80000000000001</v>
      </c>
      <c r="G33">
        <f t="shared" si="2"/>
        <v>13.77000000000001</v>
      </c>
      <c r="H33">
        <f t="shared" si="3"/>
        <v>23.449999999999989</v>
      </c>
      <c r="I33">
        <f t="shared" si="4"/>
        <v>0.53078315980081459</v>
      </c>
      <c r="J33" s="3"/>
    </row>
    <row r="34" spans="1:14" x14ac:dyDescent="0.35">
      <c r="A34" t="s">
        <v>77</v>
      </c>
      <c r="B34">
        <v>133.93</v>
      </c>
      <c r="C34">
        <v>173.33</v>
      </c>
      <c r="D34">
        <f t="shared" si="0"/>
        <v>39.400000000000006</v>
      </c>
      <c r="E34">
        <f t="shared" si="1"/>
        <v>0.89180624717066559</v>
      </c>
      <c r="F34" s="3">
        <v>149.31</v>
      </c>
      <c r="G34">
        <f t="shared" si="2"/>
        <v>15.379999999999995</v>
      </c>
      <c r="H34">
        <f t="shared" si="3"/>
        <v>24.02000000000001</v>
      </c>
      <c r="I34">
        <f t="shared" si="4"/>
        <v>0.54368492530556833</v>
      </c>
      <c r="J34" s="3"/>
      <c r="N34" s="3"/>
    </row>
    <row r="35" spans="1:14" x14ac:dyDescent="0.35">
      <c r="A35" t="s">
        <v>78</v>
      </c>
      <c r="B35">
        <v>134.55000000000001</v>
      </c>
      <c r="C35">
        <v>160.4</v>
      </c>
      <c r="D35">
        <f t="shared" si="0"/>
        <v>25.849999999999994</v>
      </c>
      <c r="E35">
        <f t="shared" si="1"/>
        <v>0.58510638297872331</v>
      </c>
      <c r="F35" s="3">
        <v>145.04</v>
      </c>
      <c r="G35">
        <f t="shared" si="2"/>
        <v>10.489999999999981</v>
      </c>
      <c r="H35">
        <f t="shared" si="3"/>
        <v>15.360000000000014</v>
      </c>
      <c r="I35">
        <f t="shared" si="4"/>
        <v>0.34766862833861506</v>
      </c>
    </row>
    <row r="36" spans="1:14" x14ac:dyDescent="0.35">
      <c r="A36" t="s">
        <v>79</v>
      </c>
      <c r="B36">
        <v>136.74</v>
      </c>
      <c r="C36">
        <v>142.13999999999999</v>
      </c>
      <c r="D36">
        <f t="shared" si="0"/>
        <v>5.3999999999999773</v>
      </c>
      <c r="E36">
        <f t="shared" si="1"/>
        <v>0.12222725215029373</v>
      </c>
      <c r="F36" s="3">
        <v>136.91</v>
      </c>
      <c r="G36">
        <f t="shared" si="2"/>
        <v>0.16999999999998749</v>
      </c>
      <c r="H36">
        <f t="shared" si="3"/>
        <v>5.2299999999999898</v>
      </c>
      <c r="I36">
        <f t="shared" si="4"/>
        <v>0.11837935717519217</v>
      </c>
    </row>
    <row r="37" spans="1:14" x14ac:dyDescent="0.35">
      <c r="A37" t="s">
        <v>80</v>
      </c>
      <c r="B37">
        <v>136.71</v>
      </c>
      <c r="C37">
        <v>159</v>
      </c>
      <c r="D37">
        <f t="shared" si="0"/>
        <v>22.289999999999992</v>
      </c>
      <c r="E37">
        <f t="shared" si="1"/>
        <v>0.5045269352648255</v>
      </c>
      <c r="F37" s="3">
        <v>140.72</v>
      </c>
      <c r="G37">
        <f t="shared" si="2"/>
        <v>4.0099999999999909</v>
      </c>
      <c r="H37">
        <f t="shared" si="3"/>
        <v>18.28</v>
      </c>
      <c r="I37">
        <f t="shared" si="4"/>
        <v>0.41376188320507018</v>
      </c>
    </row>
    <row r="38" spans="1:14" x14ac:dyDescent="0.35">
      <c r="A38" t="s">
        <v>81</v>
      </c>
      <c r="B38">
        <v>130.75</v>
      </c>
      <c r="C38">
        <v>148.26</v>
      </c>
      <c r="D38">
        <f t="shared" si="0"/>
        <v>17.509999999999991</v>
      </c>
      <c r="E38">
        <f t="shared" si="1"/>
        <v>0.39633318243549098</v>
      </c>
      <c r="F38" s="3">
        <v>134.69999999999999</v>
      </c>
      <c r="G38">
        <f t="shared" si="2"/>
        <v>3.9499999999999886</v>
      </c>
      <c r="H38">
        <f t="shared" si="3"/>
        <v>13.560000000000002</v>
      </c>
      <c r="I38">
        <f t="shared" si="4"/>
        <v>0.30692621095518341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workbookViewId="0">
      <selection activeCell="G8" sqref="G8"/>
    </sheetView>
  </sheetViews>
  <sheetFormatPr baseColWidth="10" defaultRowHeight="14.5" x14ac:dyDescent="0.35"/>
  <sheetData>
    <row r="1" spans="1:4" x14ac:dyDescent="0.35">
      <c r="A1" t="s">
        <v>13</v>
      </c>
      <c r="B1" t="s">
        <v>82</v>
      </c>
      <c r="C1" t="s">
        <v>83</v>
      </c>
      <c r="D1" t="s">
        <v>88</v>
      </c>
    </row>
    <row r="2" spans="1:4" x14ac:dyDescent="0.35">
      <c r="A2" t="s">
        <v>46</v>
      </c>
      <c r="B2" t="s">
        <v>84</v>
      </c>
      <c r="C2">
        <v>1</v>
      </c>
      <c r="D2">
        <v>7.3336351290176752E-2</v>
      </c>
    </row>
    <row r="3" spans="1:4" x14ac:dyDescent="0.35">
      <c r="A3" t="s">
        <v>47</v>
      </c>
      <c r="B3" t="s">
        <v>84</v>
      </c>
      <c r="C3">
        <v>1</v>
      </c>
      <c r="D3">
        <v>7.831598008148502E-2</v>
      </c>
    </row>
    <row r="4" spans="1:4" x14ac:dyDescent="0.35">
      <c r="A4" t="s">
        <v>48</v>
      </c>
      <c r="B4" t="s">
        <v>84</v>
      </c>
      <c r="C4">
        <v>1</v>
      </c>
      <c r="D4">
        <v>9.9366229062924097E-2</v>
      </c>
    </row>
    <row r="5" spans="1:4" x14ac:dyDescent="0.35">
      <c r="A5" t="s">
        <v>49</v>
      </c>
      <c r="B5" t="s">
        <v>85</v>
      </c>
      <c r="C5">
        <v>1</v>
      </c>
      <c r="D5">
        <v>6.7224988682661815E-2</v>
      </c>
    </row>
    <row r="6" spans="1:4" x14ac:dyDescent="0.35">
      <c r="A6" t="s">
        <v>50</v>
      </c>
      <c r="B6" t="s">
        <v>85</v>
      </c>
      <c r="C6">
        <v>1</v>
      </c>
      <c r="D6">
        <v>9.8913535536441929E-2</v>
      </c>
    </row>
    <row r="7" spans="1:4" x14ac:dyDescent="0.35">
      <c r="A7" t="s">
        <v>51</v>
      </c>
      <c r="B7" t="s">
        <v>85</v>
      </c>
      <c r="C7">
        <v>1</v>
      </c>
      <c r="D7">
        <v>6.9262109551833456E-2</v>
      </c>
    </row>
    <row r="8" spans="1:4" x14ac:dyDescent="0.35">
      <c r="A8" t="s">
        <v>52</v>
      </c>
      <c r="B8" t="s">
        <v>86</v>
      </c>
      <c r="C8">
        <v>1</v>
      </c>
      <c r="D8">
        <v>9.5971027614305315E-2</v>
      </c>
    </row>
    <row r="9" spans="1:4" x14ac:dyDescent="0.35">
      <c r="A9" t="s">
        <v>53</v>
      </c>
      <c r="B9" t="s">
        <v>86</v>
      </c>
      <c r="C9">
        <v>1</v>
      </c>
      <c r="D9">
        <v>0.12698053417836092</v>
      </c>
    </row>
    <row r="10" spans="1:4" x14ac:dyDescent="0.35">
      <c r="A10" t="s">
        <v>54</v>
      </c>
      <c r="B10" t="s">
        <v>86</v>
      </c>
      <c r="C10">
        <v>1</v>
      </c>
      <c r="D10">
        <v>0.18220914440923455</v>
      </c>
    </row>
    <row r="11" spans="1:4" x14ac:dyDescent="0.35">
      <c r="A11" t="s">
        <v>55</v>
      </c>
      <c r="B11" t="s">
        <v>87</v>
      </c>
      <c r="C11">
        <v>1</v>
      </c>
      <c r="D11">
        <v>6.6093254866455134E-2</v>
      </c>
    </row>
    <row r="12" spans="1:4" x14ac:dyDescent="0.35">
      <c r="A12" t="s">
        <v>56</v>
      </c>
      <c r="B12" t="s">
        <v>87</v>
      </c>
      <c r="C12">
        <v>1</v>
      </c>
      <c r="D12">
        <v>7.0393843368040152E-2</v>
      </c>
    </row>
    <row r="13" spans="1:4" x14ac:dyDescent="0.35">
      <c r="A13" t="s">
        <v>57</v>
      </c>
      <c r="B13" t="s">
        <v>87</v>
      </c>
      <c r="C13">
        <v>1</v>
      </c>
      <c r="D13">
        <v>6.3377093707560242E-2</v>
      </c>
    </row>
    <row r="14" spans="1:4" x14ac:dyDescent="0.35">
      <c r="A14" t="s">
        <v>58</v>
      </c>
      <c r="B14" t="s">
        <v>84</v>
      </c>
      <c r="C14">
        <v>2</v>
      </c>
      <c r="D14">
        <v>0.32571299230421041</v>
      </c>
    </row>
    <row r="15" spans="1:4" x14ac:dyDescent="0.35">
      <c r="A15" t="s">
        <v>59</v>
      </c>
      <c r="B15" t="s">
        <v>84</v>
      </c>
      <c r="C15">
        <v>2</v>
      </c>
      <c r="D15">
        <v>0.20574920778632874</v>
      </c>
    </row>
    <row r="16" spans="1:4" x14ac:dyDescent="0.35">
      <c r="A16" t="s">
        <v>60</v>
      </c>
      <c r="B16" t="s">
        <v>84</v>
      </c>
      <c r="C16">
        <v>2</v>
      </c>
      <c r="D16">
        <v>0.11204164780443679</v>
      </c>
    </row>
    <row r="17" spans="1:4" x14ac:dyDescent="0.35">
      <c r="A17" t="s">
        <v>61</v>
      </c>
      <c r="B17" t="s">
        <v>85</v>
      </c>
      <c r="C17">
        <v>2</v>
      </c>
      <c r="D17">
        <v>0.15436849253055665</v>
      </c>
    </row>
    <row r="18" spans="1:4" x14ac:dyDescent="0.35">
      <c r="A18" t="s">
        <v>62</v>
      </c>
      <c r="B18" t="s">
        <v>85</v>
      </c>
      <c r="C18">
        <v>2</v>
      </c>
      <c r="D18">
        <v>9.3254866455409785E-2</v>
      </c>
    </row>
    <row r="19" spans="1:4" x14ac:dyDescent="0.35">
      <c r="A19" t="s">
        <v>63</v>
      </c>
      <c r="B19" t="s">
        <v>85</v>
      </c>
      <c r="C19">
        <v>2</v>
      </c>
      <c r="D19">
        <v>7.8768673607967812E-2</v>
      </c>
    </row>
    <row r="20" spans="1:4" x14ac:dyDescent="0.35">
      <c r="A20" t="s">
        <v>64</v>
      </c>
      <c r="B20" t="s">
        <v>86</v>
      </c>
      <c r="C20">
        <v>2</v>
      </c>
      <c r="D20">
        <v>6.9262109551833456E-2</v>
      </c>
    </row>
    <row r="21" spans="1:4" x14ac:dyDescent="0.35">
      <c r="A21" t="s">
        <v>65</v>
      </c>
      <c r="B21" t="s">
        <v>86</v>
      </c>
      <c r="C21">
        <v>2</v>
      </c>
      <c r="D21">
        <v>6.3829787234042396E-2</v>
      </c>
    </row>
    <row r="22" spans="1:4" x14ac:dyDescent="0.35">
      <c r="A22" t="s">
        <v>66</v>
      </c>
      <c r="B22" t="s">
        <v>86</v>
      </c>
      <c r="C22">
        <v>2</v>
      </c>
      <c r="D22">
        <v>7.6731552738795533E-2</v>
      </c>
    </row>
    <row r="23" spans="1:4" x14ac:dyDescent="0.35">
      <c r="A23" t="s">
        <v>67</v>
      </c>
      <c r="B23" t="s">
        <v>87</v>
      </c>
      <c r="C23">
        <v>2</v>
      </c>
      <c r="D23">
        <v>7.922136713444998E-2</v>
      </c>
    </row>
    <row r="24" spans="1:4" x14ac:dyDescent="0.35">
      <c r="A24" t="s">
        <v>68</v>
      </c>
      <c r="B24" t="s">
        <v>87</v>
      </c>
      <c r="C24">
        <v>2</v>
      </c>
      <c r="D24">
        <v>5.7039384336804215E-2</v>
      </c>
    </row>
    <row r="25" spans="1:4" x14ac:dyDescent="0.35">
      <c r="A25" t="s">
        <v>69</v>
      </c>
      <c r="B25" t="s">
        <v>87</v>
      </c>
      <c r="C25">
        <v>2</v>
      </c>
      <c r="D25">
        <v>9.9366229062924735E-2</v>
      </c>
    </row>
    <row r="26" spans="1:4" x14ac:dyDescent="0.35">
      <c r="A26" t="s">
        <v>70</v>
      </c>
      <c r="B26" t="s">
        <v>84</v>
      </c>
      <c r="C26">
        <v>3</v>
      </c>
      <c r="D26">
        <v>0.64259846084200967</v>
      </c>
    </row>
    <row r="27" spans="1:4" x14ac:dyDescent="0.35">
      <c r="A27" t="s">
        <v>71</v>
      </c>
      <c r="B27" t="s">
        <v>84</v>
      </c>
      <c r="C27">
        <v>3</v>
      </c>
      <c r="D27">
        <v>0.32254413761883205</v>
      </c>
    </row>
    <row r="28" spans="1:4" x14ac:dyDescent="0.35">
      <c r="A28" t="s">
        <v>72</v>
      </c>
      <c r="B28" t="s">
        <v>84</v>
      </c>
      <c r="C28">
        <v>3</v>
      </c>
      <c r="D28">
        <v>0.59483929379809874</v>
      </c>
    </row>
    <row r="29" spans="1:4" x14ac:dyDescent="0.35">
      <c r="A29" t="s">
        <v>73</v>
      </c>
      <c r="B29" t="s">
        <v>85</v>
      </c>
      <c r="C29">
        <v>3</v>
      </c>
      <c r="D29">
        <v>0.20982344952467138</v>
      </c>
    </row>
    <row r="30" spans="1:4" x14ac:dyDescent="0.35">
      <c r="A30" t="s">
        <v>74</v>
      </c>
      <c r="B30" t="s">
        <v>85</v>
      </c>
      <c r="C30">
        <v>3</v>
      </c>
      <c r="D30">
        <v>0.1776822091444091</v>
      </c>
    </row>
    <row r="31" spans="1:4" x14ac:dyDescent="0.35">
      <c r="A31" t="s">
        <v>75</v>
      </c>
      <c r="B31" t="s">
        <v>85</v>
      </c>
      <c r="C31">
        <v>3</v>
      </c>
      <c r="D31">
        <v>0.17677682209144416</v>
      </c>
    </row>
    <row r="32" spans="1:4" x14ac:dyDescent="0.35">
      <c r="A32" t="s">
        <v>76</v>
      </c>
      <c r="B32" t="s">
        <v>86</v>
      </c>
      <c r="C32">
        <v>3</v>
      </c>
      <c r="D32">
        <v>0.53078315980081459</v>
      </c>
    </row>
    <row r="33" spans="1:4" x14ac:dyDescent="0.35">
      <c r="A33" t="s">
        <v>77</v>
      </c>
      <c r="B33" t="s">
        <v>86</v>
      </c>
      <c r="C33">
        <v>3</v>
      </c>
      <c r="D33">
        <v>0.54368492530556833</v>
      </c>
    </row>
    <row r="34" spans="1:4" x14ac:dyDescent="0.35">
      <c r="A34" t="s">
        <v>78</v>
      </c>
      <c r="B34" t="s">
        <v>86</v>
      </c>
      <c r="C34">
        <v>3</v>
      </c>
      <c r="D34">
        <v>0.34766862833861506</v>
      </c>
    </row>
    <row r="35" spans="1:4" x14ac:dyDescent="0.35">
      <c r="A35" t="s">
        <v>79</v>
      </c>
      <c r="B35" t="s">
        <v>87</v>
      </c>
      <c r="C35">
        <v>3</v>
      </c>
      <c r="D35">
        <v>0.11837935717519217</v>
      </c>
    </row>
    <row r="36" spans="1:4" x14ac:dyDescent="0.35">
      <c r="A36" t="s">
        <v>80</v>
      </c>
      <c r="B36" t="s">
        <v>87</v>
      </c>
      <c r="C36">
        <v>3</v>
      </c>
      <c r="D36">
        <v>0.41376188320507018</v>
      </c>
    </row>
    <row r="37" spans="1:4" x14ac:dyDescent="0.35">
      <c r="A37" t="s">
        <v>81</v>
      </c>
      <c r="B37" t="s">
        <v>87</v>
      </c>
      <c r="C37">
        <v>3</v>
      </c>
      <c r="D37">
        <v>0.30692621095518341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sortiert</vt:lpstr>
      <vt:lpstr>für 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Schulz</dc:creator>
  <cp:lastModifiedBy>ms007247@mslic.uni-kl.de</cp:lastModifiedBy>
  <dcterms:created xsi:type="dcterms:W3CDTF">2024-01-24T16:55:55Z</dcterms:created>
  <dcterms:modified xsi:type="dcterms:W3CDTF">2024-01-29T13:56:45Z</dcterms:modified>
</cp:coreProperties>
</file>