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0830fbf1ec50fa/Desktop/Promotion/Bioassays/Schneckenversuch 2023/Biofilm endpoints/Pigments/"/>
    </mc:Choice>
  </mc:AlternateContent>
  <xr:revisionPtr revIDLastSave="314" documentId="13_ncr:1_{C23CFC20-9181-4E68-AC43-BDCF2C596440}" xr6:coauthVersionLast="47" xr6:coauthVersionMax="47" xr10:uidLastSave="{6930FEA2-8062-4CB1-88DA-6EBB721443D9}"/>
  <bookViews>
    <workbookView xWindow="28680" yWindow="-120" windowWidth="29040" windowHeight="15720" activeTab="1" xr2:uid="{75A263C3-B139-4B3B-B518-F1EAD7806A92}"/>
  </bookViews>
  <sheets>
    <sheet name="Rohdaten" sheetId="1" r:id="rId1"/>
    <sheet name="für R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2" l="1"/>
  <c r="E37" i="2"/>
  <c r="D37" i="2"/>
  <c r="F36" i="2"/>
  <c r="E36" i="2"/>
  <c r="D36" i="2"/>
  <c r="F35" i="2"/>
  <c r="E35" i="2"/>
  <c r="D35" i="2"/>
  <c r="F34" i="2"/>
  <c r="E34" i="2"/>
  <c r="D34" i="2"/>
  <c r="F33" i="2"/>
  <c r="E33" i="2"/>
  <c r="D33" i="2"/>
  <c r="F32" i="2"/>
  <c r="E32" i="2"/>
  <c r="D32" i="2"/>
  <c r="F31" i="2"/>
  <c r="E31" i="2"/>
  <c r="D31" i="2"/>
  <c r="F30" i="2"/>
  <c r="E30" i="2"/>
  <c r="D30" i="2"/>
  <c r="F29" i="2"/>
  <c r="E29" i="2"/>
  <c r="D29" i="2"/>
  <c r="F28" i="2"/>
  <c r="E28" i="2"/>
  <c r="D28" i="2"/>
  <c r="F27" i="2"/>
  <c r="E27" i="2"/>
  <c r="D27" i="2"/>
  <c r="F26" i="2"/>
  <c r="E26" i="2"/>
  <c r="D26" i="2"/>
  <c r="F25" i="2"/>
  <c r="E25" i="2"/>
  <c r="D25" i="2"/>
  <c r="F24" i="2"/>
  <c r="E24" i="2"/>
  <c r="D24" i="2"/>
  <c r="F23" i="2"/>
  <c r="E23" i="2"/>
  <c r="D23" i="2"/>
  <c r="F22" i="2"/>
  <c r="E22" i="2"/>
  <c r="D22" i="2"/>
  <c r="F21" i="2"/>
  <c r="E21" i="2"/>
  <c r="D21" i="2"/>
  <c r="F20" i="2"/>
  <c r="E20" i="2"/>
  <c r="D20" i="2"/>
  <c r="F19" i="2"/>
  <c r="E19" i="2"/>
  <c r="D19" i="2"/>
  <c r="F18" i="2"/>
  <c r="E18" i="2"/>
  <c r="D18" i="2"/>
  <c r="F17" i="2"/>
  <c r="E17" i="2"/>
  <c r="D17" i="2"/>
  <c r="F16" i="2"/>
  <c r="E16" i="2"/>
  <c r="D16" i="2"/>
  <c r="F15" i="2"/>
  <c r="E15" i="2"/>
  <c r="D15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F4" i="2"/>
  <c r="E4" i="2"/>
  <c r="D4" i="2"/>
  <c r="F3" i="2"/>
  <c r="E3" i="2"/>
  <c r="D3" i="2"/>
  <c r="F2" i="2"/>
  <c r="E2" i="2"/>
  <c r="D2" i="2"/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O131" i="1"/>
  <c r="W9" i="1" s="1"/>
  <c r="K131" i="1"/>
  <c r="X8" i="1" s="1"/>
  <c r="H131" i="1"/>
  <c r="Z6" i="1" s="1"/>
  <c r="L131" i="1"/>
  <c r="Y7" i="1" s="1"/>
  <c r="Y12" i="1" l="1"/>
  <c r="W8" i="1"/>
  <c r="X13" i="1"/>
  <c r="X7" i="1"/>
  <c r="Y6" i="1"/>
  <c r="W12" i="1"/>
  <c r="W6" i="1"/>
  <c r="X11" i="1"/>
  <c r="Y10" i="1"/>
  <c r="Z9" i="1"/>
  <c r="Z11" i="1"/>
  <c r="W11" i="1"/>
  <c r="X10" i="1"/>
  <c r="Y9" i="1"/>
  <c r="Z8" i="1"/>
  <c r="Y8" i="1"/>
  <c r="Z13" i="1"/>
  <c r="Z7" i="1"/>
  <c r="W13" i="1"/>
  <c r="W7" i="1"/>
  <c r="X12" i="1"/>
  <c r="X6" i="1"/>
  <c r="Y11" i="1"/>
  <c r="Z10" i="1"/>
  <c r="W10" i="1"/>
  <c r="X9" i="1"/>
  <c r="Y13" i="1"/>
  <c r="Z12" i="1"/>
  <c r="AD2" i="1"/>
  <c r="Z5" i="1" l="1"/>
  <c r="X5" i="1"/>
  <c r="Y5" i="1"/>
  <c r="W5" i="1"/>
  <c r="AC6" i="1" l="1"/>
  <c r="AG6" i="1" s="1"/>
  <c r="AK6" i="1" s="1"/>
  <c r="AA12" i="1"/>
  <c r="AE12" i="1" s="1"/>
  <c r="AI12" i="1" s="1"/>
  <c r="AC11" i="1"/>
  <c r="AG11" i="1" s="1"/>
  <c r="AK11" i="1" s="1"/>
  <c r="AB10" i="1"/>
  <c r="AF10" i="1" s="1"/>
  <c r="AJ10" i="1" s="1"/>
  <c r="AC8" i="1"/>
  <c r="AG8" i="1" s="1"/>
  <c r="AK8" i="1" s="1"/>
  <c r="AB13" i="1"/>
  <c r="AF13" i="1" s="1"/>
  <c r="AJ13" i="1" s="1"/>
  <c r="AB11" i="1"/>
  <c r="AF11" i="1" s="1"/>
  <c r="AJ11" i="1" s="1"/>
  <c r="AA8" i="1"/>
  <c r="AE8" i="1" s="1"/>
  <c r="AI8" i="1" s="1"/>
  <c r="AC13" i="1"/>
  <c r="AG13" i="1" s="1"/>
  <c r="AK13" i="1" s="1"/>
  <c r="AA9" i="1"/>
  <c r="AE9" i="1" s="1"/>
  <c r="AI9" i="1" s="1"/>
  <c r="AC10" i="1"/>
  <c r="AG10" i="1" s="1"/>
  <c r="AK10" i="1" s="1"/>
  <c r="AA7" i="1"/>
  <c r="AE7" i="1" s="1"/>
  <c r="AI7" i="1" s="1"/>
  <c r="AA5" i="1"/>
  <c r="AE5" i="1" s="1"/>
  <c r="AI5" i="1" s="1"/>
  <c r="AB8" i="1"/>
  <c r="AF8" i="1" s="1"/>
  <c r="AJ8" i="1" s="1"/>
  <c r="AB6" i="1"/>
  <c r="AF6" i="1" s="1"/>
  <c r="AJ6" i="1" s="1"/>
  <c r="AC9" i="1"/>
  <c r="AG9" i="1" s="1"/>
  <c r="AK9" i="1" s="1"/>
  <c r="AC5" i="1"/>
  <c r="AG5" i="1" s="1"/>
  <c r="AK5" i="1" s="1"/>
  <c r="AA11" i="1"/>
  <c r="AE11" i="1" s="1"/>
  <c r="AI11" i="1" s="1"/>
  <c r="AA13" i="1"/>
  <c r="AE13" i="1" s="1"/>
  <c r="AI13" i="1" s="1"/>
  <c r="AB5" i="1"/>
  <c r="AF5" i="1" s="1"/>
  <c r="AJ5" i="1" s="1"/>
  <c r="AC12" i="1"/>
  <c r="AG12" i="1" s="1"/>
  <c r="AK12" i="1" s="1"/>
  <c r="AA6" i="1"/>
  <c r="AE6" i="1" s="1"/>
  <c r="AI6" i="1" s="1"/>
  <c r="AB12" i="1"/>
  <c r="AF12" i="1" s="1"/>
  <c r="AJ12" i="1" s="1"/>
  <c r="AB7" i="1"/>
  <c r="AF7" i="1" s="1"/>
  <c r="AJ7" i="1" s="1"/>
  <c r="AB9" i="1"/>
  <c r="AF9" i="1" s="1"/>
  <c r="AJ9" i="1" s="1"/>
  <c r="AA10" i="1"/>
  <c r="AE10" i="1" s="1"/>
  <c r="AI10" i="1" s="1"/>
  <c r="AC7" i="1"/>
  <c r="AG7" i="1" s="1"/>
  <c r="AK7" i="1" s="1"/>
</calcChain>
</file>

<file path=xl/sharedStrings.xml><?xml version="1.0" encoding="utf-8"?>
<sst xmlns="http://schemas.openxmlformats.org/spreadsheetml/2006/main" count="109" uniqueCount="77">
  <si>
    <t>Sample</t>
  </si>
  <si>
    <t>Wavelenght</t>
  </si>
  <si>
    <t>Aceton 1</t>
  </si>
  <si>
    <t>Aceton 2</t>
  </si>
  <si>
    <t>MW:</t>
  </si>
  <si>
    <t>negativer Messwert</t>
  </si>
  <si>
    <t>665 bereinigt mit Acteon-Blank</t>
  </si>
  <si>
    <t>645 bereinigt</t>
  </si>
  <si>
    <t>650 bereinigt</t>
  </si>
  <si>
    <t>630 bereinigt</t>
  </si>
  <si>
    <t>nach Jeffrey &amp; Humphrey</t>
  </si>
  <si>
    <t>11,93xE(664nm) - 1,93xE(647nm)</t>
  </si>
  <si>
    <t>20,36xE(647nm) - 5,5xE(664nm)</t>
  </si>
  <si>
    <t>24,36xE(630nm) - 3,73xE(664nm)</t>
  </si>
  <si>
    <t>modifiziert, da bei 650 die Extinktion immer höher als bei 645</t>
  </si>
  <si>
    <t>11,93xE(665nm) - 1,93xE(650nm)</t>
  </si>
  <si>
    <t>20,36xE(650nm) - 5,5xE(665nm)</t>
  </si>
  <si>
    <t>24,36xE(630nm) - 3,73xE(665nm)</t>
  </si>
  <si>
    <r>
      <t xml:space="preserve">Chl a </t>
    </r>
    <r>
      <rPr>
        <b/>
        <sz val="11"/>
        <color rgb="FFFF0000"/>
        <rFont val="Calibri"/>
        <family val="2"/>
        <scheme val="minor"/>
      </rPr>
      <t>in 300 uL</t>
    </r>
  </si>
  <si>
    <r>
      <t xml:space="preserve">Chl b </t>
    </r>
    <r>
      <rPr>
        <b/>
        <sz val="11"/>
        <color rgb="FFFF0000"/>
        <rFont val="Calibri"/>
        <family val="2"/>
        <scheme val="minor"/>
      </rPr>
      <t>in 300 uL</t>
    </r>
  </si>
  <si>
    <r>
      <t xml:space="preserve">Chl c1+2 </t>
    </r>
    <r>
      <rPr>
        <b/>
        <sz val="11"/>
        <color rgb="FFFF0000"/>
        <rFont val="Calibri"/>
        <family val="2"/>
        <scheme val="minor"/>
      </rPr>
      <t>in 300 uL</t>
    </r>
  </si>
  <si>
    <t>5000/300</t>
  </si>
  <si>
    <r>
      <t>Chl a</t>
    </r>
    <r>
      <rPr>
        <b/>
        <sz val="11"/>
        <color rgb="FFFF0000"/>
        <rFont val="Calibri"/>
        <family val="2"/>
        <scheme val="minor"/>
      </rPr>
      <t xml:space="preserve"> in 5000 uL</t>
    </r>
  </si>
  <si>
    <r>
      <t xml:space="preserve">Chl b </t>
    </r>
    <r>
      <rPr>
        <b/>
        <sz val="11"/>
        <color rgb="FFFF0000"/>
        <rFont val="Calibri"/>
        <family val="2"/>
        <scheme val="minor"/>
      </rPr>
      <t>in 5000 uL</t>
    </r>
  </si>
  <si>
    <r>
      <t xml:space="preserve">Chl c1+2 </t>
    </r>
    <r>
      <rPr>
        <b/>
        <sz val="11"/>
        <color rgb="FFFF0000"/>
        <rFont val="Calibri"/>
        <family val="2"/>
        <scheme val="minor"/>
      </rPr>
      <t>in 5000 uL</t>
    </r>
  </si>
  <si>
    <t>Jetzt noch auf die Fläche normieren</t>
  </si>
  <si>
    <r>
      <t>Chl a in ug/cm</t>
    </r>
    <r>
      <rPr>
        <b/>
        <sz val="11"/>
        <color theme="1"/>
        <rFont val="Calibri"/>
        <family val="2"/>
      </rPr>
      <t>²</t>
    </r>
  </si>
  <si>
    <t>Chl b in  ug/cm²</t>
  </si>
  <si>
    <t>Chl c in  ug/cm²</t>
  </si>
  <si>
    <t>Pigment analysis snail experiment</t>
  </si>
  <si>
    <t>Week 1 NC 1</t>
  </si>
  <si>
    <t>Week 1 NC 2</t>
  </si>
  <si>
    <t>Week 1 NC 3</t>
  </si>
  <si>
    <t>Week 1 Pro 1</t>
  </si>
  <si>
    <t>Week 1 Pro 2</t>
  </si>
  <si>
    <t>Week 1 Pro 3</t>
  </si>
  <si>
    <t>Week 1 Cip 1</t>
  </si>
  <si>
    <t>Week 1 Cip 2</t>
  </si>
  <si>
    <t>Week 1 Cip 3</t>
  </si>
  <si>
    <t>Week 1 Mix 1</t>
  </si>
  <si>
    <t>Week 1 Mix 2</t>
  </si>
  <si>
    <t>Week 1 Mix 3</t>
  </si>
  <si>
    <t>Week 2 NC 1</t>
  </si>
  <si>
    <t>Week 2 NC 2</t>
  </si>
  <si>
    <t>Week 2 NC 3</t>
  </si>
  <si>
    <t>Week 2 Pro 1</t>
  </si>
  <si>
    <t>Week 2 Pro 2</t>
  </si>
  <si>
    <t>Week 2 Pro 3</t>
  </si>
  <si>
    <t>Week 2 Cip 1</t>
  </si>
  <si>
    <t>Week 2 Cip 2</t>
  </si>
  <si>
    <t>Week 2 Cip 3</t>
  </si>
  <si>
    <t>Week 2 Mix 1</t>
  </si>
  <si>
    <t>Week 2 Mix 2</t>
  </si>
  <si>
    <t>Week 2 Mix 3</t>
  </si>
  <si>
    <t>Week 3 NC 1</t>
  </si>
  <si>
    <t>Week 3 NC 2</t>
  </si>
  <si>
    <t>Week 3 NC 3</t>
  </si>
  <si>
    <t>Week 3 Pro 1</t>
  </si>
  <si>
    <t>Week 3 Pro 2</t>
  </si>
  <si>
    <t>Week 3 Pro 3</t>
  </si>
  <si>
    <t>Week 3 Cip 1</t>
  </si>
  <si>
    <t>Week 3 Cip 2</t>
  </si>
  <si>
    <t>Week 3 Cip 3</t>
  </si>
  <si>
    <t>Week 3 Mix 1</t>
  </si>
  <si>
    <t>Week 3 Mix 2</t>
  </si>
  <si>
    <t>Week 3 Mix 3</t>
  </si>
  <si>
    <t>sample</t>
  </si>
  <si>
    <t>treatment</t>
  </si>
  <si>
    <t>chla</t>
  </si>
  <si>
    <t>chlb</t>
  </si>
  <si>
    <t>chlc</t>
  </si>
  <si>
    <t>week</t>
  </si>
  <si>
    <t>NC</t>
  </si>
  <si>
    <t>Cip</t>
  </si>
  <si>
    <t>Pro</t>
  </si>
  <si>
    <t>Mix</t>
  </si>
  <si>
    <t>afdw_after_colonisation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</si>
</sst>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3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5" borderId="0" xfId="0" applyFill="1"/>
    <xf numFmtId="0" fontId="0" fillId="3" borderId="0" xfId="0" applyFill="1"/>
    <xf numFmtId="0" fontId="2" fillId="6" borderId="0" xfId="0" applyFont="1" applyFill="1"/>
    <xf numFmtId="0" fontId="0" fillId="10" borderId="0" xfId="0" applyFill="1"/>
    <xf numFmtId="0" fontId="2" fillId="10" borderId="0" xfId="0" applyFont="1" applyFill="1"/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2">
    <cellStyle name="Standard" xfId="0" builtinId="0"/>
    <cellStyle name="Tecan.At.Excel.Error" xfId="1" xr:uid="{84AB49E4-BF7E-405A-9893-980F80768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48E0A-3114-465A-A330-CA4C0835FFF0}">
  <dimension ref="A1:AV133"/>
  <sheetViews>
    <sheetView zoomScaleNormal="100" workbookViewId="0">
      <pane xSplit="1" ySplit="4" topLeftCell="AC98" activePane="bottomRight" state="frozen"/>
      <selection pane="topRight" activeCell="C1" sqref="C1"/>
      <selection pane="bottomLeft" activeCell="A5" sqref="A5"/>
      <selection pane="bottomRight" activeCell="AM11" sqref="AM11"/>
    </sheetView>
  </sheetViews>
  <sheetFormatPr baseColWidth="10" defaultRowHeight="14.5" x14ac:dyDescent="0.35"/>
  <cols>
    <col min="1" max="1" width="14.08984375" customWidth="1"/>
    <col min="8" max="8" width="10.90625" style="10"/>
    <col min="11" max="12" width="10.90625" style="10"/>
    <col min="15" max="15" width="10.90625" style="10"/>
    <col min="23" max="23" width="26.6328125" customWidth="1"/>
    <col min="24" max="24" width="14.36328125" customWidth="1"/>
    <col min="25" max="25" width="14.7265625" customWidth="1"/>
    <col min="26" max="26" width="13.90625" customWidth="1"/>
    <col min="27" max="27" width="29.36328125" customWidth="1"/>
    <col min="28" max="29" width="29.1796875" customWidth="1"/>
    <col min="31" max="31" width="14.90625" customWidth="1"/>
    <col min="32" max="32" width="13.7265625" customWidth="1"/>
    <col min="33" max="33" width="16.81640625" customWidth="1"/>
    <col min="35" max="35" width="12.90625" customWidth="1"/>
    <col min="36" max="36" width="13.36328125" customWidth="1"/>
    <col min="37" max="37" width="13.1796875" customWidth="1"/>
  </cols>
  <sheetData>
    <row r="1" spans="1:48" x14ac:dyDescent="0.35">
      <c r="A1" s="1" t="s">
        <v>29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8" t="s">
        <v>25</v>
      </c>
      <c r="AI1" s="17" t="s">
        <v>26</v>
      </c>
      <c r="AJ1" s="17" t="s">
        <v>27</v>
      </c>
      <c r="AK1" s="17" t="s">
        <v>28</v>
      </c>
    </row>
    <row r="2" spans="1:48" x14ac:dyDescent="0.35">
      <c r="W2" s="8" t="s">
        <v>5</v>
      </c>
      <c r="Z2" s="1" t="s">
        <v>10</v>
      </c>
      <c r="AA2" t="s">
        <v>11</v>
      </c>
      <c r="AB2" t="s">
        <v>12</v>
      </c>
      <c r="AC2" t="s">
        <v>13</v>
      </c>
      <c r="AD2" s="1">
        <f>5000/300</f>
        <v>16.666666666666668</v>
      </c>
      <c r="AH2" s="18"/>
      <c r="AI2" s="17"/>
      <c r="AJ2" s="17"/>
      <c r="AK2" s="17"/>
    </row>
    <row r="3" spans="1:48" x14ac:dyDescent="0.35">
      <c r="B3" s="1" t="s">
        <v>1</v>
      </c>
      <c r="Z3" s="1" t="s">
        <v>14</v>
      </c>
      <c r="AA3" t="s">
        <v>15</v>
      </c>
      <c r="AB3" t="s">
        <v>16</v>
      </c>
      <c r="AC3" t="s">
        <v>17</v>
      </c>
      <c r="AH3" s="18"/>
    </row>
    <row r="4" spans="1:48" ht="15" thickBot="1" x14ac:dyDescent="0.4">
      <c r="A4" s="1" t="s">
        <v>0</v>
      </c>
      <c r="B4" s="2">
        <v>600</v>
      </c>
      <c r="C4" s="2">
        <v>605</v>
      </c>
      <c r="D4" s="2">
        <v>610</v>
      </c>
      <c r="E4" s="2">
        <v>615</v>
      </c>
      <c r="F4" s="2">
        <v>620</v>
      </c>
      <c r="G4" s="2">
        <v>625</v>
      </c>
      <c r="H4" s="11">
        <v>630</v>
      </c>
      <c r="I4" s="2">
        <v>635</v>
      </c>
      <c r="J4" s="2">
        <v>640</v>
      </c>
      <c r="K4" s="11">
        <v>645</v>
      </c>
      <c r="L4" s="11">
        <v>650</v>
      </c>
      <c r="M4" s="2">
        <v>655</v>
      </c>
      <c r="N4" s="2">
        <v>660</v>
      </c>
      <c r="O4" s="11">
        <v>665</v>
      </c>
      <c r="P4" s="2">
        <v>670</v>
      </c>
      <c r="Q4" s="2">
        <v>675</v>
      </c>
      <c r="R4" s="2">
        <v>680</v>
      </c>
      <c r="S4" s="2">
        <v>685</v>
      </c>
      <c r="T4" s="2">
        <v>690</v>
      </c>
      <c r="U4" s="2">
        <v>695</v>
      </c>
      <c r="V4" s="2">
        <v>700</v>
      </c>
      <c r="W4" s="9" t="s">
        <v>6</v>
      </c>
      <c r="X4" s="9" t="s">
        <v>7</v>
      </c>
      <c r="Y4" s="9" t="s">
        <v>8</v>
      </c>
      <c r="Z4" s="9" t="s">
        <v>9</v>
      </c>
      <c r="AA4" s="6"/>
      <c r="AB4" s="6"/>
      <c r="AC4" s="6"/>
      <c r="AE4" s="6"/>
      <c r="AF4" s="6"/>
      <c r="AG4" s="6"/>
      <c r="AH4" s="1">
        <v>44.18</v>
      </c>
      <c r="AI4" s="6"/>
      <c r="AJ4" s="6"/>
      <c r="AK4" s="6"/>
    </row>
    <row r="5" spans="1:48" s="5" customFormat="1" x14ac:dyDescent="0.35">
      <c r="A5" s="15" t="s">
        <v>30</v>
      </c>
      <c r="B5">
        <v>5.2799999713897705E-2</v>
      </c>
      <c r="C5">
        <v>5.3399998694658279E-2</v>
      </c>
      <c r="D5">
        <v>5.3899999707937241E-2</v>
      </c>
      <c r="E5">
        <v>5.3899999707937241E-2</v>
      </c>
      <c r="F5">
        <v>5.3800001740455627E-2</v>
      </c>
      <c r="G5">
        <v>5.3500000387430191E-2</v>
      </c>
      <c r="H5" s="10">
        <v>5.3300000727176666E-2</v>
      </c>
      <c r="I5">
        <v>5.2900001406669617E-2</v>
      </c>
      <c r="J5">
        <v>5.2799999713897705E-2</v>
      </c>
      <c r="K5" s="10">
        <v>5.3199999034404755E-2</v>
      </c>
      <c r="L5" s="10">
        <v>5.559999868273735E-2</v>
      </c>
      <c r="M5">
        <v>5.9999998658895493E-2</v>
      </c>
      <c r="N5">
        <v>6.6899999976158142E-2</v>
      </c>
      <c r="O5" s="10">
        <v>6.9700002670288086E-2</v>
      </c>
      <c r="P5">
        <v>6.6100001335144043E-2</v>
      </c>
      <c r="Q5">
        <v>5.8299999684095383E-2</v>
      </c>
      <c r="R5">
        <v>5.2200000733137131E-2</v>
      </c>
      <c r="S5">
        <v>4.8799999058246613E-2</v>
      </c>
      <c r="T5">
        <v>4.7899998724460602E-2</v>
      </c>
      <c r="U5">
        <v>4.7200001776218414E-2</v>
      </c>
      <c r="V5">
        <v>4.6900000423192978E-2</v>
      </c>
      <c r="W5">
        <f t="shared" ref="W5:W13" si="0">(O5-$O$131)</f>
        <v>2.9483336955308914E-2</v>
      </c>
      <c r="X5">
        <f t="shared" ref="X5:X13" si="1">(K5-$K$131)</f>
        <v>1.2649998689691223E-2</v>
      </c>
      <c r="Y5">
        <f t="shared" ref="Y5:Y13" si="2">(L5-$L$131)</f>
        <v>1.5199998393654823E-2</v>
      </c>
      <c r="Z5">
        <f t="shared" ref="Z5:Z13" si="3">(H5-$H$131)</f>
        <v>1.2416667615373932E-2</v>
      </c>
      <c r="AA5">
        <f>11.93*W5-1.93*Y5</f>
        <v>0.32240021297708155</v>
      </c>
      <c r="AB5">
        <f>20.36*Y5-5.5*W5</f>
        <v>0.14731361404061316</v>
      </c>
      <c r="AC5">
        <f>24.36*Z5-3.73*W5</f>
        <v>0.19249717626720672</v>
      </c>
      <c r="AE5">
        <f>AA5*$AD$2</f>
        <v>5.3733368829513593</v>
      </c>
      <c r="AF5">
        <f>AB5*$AD$2</f>
        <v>2.4552269006768861</v>
      </c>
      <c r="AG5">
        <f>AC5*$AD$2</f>
        <v>3.2082862711201123</v>
      </c>
      <c r="AI5">
        <f>AE5/$AH$4</f>
        <v>0.12162374112610591</v>
      </c>
      <c r="AJ5">
        <f>AF5/$AH$4</f>
        <v>5.5573266199114672E-2</v>
      </c>
      <c r="AK5">
        <f>AG5/$AH$4</f>
        <v>7.2618521301949124E-2</v>
      </c>
    </row>
    <row r="6" spans="1:48" x14ac:dyDescent="0.35">
      <c r="A6" s="15"/>
      <c r="B6">
        <v>5.0500001758337021E-2</v>
      </c>
      <c r="C6">
        <v>5.090000107884407E-2</v>
      </c>
      <c r="D6">
        <v>5.1500000059604645E-2</v>
      </c>
      <c r="E6">
        <v>5.1500000059604645E-2</v>
      </c>
      <c r="F6">
        <v>5.130000039935112E-2</v>
      </c>
      <c r="G6">
        <v>5.130000039935112E-2</v>
      </c>
      <c r="H6" s="10">
        <v>5.0999999046325684E-2</v>
      </c>
      <c r="I6">
        <v>5.0599999725818634E-2</v>
      </c>
      <c r="J6">
        <v>5.0500001758337021E-2</v>
      </c>
      <c r="K6" s="10">
        <v>5.090000107884407E-2</v>
      </c>
      <c r="L6" s="10">
        <v>5.3500000387430191E-2</v>
      </c>
      <c r="M6">
        <v>5.7700000703334808E-2</v>
      </c>
      <c r="N6">
        <v>6.4599998295307159E-2</v>
      </c>
      <c r="O6" s="10">
        <v>6.7400000989437103E-2</v>
      </c>
      <c r="P6">
        <v>6.3900001347064972E-2</v>
      </c>
      <c r="Q6">
        <v>5.6000001728534698E-2</v>
      </c>
      <c r="R6">
        <v>4.9800001084804535E-2</v>
      </c>
      <c r="S6">
        <v>4.6500001102685928E-2</v>
      </c>
      <c r="T6">
        <v>4.5400001108646393E-2</v>
      </c>
      <c r="U6">
        <v>4.4900000095367432E-2</v>
      </c>
      <c r="V6">
        <v>4.4700000435113907E-2</v>
      </c>
      <c r="W6">
        <f t="shared" si="0"/>
        <v>2.7183335274457932E-2</v>
      </c>
      <c r="X6">
        <f t="shared" si="1"/>
        <v>1.0350000734130539E-2</v>
      </c>
      <c r="Y6">
        <f t="shared" si="2"/>
        <v>1.3100000098347664E-2</v>
      </c>
      <c r="Z6">
        <f t="shared" si="3"/>
        <v>1.0116665934522949E-2</v>
      </c>
      <c r="AA6">
        <f>11.93*W6-1.93*Y6</f>
        <v>0.29901418963447213</v>
      </c>
      <c r="AB6">
        <f t="shared" ref="AB6:AB69" si="4">20.36*Y6-5.5*W6</f>
        <v>0.11720765799283983</v>
      </c>
      <c r="AC6">
        <f t="shared" ref="AC6:AC69" si="5">24.36*Z6-3.73*W6</f>
        <v>0.14504814159125096</v>
      </c>
      <c r="AE6">
        <f t="shared" ref="AE6:AE69" si="6">AA6*$AD$2</f>
        <v>4.9835698272412028</v>
      </c>
      <c r="AF6">
        <f t="shared" ref="AF6:AF69" si="7">AB6*$AD$2</f>
        <v>1.9534609665473306</v>
      </c>
      <c r="AG6">
        <f t="shared" ref="AG6:AG69" si="8">AC6*$AD$2</f>
        <v>2.4174690265208496</v>
      </c>
      <c r="AI6">
        <f t="shared" ref="AI6:AI69" si="9">AE6/$AH$4</f>
        <v>0.11280148997829793</v>
      </c>
      <c r="AJ6">
        <f t="shared" ref="AJ6:AJ69" si="10">AF6/$AH$4</f>
        <v>4.4215956689618169E-2</v>
      </c>
      <c r="AK6">
        <f t="shared" ref="AK6:AK69" si="11">AG6/$AH$4</f>
        <v>5.4718628938905604E-2</v>
      </c>
    </row>
    <row r="7" spans="1:48" x14ac:dyDescent="0.35">
      <c r="A7" s="15"/>
      <c r="B7">
        <v>5.0099998712539673E-2</v>
      </c>
      <c r="C7">
        <v>5.0700001418590546E-2</v>
      </c>
      <c r="D7">
        <v>5.1199998706579208E-2</v>
      </c>
      <c r="E7">
        <v>5.130000039935112E-2</v>
      </c>
      <c r="F7">
        <v>5.090000107884407E-2</v>
      </c>
      <c r="G7">
        <v>5.0700001418590546E-2</v>
      </c>
      <c r="H7" s="10">
        <v>5.0500001758337021E-2</v>
      </c>
      <c r="I7">
        <v>5.0200000405311584E-2</v>
      </c>
      <c r="J7">
        <v>5.000000074505806E-2</v>
      </c>
      <c r="K7" s="10">
        <v>5.0500001758337021E-2</v>
      </c>
      <c r="L7" s="10">
        <v>5.3100001066923141E-2</v>
      </c>
      <c r="M7">
        <v>5.7199999690055847E-2</v>
      </c>
      <c r="N7">
        <v>6.419999897480011E-2</v>
      </c>
      <c r="O7" s="10">
        <v>6.7100003361701965E-2</v>
      </c>
      <c r="P7">
        <v>6.3299998641014099E-2</v>
      </c>
      <c r="Q7">
        <v>5.5500000715255737E-2</v>
      </c>
      <c r="R7">
        <v>4.9400001764297485E-2</v>
      </c>
      <c r="S7">
        <v>4.6100001782178879E-2</v>
      </c>
      <c r="T7">
        <v>4.5099999755620956E-2</v>
      </c>
      <c r="U7">
        <v>4.4199999421834946E-2</v>
      </c>
      <c r="V7">
        <v>4.4100001454353333E-2</v>
      </c>
      <c r="W7">
        <f t="shared" si="0"/>
        <v>2.6883337646722794E-2</v>
      </c>
      <c r="X7">
        <f t="shared" si="1"/>
        <v>9.9500014136234896E-3</v>
      </c>
      <c r="Y7">
        <f t="shared" si="2"/>
        <v>1.2700000777840614E-2</v>
      </c>
      <c r="Z7">
        <f t="shared" si="3"/>
        <v>9.6166686465342863E-3</v>
      </c>
      <c r="AA7">
        <f t="shared" ref="AA7:AA70" si="12">11.93*W7-1.93*Y7</f>
        <v>0.29620721662417054</v>
      </c>
      <c r="AB7">
        <f t="shared" si="4"/>
        <v>0.11071365877985956</v>
      </c>
      <c r="AC7">
        <f t="shared" si="5"/>
        <v>0.1339871988072992</v>
      </c>
      <c r="AE7">
        <f t="shared" si="6"/>
        <v>4.936786943736176</v>
      </c>
      <c r="AF7">
        <f t="shared" si="7"/>
        <v>1.8452276463309927</v>
      </c>
      <c r="AG7">
        <f t="shared" si="8"/>
        <v>2.2331199801216535</v>
      </c>
      <c r="AI7">
        <f t="shared" si="9"/>
        <v>0.11174257455265224</v>
      </c>
      <c r="AJ7">
        <f t="shared" si="10"/>
        <v>4.1766130519035598E-2</v>
      </c>
      <c r="AK7">
        <f t="shared" si="11"/>
        <v>5.0545947942998042E-2</v>
      </c>
    </row>
    <row r="8" spans="1:48" x14ac:dyDescent="0.35">
      <c r="A8" s="15" t="s">
        <v>31</v>
      </c>
      <c r="B8">
        <v>5.3899999707937241E-2</v>
      </c>
      <c r="C8">
        <v>5.5399999022483826E-2</v>
      </c>
      <c r="D8">
        <v>5.6499999016523361E-2</v>
      </c>
      <c r="E8">
        <v>5.6499999016523361E-2</v>
      </c>
      <c r="F8">
        <v>5.5900000035762787E-2</v>
      </c>
      <c r="G8">
        <v>5.5799998342990875E-2</v>
      </c>
      <c r="H8" s="10">
        <v>5.5399999022483826E-2</v>
      </c>
      <c r="I8">
        <v>5.5100001394748688E-2</v>
      </c>
      <c r="J8">
        <v>5.5199999362230301E-2</v>
      </c>
      <c r="K8" s="10">
        <v>5.6699998676776886E-2</v>
      </c>
      <c r="L8" s="10">
        <v>6.2399998307228088E-2</v>
      </c>
      <c r="M8">
        <v>7.2400003671646118E-2</v>
      </c>
      <c r="N8">
        <v>8.8100001215934753E-2</v>
      </c>
      <c r="O8" s="10">
        <v>9.4700001180171967E-2</v>
      </c>
      <c r="P8">
        <v>8.6499996483325958E-2</v>
      </c>
      <c r="Q8">
        <v>6.9099999964237213E-2</v>
      </c>
      <c r="R8">
        <v>5.6200001388788223E-2</v>
      </c>
      <c r="S8">
        <v>4.9199998378753662E-2</v>
      </c>
      <c r="T8">
        <v>4.6799998730421066E-2</v>
      </c>
      <c r="U8">
        <v>4.5499999076128006E-2</v>
      </c>
      <c r="V8">
        <v>4.5200001448392868E-2</v>
      </c>
      <c r="W8">
        <f t="shared" si="0"/>
        <v>5.4483335465192795E-2</v>
      </c>
      <c r="X8">
        <f t="shared" si="1"/>
        <v>1.6149998332063355E-2</v>
      </c>
      <c r="Y8">
        <f t="shared" si="2"/>
        <v>2.1999998018145561E-2</v>
      </c>
      <c r="Z8">
        <f t="shared" si="3"/>
        <v>1.4516665910681091E-2</v>
      </c>
      <c r="AA8">
        <f t="shared" si="12"/>
        <v>0.60752619592472912</v>
      </c>
      <c r="AB8">
        <f t="shared" si="4"/>
        <v>0.14826161459088322</v>
      </c>
      <c r="AC8">
        <f t="shared" si="5"/>
        <v>0.15040314029902227</v>
      </c>
      <c r="AE8">
        <f t="shared" si="6"/>
        <v>10.125436598745486</v>
      </c>
      <c r="AF8">
        <f t="shared" si="7"/>
        <v>2.471026909848054</v>
      </c>
      <c r="AG8">
        <f t="shared" si="8"/>
        <v>2.5067190049837045</v>
      </c>
      <c r="AI8">
        <f t="shared" si="9"/>
        <v>0.22918598005308932</v>
      </c>
      <c r="AJ8">
        <f t="shared" si="10"/>
        <v>5.5930894292622317E-2</v>
      </c>
      <c r="AK8">
        <f t="shared" si="11"/>
        <v>5.6738773313347771E-2</v>
      </c>
    </row>
    <row r="9" spans="1:48" x14ac:dyDescent="0.35">
      <c r="A9" s="15"/>
      <c r="B9">
        <v>5.3599998354911804E-2</v>
      </c>
      <c r="C9">
        <v>5.4999999701976776E-2</v>
      </c>
      <c r="D9">
        <v>5.6099999696016312E-2</v>
      </c>
      <c r="E9">
        <v>5.6299999356269836E-2</v>
      </c>
      <c r="F9">
        <v>5.559999868273735E-2</v>
      </c>
      <c r="G9">
        <v>5.5100001394748688E-2</v>
      </c>
      <c r="H9" s="10">
        <v>5.5199999362230301E-2</v>
      </c>
      <c r="I9">
        <v>5.4800000041723251E-2</v>
      </c>
      <c r="J9">
        <v>5.469999834895134E-2</v>
      </c>
      <c r="K9" s="10">
        <v>5.6200001388788223E-2</v>
      </c>
      <c r="L9" s="10">
        <v>6.2399998307228088E-2</v>
      </c>
      <c r="M9">
        <v>7.2899997234344482E-2</v>
      </c>
      <c r="N9">
        <v>8.9400000870227814E-2</v>
      </c>
      <c r="O9" s="10">
        <v>9.6000000834465027E-2</v>
      </c>
      <c r="P9">
        <v>8.7800003588199615E-2</v>
      </c>
      <c r="Q9">
        <v>6.9600000977516174E-2</v>
      </c>
      <c r="R9">
        <v>5.5799998342990875E-2</v>
      </c>
      <c r="S9">
        <v>4.8500001430511475E-2</v>
      </c>
      <c r="T9">
        <v>4.6199999749660492E-2</v>
      </c>
      <c r="U9">
        <v>4.479999840259552E-2</v>
      </c>
      <c r="V9">
        <v>4.4500000774860382E-2</v>
      </c>
      <c r="W9">
        <f t="shared" si="0"/>
        <v>5.5783335119485855E-2</v>
      </c>
      <c r="X9">
        <f t="shared" si="1"/>
        <v>1.5650001044074692E-2</v>
      </c>
      <c r="Y9">
        <f t="shared" si="2"/>
        <v>2.1999998018145561E-2</v>
      </c>
      <c r="Z9">
        <f t="shared" si="3"/>
        <v>1.4316666250427566E-2</v>
      </c>
      <c r="AA9">
        <f t="shared" si="12"/>
        <v>0.62303519180044531</v>
      </c>
      <c r="AB9">
        <f t="shared" si="4"/>
        <v>0.14111161649227139</v>
      </c>
      <c r="AC9">
        <f t="shared" si="5"/>
        <v>0.14068214986473326</v>
      </c>
      <c r="AE9">
        <f t="shared" si="6"/>
        <v>10.383919863340756</v>
      </c>
      <c r="AF9">
        <f t="shared" si="7"/>
        <v>2.3518602748711901</v>
      </c>
      <c r="AG9">
        <f t="shared" si="8"/>
        <v>2.3447024977455544</v>
      </c>
      <c r="AI9">
        <f t="shared" si="9"/>
        <v>0.23503666508240734</v>
      </c>
      <c r="AJ9">
        <f t="shared" si="10"/>
        <v>5.3233596081285424E-2</v>
      </c>
      <c r="AK9">
        <f t="shared" si="11"/>
        <v>5.3071582112846412E-2</v>
      </c>
    </row>
    <row r="10" spans="1:48" x14ac:dyDescent="0.35">
      <c r="A10" s="15"/>
      <c r="B10">
        <v>5.3399998694658279E-2</v>
      </c>
      <c r="C10">
        <v>5.5199999362230301E-2</v>
      </c>
      <c r="D10">
        <v>5.6499999016523361E-2</v>
      </c>
      <c r="E10">
        <v>5.6499999016523361E-2</v>
      </c>
      <c r="F10">
        <v>5.6000001728534698E-2</v>
      </c>
      <c r="G10">
        <v>5.5700000375509262E-2</v>
      </c>
      <c r="H10" s="10">
        <v>5.5300001055002213E-2</v>
      </c>
      <c r="I10">
        <v>5.4900001734495163E-2</v>
      </c>
      <c r="J10">
        <v>5.4900001734495163E-2</v>
      </c>
      <c r="K10" s="10">
        <v>5.6699998676776886E-2</v>
      </c>
      <c r="L10" s="10">
        <v>6.3100002706050873E-2</v>
      </c>
      <c r="M10">
        <v>7.2999998927116394E-2</v>
      </c>
      <c r="N10">
        <v>8.9699998497962952E-2</v>
      </c>
      <c r="O10" s="10">
        <v>9.6100002527236938E-2</v>
      </c>
      <c r="P10">
        <v>8.7499998509883881E-2</v>
      </c>
      <c r="Q10">
        <v>6.9600000977516174E-2</v>
      </c>
      <c r="R10">
        <v>5.5799998342990875E-2</v>
      </c>
      <c r="S10">
        <v>4.8500001430511475E-2</v>
      </c>
      <c r="T10">
        <v>4.6100001782178879E-2</v>
      </c>
      <c r="U10">
        <v>4.479999840259552E-2</v>
      </c>
      <c r="V10">
        <v>4.4599998742341995E-2</v>
      </c>
      <c r="W10">
        <f t="shared" si="0"/>
        <v>5.5883336812257767E-2</v>
      </c>
      <c r="X10">
        <f t="shared" si="1"/>
        <v>1.6149998332063355E-2</v>
      </c>
      <c r="Y10">
        <f t="shared" si="2"/>
        <v>2.2700002416968346E-2</v>
      </c>
      <c r="Z10">
        <f t="shared" si="3"/>
        <v>1.4416667943199478E-2</v>
      </c>
      <c r="AA10">
        <f t="shared" si="12"/>
        <v>0.62287720350548625</v>
      </c>
      <c r="AB10">
        <f t="shared" si="4"/>
        <v>0.1548136967420578</v>
      </c>
      <c r="AC10">
        <f t="shared" si="5"/>
        <v>0.14274518478661782</v>
      </c>
      <c r="AE10">
        <f t="shared" si="6"/>
        <v>10.381286725091439</v>
      </c>
      <c r="AF10">
        <f t="shared" si="7"/>
        <v>2.580228279034297</v>
      </c>
      <c r="AG10">
        <f t="shared" si="8"/>
        <v>2.3790864131102971</v>
      </c>
      <c r="AI10">
        <f t="shared" si="9"/>
        <v>0.23497706485041736</v>
      </c>
      <c r="AJ10">
        <f t="shared" si="10"/>
        <v>5.8402631938304597E-2</v>
      </c>
      <c r="AK10">
        <f t="shared" si="11"/>
        <v>5.3849850907883592E-2</v>
      </c>
    </row>
    <row r="11" spans="1:48" x14ac:dyDescent="0.35">
      <c r="A11" s="15" t="s">
        <v>32</v>
      </c>
      <c r="B11">
        <v>4.7400001436471939E-2</v>
      </c>
      <c r="C11">
        <v>4.830000177025795E-2</v>
      </c>
      <c r="D11">
        <v>4.8799999058246613E-2</v>
      </c>
      <c r="E11">
        <v>4.8900000751018524E-2</v>
      </c>
      <c r="F11">
        <v>4.8599999397993088E-2</v>
      </c>
      <c r="G11">
        <v>4.8500001430511475E-2</v>
      </c>
      <c r="H11" s="10">
        <v>4.8500001430511475E-2</v>
      </c>
      <c r="I11">
        <v>4.8399999737739563E-2</v>
      </c>
      <c r="J11">
        <v>4.8500001430511475E-2</v>
      </c>
      <c r="K11" s="10">
        <v>4.9199998378753662E-2</v>
      </c>
      <c r="L11" s="10">
        <v>5.2099999040365219E-2</v>
      </c>
      <c r="M11">
        <v>5.6600000709295273E-2</v>
      </c>
      <c r="N11">
        <v>6.419999897480011E-2</v>
      </c>
      <c r="O11" s="10">
        <v>6.759999692440033E-2</v>
      </c>
      <c r="P11">
        <v>6.419999897480011E-2</v>
      </c>
      <c r="Q11">
        <v>5.6000001728534698E-2</v>
      </c>
      <c r="R11">
        <v>4.9499999731779099E-2</v>
      </c>
      <c r="S11">
        <v>4.6000000089406967E-2</v>
      </c>
      <c r="T11">
        <v>4.4900000095367432E-2</v>
      </c>
      <c r="U11">
        <v>4.439999908208847E-2</v>
      </c>
      <c r="V11">
        <v>4.4100001454353333E-2</v>
      </c>
      <c r="W11">
        <f t="shared" si="0"/>
        <v>2.7383331209421158E-2</v>
      </c>
      <c r="X11">
        <f t="shared" si="1"/>
        <v>8.6499980340401308E-3</v>
      </c>
      <c r="Y11">
        <f t="shared" si="2"/>
        <v>1.1699998751282692E-2</v>
      </c>
      <c r="Z11">
        <f t="shared" si="3"/>
        <v>7.61666831870874E-3</v>
      </c>
      <c r="AA11">
        <f t="shared" si="12"/>
        <v>0.30410214373841876</v>
      </c>
      <c r="AB11">
        <f t="shared" si="4"/>
        <v>8.7603652924299225E-2</v>
      </c>
      <c r="AC11">
        <f t="shared" si="5"/>
        <v>8.3402214832603988E-2</v>
      </c>
      <c r="AE11">
        <f t="shared" si="6"/>
        <v>5.0683690623069797</v>
      </c>
      <c r="AF11">
        <f t="shared" si="7"/>
        <v>1.4600608820716539</v>
      </c>
      <c r="AG11">
        <f t="shared" si="8"/>
        <v>1.3900369138767332</v>
      </c>
      <c r="AI11">
        <f t="shared" si="9"/>
        <v>0.11472089321654549</v>
      </c>
      <c r="AJ11">
        <f t="shared" si="10"/>
        <v>3.3048005479213535E-2</v>
      </c>
      <c r="AK11">
        <f t="shared" si="11"/>
        <v>3.1463035624190429E-2</v>
      </c>
    </row>
    <row r="12" spans="1:48" x14ac:dyDescent="0.35">
      <c r="A12" s="15"/>
      <c r="B12">
        <v>4.7400001436471939E-2</v>
      </c>
      <c r="C12">
        <v>4.8200000077486038E-2</v>
      </c>
      <c r="D12">
        <v>4.8799999058246613E-2</v>
      </c>
      <c r="E12">
        <v>4.8799999058246613E-2</v>
      </c>
      <c r="F12">
        <v>4.8500001430511475E-2</v>
      </c>
      <c r="G12">
        <v>4.8200000077486038E-2</v>
      </c>
      <c r="H12" s="10">
        <v>4.8399999737739563E-2</v>
      </c>
      <c r="I12">
        <v>4.8200000077486038E-2</v>
      </c>
      <c r="J12">
        <v>4.830000177025795E-2</v>
      </c>
      <c r="K12" s="10">
        <v>4.9100000411272049E-2</v>
      </c>
      <c r="L12" s="10">
        <v>5.260000005364418E-2</v>
      </c>
      <c r="M12">
        <v>5.7199999690055847E-2</v>
      </c>
      <c r="N12">
        <v>6.5300002694129944E-2</v>
      </c>
      <c r="O12" s="10">
        <v>6.8999998271465302E-2</v>
      </c>
      <c r="P12">
        <v>6.5300002694129944E-2</v>
      </c>
      <c r="Q12">
        <v>5.6699998676776886E-2</v>
      </c>
      <c r="R12">
        <v>4.9899999052286148E-2</v>
      </c>
      <c r="S12">
        <v>4.6300001442432404E-2</v>
      </c>
      <c r="T12">
        <v>4.5200001448392868E-2</v>
      </c>
      <c r="U12">
        <v>4.4599998742341995E-2</v>
      </c>
      <c r="V12">
        <v>4.4500000774860382E-2</v>
      </c>
      <c r="W12">
        <f t="shared" si="0"/>
        <v>2.878333255648613E-2</v>
      </c>
      <c r="X12">
        <f t="shared" si="1"/>
        <v>8.5500000665585177E-3</v>
      </c>
      <c r="Y12">
        <f t="shared" si="2"/>
        <v>1.2199999764561653E-2</v>
      </c>
      <c r="Z12">
        <f t="shared" si="3"/>
        <v>7.5166666259368284E-3</v>
      </c>
      <c r="AA12">
        <f t="shared" si="12"/>
        <v>0.31983915785327555</v>
      </c>
      <c r="AB12">
        <f t="shared" si="4"/>
        <v>9.0083666145801544E-2</v>
      </c>
      <c r="AC12">
        <f t="shared" si="5"/>
        <v>7.574416857212786E-2</v>
      </c>
      <c r="AE12">
        <f t="shared" si="6"/>
        <v>5.3306526308879265</v>
      </c>
      <c r="AF12">
        <f t="shared" si="7"/>
        <v>1.5013944357633591</v>
      </c>
      <c r="AG12">
        <f t="shared" si="8"/>
        <v>1.2624028095354645</v>
      </c>
      <c r="AI12">
        <f t="shared" si="9"/>
        <v>0.12065759689651259</v>
      </c>
      <c r="AJ12">
        <f t="shared" si="10"/>
        <v>3.3983577088351272E-2</v>
      </c>
      <c r="AK12">
        <f t="shared" si="11"/>
        <v>2.8574078984505761E-2</v>
      </c>
    </row>
    <row r="13" spans="1:48" s="6" customFormat="1" ht="15" thickBot="1" x14ac:dyDescent="0.4">
      <c r="A13" s="15"/>
      <c r="B13">
        <v>4.6799998730421066E-2</v>
      </c>
      <c r="C13">
        <v>4.7499999403953552E-2</v>
      </c>
      <c r="D13">
        <v>4.8099998384714127E-2</v>
      </c>
      <c r="E13">
        <v>4.8000000417232513E-2</v>
      </c>
      <c r="F13">
        <v>4.7499999403953552E-2</v>
      </c>
      <c r="G13">
        <v>4.7200001776218414E-2</v>
      </c>
      <c r="H13" s="10">
        <v>4.6999998390674591E-2</v>
      </c>
      <c r="I13">
        <v>4.6799998730421066E-2</v>
      </c>
      <c r="J13">
        <v>4.6700000762939453E-2</v>
      </c>
      <c r="K13" s="10">
        <v>4.7400001436471939E-2</v>
      </c>
      <c r="L13" s="10">
        <v>5.0299998372793198E-2</v>
      </c>
      <c r="M13">
        <v>5.4800000041723251E-2</v>
      </c>
      <c r="N13">
        <v>6.2600001692771912E-2</v>
      </c>
      <c r="O13" s="10">
        <v>6.5999999642372131E-2</v>
      </c>
      <c r="P13">
        <v>6.25E-2</v>
      </c>
      <c r="Q13">
        <v>5.3899999707937241E-2</v>
      </c>
      <c r="R13">
        <v>4.6999998390674591E-2</v>
      </c>
      <c r="S13">
        <v>4.3299999088048935E-2</v>
      </c>
      <c r="T13">
        <v>4.2199999094009399E-2</v>
      </c>
      <c r="U13">
        <v>4.1499998420476913E-2</v>
      </c>
      <c r="V13">
        <v>4.14000004529953E-2</v>
      </c>
      <c r="W13">
        <f t="shared" si="0"/>
        <v>2.578333392739296E-2</v>
      </c>
      <c r="X13">
        <f t="shared" si="1"/>
        <v>6.8500010917584078E-3</v>
      </c>
      <c r="Y13">
        <f t="shared" si="2"/>
        <v>9.8999980837106705E-3</v>
      </c>
      <c r="Z13">
        <f t="shared" si="3"/>
        <v>6.1166652788718565E-3</v>
      </c>
      <c r="AA13">
        <f t="shared" si="12"/>
        <v>0.28848817745223643</v>
      </c>
      <c r="AB13">
        <f t="shared" si="4"/>
        <v>5.9755624383687977E-2</v>
      </c>
      <c r="AC13">
        <f t="shared" si="5"/>
        <v>5.2830130644142687E-2</v>
      </c>
      <c r="AD13"/>
      <c r="AE13">
        <f t="shared" si="6"/>
        <v>4.8081362908706078</v>
      </c>
      <c r="AF13">
        <f t="shared" si="7"/>
        <v>0.99592707306146633</v>
      </c>
      <c r="AG13">
        <f t="shared" si="8"/>
        <v>0.88050217740237813</v>
      </c>
      <c r="AH13"/>
      <c r="AI13">
        <f t="shared" si="9"/>
        <v>0.10883060866615228</v>
      </c>
      <c r="AJ13">
        <f t="shared" si="10"/>
        <v>2.2542486941183031E-2</v>
      </c>
      <c r="AK13">
        <f t="shared" si="11"/>
        <v>1.9929881788193257E-2</v>
      </c>
      <c r="AL13"/>
      <c r="AM13"/>
      <c r="AN13"/>
      <c r="AO13"/>
      <c r="AP13"/>
      <c r="AQ13"/>
      <c r="AR13"/>
      <c r="AS13"/>
      <c r="AT13"/>
      <c r="AU13"/>
      <c r="AV13"/>
    </row>
    <row r="14" spans="1:48" s="3" customFormat="1" ht="15" thickBot="1" x14ac:dyDescent="0.4">
      <c r="W14" s="3">
        <f t="shared" ref="W14:W77" si="13">(O14-$O$131)</f>
        <v>-4.0216665714979172E-2</v>
      </c>
      <c r="X14" s="3">
        <f t="shared" ref="X14:X77" si="14">(K14-$K$131)</f>
        <v>-4.0550000344713531E-2</v>
      </c>
      <c r="Y14" s="3">
        <f t="shared" ref="Y14:Y77" si="15">(L14-$L$131)</f>
        <v>-4.0400000289082527E-2</v>
      </c>
      <c r="Z14" s="3">
        <f t="shared" ref="Z14:Z77" si="16">(H14-$H$131)</f>
        <v>-4.0883333111802735E-2</v>
      </c>
      <c r="AA14" s="3">
        <f t="shared" si="12"/>
        <v>-0.40181282142177221</v>
      </c>
      <c r="AB14" s="3">
        <f t="shared" si="4"/>
        <v>-0.60135234445333474</v>
      </c>
      <c r="AC14" s="3">
        <f t="shared" si="5"/>
        <v>-0.84590983148664223</v>
      </c>
      <c r="AE14" s="3">
        <f t="shared" si="6"/>
        <v>-6.6968803570295377</v>
      </c>
      <c r="AF14" s="3">
        <f t="shared" si="7"/>
        <v>-10.022539074222246</v>
      </c>
      <c r="AG14" s="3">
        <f t="shared" si="8"/>
        <v>-14.098497191444038</v>
      </c>
      <c r="AI14" s="3">
        <f t="shared" si="9"/>
        <v>-0.15158171926277814</v>
      </c>
      <c r="AJ14" s="3">
        <f t="shared" si="10"/>
        <v>-0.22685692789095172</v>
      </c>
      <c r="AK14" s="3">
        <f t="shared" si="11"/>
        <v>-0.31911492058497143</v>
      </c>
    </row>
    <row r="15" spans="1:48" s="5" customFormat="1" x14ac:dyDescent="0.35">
      <c r="A15" s="16" t="s">
        <v>33</v>
      </c>
      <c r="B15">
        <v>5.429999902844429E-2</v>
      </c>
      <c r="C15">
        <v>5.5700000375509262E-2</v>
      </c>
      <c r="D15">
        <v>5.6899998337030411E-2</v>
      </c>
      <c r="E15">
        <v>5.7300001382827759E-2</v>
      </c>
      <c r="F15">
        <v>5.7000000029802322E-2</v>
      </c>
      <c r="G15">
        <v>5.6600000709295273E-2</v>
      </c>
      <c r="H15" s="10">
        <v>5.6099999696016312E-2</v>
      </c>
      <c r="I15">
        <v>5.5399999022483826E-2</v>
      </c>
      <c r="J15">
        <v>5.5199999362230301E-2</v>
      </c>
      <c r="K15" s="10">
        <v>5.6499999016523361E-2</v>
      </c>
      <c r="L15" s="10">
        <v>6.2799997627735138E-2</v>
      </c>
      <c r="M15">
        <v>7.2300001978874207E-2</v>
      </c>
      <c r="N15">
        <v>8.8500000536441803E-2</v>
      </c>
      <c r="O15" s="10">
        <v>9.5200002193450928E-2</v>
      </c>
      <c r="P15">
        <v>8.6900003254413605E-2</v>
      </c>
      <c r="Q15">
        <v>6.9099999964237213E-2</v>
      </c>
      <c r="R15">
        <v>5.559999868273735E-2</v>
      </c>
      <c r="S15">
        <v>4.8399999737739563E-2</v>
      </c>
      <c r="T15">
        <v>4.6000000089406967E-2</v>
      </c>
      <c r="U15">
        <v>4.479999840259552E-2</v>
      </c>
      <c r="V15">
        <v>4.4300001114606857E-2</v>
      </c>
      <c r="W15">
        <f t="shared" si="13"/>
        <v>5.4983336478471756E-2</v>
      </c>
      <c r="X15">
        <f t="shared" si="14"/>
        <v>1.594999867180983E-2</v>
      </c>
      <c r="Y15">
        <f t="shared" si="15"/>
        <v>2.2399997338652611E-2</v>
      </c>
      <c r="Z15">
        <f t="shared" si="16"/>
        <v>1.5216666584213577E-2</v>
      </c>
      <c r="AA15">
        <f t="shared" si="12"/>
        <v>0.61271920932456847</v>
      </c>
      <c r="AB15">
        <f t="shared" si="4"/>
        <v>0.15365559518337246</v>
      </c>
      <c r="AC15">
        <f t="shared" si="5"/>
        <v>0.16559015292674309</v>
      </c>
      <c r="AE15">
        <f t="shared" si="6"/>
        <v>10.211986822076142</v>
      </c>
      <c r="AF15">
        <f t="shared" si="7"/>
        <v>2.5609265863895412</v>
      </c>
      <c r="AG15">
        <f t="shared" si="8"/>
        <v>2.7598358821123852</v>
      </c>
      <c r="AI15">
        <f t="shared" si="9"/>
        <v>0.23114501634395976</v>
      </c>
      <c r="AJ15">
        <f t="shared" si="10"/>
        <v>5.7965744372782735E-2</v>
      </c>
      <c r="AK15">
        <f t="shared" si="11"/>
        <v>6.2467991899329681E-2</v>
      </c>
    </row>
    <row r="16" spans="1:48" x14ac:dyDescent="0.35">
      <c r="A16" s="16"/>
      <c r="B16">
        <v>5.469999834895134E-2</v>
      </c>
      <c r="C16">
        <v>5.6200001388788223E-2</v>
      </c>
      <c r="D16">
        <v>5.7500001043081284E-2</v>
      </c>
      <c r="E16">
        <v>5.7799998670816422E-2</v>
      </c>
      <c r="F16">
        <v>5.7399999350309372E-2</v>
      </c>
      <c r="G16">
        <v>5.7100001722574234E-2</v>
      </c>
      <c r="H16" s="10">
        <v>5.6699998676776886E-2</v>
      </c>
      <c r="I16">
        <v>5.5900000035762787E-2</v>
      </c>
      <c r="J16">
        <v>5.5399999022483826E-2</v>
      </c>
      <c r="K16" s="10">
        <v>5.6899998337030411E-2</v>
      </c>
      <c r="L16" s="10">
        <v>6.3299998641014099E-2</v>
      </c>
      <c r="M16">
        <v>7.2899997234344482E-2</v>
      </c>
      <c r="N16">
        <v>8.9500002562999725E-2</v>
      </c>
      <c r="O16" s="10">
        <v>9.6199996769428253E-2</v>
      </c>
      <c r="P16">
        <v>8.7499998509883881E-2</v>
      </c>
      <c r="Q16">
        <v>6.9399997591972351E-2</v>
      </c>
      <c r="R16">
        <v>5.559999868273735E-2</v>
      </c>
      <c r="S16">
        <v>4.830000177025795E-2</v>
      </c>
      <c r="T16">
        <v>4.5800000429153442E-2</v>
      </c>
      <c r="U16">
        <v>4.4500000774860382E-2</v>
      </c>
      <c r="V16">
        <v>4.4199999421834946E-2</v>
      </c>
      <c r="W16">
        <f t="shared" si="13"/>
        <v>5.5983331054449081E-2</v>
      </c>
      <c r="X16">
        <f t="shared" si="14"/>
        <v>1.634999799231688E-2</v>
      </c>
      <c r="Y16">
        <f t="shared" si="15"/>
        <v>2.2899998351931572E-2</v>
      </c>
      <c r="Z16">
        <f t="shared" si="16"/>
        <v>1.5816665564974151E-2</v>
      </c>
      <c r="AA16">
        <f t="shared" si="12"/>
        <v>0.62368414266034955</v>
      </c>
      <c r="AB16">
        <f t="shared" si="4"/>
        <v>0.15833564564585684</v>
      </c>
      <c r="AC16">
        <f t="shared" si="5"/>
        <v>0.17647614832967523</v>
      </c>
      <c r="AE16">
        <f t="shared" si="6"/>
        <v>10.394735711005827</v>
      </c>
      <c r="AF16">
        <f t="shared" si="7"/>
        <v>2.6389274274309473</v>
      </c>
      <c r="AG16">
        <f t="shared" si="8"/>
        <v>2.9412691388279208</v>
      </c>
      <c r="AI16">
        <f t="shared" si="9"/>
        <v>0.23528147829347731</v>
      </c>
      <c r="AJ16">
        <f t="shared" si="10"/>
        <v>5.9731268162764764E-2</v>
      </c>
      <c r="AK16">
        <f t="shared" si="11"/>
        <v>6.6574674939518352E-2</v>
      </c>
    </row>
    <row r="17" spans="1:48" x14ac:dyDescent="0.35">
      <c r="A17" s="16"/>
      <c r="B17">
        <v>5.4099999368190765E-2</v>
      </c>
      <c r="C17">
        <v>5.5399999022483826E-2</v>
      </c>
      <c r="D17">
        <v>5.6600000709295273E-2</v>
      </c>
      <c r="E17">
        <v>5.7000000029802322E-2</v>
      </c>
      <c r="F17">
        <v>5.7000000029802322E-2</v>
      </c>
      <c r="G17">
        <v>5.6699998676776886E-2</v>
      </c>
      <c r="H17" s="10">
        <v>5.6400001049041748E-2</v>
      </c>
      <c r="I17">
        <v>5.6000001728534698E-2</v>
      </c>
      <c r="J17">
        <v>5.559999868273735E-2</v>
      </c>
      <c r="K17" s="10">
        <v>5.7000000029802322E-2</v>
      </c>
      <c r="L17" s="10">
        <v>6.3500002026557922E-2</v>
      </c>
      <c r="M17">
        <v>7.3100000619888306E-2</v>
      </c>
      <c r="N17">
        <v>8.959999680519104E-2</v>
      </c>
      <c r="O17" s="10">
        <v>9.6500001847743988E-2</v>
      </c>
      <c r="P17">
        <v>8.8100001215934753E-2</v>
      </c>
      <c r="Q17">
        <v>7.0200003683567047E-2</v>
      </c>
      <c r="R17">
        <v>5.6800000369548798E-2</v>
      </c>
      <c r="S17">
        <v>4.9499999731779099E-2</v>
      </c>
      <c r="T17">
        <v>4.7100000083446503E-2</v>
      </c>
      <c r="U17">
        <v>4.6000000089406967E-2</v>
      </c>
      <c r="V17">
        <v>4.5600000768899918E-2</v>
      </c>
      <c r="W17">
        <f t="shared" si="13"/>
        <v>5.6283336132764816E-2</v>
      </c>
      <c r="X17">
        <f t="shared" si="14"/>
        <v>1.6449999685088791E-2</v>
      </c>
      <c r="Y17">
        <f t="shared" si="15"/>
        <v>2.3100001737475395E-2</v>
      </c>
      <c r="Z17">
        <f t="shared" si="16"/>
        <v>1.5516667937239013E-2</v>
      </c>
      <c r="AA17">
        <f t="shared" si="12"/>
        <v>0.62687719671055675</v>
      </c>
      <c r="AB17">
        <f t="shared" si="4"/>
        <v>0.16075768664479256</v>
      </c>
      <c r="AC17">
        <f t="shared" si="5"/>
        <v>0.16804918717592959</v>
      </c>
      <c r="AE17">
        <f t="shared" si="6"/>
        <v>10.44795327850928</v>
      </c>
      <c r="AF17">
        <f t="shared" si="7"/>
        <v>2.6792947774132094</v>
      </c>
      <c r="AG17">
        <f t="shared" si="8"/>
        <v>2.8008197862654933</v>
      </c>
      <c r="AI17">
        <f t="shared" si="9"/>
        <v>0.2364860407086754</v>
      </c>
      <c r="AJ17">
        <f t="shared" si="10"/>
        <v>6.0644970063676085E-2</v>
      </c>
      <c r="AK17">
        <f t="shared" si="11"/>
        <v>6.3395649304334389E-2</v>
      </c>
    </row>
    <row r="18" spans="1:48" x14ac:dyDescent="0.35">
      <c r="A18" s="16" t="s">
        <v>34</v>
      </c>
      <c r="B18">
        <v>4.8399999737739563E-2</v>
      </c>
      <c r="C18">
        <v>4.8999998718500137E-2</v>
      </c>
      <c r="D18">
        <v>4.9499999731779099E-2</v>
      </c>
      <c r="E18">
        <v>4.9899999052286148E-2</v>
      </c>
      <c r="F18">
        <v>4.9400001764297485E-2</v>
      </c>
      <c r="G18">
        <v>4.9199998378753662E-2</v>
      </c>
      <c r="H18" s="10">
        <v>4.8999998718500137E-2</v>
      </c>
      <c r="I18">
        <v>4.8599999397993088E-2</v>
      </c>
      <c r="J18">
        <v>4.8500001430511475E-2</v>
      </c>
      <c r="K18" s="10">
        <v>4.9199998378753662E-2</v>
      </c>
      <c r="L18" s="10">
        <v>5.2000001072883606E-2</v>
      </c>
      <c r="M18">
        <v>5.6299999356269836E-2</v>
      </c>
      <c r="N18">
        <v>6.3600003719329834E-2</v>
      </c>
      <c r="O18" s="10">
        <v>6.6600002348423004E-2</v>
      </c>
      <c r="P18">
        <v>6.3000001013278961E-2</v>
      </c>
      <c r="Q18">
        <v>5.4900001734495163E-2</v>
      </c>
      <c r="R18">
        <v>4.8799999058246613E-2</v>
      </c>
      <c r="S18">
        <v>4.5299999415874481E-2</v>
      </c>
      <c r="T18">
        <v>4.4300001114606857E-2</v>
      </c>
      <c r="U18">
        <v>4.3600000441074371E-2</v>
      </c>
      <c r="V18">
        <v>4.3400000780820847E-2</v>
      </c>
      <c r="W18">
        <f t="shared" si="13"/>
        <v>2.6383336633443832E-2</v>
      </c>
      <c r="X18">
        <f t="shared" si="14"/>
        <v>8.6499980340401308E-3</v>
      </c>
      <c r="Y18">
        <f t="shared" si="15"/>
        <v>1.1600000783801079E-2</v>
      </c>
      <c r="Z18">
        <f t="shared" si="16"/>
        <v>8.1166656066974027E-3</v>
      </c>
      <c r="AA18">
        <f t="shared" si="12"/>
        <v>0.29236520452424886</v>
      </c>
      <c r="AB18">
        <f t="shared" si="4"/>
        <v>9.1067664474248883E-2</v>
      </c>
      <c r="AC18">
        <f t="shared" si="5"/>
        <v>9.9312128536403227E-2</v>
      </c>
      <c r="AE18">
        <f t="shared" si="6"/>
        <v>4.8727534087374815</v>
      </c>
      <c r="AF18">
        <f t="shared" si="7"/>
        <v>1.5177944079041481</v>
      </c>
      <c r="AG18">
        <f t="shared" si="8"/>
        <v>1.6552021422733871</v>
      </c>
      <c r="AI18">
        <f t="shared" si="9"/>
        <v>0.11029319621406704</v>
      </c>
      <c r="AJ18">
        <f t="shared" si="10"/>
        <v>3.4354785149482758E-2</v>
      </c>
      <c r="AK18">
        <f t="shared" si="11"/>
        <v>3.7464964741362315E-2</v>
      </c>
    </row>
    <row r="19" spans="1:48" x14ac:dyDescent="0.35">
      <c r="A19" s="16"/>
      <c r="B19">
        <v>4.7200001776218414E-2</v>
      </c>
      <c r="C19">
        <v>4.7699999064207077E-2</v>
      </c>
      <c r="D19">
        <v>4.8200000077486038E-2</v>
      </c>
      <c r="E19">
        <v>4.8200000077486038E-2</v>
      </c>
      <c r="F19">
        <v>4.8099998384714127E-2</v>
      </c>
      <c r="G19">
        <v>4.7699999064207077E-2</v>
      </c>
      <c r="H19" s="10">
        <v>4.7299999743700027E-2</v>
      </c>
      <c r="I19">
        <v>4.6999998390674591E-2</v>
      </c>
      <c r="J19">
        <v>4.6799998730421066E-2</v>
      </c>
      <c r="K19" s="10">
        <v>4.7400001436471939E-2</v>
      </c>
      <c r="L19" s="10">
        <v>5.0500001758337021E-2</v>
      </c>
      <c r="M19">
        <v>5.5100001394748688E-2</v>
      </c>
      <c r="N19">
        <v>6.3000001013278961E-2</v>
      </c>
      <c r="O19" s="10">
        <v>6.6200003027915955E-2</v>
      </c>
      <c r="P19">
        <v>6.2300000339746475E-2</v>
      </c>
      <c r="Q19">
        <v>5.3599998354911804E-2</v>
      </c>
      <c r="R19">
        <v>4.6799998730421066E-2</v>
      </c>
      <c r="S19">
        <v>4.309999942779541E-2</v>
      </c>
      <c r="T19">
        <v>4.2100001126527786E-2</v>
      </c>
      <c r="U19">
        <v>4.14000004529953E-2</v>
      </c>
      <c r="V19">
        <v>4.14000004529953E-2</v>
      </c>
      <c r="W19">
        <f t="shared" si="13"/>
        <v>2.5983337312936783E-2</v>
      </c>
      <c r="X19">
        <f t="shared" si="14"/>
        <v>6.8500010917584078E-3</v>
      </c>
      <c r="Y19">
        <f t="shared" si="15"/>
        <v>1.0100001469254494E-2</v>
      </c>
      <c r="Z19">
        <f t="shared" si="16"/>
        <v>6.4166666318972929E-3</v>
      </c>
      <c r="AA19">
        <f t="shared" si="12"/>
        <v>0.2904882113076746</v>
      </c>
      <c r="AB19">
        <f t="shared" si="4"/>
        <v>6.272767469286919E-2</v>
      </c>
      <c r="AC19">
        <f t="shared" si="5"/>
        <v>5.9392150975763849E-2</v>
      </c>
      <c r="AE19">
        <f t="shared" si="6"/>
        <v>4.8414701884612441</v>
      </c>
      <c r="AF19">
        <f t="shared" si="7"/>
        <v>1.0454612448811533</v>
      </c>
      <c r="AG19">
        <f t="shared" si="8"/>
        <v>0.98986918292939752</v>
      </c>
      <c r="AI19">
        <f t="shared" si="9"/>
        <v>0.10958511064873798</v>
      </c>
      <c r="AJ19">
        <f t="shared" si="10"/>
        <v>2.3663676887305418E-2</v>
      </c>
      <c r="AK19">
        <f t="shared" si="11"/>
        <v>2.2405368558836521E-2</v>
      </c>
    </row>
    <row r="20" spans="1:48" x14ac:dyDescent="0.35">
      <c r="A20" s="16"/>
      <c r="B20">
        <v>4.7400001436471939E-2</v>
      </c>
      <c r="C20">
        <v>4.7899998724460602E-2</v>
      </c>
      <c r="D20">
        <v>4.8500001430511475E-2</v>
      </c>
      <c r="E20">
        <v>4.8700001090764999E-2</v>
      </c>
      <c r="F20">
        <v>4.8599999397993088E-2</v>
      </c>
      <c r="G20">
        <v>4.8200000077486038E-2</v>
      </c>
      <c r="H20" s="10">
        <v>4.8000000417232513E-2</v>
      </c>
      <c r="I20">
        <v>4.7699999064207077E-2</v>
      </c>
      <c r="J20">
        <v>4.7499999403953552E-2</v>
      </c>
      <c r="K20" s="10">
        <v>4.830000177025795E-2</v>
      </c>
      <c r="L20" s="10">
        <v>5.130000039935112E-2</v>
      </c>
      <c r="M20">
        <v>5.559999868273735E-2</v>
      </c>
      <c r="N20">
        <v>6.3400000333786011E-2</v>
      </c>
      <c r="O20" s="10">
        <v>6.6600002348423004E-2</v>
      </c>
      <c r="P20">
        <v>6.2600001692771912E-2</v>
      </c>
      <c r="Q20">
        <v>5.4099999368190765E-2</v>
      </c>
      <c r="R20">
        <v>4.7499999403953552E-2</v>
      </c>
      <c r="S20">
        <v>4.3999999761581421E-2</v>
      </c>
      <c r="T20">
        <v>4.2800001800060272E-2</v>
      </c>
      <c r="U20">
        <v>4.2300000786781311E-2</v>
      </c>
      <c r="V20">
        <v>4.1999999433755875E-2</v>
      </c>
      <c r="W20">
        <f t="shared" si="13"/>
        <v>2.6383336633443832E-2</v>
      </c>
      <c r="X20">
        <f t="shared" si="14"/>
        <v>7.7500014255444186E-3</v>
      </c>
      <c r="Y20">
        <f t="shared" si="15"/>
        <v>1.0900000110268593E-2</v>
      </c>
      <c r="Z20">
        <f t="shared" si="16"/>
        <v>7.1166673054297788E-3</v>
      </c>
      <c r="AA20">
        <f t="shared" si="12"/>
        <v>0.29371620582416652</v>
      </c>
      <c r="AB20">
        <f t="shared" si="4"/>
        <v>7.6815650761127452E-2</v>
      </c>
      <c r="AC20">
        <f t="shared" si="5"/>
        <v>7.4952169917523903E-2</v>
      </c>
      <c r="AE20">
        <f t="shared" si="6"/>
        <v>4.8952700970694423</v>
      </c>
      <c r="AF20">
        <f t="shared" si="7"/>
        <v>1.280260846018791</v>
      </c>
      <c r="AG20">
        <f t="shared" si="8"/>
        <v>1.2492028319587318</v>
      </c>
      <c r="AI20">
        <f t="shared" si="9"/>
        <v>0.11080285416635224</v>
      </c>
      <c r="AJ20">
        <f t="shared" si="10"/>
        <v>2.8978289860090333E-2</v>
      </c>
      <c r="AK20">
        <f t="shared" si="11"/>
        <v>2.8275301764570663E-2</v>
      </c>
    </row>
    <row r="21" spans="1:48" x14ac:dyDescent="0.35">
      <c r="A21" s="16" t="s">
        <v>35</v>
      </c>
      <c r="B21">
        <v>5.3199999034404755E-2</v>
      </c>
      <c r="C21">
        <v>5.4600000381469727E-2</v>
      </c>
      <c r="D21">
        <v>5.5500000715255737E-2</v>
      </c>
      <c r="E21">
        <v>5.5500000715255737E-2</v>
      </c>
      <c r="F21">
        <v>5.4999999701976776E-2</v>
      </c>
      <c r="G21">
        <v>5.4499998688697815E-2</v>
      </c>
      <c r="H21" s="10">
        <v>5.4000001400709152E-2</v>
      </c>
      <c r="I21">
        <v>5.3599998354911804E-2</v>
      </c>
      <c r="J21">
        <v>5.3399998694658279E-2</v>
      </c>
      <c r="K21" s="10">
        <v>5.4600000381469727E-2</v>
      </c>
      <c r="L21" s="10">
        <v>6.0199998319149017E-2</v>
      </c>
      <c r="M21">
        <v>6.889999657869339E-2</v>
      </c>
      <c r="N21">
        <v>8.4299996495246887E-2</v>
      </c>
      <c r="O21" s="10">
        <v>9.0999998152256012E-2</v>
      </c>
      <c r="P21">
        <v>8.3899997174739838E-2</v>
      </c>
      <c r="Q21">
        <v>6.719999760389328E-2</v>
      </c>
      <c r="R21">
        <v>5.4200001060962677E-2</v>
      </c>
      <c r="S21">
        <v>4.6999998390674591E-2</v>
      </c>
      <c r="T21">
        <v>4.4700000435113907E-2</v>
      </c>
      <c r="U21">
        <v>4.3600000441074371E-2</v>
      </c>
      <c r="V21">
        <v>4.309999942779541E-2</v>
      </c>
      <c r="W21">
        <f t="shared" si="13"/>
        <v>5.078333243727684E-2</v>
      </c>
      <c r="X21">
        <f t="shared" si="14"/>
        <v>1.4050000036756195E-2</v>
      </c>
      <c r="Y21">
        <f t="shared" si="15"/>
        <v>1.979999803006649E-2</v>
      </c>
      <c r="Z21">
        <f t="shared" si="16"/>
        <v>1.3116668288906418E-2</v>
      </c>
      <c r="AA21">
        <f t="shared" si="12"/>
        <v>0.56763115977868439</v>
      </c>
      <c r="AB21">
        <f t="shared" si="4"/>
        <v>0.1238196314871311</v>
      </c>
      <c r="AC21">
        <f t="shared" si="5"/>
        <v>0.13010020952671769</v>
      </c>
      <c r="AE21">
        <f t="shared" si="6"/>
        <v>9.4605193296447414</v>
      </c>
      <c r="AF21">
        <f t="shared" si="7"/>
        <v>2.0636605247855186</v>
      </c>
      <c r="AG21">
        <f t="shared" si="8"/>
        <v>2.1683368254452948</v>
      </c>
      <c r="AI21">
        <f t="shared" si="9"/>
        <v>0.21413579288467047</v>
      </c>
      <c r="AJ21">
        <f t="shared" si="10"/>
        <v>4.6710288021401508E-2</v>
      </c>
      <c r="AK21">
        <f t="shared" si="11"/>
        <v>4.9079602205642711E-2</v>
      </c>
    </row>
    <row r="22" spans="1:48" x14ac:dyDescent="0.35">
      <c r="A22" s="16"/>
      <c r="B22">
        <v>5.6800000369548798E-2</v>
      </c>
      <c r="C22">
        <v>5.8100000023841858E-2</v>
      </c>
      <c r="D22">
        <v>5.9000000357627869E-2</v>
      </c>
      <c r="E22">
        <v>5.9200000017881393E-2</v>
      </c>
      <c r="F22">
        <v>5.8699999004602432E-2</v>
      </c>
      <c r="G22">
        <v>5.820000171661377E-2</v>
      </c>
      <c r="H22" s="10">
        <v>5.7700000703334808E-2</v>
      </c>
      <c r="I22">
        <v>5.7300001382827759E-2</v>
      </c>
      <c r="J22">
        <v>5.7000000029802322E-2</v>
      </c>
      <c r="K22" s="10">
        <v>5.8400001376867294E-2</v>
      </c>
      <c r="L22" s="10">
        <v>6.419999897480011E-2</v>
      </c>
      <c r="M22">
        <v>7.3299996554851532E-2</v>
      </c>
      <c r="N22">
        <v>8.919999748468399E-2</v>
      </c>
      <c r="O22" s="10">
        <v>9.6199996769428253E-2</v>
      </c>
      <c r="P22">
        <v>8.8699996471405029E-2</v>
      </c>
      <c r="Q22">
        <v>7.1500003337860107E-2</v>
      </c>
      <c r="R22">
        <v>5.820000171661377E-2</v>
      </c>
      <c r="S22">
        <v>5.0799999386072159E-2</v>
      </c>
      <c r="T22">
        <v>4.8500001430511475E-2</v>
      </c>
      <c r="U22">
        <v>4.7100000083446503E-2</v>
      </c>
      <c r="V22">
        <v>4.6799998730421066E-2</v>
      </c>
      <c r="W22">
        <f t="shared" si="13"/>
        <v>5.5983331054449081E-2</v>
      </c>
      <c r="X22">
        <f t="shared" si="14"/>
        <v>1.7850001032153763E-2</v>
      </c>
      <c r="Y22">
        <f t="shared" si="15"/>
        <v>2.3799998685717583E-2</v>
      </c>
      <c r="Z22">
        <f t="shared" si="16"/>
        <v>1.6816667591532074E-2</v>
      </c>
      <c r="AA22">
        <f t="shared" si="12"/>
        <v>0.62194714201614254</v>
      </c>
      <c r="AB22">
        <f t="shared" si="4"/>
        <v>0.17665965244174003</v>
      </c>
      <c r="AC22">
        <f t="shared" si="5"/>
        <v>0.20083619769662625</v>
      </c>
      <c r="AE22">
        <f t="shared" si="6"/>
        <v>10.365785700269043</v>
      </c>
      <c r="AF22">
        <f t="shared" si="7"/>
        <v>2.9443275406956673</v>
      </c>
      <c r="AG22">
        <f t="shared" si="8"/>
        <v>3.3472699616104378</v>
      </c>
      <c r="AI22">
        <f t="shared" si="9"/>
        <v>0.23462620417087016</v>
      </c>
      <c r="AJ22">
        <f t="shared" si="10"/>
        <v>6.6643900875863901E-2</v>
      </c>
      <c r="AK22">
        <f t="shared" si="11"/>
        <v>7.5764372150530501E-2</v>
      </c>
    </row>
    <row r="23" spans="1:48" s="6" customFormat="1" ht="15" thickBot="1" x14ac:dyDescent="0.4">
      <c r="A23" s="16"/>
      <c r="B23">
        <v>5.559999868273735E-2</v>
      </c>
      <c r="C23">
        <v>5.7000000029802322E-2</v>
      </c>
      <c r="D23">
        <v>5.7999998331069946E-2</v>
      </c>
      <c r="E23">
        <v>5.7999998331069946E-2</v>
      </c>
      <c r="F23">
        <v>5.7500001043081284E-2</v>
      </c>
      <c r="G23">
        <v>5.7000000029802322E-2</v>
      </c>
      <c r="H23" s="10">
        <v>5.6400001049041748E-2</v>
      </c>
      <c r="I23">
        <v>5.5900000035762787E-2</v>
      </c>
      <c r="J23">
        <v>5.559999868273735E-2</v>
      </c>
      <c r="K23" s="10">
        <v>5.7100001722574234E-2</v>
      </c>
      <c r="L23" s="10">
        <v>6.3100002706050873E-2</v>
      </c>
      <c r="M23">
        <v>7.2300001978874207E-2</v>
      </c>
      <c r="N23">
        <v>8.8399998843669891E-2</v>
      </c>
      <c r="O23" s="10">
        <v>9.5600001513957977E-2</v>
      </c>
      <c r="P23">
        <v>8.8100001215934753E-2</v>
      </c>
      <c r="Q23">
        <v>7.0799998939037323E-2</v>
      </c>
      <c r="R23">
        <v>5.7000000029802322E-2</v>
      </c>
      <c r="S23">
        <v>4.9300000071525574E-2</v>
      </c>
      <c r="T23">
        <v>4.6900000423192978E-2</v>
      </c>
      <c r="U23">
        <v>4.5699998736381531E-2</v>
      </c>
      <c r="V23">
        <v>4.5299999415874481E-2</v>
      </c>
      <c r="W23">
        <f t="shared" si="13"/>
        <v>5.5383335798978806E-2</v>
      </c>
      <c r="X23">
        <f t="shared" si="14"/>
        <v>1.6550001377860703E-2</v>
      </c>
      <c r="Y23">
        <f t="shared" si="15"/>
        <v>2.2700002416968346E-2</v>
      </c>
      <c r="Z23">
        <f t="shared" si="16"/>
        <v>1.5516667937239013E-2</v>
      </c>
      <c r="AA23">
        <f t="shared" si="12"/>
        <v>0.61691219141706832</v>
      </c>
      <c r="AB23">
        <f t="shared" si="4"/>
        <v>0.15756370231509209</v>
      </c>
      <c r="AC23">
        <f t="shared" si="5"/>
        <v>0.17140618842095143</v>
      </c>
      <c r="AD23"/>
      <c r="AE23">
        <f t="shared" si="6"/>
        <v>10.28186985695114</v>
      </c>
      <c r="AF23">
        <f t="shared" si="7"/>
        <v>2.6260617052515349</v>
      </c>
      <c r="AG23">
        <f t="shared" si="8"/>
        <v>2.8567698070158571</v>
      </c>
      <c r="AH23"/>
      <c r="AI23">
        <f t="shared" si="9"/>
        <v>0.23272679621890313</v>
      </c>
      <c r="AJ23">
        <f t="shared" si="10"/>
        <v>5.9440056705557603E-2</v>
      </c>
      <c r="AK23">
        <f t="shared" si="11"/>
        <v>6.4662059914347148E-2</v>
      </c>
      <c r="AL23"/>
      <c r="AM23"/>
      <c r="AN23"/>
      <c r="AO23"/>
      <c r="AP23"/>
      <c r="AQ23"/>
      <c r="AR23"/>
      <c r="AS23"/>
      <c r="AT23"/>
      <c r="AU23"/>
      <c r="AV23"/>
    </row>
    <row r="24" spans="1:48" s="3" customFormat="1" ht="15" thickBot="1" x14ac:dyDescent="0.4">
      <c r="W24" s="3">
        <f t="shared" si="13"/>
        <v>-4.0216665714979172E-2</v>
      </c>
      <c r="X24" s="3">
        <f t="shared" si="14"/>
        <v>-4.0550000344713531E-2</v>
      </c>
      <c r="Y24" s="3">
        <f t="shared" si="15"/>
        <v>-4.0400000289082527E-2</v>
      </c>
      <c r="Z24" s="3">
        <f t="shared" si="16"/>
        <v>-4.0883333111802735E-2</v>
      </c>
      <c r="AA24" s="3">
        <f t="shared" si="12"/>
        <v>-0.40181282142177221</v>
      </c>
      <c r="AB24" s="3">
        <f t="shared" si="4"/>
        <v>-0.60135234445333474</v>
      </c>
      <c r="AC24" s="3">
        <f t="shared" si="5"/>
        <v>-0.84590983148664223</v>
      </c>
      <c r="AE24" s="3">
        <f t="shared" si="6"/>
        <v>-6.6968803570295377</v>
      </c>
      <c r="AF24" s="3">
        <f t="shared" si="7"/>
        <v>-10.022539074222246</v>
      </c>
      <c r="AG24" s="3">
        <f t="shared" si="8"/>
        <v>-14.098497191444038</v>
      </c>
      <c r="AI24" s="3">
        <f t="shared" si="9"/>
        <v>-0.15158171926277814</v>
      </c>
      <c r="AJ24" s="3">
        <f t="shared" si="10"/>
        <v>-0.22685692789095172</v>
      </c>
      <c r="AK24" s="3">
        <f t="shared" si="11"/>
        <v>-0.31911492058497143</v>
      </c>
    </row>
    <row r="25" spans="1:48" s="5" customFormat="1" x14ac:dyDescent="0.35">
      <c r="A25" s="14" t="s">
        <v>36</v>
      </c>
      <c r="B25">
        <v>5.2900001406669617E-2</v>
      </c>
      <c r="C25">
        <v>5.3500000387430191E-2</v>
      </c>
      <c r="D25">
        <v>5.429999902844429E-2</v>
      </c>
      <c r="E25">
        <v>5.429999902844429E-2</v>
      </c>
      <c r="F25">
        <v>5.4000001400709152E-2</v>
      </c>
      <c r="G25">
        <v>5.3800001740455627E-2</v>
      </c>
      <c r="H25" s="10">
        <v>5.3300000727176666E-2</v>
      </c>
      <c r="I25">
        <v>5.2700001746416092E-2</v>
      </c>
      <c r="J25">
        <v>5.2900001406669617E-2</v>
      </c>
      <c r="K25" s="10">
        <v>5.3300000727176666E-2</v>
      </c>
      <c r="L25" s="10">
        <v>5.6699998676776886E-2</v>
      </c>
      <c r="M25">
        <v>6.3299998641014099E-2</v>
      </c>
      <c r="N25">
        <v>7.3299996554851532E-2</v>
      </c>
      <c r="O25" s="10">
        <v>7.7500000596046448E-2</v>
      </c>
      <c r="P25">
        <v>7.2200000286102295E-2</v>
      </c>
      <c r="Q25">
        <v>6.1000000685453415E-2</v>
      </c>
      <c r="R25">
        <v>5.2099999040365219E-2</v>
      </c>
      <c r="S25">
        <v>4.7400001436471939E-2</v>
      </c>
      <c r="T25">
        <v>4.5699998736381531E-2</v>
      </c>
      <c r="U25">
        <v>4.4900000095367432E-2</v>
      </c>
      <c r="V25">
        <v>4.4700000435113907E-2</v>
      </c>
      <c r="W25">
        <f t="shared" si="13"/>
        <v>3.7283334881067276E-2</v>
      </c>
      <c r="X25">
        <f t="shared" si="14"/>
        <v>1.2750000382463135E-2</v>
      </c>
      <c r="Y25">
        <f t="shared" si="15"/>
        <v>1.6299998387694359E-2</v>
      </c>
      <c r="Z25">
        <f t="shared" si="16"/>
        <v>1.2416667615373932E-2</v>
      </c>
      <c r="AA25">
        <f t="shared" si="12"/>
        <v>0.41333118824288251</v>
      </c>
      <c r="AB25">
        <f t="shared" si="4"/>
        <v>0.12680962532758711</v>
      </c>
      <c r="AC25">
        <f t="shared" si="5"/>
        <v>0.16340318400412804</v>
      </c>
      <c r="AE25">
        <f t="shared" si="6"/>
        <v>6.8888531373813757</v>
      </c>
      <c r="AF25">
        <f t="shared" si="7"/>
        <v>2.1134937554597855</v>
      </c>
      <c r="AG25">
        <f t="shared" si="8"/>
        <v>2.7233864000688008</v>
      </c>
      <c r="AI25">
        <f t="shared" si="9"/>
        <v>0.15592696100908501</v>
      </c>
      <c r="AJ25">
        <f t="shared" si="10"/>
        <v>4.7838247067899173E-2</v>
      </c>
      <c r="AK25">
        <f t="shared" si="11"/>
        <v>6.1642969671091008E-2</v>
      </c>
    </row>
    <row r="26" spans="1:48" x14ac:dyDescent="0.35">
      <c r="A26" s="14"/>
      <c r="B26">
        <v>5.5199999362230301E-2</v>
      </c>
      <c r="C26">
        <v>5.5799998342990875E-2</v>
      </c>
      <c r="D26">
        <v>5.6400001049041748E-2</v>
      </c>
      <c r="E26">
        <v>5.6800000369548798E-2</v>
      </c>
      <c r="F26">
        <v>5.6499999016523361E-2</v>
      </c>
      <c r="G26">
        <v>5.6299999356269836E-2</v>
      </c>
      <c r="H26" s="10">
        <v>5.6000001728534698E-2</v>
      </c>
      <c r="I26">
        <v>5.5700000375509262E-2</v>
      </c>
      <c r="J26">
        <v>5.5199999362230301E-2</v>
      </c>
      <c r="K26" s="10">
        <v>5.6000001728534698E-2</v>
      </c>
      <c r="L26" s="10">
        <v>6.0400001704692841E-2</v>
      </c>
      <c r="M26">
        <v>6.6600002348423004E-2</v>
      </c>
      <c r="N26">
        <v>7.7699996531009674E-2</v>
      </c>
      <c r="O26" s="10">
        <v>8.2599997520446777E-2</v>
      </c>
      <c r="P26">
        <v>7.7799998223781586E-2</v>
      </c>
      <c r="Q26">
        <v>6.6600002348423004E-2</v>
      </c>
      <c r="R26">
        <v>5.7599999010562897E-2</v>
      </c>
      <c r="S26">
        <v>5.2700001746416092E-2</v>
      </c>
      <c r="T26">
        <v>5.090000107884407E-2</v>
      </c>
      <c r="U26">
        <v>5.0200000405311584E-2</v>
      </c>
      <c r="V26">
        <v>4.9899999052286148E-2</v>
      </c>
      <c r="W26">
        <f t="shared" si="13"/>
        <v>4.2383331805467606E-2</v>
      </c>
      <c r="X26">
        <f t="shared" si="14"/>
        <v>1.5450001383821167E-2</v>
      </c>
      <c r="Y26">
        <f t="shared" si="15"/>
        <v>2.0000001415610313E-2</v>
      </c>
      <c r="Z26">
        <f t="shared" si="16"/>
        <v>1.5116668616731964E-2</v>
      </c>
      <c r="AA26">
        <f t="shared" si="12"/>
        <v>0.46703314570710069</v>
      </c>
      <c r="AB26">
        <f t="shared" si="4"/>
        <v>0.17409170389175416</v>
      </c>
      <c r="AC26">
        <f t="shared" si="5"/>
        <v>0.21015221986919647</v>
      </c>
      <c r="AE26">
        <f t="shared" si="6"/>
        <v>7.7838857617850117</v>
      </c>
      <c r="AF26">
        <f t="shared" si="7"/>
        <v>2.9015283981959028</v>
      </c>
      <c r="AG26">
        <f t="shared" si="8"/>
        <v>3.5025369978199414</v>
      </c>
      <c r="AI26">
        <f t="shared" si="9"/>
        <v>0.17618573476199664</v>
      </c>
      <c r="AJ26">
        <f t="shared" si="10"/>
        <v>6.5675156138431487E-2</v>
      </c>
      <c r="AK26">
        <f t="shared" si="11"/>
        <v>7.9278791258939371E-2</v>
      </c>
    </row>
    <row r="27" spans="1:48" x14ac:dyDescent="0.35">
      <c r="A27" s="14"/>
      <c r="B27">
        <v>5.7000000029802322E-2</v>
      </c>
      <c r="C27">
        <v>5.7799998670816422E-2</v>
      </c>
      <c r="D27">
        <v>5.8400001376867294E-2</v>
      </c>
      <c r="E27">
        <v>5.8299999684095383E-2</v>
      </c>
      <c r="F27">
        <v>5.7799998670816422E-2</v>
      </c>
      <c r="G27">
        <v>5.7700000703334808E-2</v>
      </c>
      <c r="H27" s="10">
        <v>5.7700000703334808E-2</v>
      </c>
      <c r="I27">
        <v>5.7000000029802322E-2</v>
      </c>
      <c r="J27">
        <v>5.6899998337030411E-2</v>
      </c>
      <c r="K27" s="10">
        <v>5.7700000703334808E-2</v>
      </c>
      <c r="L27" s="10">
        <v>6.1500001698732376E-2</v>
      </c>
      <c r="M27">
        <v>6.7800000309944153E-2</v>
      </c>
      <c r="N27">
        <v>7.8800000250339508E-2</v>
      </c>
      <c r="O27" s="10">
        <v>8.3899997174739838E-2</v>
      </c>
      <c r="P27">
        <v>7.8299999237060547E-2</v>
      </c>
      <c r="Q27">
        <v>6.6500000655651093E-2</v>
      </c>
      <c r="R27">
        <v>5.6899998337030411E-2</v>
      </c>
      <c r="S27">
        <v>5.2200000733137131E-2</v>
      </c>
      <c r="T27">
        <v>5.0200000405311584E-2</v>
      </c>
      <c r="U27">
        <v>4.9199998378753662E-2</v>
      </c>
      <c r="V27">
        <v>4.8999998718500137E-2</v>
      </c>
      <c r="W27">
        <f t="shared" si="13"/>
        <v>4.3683331459760666E-2</v>
      </c>
      <c r="X27">
        <f t="shared" si="14"/>
        <v>1.7150000358621277E-2</v>
      </c>
      <c r="Y27">
        <f t="shared" si="15"/>
        <v>2.1100001409649849E-2</v>
      </c>
      <c r="Z27">
        <f t="shared" si="16"/>
        <v>1.6816667591532074E-2</v>
      </c>
      <c r="AA27">
        <f t="shared" si="12"/>
        <v>0.48041914159432053</v>
      </c>
      <c r="AB27">
        <f t="shared" si="4"/>
        <v>0.18933770567178726</v>
      </c>
      <c r="AC27">
        <f t="shared" si="5"/>
        <v>0.24671519618481405</v>
      </c>
      <c r="AE27">
        <f t="shared" si="6"/>
        <v>8.0069856932386756</v>
      </c>
      <c r="AF27">
        <f t="shared" si="7"/>
        <v>3.155628427863121</v>
      </c>
      <c r="AG27">
        <f t="shared" si="8"/>
        <v>4.1119199364135675</v>
      </c>
      <c r="AI27">
        <f t="shared" si="9"/>
        <v>0.18123552949838559</v>
      </c>
      <c r="AJ27">
        <f t="shared" si="10"/>
        <v>7.1426628063900433E-2</v>
      </c>
      <c r="AK27">
        <f t="shared" si="11"/>
        <v>9.3071976831452408E-2</v>
      </c>
    </row>
    <row r="28" spans="1:48" x14ac:dyDescent="0.35">
      <c r="A28" s="14" t="s">
        <v>37</v>
      </c>
      <c r="B28">
        <v>4.5600000768899918E-2</v>
      </c>
      <c r="C28">
        <v>4.5899998396635056E-2</v>
      </c>
      <c r="D28">
        <v>4.6300001442432404E-2</v>
      </c>
      <c r="E28">
        <v>4.6199999749660492E-2</v>
      </c>
      <c r="F28">
        <v>4.5899998396635056E-2</v>
      </c>
      <c r="G28">
        <v>4.5800000429153442E-2</v>
      </c>
      <c r="H28" s="10">
        <v>4.5699998736381531E-2</v>
      </c>
      <c r="I28">
        <v>4.5600000768899918E-2</v>
      </c>
      <c r="J28">
        <v>4.5400001108646393E-2</v>
      </c>
      <c r="K28" s="10">
        <v>4.5600000768899918E-2</v>
      </c>
      <c r="L28" s="10">
        <v>4.7100000083446503E-2</v>
      </c>
      <c r="M28">
        <v>4.9499999731779099E-2</v>
      </c>
      <c r="N28">
        <v>5.3399998694658279E-2</v>
      </c>
      <c r="O28" s="10">
        <v>5.5100001394748688E-2</v>
      </c>
      <c r="P28">
        <v>5.3199999034404755E-2</v>
      </c>
      <c r="Q28">
        <v>4.8500001430511475E-2</v>
      </c>
      <c r="R28">
        <v>4.5099999755620956E-2</v>
      </c>
      <c r="S28">
        <v>4.3200001120567322E-2</v>
      </c>
      <c r="T28">
        <v>4.2500000447034836E-2</v>
      </c>
      <c r="U28">
        <v>4.1999999433755875E-2</v>
      </c>
      <c r="V28">
        <v>4.179999977350235E-2</v>
      </c>
      <c r="W28">
        <f t="shared" si="13"/>
        <v>1.4883335679769516E-2</v>
      </c>
      <c r="X28">
        <f t="shared" si="14"/>
        <v>5.0500004241863863E-3</v>
      </c>
      <c r="Y28">
        <f t="shared" si="15"/>
        <v>6.6999997943639755E-3</v>
      </c>
      <c r="Z28">
        <f t="shared" si="16"/>
        <v>4.8166656245787962E-3</v>
      </c>
      <c r="AA28">
        <f t="shared" si="12"/>
        <v>0.16462719505652784</v>
      </c>
      <c r="AB28">
        <f t="shared" si="4"/>
        <v>5.4553649574518193E-2</v>
      </c>
      <c r="AC28">
        <f t="shared" si="5"/>
        <v>6.1819132529199183E-2</v>
      </c>
      <c r="AE28">
        <f t="shared" si="6"/>
        <v>2.7437865842754641</v>
      </c>
      <c r="AF28">
        <f t="shared" si="7"/>
        <v>0.90922749290863658</v>
      </c>
      <c r="AG28">
        <f t="shared" si="8"/>
        <v>1.030318875486653</v>
      </c>
      <c r="AI28">
        <f t="shared" si="9"/>
        <v>6.210472123756143E-2</v>
      </c>
      <c r="AJ28">
        <f t="shared" si="10"/>
        <v>2.058007000698589E-2</v>
      </c>
      <c r="AK28">
        <f t="shared" si="11"/>
        <v>2.3320934257280511E-2</v>
      </c>
    </row>
    <row r="29" spans="1:48" x14ac:dyDescent="0.35">
      <c r="A29" s="14"/>
      <c r="B29">
        <v>4.6700000762939453E-2</v>
      </c>
      <c r="C29">
        <v>4.7100000083446503E-2</v>
      </c>
      <c r="D29">
        <v>4.7600001096725464E-2</v>
      </c>
      <c r="E29">
        <v>4.7699999064207077E-2</v>
      </c>
      <c r="F29">
        <v>4.7400001436471939E-2</v>
      </c>
      <c r="G29">
        <v>4.7100000083446503E-2</v>
      </c>
      <c r="H29" s="10">
        <v>4.6999998390674591E-2</v>
      </c>
      <c r="I29">
        <v>4.6700000762939453E-2</v>
      </c>
      <c r="J29">
        <v>4.6700000762939453E-2</v>
      </c>
      <c r="K29" s="10">
        <v>4.7299999743700027E-2</v>
      </c>
      <c r="L29" s="10">
        <v>4.9100000411272049E-2</v>
      </c>
      <c r="M29">
        <v>5.1399998366832733E-2</v>
      </c>
      <c r="N29">
        <v>5.5399999022483826E-2</v>
      </c>
      <c r="O29" s="10">
        <v>5.6899998337030411E-2</v>
      </c>
      <c r="P29">
        <v>5.4499998688697815E-2</v>
      </c>
      <c r="Q29">
        <v>5.0099998712539673E-2</v>
      </c>
      <c r="R29">
        <v>4.6900000423192978E-2</v>
      </c>
      <c r="S29">
        <v>4.5099999755620956E-2</v>
      </c>
      <c r="T29">
        <v>4.4199999421834946E-2</v>
      </c>
      <c r="U29">
        <v>4.3800000101327896E-2</v>
      </c>
      <c r="V29">
        <v>4.3400000780820847E-2</v>
      </c>
      <c r="W29">
        <f t="shared" si="13"/>
        <v>1.6683332622051239E-2</v>
      </c>
      <c r="X29">
        <f t="shared" si="14"/>
        <v>6.7499993989864962E-3</v>
      </c>
      <c r="Y29">
        <f t="shared" si="15"/>
        <v>8.7000001221895218E-3</v>
      </c>
      <c r="Z29">
        <f t="shared" si="16"/>
        <v>6.1166652788718565E-3</v>
      </c>
      <c r="AA29">
        <f t="shared" si="12"/>
        <v>0.18224115794524551</v>
      </c>
      <c r="AB29">
        <f t="shared" si="4"/>
        <v>8.5373673066496847E-2</v>
      </c>
      <c r="AC29">
        <f t="shared" si="5"/>
        <v>8.6773135513067312E-2</v>
      </c>
      <c r="AE29">
        <f t="shared" si="6"/>
        <v>3.0373526324207587</v>
      </c>
      <c r="AF29">
        <f t="shared" si="7"/>
        <v>1.4228945511082809</v>
      </c>
      <c r="AG29">
        <f t="shared" si="8"/>
        <v>1.4462189252177886</v>
      </c>
      <c r="AI29">
        <f t="shared" si="9"/>
        <v>6.8749493717083721E-2</v>
      </c>
      <c r="AJ29">
        <f t="shared" si="10"/>
        <v>3.2206757607702148E-2</v>
      </c>
      <c r="AK29">
        <f t="shared" si="11"/>
        <v>3.273469726613374E-2</v>
      </c>
    </row>
    <row r="30" spans="1:48" x14ac:dyDescent="0.35">
      <c r="A30" s="14"/>
      <c r="B30">
        <v>4.6199999749660492E-2</v>
      </c>
      <c r="C30">
        <v>4.6500001102685928E-2</v>
      </c>
      <c r="D30">
        <v>4.7100000083446503E-2</v>
      </c>
      <c r="E30">
        <v>4.7200001776218414E-2</v>
      </c>
      <c r="F30">
        <v>4.7100000083446503E-2</v>
      </c>
      <c r="G30">
        <v>4.6700000762939453E-2</v>
      </c>
      <c r="H30" s="10">
        <v>4.6599999070167542E-2</v>
      </c>
      <c r="I30">
        <v>4.6100001782178879E-2</v>
      </c>
      <c r="J30">
        <v>4.6000000089406967E-2</v>
      </c>
      <c r="K30" s="10">
        <v>4.6500001102685928E-2</v>
      </c>
      <c r="L30" s="10">
        <v>4.830000177025795E-2</v>
      </c>
      <c r="M30">
        <v>5.0799999386072159E-2</v>
      </c>
      <c r="N30">
        <v>5.4900001734495163E-2</v>
      </c>
      <c r="O30" s="10">
        <v>5.6299999356269836E-2</v>
      </c>
      <c r="P30">
        <v>5.4099999368190765E-2</v>
      </c>
      <c r="Q30">
        <v>4.960000142455101E-2</v>
      </c>
      <c r="R30">
        <v>4.6300001442432404E-2</v>
      </c>
      <c r="S30">
        <v>4.439999908208847E-2</v>
      </c>
      <c r="T30">
        <v>4.3999999761581421E-2</v>
      </c>
      <c r="U30">
        <v>4.3400000780820847E-2</v>
      </c>
      <c r="V30">
        <v>4.3200001120567322E-2</v>
      </c>
      <c r="W30">
        <f t="shared" si="13"/>
        <v>1.6083333641290665E-2</v>
      </c>
      <c r="X30">
        <f t="shared" si="14"/>
        <v>5.9500007579723971E-3</v>
      </c>
      <c r="Y30">
        <f t="shared" si="15"/>
        <v>7.9000014811754227E-3</v>
      </c>
      <c r="Z30">
        <f t="shared" si="16"/>
        <v>5.7166659583648069E-3</v>
      </c>
      <c r="AA30">
        <f t="shared" si="12"/>
        <v>0.17662716748192905</v>
      </c>
      <c r="AB30">
        <f t="shared" si="4"/>
        <v>7.2385695129632943E-2</v>
      </c>
      <c r="AC30">
        <f t="shared" si="5"/>
        <v>7.9267148263752529E-2</v>
      </c>
      <c r="AE30">
        <f t="shared" si="6"/>
        <v>2.9437861246988177</v>
      </c>
      <c r="AF30">
        <f t="shared" si="7"/>
        <v>1.2064282521605492</v>
      </c>
      <c r="AG30">
        <f t="shared" si="8"/>
        <v>1.3211191377292089</v>
      </c>
      <c r="AI30">
        <f t="shared" si="9"/>
        <v>6.663164610001851E-2</v>
      </c>
      <c r="AJ30">
        <f t="shared" si="10"/>
        <v>2.7307112995938188E-2</v>
      </c>
      <c r="AK30">
        <f t="shared" si="11"/>
        <v>2.990310406811247E-2</v>
      </c>
    </row>
    <row r="31" spans="1:48" x14ac:dyDescent="0.35">
      <c r="A31" s="14" t="s">
        <v>38</v>
      </c>
      <c r="B31">
        <v>5.0799999386072159E-2</v>
      </c>
      <c r="C31">
        <v>5.2299998700618744E-2</v>
      </c>
      <c r="D31">
        <v>5.3399998694658279E-2</v>
      </c>
      <c r="E31">
        <v>5.3800001740455627E-2</v>
      </c>
      <c r="F31">
        <v>5.3399998694658279E-2</v>
      </c>
      <c r="G31">
        <v>5.2700001746416092E-2</v>
      </c>
      <c r="H31" s="10">
        <v>5.2200000733137131E-2</v>
      </c>
      <c r="I31">
        <v>5.1600001752376556E-2</v>
      </c>
      <c r="J31">
        <v>5.130000039935112E-2</v>
      </c>
      <c r="K31" s="10">
        <v>5.2700001746416092E-2</v>
      </c>
      <c r="L31" s="10">
        <v>5.9399999678134918E-2</v>
      </c>
      <c r="M31">
        <v>6.9300003349781036E-2</v>
      </c>
      <c r="N31">
        <v>8.6000002920627594E-2</v>
      </c>
      <c r="O31" s="10">
        <v>9.2699997127056122E-2</v>
      </c>
      <c r="P31">
        <v>8.4399998188018799E-2</v>
      </c>
      <c r="Q31">
        <v>6.6699996590614319E-2</v>
      </c>
      <c r="R31">
        <v>5.3100001066923141E-2</v>
      </c>
      <c r="S31">
        <v>4.5899998396635056E-2</v>
      </c>
      <c r="T31">
        <v>4.3900001794099808E-2</v>
      </c>
      <c r="U31">
        <v>4.2599998414516449E-2</v>
      </c>
      <c r="V31">
        <v>4.2300000786781311E-2</v>
      </c>
      <c r="W31">
        <f t="shared" si="13"/>
        <v>5.248333141207695E-2</v>
      </c>
      <c r="X31">
        <f t="shared" si="14"/>
        <v>1.2150001401702561E-2</v>
      </c>
      <c r="Y31">
        <f t="shared" si="15"/>
        <v>1.8999999389052391E-2</v>
      </c>
      <c r="Z31">
        <f t="shared" si="16"/>
        <v>1.1316667621334396E-2</v>
      </c>
      <c r="AA31">
        <f t="shared" si="12"/>
        <v>0.58945614492520693</v>
      </c>
      <c r="AB31">
        <f t="shared" si="4"/>
        <v>9.8181664794683432E-2</v>
      </c>
      <c r="AC31">
        <f t="shared" si="5"/>
        <v>7.9911197088658875E-2</v>
      </c>
      <c r="AE31">
        <f t="shared" si="6"/>
        <v>9.8242690820867828</v>
      </c>
      <c r="AF31">
        <f t="shared" si="7"/>
        <v>1.6363610799113906</v>
      </c>
      <c r="AG31">
        <f t="shared" si="8"/>
        <v>1.3318532848109814</v>
      </c>
      <c r="AI31">
        <f t="shared" si="9"/>
        <v>0.22236915079417796</v>
      </c>
      <c r="AJ31">
        <f t="shared" si="10"/>
        <v>3.7038503393195803E-2</v>
      </c>
      <c r="AK31">
        <f t="shared" si="11"/>
        <v>3.0146068012923979E-2</v>
      </c>
    </row>
    <row r="32" spans="1:48" x14ac:dyDescent="0.35">
      <c r="A32" s="14"/>
      <c r="B32">
        <v>5.169999971985817E-2</v>
      </c>
      <c r="C32">
        <v>5.3199999034404755E-2</v>
      </c>
      <c r="D32">
        <v>5.4099999368190765E-2</v>
      </c>
      <c r="E32">
        <v>5.429999902844429E-2</v>
      </c>
      <c r="F32">
        <v>5.4099999368190765E-2</v>
      </c>
      <c r="G32">
        <v>5.3899999707937241E-2</v>
      </c>
      <c r="H32" s="10">
        <v>5.3399998694658279E-2</v>
      </c>
      <c r="I32">
        <v>5.2799999713897705E-2</v>
      </c>
      <c r="J32">
        <v>5.2200000733137131E-2</v>
      </c>
      <c r="K32" s="10">
        <v>5.3599998354911804E-2</v>
      </c>
      <c r="L32" s="10">
        <v>6.0600001364946365E-2</v>
      </c>
      <c r="M32">
        <v>7.0900000631809235E-2</v>
      </c>
      <c r="N32">
        <v>8.8399998843669891E-2</v>
      </c>
      <c r="O32" s="10">
        <v>9.5499999821186066E-2</v>
      </c>
      <c r="P32">
        <v>8.6999997496604919E-2</v>
      </c>
      <c r="Q32">
        <v>6.8300001323223114E-2</v>
      </c>
      <c r="R32">
        <v>5.4099999368190765E-2</v>
      </c>
      <c r="S32">
        <v>4.6799998730421066E-2</v>
      </c>
      <c r="T32">
        <v>4.4700000435113907E-2</v>
      </c>
      <c r="U32">
        <v>4.3699998408555984E-2</v>
      </c>
      <c r="V32">
        <v>4.3600000441074371E-2</v>
      </c>
      <c r="W32">
        <f t="shared" si="13"/>
        <v>5.5283334106206894E-2</v>
      </c>
      <c r="X32">
        <f t="shared" si="14"/>
        <v>1.3049998010198273E-2</v>
      </c>
      <c r="Y32">
        <f t="shared" si="15"/>
        <v>2.0200001075863838E-2</v>
      </c>
      <c r="Z32">
        <f t="shared" si="16"/>
        <v>1.2516665582855545E-2</v>
      </c>
      <c r="AA32">
        <f t="shared" si="12"/>
        <v>0.62054417381063098</v>
      </c>
      <c r="AB32">
        <f t="shared" si="4"/>
        <v>0.10721368432044981</v>
      </c>
      <c r="AC32">
        <f t="shared" si="5"/>
        <v>9.8699137382209368E-2</v>
      </c>
      <c r="AE32">
        <f t="shared" si="6"/>
        <v>10.342402896843851</v>
      </c>
      <c r="AF32">
        <f t="shared" si="7"/>
        <v>1.7868947386741636</v>
      </c>
      <c r="AG32">
        <f t="shared" si="8"/>
        <v>1.6449856230368229</v>
      </c>
      <c r="AI32">
        <f t="shared" si="9"/>
        <v>0.23409694198379019</v>
      </c>
      <c r="AJ32">
        <f t="shared" si="10"/>
        <v>4.0445784035177991E-2</v>
      </c>
      <c r="AK32">
        <f t="shared" si="11"/>
        <v>3.7233717135283451E-2</v>
      </c>
    </row>
    <row r="33" spans="1:48" s="6" customFormat="1" ht="15" thickBot="1" x14ac:dyDescent="0.4">
      <c r="A33" s="14"/>
      <c r="B33">
        <v>5.2900001406669617E-2</v>
      </c>
      <c r="C33">
        <v>5.4400000721216202E-2</v>
      </c>
      <c r="D33">
        <v>5.5500000715255737E-2</v>
      </c>
      <c r="E33">
        <v>5.5700000375509262E-2</v>
      </c>
      <c r="F33">
        <v>5.5700000375509262E-2</v>
      </c>
      <c r="G33">
        <v>5.5199999362230301E-2</v>
      </c>
      <c r="H33" s="10">
        <v>5.469999834895134E-2</v>
      </c>
      <c r="I33">
        <v>5.4200001060962677E-2</v>
      </c>
      <c r="J33">
        <v>5.3800001740455627E-2</v>
      </c>
      <c r="K33" s="10">
        <v>5.5300001055002213E-2</v>
      </c>
      <c r="L33" s="10">
        <v>6.2300000339746475E-2</v>
      </c>
      <c r="M33">
        <v>7.2599999606609344E-2</v>
      </c>
      <c r="N33">
        <v>9.0599998831748962E-2</v>
      </c>
      <c r="O33" s="10">
        <v>9.7999997437000275E-2</v>
      </c>
      <c r="P33">
        <v>8.919999748468399E-2</v>
      </c>
      <c r="Q33">
        <v>7.0399999618530273E-2</v>
      </c>
      <c r="R33">
        <v>5.5700000375509262E-2</v>
      </c>
      <c r="S33">
        <v>4.8200000077486038E-2</v>
      </c>
      <c r="T33">
        <v>4.6000000089406967E-2</v>
      </c>
      <c r="U33">
        <v>4.4900000095367432E-2</v>
      </c>
      <c r="V33">
        <v>4.4700000435113907E-2</v>
      </c>
      <c r="W33">
        <f t="shared" si="13"/>
        <v>5.7783331722021103E-2</v>
      </c>
      <c r="X33">
        <f t="shared" si="14"/>
        <v>1.4750000710288681E-2</v>
      </c>
      <c r="Y33">
        <f t="shared" si="15"/>
        <v>2.1900000050663948E-2</v>
      </c>
      <c r="Z33">
        <f t="shared" si="16"/>
        <v>1.3816665237148605E-2</v>
      </c>
      <c r="AA33">
        <f t="shared" si="12"/>
        <v>0.64708814734593034</v>
      </c>
      <c r="AB33">
        <f t="shared" si="4"/>
        <v>0.12807567656040192</v>
      </c>
      <c r="AC33">
        <f t="shared" si="5"/>
        <v>0.12104213785380127</v>
      </c>
      <c r="AD33"/>
      <c r="AE33">
        <f t="shared" si="6"/>
        <v>10.784802455765506</v>
      </c>
      <c r="AF33">
        <f t="shared" si="7"/>
        <v>2.1345946093400321</v>
      </c>
      <c r="AG33">
        <f t="shared" si="8"/>
        <v>2.0173689642300214</v>
      </c>
      <c r="AH33"/>
      <c r="AI33">
        <f t="shared" si="9"/>
        <v>0.24411051280591911</v>
      </c>
      <c r="AJ33">
        <f t="shared" si="10"/>
        <v>4.8315858065641287E-2</v>
      </c>
      <c r="AK33">
        <f t="shared" si="11"/>
        <v>4.5662493531689032E-2</v>
      </c>
      <c r="AL33"/>
      <c r="AM33"/>
      <c r="AN33"/>
      <c r="AO33"/>
      <c r="AP33"/>
      <c r="AQ33"/>
      <c r="AR33"/>
      <c r="AS33"/>
      <c r="AT33"/>
      <c r="AU33"/>
      <c r="AV33"/>
    </row>
    <row r="34" spans="1:48" s="3" customFormat="1" ht="15" thickBot="1" x14ac:dyDescent="0.4">
      <c r="A34" s="4"/>
      <c r="W34" s="3">
        <f t="shared" si="13"/>
        <v>-4.0216665714979172E-2</v>
      </c>
      <c r="X34" s="3">
        <f t="shared" si="14"/>
        <v>-4.0550000344713531E-2</v>
      </c>
      <c r="Y34" s="3">
        <f t="shared" si="15"/>
        <v>-4.0400000289082527E-2</v>
      </c>
      <c r="Z34" s="3">
        <f t="shared" si="16"/>
        <v>-4.0883333111802735E-2</v>
      </c>
      <c r="AA34" s="3">
        <f t="shared" si="12"/>
        <v>-0.40181282142177221</v>
      </c>
      <c r="AB34" s="3">
        <f t="shared" si="4"/>
        <v>-0.60135234445333474</v>
      </c>
      <c r="AC34" s="3">
        <f t="shared" si="5"/>
        <v>-0.84590983148664223</v>
      </c>
      <c r="AE34" s="3">
        <f t="shared" si="6"/>
        <v>-6.6968803570295377</v>
      </c>
      <c r="AF34" s="3">
        <f t="shared" si="7"/>
        <v>-10.022539074222246</v>
      </c>
      <c r="AG34" s="3">
        <f t="shared" si="8"/>
        <v>-14.098497191444038</v>
      </c>
      <c r="AI34" s="3">
        <f t="shared" si="9"/>
        <v>-0.15158171926277814</v>
      </c>
      <c r="AJ34" s="3">
        <f t="shared" si="10"/>
        <v>-0.22685692789095172</v>
      </c>
      <c r="AK34" s="3">
        <f t="shared" si="11"/>
        <v>-0.31911492058497143</v>
      </c>
    </row>
    <row r="35" spans="1:48" s="5" customFormat="1" x14ac:dyDescent="0.35">
      <c r="A35" s="13" t="s">
        <v>39</v>
      </c>
      <c r="B35">
        <v>5.1500000059604645E-2</v>
      </c>
      <c r="C35">
        <v>5.1800001412630081E-2</v>
      </c>
      <c r="D35">
        <v>5.2099999040365219E-2</v>
      </c>
      <c r="E35">
        <v>5.2299998700618744E-2</v>
      </c>
      <c r="F35">
        <v>5.169999971985817E-2</v>
      </c>
      <c r="G35">
        <v>5.1500000059604645E-2</v>
      </c>
      <c r="H35" s="10">
        <v>5.090000107884407E-2</v>
      </c>
      <c r="I35">
        <v>5.0700001418590546E-2</v>
      </c>
      <c r="J35">
        <v>5.0599999725818634E-2</v>
      </c>
      <c r="K35" s="10">
        <v>5.1100000739097595E-2</v>
      </c>
      <c r="L35" s="10">
        <v>5.4499998688697815E-2</v>
      </c>
      <c r="M35">
        <v>5.9200000017881393E-2</v>
      </c>
      <c r="N35">
        <v>6.6699996590614319E-2</v>
      </c>
      <c r="O35" s="10">
        <v>6.9600000977516174E-2</v>
      </c>
      <c r="P35">
        <v>6.5600000321865082E-2</v>
      </c>
      <c r="Q35">
        <v>5.7300001382827759E-2</v>
      </c>
      <c r="R35">
        <v>5.0799999386072159E-2</v>
      </c>
      <c r="S35">
        <v>4.7800000756978989E-2</v>
      </c>
      <c r="T35">
        <v>4.6599999070167542E-2</v>
      </c>
      <c r="U35">
        <v>4.5899998396635056E-2</v>
      </c>
      <c r="V35">
        <v>4.5499999076128006E-2</v>
      </c>
      <c r="W35">
        <f t="shared" si="13"/>
        <v>2.9383335262537003E-2</v>
      </c>
      <c r="X35">
        <f t="shared" si="14"/>
        <v>1.0550000394384064E-2</v>
      </c>
      <c r="Y35">
        <f t="shared" si="15"/>
        <v>1.4099998399615288E-2</v>
      </c>
      <c r="Z35">
        <f t="shared" si="16"/>
        <v>1.0016667967041336E-2</v>
      </c>
      <c r="AA35">
        <f t="shared" si="12"/>
        <v>0.32333019277080893</v>
      </c>
      <c r="AB35">
        <f t="shared" si="4"/>
        <v>0.12546762347221374</v>
      </c>
      <c r="AC35">
        <f t="shared" si="5"/>
        <v>0.1344061911478639</v>
      </c>
      <c r="AE35">
        <f t="shared" si="6"/>
        <v>5.3888365461801495</v>
      </c>
      <c r="AF35">
        <f t="shared" si="7"/>
        <v>2.0911270578702292</v>
      </c>
      <c r="AG35">
        <f t="shared" si="8"/>
        <v>2.2401031857977318</v>
      </c>
      <c r="AI35">
        <f t="shared" si="9"/>
        <v>0.12197457098642257</v>
      </c>
      <c r="AJ35">
        <f t="shared" si="10"/>
        <v>4.7331984107519903E-2</v>
      </c>
      <c r="AK35">
        <f t="shared" si="11"/>
        <v>5.070401054318089E-2</v>
      </c>
    </row>
    <row r="36" spans="1:48" x14ac:dyDescent="0.35">
      <c r="A36" s="13"/>
      <c r="B36">
        <v>5.4200001060962677E-2</v>
      </c>
      <c r="C36">
        <v>5.4900001734495163E-2</v>
      </c>
      <c r="D36">
        <v>5.5300001055002213E-2</v>
      </c>
      <c r="E36">
        <v>5.5399999022483826E-2</v>
      </c>
      <c r="F36">
        <v>5.4800000041723251E-2</v>
      </c>
      <c r="G36">
        <v>5.469999834895134E-2</v>
      </c>
      <c r="H36" s="10">
        <v>5.4099999368190765E-2</v>
      </c>
      <c r="I36">
        <v>5.3700000047683716E-2</v>
      </c>
      <c r="J36">
        <v>5.299999937415123E-2</v>
      </c>
      <c r="K36" s="10">
        <v>5.3700000047683716E-2</v>
      </c>
      <c r="L36" s="10">
        <v>5.7000000029802322E-2</v>
      </c>
      <c r="M36">
        <v>6.1500001698732376E-2</v>
      </c>
      <c r="N36">
        <v>6.9300003349781036E-2</v>
      </c>
      <c r="O36" s="10">
        <v>7.2200000286102295E-2</v>
      </c>
      <c r="P36">
        <v>6.8099997937679291E-2</v>
      </c>
      <c r="Q36">
        <v>5.9700001031160355E-2</v>
      </c>
      <c r="R36">
        <v>5.3100001066923141E-2</v>
      </c>
      <c r="S36">
        <v>4.960000142455101E-2</v>
      </c>
      <c r="T36">
        <v>4.830000177025795E-2</v>
      </c>
      <c r="U36">
        <v>4.7299999743700027E-2</v>
      </c>
      <c r="V36">
        <v>4.6799998730421066E-2</v>
      </c>
      <c r="W36">
        <f t="shared" si="13"/>
        <v>3.1983334571123123E-2</v>
      </c>
      <c r="X36">
        <f t="shared" si="14"/>
        <v>1.3149999702970185E-2</v>
      </c>
      <c r="Y36">
        <f t="shared" si="15"/>
        <v>1.6599999740719795E-2</v>
      </c>
      <c r="Z36">
        <f t="shared" si="16"/>
        <v>1.3216666256388031E-2</v>
      </c>
      <c r="AA36">
        <f t="shared" si="12"/>
        <v>0.34952318193390969</v>
      </c>
      <c r="AB36">
        <f t="shared" si="4"/>
        <v>0.16206765457987782</v>
      </c>
      <c r="AC36">
        <f t="shared" si="5"/>
        <v>0.20266015205532317</v>
      </c>
      <c r="AE36">
        <f t="shared" si="6"/>
        <v>5.8253863655651621</v>
      </c>
      <c r="AF36">
        <f t="shared" si="7"/>
        <v>2.701127576331297</v>
      </c>
      <c r="AG36">
        <f t="shared" si="8"/>
        <v>3.3776692009220532</v>
      </c>
      <c r="AI36">
        <f t="shared" si="9"/>
        <v>0.13185573484755914</v>
      </c>
      <c r="AJ36">
        <f t="shared" si="10"/>
        <v>6.1139148400436778E-2</v>
      </c>
      <c r="AK36">
        <f t="shared" si="11"/>
        <v>7.6452449092848651E-2</v>
      </c>
    </row>
    <row r="37" spans="1:48" x14ac:dyDescent="0.35">
      <c r="A37" s="13"/>
      <c r="B37">
        <v>6.1900001019239426E-2</v>
      </c>
      <c r="C37">
        <v>6.2600001692771912E-2</v>
      </c>
      <c r="D37">
        <v>6.5300002694129944E-2</v>
      </c>
      <c r="E37">
        <v>6.7800000309944153E-2</v>
      </c>
      <c r="F37">
        <v>6.8199999630451202E-2</v>
      </c>
      <c r="G37">
        <v>6.8099997937679291E-2</v>
      </c>
      <c r="H37" s="10">
        <v>6.7299999296665192E-2</v>
      </c>
      <c r="I37">
        <v>6.759999692440033E-2</v>
      </c>
      <c r="J37">
        <v>6.6500000655651093E-2</v>
      </c>
      <c r="K37" s="10">
        <v>6.7000001668930054E-2</v>
      </c>
      <c r="L37" s="10">
        <v>6.9899998605251312E-2</v>
      </c>
      <c r="M37">
        <v>7.4400000274181366E-2</v>
      </c>
      <c r="N37">
        <v>8.2199998199939728E-2</v>
      </c>
      <c r="O37" s="10">
        <v>8.4799997508525848E-2</v>
      </c>
      <c r="P37">
        <v>8.020000159740448E-2</v>
      </c>
      <c r="Q37">
        <v>7.0299997925758362E-2</v>
      </c>
      <c r="R37">
        <v>6.3299998641014099E-2</v>
      </c>
      <c r="S37">
        <v>5.9599999338388443E-2</v>
      </c>
      <c r="T37">
        <v>5.9000000357627869E-2</v>
      </c>
      <c r="U37">
        <v>5.8100000023841858E-2</v>
      </c>
      <c r="V37">
        <v>5.820000171661377E-2</v>
      </c>
      <c r="W37">
        <f t="shared" si="13"/>
        <v>4.4583331793546677E-2</v>
      </c>
      <c r="X37">
        <f t="shared" si="14"/>
        <v>2.6450001324216522E-2</v>
      </c>
      <c r="Y37">
        <f t="shared" si="15"/>
        <v>2.9499998316168785E-2</v>
      </c>
      <c r="Z37">
        <f t="shared" si="16"/>
        <v>2.6416666184862457E-2</v>
      </c>
      <c r="AA37">
        <f t="shared" si="12"/>
        <v>0.47494415154680614</v>
      </c>
      <c r="AB37">
        <f t="shared" si="4"/>
        <v>0.35541164085268973</v>
      </c>
      <c r="AC37">
        <f t="shared" si="5"/>
        <v>0.47721416067332034</v>
      </c>
      <c r="AE37">
        <f t="shared" si="6"/>
        <v>7.9157358591134361</v>
      </c>
      <c r="AF37">
        <f t="shared" si="7"/>
        <v>5.9235273475448293</v>
      </c>
      <c r="AG37">
        <f t="shared" si="8"/>
        <v>7.9535693445553397</v>
      </c>
      <c r="AI37">
        <f t="shared" si="9"/>
        <v>0.17917011903833038</v>
      </c>
      <c r="AJ37">
        <f t="shared" si="10"/>
        <v>0.13407712420880102</v>
      </c>
      <c r="AK37">
        <f t="shared" si="11"/>
        <v>0.1800264677355215</v>
      </c>
    </row>
    <row r="38" spans="1:48" x14ac:dyDescent="0.35">
      <c r="A38" s="13" t="s">
        <v>40</v>
      </c>
      <c r="B38">
        <v>5.9200000017881393E-2</v>
      </c>
      <c r="C38">
        <v>6.0199998319149017E-2</v>
      </c>
      <c r="D38">
        <v>6.0899998992681503E-2</v>
      </c>
      <c r="E38">
        <v>6.0899998992681503E-2</v>
      </c>
      <c r="F38">
        <v>6.1000000685453415E-2</v>
      </c>
      <c r="G38">
        <v>6.0499999672174454E-2</v>
      </c>
      <c r="H38" s="10">
        <v>6.0899998992681503E-2</v>
      </c>
      <c r="I38">
        <v>6.0199998319149017E-2</v>
      </c>
      <c r="J38">
        <v>6.0100000351667404E-2</v>
      </c>
      <c r="K38" s="10">
        <v>6.1299998313188553E-2</v>
      </c>
      <c r="L38" s="10">
        <v>6.6299997270107269E-2</v>
      </c>
      <c r="M38">
        <v>7.5800001621246338E-2</v>
      </c>
      <c r="N38">
        <v>9.0599998831748962E-2</v>
      </c>
      <c r="O38" s="10">
        <v>9.6699997782707214E-2</v>
      </c>
      <c r="P38">
        <v>8.8899999856948853E-2</v>
      </c>
      <c r="Q38">
        <v>7.2800002992153168E-2</v>
      </c>
      <c r="R38">
        <v>6.1299998313188553E-2</v>
      </c>
      <c r="S38">
        <v>5.4600000381469727E-2</v>
      </c>
      <c r="T38">
        <v>5.2200000733137131E-2</v>
      </c>
      <c r="U38">
        <v>5.1600001752376556E-2</v>
      </c>
      <c r="V38">
        <v>5.0999999046325684E-2</v>
      </c>
      <c r="W38">
        <f t="shared" si="13"/>
        <v>5.6483332067728043E-2</v>
      </c>
      <c r="X38">
        <f t="shared" si="14"/>
        <v>2.0749997968475022E-2</v>
      </c>
      <c r="Y38">
        <f t="shared" si="15"/>
        <v>2.5899996981024742E-2</v>
      </c>
      <c r="Z38">
        <f t="shared" si="16"/>
        <v>2.0016665880878769E-2</v>
      </c>
      <c r="AA38">
        <f t="shared" si="12"/>
        <v>0.62385915739461784</v>
      </c>
      <c r="AB38">
        <f t="shared" si="4"/>
        <v>0.21666561216115954</v>
      </c>
      <c r="AC38">
        <f t="shared" si="5"/>
        <v>0.27692315224558117</v>
      </c>
      <c r="AE38">
        <f t="shared" si="6"/>
        <v>10.397652623243632</v>
      </c>
      <c r="AF38">
        <f t="shared" si="7"/>
        <v>3.6110935360193257</v>
      </c>
      <c r="AG38">
        <f t="shared" si="8"/>
        <v>4.6153858707596864</v>
      </c>
      <c r="AI38">
        <f t="shared" si="9"/>
        <v>0.2353475016578459</v>
      </c>
      <c r="AJ38">
        <f t="shared" si="10"/>
        <v>8.1735933363950339E-2</v>
      </c>
      <c r="AK38">
        <f t="shared" si="11"/>
        <v>0.10446776529560177</v>
      </c>
    </row>
    <row r="39" spans="1:48" x14ac:dyDescent="0.35">
      <c r="A39" s="13"/>
      <c r="B39">
        <v>5.9300001710653305E-2</v>
      </c>
      <c r="C39">
        <v>6.0499999672174454E-2</v>
      </c>
      <c r="D39">
        <v>6.1700001358985901E-2</v>
      </c>
      <c r="E39">
        <v>6.1700001358985901E-2</v>
      </c>
      <c r="F39">
        <v>6.1599999666213989E-2</v>
      </c>
      <c r="G39">
        <v>6.080000102519989E-2</v>
      </c>
      <c r="H39" s="10">
        <v>6.0300000011920929E-2</v>
      </c>
      <c r="I39">
        <v>5.9999998658895493E-2</v>
      </c>
      <c r="J39">
        <v>5.9599999338388443E-2</v>
      </c>
      <c r="K39" s="10">
        <v>6.0400001704692841E-2</v>
      </c>
      <c r="L39" s="10">
        <v>6.5200001001358032E-2</v>
      </c>
      <c r="M39">
        <v>7.5099997222423553E-2</v>
      </c>
      <c r="N39">
        <v>9.0099997818470001E-2</v>
      </c>
      <c r="O39" s="10">
        <v>9.6199996769428253E-2</v>
      </c>
      <c r="P39">
        <v>8.8399998843669891E-2</v>
      </c>
      <c r="Q39">
        <v>7.2499997913837433E-2</v>
      </c>
      <c r="R39">
        <v>5.9999998658895493E-2</v>
      </c>
      <c r="S39">
        <v>5.3300000727176666E-2</v>
      </c>
      <c r="T39">
        <v>5.1100000739097595E-2</v>
      </c>
      <c r="U39">
        <v>4.9899999052286148E-2</v>
      </c>
      <c r="V39">
        <v>5.0400000065565109E-2</v>
      </c>
      <c r="W39">
        <f t="shared" si="13"/>
        <v>5.5983331054449081E-2</v>
      </c>
      <c r="X39">
        <f t="shared" si="14"/>
        <v>1.9850001359979309E-2</v>
      </c>
      <c r="Y39">
        <f t="shared" si="15"/>
        <v>2.4800000712275505E-2</v>
      </c>
      <c r="Z39">
        <f t="shared" si="16"/>
        <v>1.9416666900118194E-2</v>
      </c>
      <c r="AA39">
        <f t="shared" si="12"/>
        <v>0.62001713810488579</v>
      </c>
      <c r="AB39">
        <f t="shared" si="4"/>
        <v>0.19701969370245931</v>
      </c>
      <c r="AC39">
        <f t="shared" si="5"/>
        <v>0.26417218085378413</v>
      </c>
      <c r="AE39">
        <f t="shared" si="6"/>
        <v>10.333618968414763</v>
      </c>
      <c r="AF39">
        <f t="shared" si="7"/>
        <v>3.2836615617076554</v>
      </c>
      <c r="AG39">
        <f t="shared" si="8"/>
        <v>4.4028696808964023</v>
      </c>
      <c r="AI39">
        <f t="shared" si="9"/>
        <v>0.23389812060694348</v>
      </c>
      <c r="AJ39">
        <f t="shared" si="10"/>
        <v>7.43246166072353E-2</v>
      </c>
      <c r="AK39">
        <f t="shared" si="11"/>
        <v>9.9657530124409283E-2</v>
      </c>
    </row>
    <row r="40" spans="1:48" x14ac:dyDescent="0.35">
      <c r="A40" s="13"/>
      <c r="B40">
        <v>5.9799998998641968E-2</v>
      </c>
      <c r="C40">
        <v>6.0499999672174454E-2</v>
      </c>
      <c r="D40">
        <v>6.120000034570694E-2</v>
      </c>
      <c r="E40">
        <v>6.1700001358985901E-2</v>
      </c>
      <c r="F40">
        <v>6.1299998313188553E-2</v>
      </c>
      <c r="G40">
        <v>6.0600001364946365E-2</v>
      </c>
      <c r="H40" s="10">
        <v>6.0100000351667404E-2</v>
      </c>
      <c r="I40">
        <v>5.9900000691413879E-2</v>
      </c>
      <c r="J40">
        <v>5.950000137090683E-2</v>
      </c>
      <c r="K40" s="10">
        <v>6.120000034570694E-2</v>
      </c>
      <c r="L40" s="10">
        <v>6.7400000989437103E-2</v>
      </c>
      <c r="M40">
        <v>7.6099999248981476E-2</v>
      </c>
      <c r="N40">
        <v>9.08999964594841E-2</v>
      </c>
      <c r="O40" s="10">
        <v>9.7400002181529999E-2</v>
      </c>
      <c r="P40">
        <v>8.959999680519104E-2</v>
      </c>
      <c r="Q40">
        <v>7.2999998927116394E-2</v>
      </c>
      <c r="R40">
        <v>6.0300000011920929E-2</v>
      </c>
      <c r="S40">
        <v>5.3899999707937241E-2</v>
      </c>
      <c r="T40">
        <v>5.1399998366832733E-2</v>
      </c>
      <c r="U40">
        <v>5.0299998372793198E-2</v>
      </c>
      <c r="V40">
        <v>5.0299998372793198E-2</v>
      </c>
      <c r="W40">
        <f t="shared" si="13"/>
        <v>5.7183336466550827E-2</v>
      </c>
      <c r="X40">
        <f t="shared" si="14"/>
        <v>2.0650000000993408E-2</v>
      </c>
      <c r="Y40">
        <f t="shared" si="15"/>
        <v>2.7000000700354576E-2</v>
      </c>
      <c r="Z40">
        <f t="shared" si="16"/>
        <v>1.921666723986467E-2</v>
      </c>
      <c r="AA40">
        <f t="shared" si="12"/>
        <v>0.63008720269426699</v>
      </c>
      <c r="AB40">
        <f t="shared" si="4"/>
        <v>0.23521166369318958</v>
      </c>
      <c r="AC40">
        <f t="shared" si="5"/>
        <v>0.25482416894286875</v>
      </c>
      <c r="AE40">
        <f t="shared" si="6"/>
        <v>10.501453378237784</v>
      </c>
      <c r="AF40">
        <f t="shared" si="7"/>
        <v>3.9201943948864932</v>
      </c>
      <c r="AG40">
        <f t="shared" si="8"/>
        <v>4.2470694823811463</v>
      </c>
      <c r="AI40">
        <f t="shared" si="9"/>
        <v>0.2376969981493387</v>
      </c>
      <c r="AJ40">
        <f t="shared" si="10"/>
        <v>8.8732331255918812E-2</v>
      </c>
      <c r="AK40">
        <f t="shared" si="11"/>
        <v>9.6131043059781499E-2</v>
      </c>
    </row>
    <row r="41" spans="1:48" x14ac:dyDescent="0.35">
      <c r="A41" s="13" t="s">
        <v>41</v>
      </c>
      <c r="B41">
        <v>5.4600000381469727E-2</v>
      </c>
      <c r="C41">
        <v>5.559999868273735E-2</v>
      </c>
      <c r="D41">
        <v>5.6200001388788223E-2</v>
      </c>
      <c r="E41">
        <v>5.6400001049041748E-2</v>
      </c>
      <c r="F41">
        <v>5.6099999696016312E-2</v>
      </c>
      <c r="G41">
        <v>5.5500000715255737E-2</v>
      </c>
      <c r="H41" s="10">
        <v>5.5199999362230301E-2</v>
      </c>
      <c r="I41">
        <v>5.4900001734495163E-2</v>
      </c>
      <c r="J41">
        <v>5.4600000381469727E-2</v>
      </c>
      <c r="K41" s="10">
        <v>5.559999868273735E-2</v>
      </c>
      <c r="L41" s="10">
        <v>5.9900000691413879E-2</v>
      </c>
      <c r="M41">
        <v>6.6600002348423004E-2</v>
      </c>
      <c r="N41">
        <v>7.850000262260437E-2</v>
      </c>
      <c r="O41" s="10">
        <v>8.35999995470047E-2</v>
      </c>
      <c r="P41">
        <v>7.8299999237060547E-2</v>
      </c>
      <c r="Q41">
        <v>6.549999862909317E-2</v>
      </c>
      <c r="R41">
        <v>5.5300001055002213E-2</v>
      </c>
      <c r="S41">
        <v>4.9699999392032623E-2</v>
      </c>
      <c r="T41">
        <v>4.7800000756978989E-2</v>
      </c>
      <c r="U41">
        <v>4.6700000762939453E-2</v>
      </c>
      <c r="V41">
        <v>4.6199999749660492E-2</v>
      </c>
      <c r="W41">
        <f t="shared" si="13"/>
        <v>4.3383333832025528E-2</v>
      </c>
      <c r="X41">
        <f t="shared" si="14"/>
        <v>1.5049998338023819E-2</v>
      </c>
      <c r="Y41">
        <f t="shared" si="15"/>
        <v>1.9500000402331352E-2</v>
      </c>
      <c r="Z41">
        <f t="shared" si="16"/>
        <v>1.4316666250427566E-2</v>
      </c>
      <c r="AA41">
        <f t="shared" si="12"/>
        <v>0.47992817183956504</v>
      </c>
      <c r="AB41">
        <f t="shared" si="4"/>
        <v>0.15841167211532592</v>
      </c>
      <c r="AC41">
        <f t="shared" si="5"/>
        <v>0.18693415466696028</v>
      </c>
      <c r="AE41">
        <f t="shared" si="6"/>
        <v>7.9988028639927515</v>
      </c>
      <c r="AF41">
        <f t="shared" si="7"/>
        <v>2.6401945352554321</v>
      </c>
      <c r="AG41">
        <f t="shared" si="8"/>
        <v>3.1155692444493384</v>
      </c>
      <c r="AI41">
        <f t="shared" si="9"/>
        <v>0.18105031380698849</v>
      </c>
      <c r="AJ41">
        <f t="shared" si="10"/>
        <v>5.9759948738239747E-2</v>
      </c>
      <c r="AK41">
        <f t="shared" si="11"/>
        <v>7.0519901413520561E-2</v>
      </c>
    </row>
    <row r="42" spans="1:48" x14ac:dyDescent="0.35">
      <c r="A42" s="13"/>
      <c r="B42">
        <v>5.7399999350309372E-2</v>
      </c>
      <c r="C42">
        <v>5.8400001376867294E-2</v>
      </c>
      <c r="D42">
        <v>5.9200000017881393E-2</v>
      </c>
      <c r="E42">
        <v>5.9399999678134918E-2</v>
      </c>
      <c r="F42">
        <v>5.9000000357627869E-2</v>
      </c>
      <c r="G42">
        <v>5.8499999344348907E-2</v>
      </c>
      <c r="H42" s="10">
        <v>5.8299999684095383E-2</v>
      </c>
      <c r="I42">
        <v>5.7999998331069946E-2</v>
      </c>
      <c r="J42">
        <v>5.7700000703334808E-2</v>
      </c>
      <c r="K42" s="10">
        <v>5.8699999004602432E-2</v>
      </c>
      <c r="L42" s="10">
        <v>6.3199996948242188E-2</v>
      </c>
      <c r="M42">
        <v>7.0200003683567047E-2</v>
      </c>
      <c r="N42">
        <v>8.2599997520446777E-2</v>
      </c>
      <c r="O42" s="10">
        <v>8.7999999523162842E-2</v>
      </c>
      <c r="P42">
        <v>8.2599997520446777E-2</v>
      </c>
      <c r="Q42">
        <v>6.9200001657009125E-2</v>
      </c>
      <c r="R42">
        <v>5.8499999344348907E-2</v>
      </c>
      <c r="S42">
        <v>5.260000005364418E-2</v>
      </c>
      <c r="T42">
        <v>5.0500001758337021E-2</v>
      </c>
      <c r="U42">
        <v>4.9499999731779099E-2</v>
      </c>
      <c r="V42">
        <v>4.9100000411272049E-2</v>
      </c>
      <c r="W42">
        <f t="shared" si="13"/>
        <v>4.778333380818367E-2</v>
      </c>
      <c r="X42">
        <f t="shared" si="14"/>
        <v>1.8149998659888901E-2</v>
      </c>
      <c r="Y42">
        <f t="shared" si="15"/>
        <v>2.279999665915966E-2</v>
      </c>
      <c r="Z42">
        <f t="shared" si="16"/>
        <v>1.7416666572292648E-2</v>
      </c>
      <c r="AA42">
        <f t="shared" si="12"/>
        <v>0.52605117877945307</v>
      </c>
      <c r="AB42">
        <f t="shared" si="4"/>
        <v>0.20139959603548047</v>
      </c>
      <c r="AC42">
        <f t="shared" si="5"/>
        <v>0.24603816259652381</v>
      </c>
      <c r="AE42">
        <f t="shared" si="6"/>
        <v>8.7675196463242191</v>
      </c>
      <c r="AF42">
        <f t="shared" si="7"/>
        <v>3.3566599339246745</v>
      </c>
      <c r="AG42">
        <f t="shared" si="8"/>
        <v>4.1006360432753972</v>
      </c>
      <c r="AI42">
        <f t="shared" si="9"/>
        <v>0.19844996935998685</v>
      </c>
      <c r="AJ42">
        <f t="shared" si="10"/>
        <v>7.5976911134555791E-2</v>
      </c>
      <c r="AK42">
        <f t="shared" si="11"/>
        <v>9.2816569562593876E-2</v>
      </c>
    </row>
    <row r="43" spans="1:48" s="6" customFormat="1" ht="15" thickBot="1" x14ac:dyDescent="0.4">
      <c r="A43" s="13"/>
      <c r="B43">
        <v>5.7300001382827759E-2</v>
      </c>
      <c r="C43">
        <v>5.820000171661377E-2</v>
      </c>
      <c r="D43">
        <v>5.9000000357627869E-2</v>
      </c>
      <c r="E43">
        <v>5.9000000357627869E-2</v>
      </c>
      <c r="F43">
        <v>5.8400001376867294E-2</v>
      </c>
      <c r="G43">
        <v>5.8100000023841858E-2</v>
      </c>
      <c r="H43" s="10">
        <v>5.7599999010562897E-2</v>
      </c>
      <c r="I43">
        <v>5.7300001382827759E-2</v>
      </c>
      <c r="J43">
        <v>5.7199999690055847E-2</v>
      </c>
      <c r="K43" s="10">
        <v>5.7999998331069946E-2</v>
      </c>
      <c r="L43" s="10">
        <v>6.1900001019239426E-2</v>
      </c>
      <c r="M43">
        <v>6.8300001323223114E-2</v>
      </c>
      <c r="N43">
        <v>7.9599998891353607E-2</v>
      </c>
      <c r="O43" s="10">
        <v>8.4600001573562622E-2</v>
      </c>
      <c r="P43">
        <v>7.9599998891353607E-2</v>
      </c>
      <c r="Q43">
        <v>6.759999692440033E-2</v>
      </c>
      <c r="R43">
        <v>5.7399999350309372E-2</v>
      </c>
      <c r="S43">
        <v>5.1800001412630081E-2</v>
      </c>
      <c r="T43">
        <v>4.9800001084804535E-2</v>
      </c>
      <c r="U43">
        <v>4.8799999058246613E-2</v>
      </c>
      <c r="V43">
        <v>4.8700001090764999E-2</v>
      </c>
      <c r="W43">
        <f t="shared" si="13"/>
        <v>4.438333585858345E-2</v>
      </c>
      <c r="X43">
        <f t="shared" si="14"/>
        <v>1.7449997986356415E-2</v>
      </c>
      <c r="Y43">
        <f t="shared" si="15"/>
        <v>2.1500000730156898E-2</v>
      </c>
      <c r="Z43">
        <f t="shared" si="16"/>
        <v>1.6716665898760162E-2</v>
      </c>
      <c r="AA43">
        <f t="shared" si="12"/>
        <v>0.48799819538369771</v>
      </c>
      <c r="AB43">
        <f t="shared" si="4"/>
        <v>0.19363166764378548</v>
      </c>
      <c r="AC43">
        <f t="shared" si="5"/>
        <v>0.24166813854128127</v>
      </c>
      <c r="AD43"/>
      <c r="AE43">
        <f t="shared" si="6"/>
        <v>8.1333032563949619</v>
      </c>
      <c r="AF43">
        <f t="shared" si="7"/>
        <v>3.2271944607297582</v>
      </c>
      <c r="AG43">
        <f t="shared" si="8"/>
        <v>4.0278023090213546</v>
      </c>
      <c r="AH43"/>
      <c r="AI43">
        <f t="shared" si="9"/>
        <v>0.18409468665448081</v>
      </c>
      <c r="AJ43">
        <f t="shared" si="10"/>
        <v>7.3046502053638718E-2</v>
      </c>
      <c r="AK43">
        <f t="shared" si="11"/>
        <v>9.1168001562276016E-2</v>
      </c>
      <c r="AL43"/>
      <c r="AM43"/>
      <c r="AN43"/>
      <c r="AO43"/>
      <c r="AP43"/>
      <c r="AQ43"/>
      <c r="AR43"/>
      <c r="AS43"/>
      <c r="AT43"/>
      <c r="AU43"/>
    </row>
    <row r="44" spans="1:48" s="3" customFormat="1" x14ac:dyDescent="0.35">
      <c r="A44" s="4"/>
      <c r="W44" s="3">
        <f t="shared" si="13"/>
        <v>-4.0216665714979172E-2</v>
      </c>
      <c r="X44" s="3">
        <f t="shared" si="14"/>
        <v>-4.0550000344713531E-2</v>
      </c>
      <c r="Y44" s="3">
        <f t="shared" si="15"/>
        <v>-4.0400000289082527E-2</v>
      </c>
      <c r="Z44" s="3">
        <f t="shared" si="16"/>
        <v>-4.0883333111802735E-2</v>
      </c>
      <c r="AA44" s="3">
        <f t="shared" si="12"/>
        <v>-0.40181282142177221</v>
      </c>
      <c r="AB44" s="3">
        <f t="shared" si="4"/>
        <v>-0.60135234445333474</v>
      </c>
      <c r="AC44" s="3">
        <f t="shared" si="5"/>
        <v>-0.84590983148664223</v>
      </c>
      <c r="AE44" s="3">
        <f t="shared" si="6"/>
        <v>-6.6968803570295377</v>
      </c>
      <c r="AF44" s="3">
        <f t="shared" si="7"/>
        <v>-10.022539074222246</v>
      </c>
      <c r="AG44" s="3">
        <f t="shared" si="8"/>
        <v>-14.098497191444038</v>
      </c>
      <c r="AI44" s="3">
        <f t="shared" si="9"/>
        <v>-0.15158171926277814</v>
      </c>
      <c r="AJ44" s="3">
        <f t="shared" si="10"/>
        <v>-0.22685692789095172</v>
      </c>
      <c r="AK44" s="3">
        <f t="shared" si="11"/>
        <v>-0.31911492058497143</v>
      </c>
    </row>
    <row r="45" spans="1:48" x14ac:dyDescent="0.35">
      <c r="A45" s="15" t="s">
        <v>42</v>
      </c>
      <c r="B45">
        <v>4.6599999070167542E-2</v>
      </c>
      <c r="C45">
        <v>4.7400001436471939E-2</v>
      </c>
      <c r="D45">
        <v>4.7899998724460602E-2</v>
      </c>
      <c r="E45">
        <v>4.830000177025795E-2</v>
      </c>
      <c r="F45">
        <v>4.8399999737739563E-2</v>
      </c>
      <c r="G45">
        <v>4.7899998724460602E-2</v>
      </c>
      <c r="H45" s="10">
        <v>4.7600001096725464E-2</v>
      </c>
      <c r="I45">
        <v>4.7400001436471939E-2</v>
      </c>
      <c r="J45">
        <v>4.7200001776218414E-2</v>
      </c>
      <c r="K45" s="10">
        <v>4.7899998724460602E-2</v>
      </c>
      <c r="L45" s="10">
        <v>5.169999971985817E-2</v>
      </c>
      <c r="M45">
        <v>5.7199999690055847E-2</v>
      </c>
      <c r="N45">
        <v>6.549999862909317E-2</v>
      </c>
      <c r="O45" s="10">
        <v>6.8599998950958252E-2</v>
      </c>
      <c r="P45">
        <v>6.3600003719329834E-2</v>
      </c>
      <c r="Q45">
        <v>5.4200001060962677E-2</v>
      </c>
      <c r="R45">
        <v>4.7100000083446503E-2</v>
      </c>
      <c r="S45">
        <v>4.3600000441074371E-2</v>
      </c>
      <c r="T45">
        <v>4.2700000107288361E-2</v>
      </c>
      <c r="U45">
        <v>4.1999999433755875E-2</v>
      </c>
      <c r="V45">
        <v>4.1700001806020737E-2</v>
      </c>
      <c r="W45">
        <f t="shared" si="13"/>
        <v>2.838333323597908E-2</v>
      </c>
      <c r="X45">
        <f t="shared" si="14"/>
        <v>7.3499983797470705E-3</v>
      </c>
      <c r="Y45">
        <f t="shared" si="15"/>
        <v>1.1299999430775642E-2</v>
      </c>
      <c r="Z45">
        <f t="shared" si="16"/>
        <v>6.7166679849227293E-3</v>
      </c>
      <c r="AA45">
        <f t="shared" si="12"/>
        <v>0.31680416660383343</v>
      </c>
      <c r="AB45">
        <f t="shared" si="4"/>
        <v>7.395965561270712E-2</v>
      </c>
      <c r="AC45">
        <f t="shared" si="5"/>
        <v>5.7748199142515722E-2</v>
      </c>
      <c r="AE45">
        <f t="shared" si="6"/>
        <v>5.2800694433972239</v>
      </c>
      <c r="AF45">
        <f t="shared" si="7"/>
        <v>1.2326609268784521</v>
      </c>
      <c r="AG45">
        <f t="shared" si="8"/>
        <v>0.96246998570859543</v>
      </c>
      <c r="AI45">
        <f t="shared" si="9"/>
        <v>0.11951266282021783</v>
      </c>
      <c r="AJ45">
        <f t="shared" si="10"/>
        <v>2.7900881097294071E-2</v>
      </c>
      <c r="AK45">
        <f t="shared" si="11"/>
        <v>2.1785196598202702E-2</v>
      </c>
    </row>
    <row r="46" spans="1:48" x14ac:dyDescent="0.35">
      <c r="A46" s="15"/>
      <c r="B46">
        <v>4.6100001782178879E-2</v>
      </c>
      <c r="C46">
        <v>4.6799998730421066E-2</v>
      </c>
      <c r="D46">
        <v>4.7600001096725464E-2</v>
      </c>
      <c r="E46">
        <v>4.7899998724460602E-2</v>
      </c>
      <c r="F46">
        <v>4.7800000756978989E-2</v>
      </c>
      <c r="G46">
        <v>4.7699999064207077E-2</v>
      </c>
      <c r="H46" s="10">
        <v>4.7400001436471939E-2</v>
      </c>
      <c r="I46">
        <v>4.6900000423192978E-2</v>
      </c>
      <c r="J46">
        <v>4.6799998730421066E-2</v>
      </c>
      <c r="K46" s="10">
        <v>4.7699999064207077E-2</v>
      </c>
      <c r="L46" s="10">
        <v>5.1500000059604645E-2</v>
      </c>
      <c r="M46">
        <v>5.7000000029802322E-2</v>
      </c>
      <c r="N46">
        <v>6.5999999642372131E-2</v>
      </c>
      <c r="O46" s="10">
        <v>6.9099999964237213E-2</v>
      </c>
      <c r="P46">
        <v>6.3600003719329834E-2</v>
      </c>
      <c r="Q46">
        <v>5.4000001400709152E-2</v>
      </c>
      <c r="R46">
        <v>4.6999998390674591E-2</v>
      </c>
      <c r="S46">
        <v>4.3299999088048935E-2</v>
      </c>
      <c r="T46">
        <v>4.2100001126527786E-2</v>
      </c>
      <c r="U46">
        <v>4.1299998760223389E-2</v>
      </c>
      <c r="V46">
        <v>4.14000004529953E-2</v>
      </c>
      <c r="W46">
        <f t="shared" si="13"/>
        <v>2.8883334249258041E-2</v>
      </c>
      <c r="X46">
        <f t="shared" si="14"/>
        <v>7.1499987194935458E-3</v>
      </c>
      <c r="Y46">
        <f t="shared" si="15"/>
        <v>1.1099999770522118E-2</v>
      </c>
      <c r="Z46">
        <f t="shared" si="16"/>
        <v>6.5166683246692045E-3</v>
      </c>
      <c r="AA46">
        <f t="shared" si="12"/>
        <v>0.32315517803654076</v>
      </c>
      <c r="AB46">
        <f t="shared" si="4"/>
        <v>6.7137656956911068E-2</v>
      </c>
      <c r="AC46">
        <f t="shared" si="5"/>
        <v>5.1011203639209329E-2</v>
      </c>
      <c r="AE46">
        <f t="shared" si="6"/>
        <v>5.3859196339423461</v>
      </c>
      <c r="AF46">
        <f t="shared" si="7"/>
        <v>1.1189609492818513</v>
      </c>
      <c r="AG46">
        <f t="shared" si="8"/>
        <v>0.85018672732015554</v>
      </c>
      <c r="AI46">
        <f t="shared" si="9"/>
        <v>0.12190854762205401</v>
      </c>
      <c r="AJ46">
        <f t="shared" si="10"/>
        <v>2.5327318906334342E-2</v>
      </c>
      <c r="AK46">
        <f t="shared" si="11"/>
        <v>1.9243701387961873E-2</v>
      </c>
    </row>
    <row r="47" spans="1:48" x14ac:dyDescent="0.35">
      <c r="A47" s="15"/>
      <c r="B47">
        <v>4.6300001442432404E-2</v>
      </c>
      <c r="C47">
        <v>4.6999998390674591E-2</v>
      </c>
      <c r="D47">
        <v>4.7600001096725464E-2</v>
      </c>
      <c r="E47">
        <v>4.7899998724460602E-2</v>
      </c>
      <c r="F47">
        <v>4.7899998724460602E-2</v>
      </c>
      <c r="G47">
        <v>4.7699999064207077E-2</v>
      </c>
      <c r="H47" s="10">
        <v>4.7200001776218414E-2</v>
      </c>
      <c r="I47">
        <v>4.6799998730421066E-2</v>
      </c>
      <c r="J47">
        <v>4.6500001102685928E-2</v>
      </c>
      <c r="K47" s="10">
        <v>4.7299999743700027E-2</v>
      </c>
      <c r="L47" s="10">
        <v>5.130000039935112E-2</v>
      </c>
      <c r="M47">
        <v>5.7100001722574234E-2</v>
      </c>
      <c r="N47">
        <v>6.6200003027915955E-2</v>
      </c>
      <c r="O47" s="10">
        <v>6.9399997591972351E-2</v>
      </c>
      <c r="P47">
        <v>6.4000003039836884E-2</v>
      </c>
      <c r="Q47">
        <v>5.4000001400709152E-2</v>
      </c>
      <c r="R47">
        <v>4.6599999070167542E-2</v>
      </c>
      <c r="S47">
        <v>4.2800001800060272E-2</v>
      </c>
      <c r="T47">
        <v>4.179999977350235E-2</v>
      </c>
      <c r="U47">
        <v>4.1099999099969864E-2</v>
      </c>
      <c r="V47">
        <v>4.0899999439716339E-2</v>
      </c>
      <c r="W47">
        <f t="shared" si="13"/>
        <v>2.9183331876993179E-2</v>
      </c>
      <c r="X47">
        <f t="shared" si="14"/>
        <v>6.7499993989864962E-3</v>
      </c>
      <c r="Y47">
        <f t="shared" si="15"/>
        <v>1.0900000110268593E-2</v>
      </c>
      <c r="Z47">
        <f t="shared" si="16"/>
        <v>6.3166686644156797E-3</v>
      </c>
      <c r="AA47">
        <f t="shared" si="12"/>
        <v>0.32712014907971021</v>
      </c>
      <c r="AB47">
        <f t="shared" si="4"/>
        <v>6.1415676921606044E-2</v>
      </c>
      <c r="AC47">
        <f t="shared" si="5"/>
        <v>4.5020220763981406E-2</v>
      </c>
      <c r="AE47">
        <f t="shared" si="6"/>
        <v>5.4520024846618371</v>
      </c>
      <c r="AF47">
        <f t="shared" si="7"/>
        <v>1.0235946153601008</v>
      </c>
      <c r="AG47">
        <f t="shared" si="8"/>
        <v>0.75033701273302345</v>
      </c>
      <c r="AI47">
        <f t="shared" si="9"/>
        <v>0.12340431155866539</v>
      </c>
      <c r="AJ47">
        <f t="shared" si="10"/>
        <v>2.3168732805796757E-2</v>
      </c>
      <c r="AK47">
        <f t="shared" si="11"/>
        <v>1.6983635417225518E-2</v>
      </c>
    </row>
    <row r="48" spans="1:48" x14ac:dyDescent="0.35">
      <c r="A48" s="15" t="s">
        <v>43</v>
      </c>
      <c r="B48">
        <v>5.0500001758337021E-2</v>
      </c>
      <c r="C48">
        <v>5.169999971985817E-2</v>
      </c>
      <c r="D48">
        <v>5.260000005364418E-2</v>
      </c>
      <c r="E48">
        <v>5.299999937415123E-2</v>
      </c>
      <c r="F48">
        <v>5.299999937415123E-2</v>
      </c>
      <c r="G48">
        <v>5.260000005364418E-2</v>
      </c>
      <c r="H48" s="10">
        <v>5.1800001412630081E-2</v>
      </c>
      <c r="I48">
        <v>5.1199998706579208E-2</v>
      </c>
      <c r="J48">
        <v>5.090000107884407E-2</v>
      </c>
      <c r="K48" s="10">
        <v>5.2099999040365219E-2</v>
      </c>
      <c r="L48" s="10">
        <v>5.7500001043081284E-2</v>
      </c>
      <c r="M48">
        <v>6.5700002014636993E-2</v>
      </c>
      <c r="N48">
        <v>7.9099997878074646E-2</v>
      </c>
      <c r="O48" s="10">
        <v>8.3800002932548523E-2</v>
      </c>
      <c r="P48">
        <v>7.6200000941753387E-2</v>
      </c>
      <c r="Q48">
        <v>6.1599999666213989E-2</v>
      </c>
      <c r="R48">
        <v>5.090000107884407E-2</v>
      </c>
      <c r="S48">
        <v>4.5299999415874481E-2</v>
      </c>
      <c r="T48">
        <v>4.349999874830246E-2</v>
      </c>
      <c r="U48">
        <v>4.2399998754262924E-2</v>
      </c>
      <c r="V48">
        <v>4.2199999094009399E-2</v>
      </c>
      <c r="W48">
        <f t="shared" si="13"/>
        <v>4.3583337217569351E-2</v>
      </c>
      <c r="X48">
        <f t="shared" si="14"/>
        <v>1.1549998695651688E-2</v>
      </c>
      <c r="Y48">
        <f t="shared" si="15"/>
        <v>1.7100000753998756E-2</v>
      </c>
      <c r="Z48">
        <f t="shared" si="16"/>
        <v>1.0916668300827347E-2</v>
      </c>
      <c r="AA48">
        <f t="shared" si="12"/>
        <v>0.48694621155038476</v>
      </c>
      <c r="AB48">
        <f t="shared" si="4"/>
        <v>0.10844766065478323</v>
      </c>
      <c r="AC48">
        <f t="shared" si="5"/>
        <v>0.10336419198662047</v>
      </c>
      <c r="AE48">
        <f t="shared" si="6"/>
        <v>8.1157701925064138</v>
      </c>
      <c r="AF48">
        <f t="shared" si="7"/>
        <v>1.807461010913054</v>
      </c>
      <c r="AG48">
        <f t="shared" si="8"/>
        <v>1.7227365331103413</v>
      </c>
      <c r="AI48">
        <f t="shared" si="9"/>
        <v>0.18369783142839324</v>
      </c>
      <c r="AJ48">
        <f t="shared" si="10"/>
        <v>4.0911294950499187E-2</v>
      </c>
      <c r="AK48">
        <f t="shared" si="11"/>
        <v>3.8993583818703964E-2</v>
      </c>
    </row>
    <row r="49" spans="1:37" x14ac:dyDescent="0.35">
      <c r="A49" s="15"/>
      <c r="B49">
        <v>5.0099998712539673E-2</v>
      </c>
      <c r="C49">
        <v>5.1199998706579208E-2</v>
      </c>
      <c r="D49">
        <v>5.2299998700618744E-2</v>
      </c>
      <c r="E49">
        <v>5.2900001406669617E-2</v>
      </c>
      <c r="F49">
        <v>5.2799999713897705E-2</v>
      </c>
      <c r="G49">
        <v>5.2400000393390656E-2</v>
      </c>
      <c r="H49" s="10">
        <v>5.169999971985817E-2</v>
      </c>
      <c r="I49">
        <v>5.0999999046325684E-2</v>
      </c>
      <c r="J49">
        <v>5.0500001758337021E-2</v>
      </c>
      <c r="K49" s="10">
        <v>5.1899999380111694E-2</v>
      </c>
      <c r="L49" s="10">
        <v>5.7599999010562897E-2</v>
      </c>
      <c r="M49">
        <v>6.589999794960022E-2</v>
      </c>
      <c r="N49">
        <v>7.9700000584125519E-2</v>
      </c>
      <c r="O49" s="10">
        <v>8.4700003266334534E-2</v>
      </c>
      <c r="P49">
        <v>7.6700001955032349E-2</v>
      </c>
      <c r="Q49">
        <v>6.1799999326467514E-2</v>
      </c>
      <c r="R49">
        <v>5.0700001418590546E-2</v>
      </c>
      <c r="S49">
        <v>4.5000001788139343E-2</v>
      </c>
      <c r="T49">
        <v>4.3200001120567322E-2</v>
      </c>
      <c r="U49">
        <v>4.2100001126527786E-2</v>
      </c>
      <c r="V49">
        <v>4.179999977350235E-2</v>
      </c>
      <c r="W49">
        <f t="shared" si="13"/>
        <v>4.4483337551355362E-2</v>
      </c>
      <c r="X49">
        <f t="shared" si="14"/>
        <v>1.1349999035398163E-2</v>
      </c>
      <c r="Y49">
        <f t="shared" si="15"/>
        <v>1.719999872148037E-2</v>
      </c>
      <c r="Z49">
        <f t="shared" si="16"/>
        <v>1.0816666608055435E-2</v>
      </c>
      <c r="AA49">
        <f t="shared" si="12"/>
        <v>0.49749021945521238</v>
      </c>
      <c r="AB49">
        <f t="shared" si="4"/>
        <v>0.10553361743688583</v>
      </c>
      <c r="AC49">
        <f t="shared" si="5"/>
        <v>9.7571149505674887E-2</v>
      </c>
      <c r="AE49">
        <f t="shared" si="6"/>
        <v>8.2915036575868744</v>
      </c>
      <c r="AF49">
        <f t="shared" si="7"/>
        <v>1.7588936239480972</v>
      </c>
      <c r="AG49">
        <f t="shared" si="8"/>
        <v>1.6261858250945815</v>
      </c>
      <c r="AI49">
        <f t="shared" si="9"/>
        <v>0.18767550152980703</v>
      </c>
      <c r="AJ49">
        <f t="shared" si="10"/>
        <v>3.9811987866638691E-2</v>
      </c>
      <c r="AK49">
        <f t="shared" si="11"/>
        <v>3.6808189793901804E-2</v>
      </c>
    </row>
    <row r="50" spans="1:37" ht="14" customHeight="1" x14ac:dyDescent="0.35">
      <c r="A50" s="15"/>
      <c r="B50">
        <v>4.9699999392032623E-2</v>
      </c>
      <c r="C50">
        <v>5.090000107884407E-2</v>
      </c>
      <c r="D50">
        <v>5.2000001072883606E-2</v>
      </c>
      <c r="E50">
        <v>5.2299998700618744E-2</v>
      </c>
      <c r="F50">
        <v>5.2400000393390656E-2</v>
      </c>
      <c r="G50">
        <v>5.2000001072883606E-2</v>
      </c>
      <c r="H50" s="10">
        <v>5.1199998706579208E-2</v>
      </c>
      <c r="I50">
        <v>5.0599999725818634E-2</v>
      </c>
      <c r="J50">
        <v>5.0299998372793198E-2</v>
      </c>
      <c r="K50" s="10">
        <v>5.1500000059604645E-2</v>
      </c>
      <c r="L50" s="10">
        <v>5.7000000029802322E-2</v>
      </c>
      <c r="M50">
        <v>6.5300002694129944E-2</v>
      </c>
      <c r="N50">
        <v>7.8800000250339508E-2</v>
      </c>
      <c r="O50" s="10">
        <v>8.3800002932548523E-2</v>
      </c>
      <c r="P50">
        <v>7.590000331401825E-2</v>
      </c>
      <c r="Q50">
        <v>6.1099998652935028E-2</v>
      </c>
      <c r="R50">
        <v>5.0200000405311584E-2</v>
      </c>
      <c r="S50">
        <v>4.4700000435113907E-2</v>
      </c>
      <c r="T50">
        <v>4.2899999767541885E-2</v>
      </c>
      <c r="U50">
        <v>4.179999977350235E-2</v>
      </c>
      <c r="V50">
        <v>4.1499998420476913E-2</v>
      </c>
      <c r="W50">
        <f t="shared" si="13"/>
        <v>4.3583337217569351E-2</v>
      </c>
      <c r="X50">
        <f t="shared" si="14"/>
        <v>1.0949999714891114E-2</v>
      </c>
      <c r="Y50">
        <f t="shared" si="15"/>
        <v>1.6599999740719795E-2</v>
      </c>
      <c r="Z50">
        <f t="shared" si="16"/>
        <v>1.0316665594776474E-2</v>
      </c>
      <c r="AA50">
        <f t="shared" si="12"/>
        <v>0.48791121350601319</v>
      </c>
      <c r="AB50">
        <f t="shared" si="4"/>
        <v>9.8267640024423564E-2</v>
      </c>
      <c r="AC50">
        <f t="shared" si="5"/>
        <v>8.8748126067221184E-2</v>
      </c>
      <c r="AE50">
        <f t="shared" si="6"/>
        <v>8.1318535584335532</v>
      </c>
      <c r="AF50">
        <f t="shared" si="7"/>
        <v>1.6377940004070595</v>
      </c>
      <c r="AG50">
        <f t="shared" si="8"/>
        <v>1.4791354344536864</v>
      </c>
      <c r="AI50">
        <f t="shared" si="9"/>
        <v>0.18406187321035658</v>
      </c>
      <c r="AJ50">
        <f t="shared" si="10"/>
        <v>3.7070937084813481E-2</v>
      </c>
      <c r="AK50">
        <f t="shared" si="11"/>
        <v>3.3479751798408473E-2</v>
      </c>
    </row>
    <row r="51" spans="1:37" x14ac:dyDescent="0.35">
      <c r="A51" s="15" t="s">
        <v>44</v>
      </c>
      <c r="B51">
        <v>5.2200000733137131E-2</v>
      </c>
      <c r="C51">
        <v>5.3599998354911804E-2</v>
      </c>
      <c r="D51">
        <v>5.4999999701976776E-2</v>
      </c>
      <c r="E51">
        <v>5.5500000715255737E-2</v>
      </c>
      <c r="F51">
        <v>5.5500000715255737E-2</v>
      </c>
      <c r="G51">
        <v>5.5199999362230301E-2</v>
      </c>
      <c r="H51" s="10">
        <v>5.4400000721216202E-2</v>
      </c>
      <c r="I51">
        <v>5.3700000047683716E-2</v>
      </c>
      <c r="J51">
        <v>5.3100001066923141E-2</v>
      </c>
      <c r="K51" s="10">
        <v>5.4499998688697815E-2</v>
      </c>
      <c r="L51" s="10">
        <v>6.1099998652935028E-2</v>
      </c>
      <c r="M51">
        <v>7.1000002324581146E-2</v>
      </c>
      <c r="N51">
        <v>8.7399996817111969E-2</v>
      </c>
      <c r="O51" s="10">
        <v>9.3500003218650818E-2</v>
      </c>
      <c r="P51">
        <v>8.4200002253055573E-2</v>
      </c>
      <c r="Q51">
        <v>6.6500000655651093E-2</v>
      </c>
      <c r="R51">
        <v>5.3199999034404755E-2</v>
      </c>
      <c r="S51">
        <v>4.6199999749660492E-2</v>
      </c>
      <c r="T51">
        <v>4.3999999761581421E-2</v>
      </c>
      <c r="U51">
        <v>4.2599998414516449E-2</v>
      </c>
      <c r="V51">
        <v>4.2100001126527786E-2</v>
      </c>
      <c r="W51">
        <f t="shared" si="13"/>
        <v>5.3283337503671646E-2</v>
      </c>
      <c r="X51">
        <f t="shared" si="14"/>
        <v>1.3949998343984284E-2</v>
      </c>
      <c r="Y51">
        <f t="shared" si="15"/>
        <v>2.0699998363852501E-2</v>
      </c>
      <c r="Z51">
        <f t="shared" si="16"/>
        <v>1.3516667609413467E-2</v>
      </c>
      <c r="AA51">
        <f t="shared" si="12"/>
        <v>0.59571921957656737</v>
      </c>
      <c r="AB51">
        <f t="shared" si="4"/>
        <v>0.12839361041784286</v>
      </c>
      <c r="AC51">
        <f t="shared" si="5"/>
        <v>0.13051917407661681</v>
      </c>
      <c r="AE51">
        <f t="shared" si="6"/>
        <v>9.9286536596094574</v>
      </c>
      <c r="AF51">
        <f t="shared" si="7"/>
        <v>2.1398935069640479</v>
      </c>
      <c r="AG51">
        <f t="shared" si="8"/>
        <v>2.1753195679436135</v>
      </c>
      <c r="AI51">
        <f t="shared" si="9"/>
        <v>0.22473186191963462</v>
      </c>
      <c r="AJ51">
        <f t="shared" si="10"/>
        <v>4.8435796898235579E-2</v>
      </c>
      <c r="AK51">
        <f t="shared" si="11"/>
        <v>4.9237654321946885E-2</v>
      </c>
    </row>
    <row r="52" spans="1:37" x14ac:dyDescent="0.35">
      <c r="A52" s="15"/>
      <c r="B52">
        <v>5.2799999713897705E-2</v>
      </c>
      <c r="C52">
        <v>5.4499998688697815E-2</v>
      </c>
      <c r="D52">
        <v>5.5799998342990875E-2</v>
      </c>
      <c r="E52">
        <v>5.6499999016523361E-2</v>
      </c>
      <c r="F52">
        <v>5.6600000709295273E-2</v>
      </c>
      <c r="G52">
        <v>5.6200001388788223E-2</v>
      </c>
      <c r="H52" s="10">
        <v>5.5500000715255737E-2</v>
      </c>
      <c r="I52">
        <v>5.4400000721216202E-2</v>
      </c>
      <c r="J52">
        <v>5.3899999707937241E-2</v>
      </c>
      <c r="K52" s="10">
        <v>5.5500000715255737E-2</v>
      </c>
      <c r="L52" s="10">
        <v>6.210000067949295E-2</v>
      </c>
      <c r="M52">
        <v>7.3399998247623444E-2</v>
      </c>
      <c r="N52">
        <v>9.1200001537799835E-2</v>
      </c>
      <c r="O52" s="10">
        <v>9.7699999809265137E-2</v>
      </c>
      <c r="P52">
        <v>8.7600000202655792E-2</v>
      </c>
      <c r="Q52">
        <v>6.849999725818634E-2</v>
      </c>
      <c r="R52">
        <v>5.4200001060962677E-2</v>
      </c>
      <c r="S52">
        <v>4.6399999409914017E-2</v>
      </c>
      <c r="T52">
        <v>4.3800000101327896E-2</v>
      </c>
      <c r="U52">
        <v>4.2399998754262924E-2</v>
      </c>
      <c r="V52">
        <v>4.1999999433755875E-2</v>
      </c>
      <c r="W52">
        <f t="shared" si="13"/>
        <v>5.7483334094285965E-2</v>
      </c>
      <c r="X52">
        <f t="shared" si="14"/>
        <v>1.4950000370542206E-2</v>
      </c>
      <c r="Y52">
        <f t="shared" si="15"/>
        <v>2.1700000390410423E-2</v>
      </c>
      <c r="Z52">
        <f t="shared" si="16"/>
        <v>1.4616667603453003E-2</v>
      </c>
      <c r="AA52">
        <f t="shared" si="12"/>
        <v>0.64389517499133941</v>
      </c>
      <c r="AB52">
        <f t="shared" si="4"/>
        <v>0.12565367043018338</v>
      </c>
      <c r="AC52">
        <f t="shared" si="5"/>
        <v>0.14164918664842846</v>
      </c>
      <c r="AE52">
        <f t="shared" si="6"/>
        <v>10.731586249855658</v>
      </c>
      <c r="AF52">
        <f t="shared" si="7"/>
        <v>2.0942278405030565</v>
      </c>
      <c r="AG52">
        <f t="shared" si="8"/>
        <v>2.3608197774738078</v>
      </c>
      <c r="AI52">
        <f t="shared" si="9"/>
        <v>0.24290598120995152</v>
      </c>
      <c r="AJ52">
        <f t="shared" si="10"/>
        <v>4.7402169318765425E-2</v>
      </c>
      <c r="AK52">
        <f t="shared" si="11"/>
        <v>5.3436391522720866E-2</v>
      </c>
    </row>
    <row r="53" spans="1:37" x14ac:dyDescent="0.35">
      <c r="A53" s="15"/>
      <c r="B53">
        <v>5.0999999046325684E-2</v>
      </c>
      <c r="C53">
        <v>5.260000005364418E-2</v>
      </c>
      <c r="D53">
        <v>5.3899999707937241E-2</v>
      </c>
      <c r="E53">
        <v>5.4600000381469727E-2</v>
      </c>
      <c r="F53">
        <v>5.469999834895134E-2</v>
      </c>
      <c r="G53">
        <v>5.429999902844429E-2</v>
      </c>
      <c r="H53" s="10">
        <v>5.3500000387430191E-2</v>
      </c>
      <c r="I53">
        <v>5.2499998360872269E-2</v>
      </c>
      <c r="J53">
        <v>5.2200000733137131E-2</v>
      </c>
      <c r="K53" s="10">
        <v>5.3800001740455627E-2</v>
      </c>
      <c r="L53" s="10">
        <v>6.1099998652935028E-2</v>
      </c>
      <c r="M53">
        <v>7.1800000965595245E-2</v>
      </c>
      <c r="N53">
        <v>8.959999680519104E-2</v>
      </c>
      <c r="O53" s="10">
        <v>9.6299998462200165E-2</v>
      </c>
      <c r="P53">
        <v>8.6400002241134644E-2</v>
      </c>
      <c r="Q53">
        <v>6.7400000989437103E-2</v>
      </c>
      <c r="R53">
        <v>5.3300000727176666E-2</v>
      </c>
      <c r="S53">
        <v>4.5800000429153442E-2</v>
      </c>
      <c r="T53">
        <v>4.3600000441074371E-2</v>
      </c>
      <c r="U53">
        <v>4.2300000786781311E-2</v>
      </c>
      <c r="V53">
        <v>4.1999999433755875E-2</v>
      </c>
      <c r="W53">
        <f t="shared" si="13"/>
        <v>5.6083332747220993E-2</v>
      </c>
      <c r="X53">
        <f t="shared" si="14"/>
        <v>1.3250001395742096E-2</v>
      </c>
      <c r="Y53">
        <f t="shared" si="15"/>
        <v>2.0699998363852501E-2</v>
      </c>
      <c r="Z53">
        <f t="shared" si="16"/>
        <v>1.2616667275627456E-2</v>
      </c>
      <c r="AA53">
        <f t="shared" si="12"/>
        <v>0.62912316283211112</v>
      </c>
      <c r="AB53">
        <f t="shared" si="4"/>
        <v>0.11299363657832145</v>
      </c>
      <c r="AC53">
        <f t="shared" si="5"/>
        <v>9.8151183687150506E-2</v>
      </c>
      <c r="AE53">
        <f t="shared" si="6"/>
        <v>10.485386047201853</v>
      </c>
      <c r="AF53">
        <f t="shared" si="7"/>
        <v>1.8832272763053577</v>
      </c>
      <c r="AG53">
        <f t="shared" si="8"/>
        <v>1.6358530614525086</v>
      </c>
      <c r="AI53">
        <f t="shared" si="9"/>
        <v>0.23733331931194779</v>
      </c>
      <c r="AJ53">
        <f t="shared" si="10"/>
        <v>4.2626239843942003E-2</v>
      </c>
      <c r="AK53">
        <f t="shared" si="11"/>
        <v>3.7027004559812331E-2</v>
      </c>
    </row>
    <row r="54" spans="1:37" s="3" customFormat="1" x14ac:dyDescent="0.35">
      <c r="W54" s="3">
        <f t="shared" si="13"/>
        <v>-4.0216665714979172E-2</v>
      </c>
      <c r="X54" s="3">
        <f t="shared" si="14"/>
        <v>-4.0550000344713531E-2</v>
      </c>
      <c r="Y54" s="3">
        <f t="shared" si="15"/>
        <v>-4.0400000289082527E-2</v>
      </c>
      <c r="Z54" s="3">
        <f t="shared" si="16"/>
        <v>-4.0883333111802735E-2</v>
      </c>
      <c r="AA54" s="3">
        <f t="shared" si="12"/>
        <v>-0.40181282142177221</v>
      </c>
      <c r="AB54" s="3">
        <f t="shared" si="4"/>
        <v>-0.60135234445333474</v>
      </c>
      <c r="AC54" s="3">
        <f t="shared" si="5"/>
        <v>-0.84590983148664223</v>
      </c>
      <c r="AE54" s="3">
        <f t="shared" si="6"/>
        <v>-6.6968803570295377</v>
      </c>
      <c r="AF54" s="3">
        <f t="shared" si="7"/>
        <v>-10.022539074222246</v>
      </c>
      <c r="AG54" s="3">
        <f t="shared" si="8"/>
        <v>-14.098497191444038</v>
      </c>
      <c r="AI54" s="3">
        <f t="shared" si="9"/>
        <v>-0.15158171926277814</v>
      </c>
      <c r="AJ54" s="3">
        <f t="shared" si="10"/>
        <v>-0.22685692789095172</v>
      </c>
      <c r="AK54" s="3">
        <f t="shared" si="11"/>
        <v>-0.31911492058497143</v>
      </c>
    </row>
    <row r="55" spans="1:37" x14ac:dyDescent="0.35">
      <c r="A55" s="16" t="s">
        <v>45</v>
      </c>
      <c r="B55">
        <v>4.6399999409914017E-2</v>
      </c>
      <c r="C55">
        <v>4.6599999070167542E-2</v>
      </c>
      <c r="D55">
        <v>4.6900000423192978E-2</v>
      </c>
      <c r="E55">
        <v>4.6900000423192978E-2</v>
      </c>
      <c r="F55">
        <v>4.6799998730421066E-2</v>
      </c>
      <c r="G55">
        <v>4.6599999070167542E-2</v>
      </c>
      <c r="H55" s="10">
        <v>4.6100001782178879E-2</v>
      </c>
      <c r="I55">
        <v>4.5800000429153442E-2</v>
      </c>
      <c r="J55">
        <v>4.5499999076128006E-2</v>
      </c>
      <c r="K55" s="10">
        <v>4.5800000429153442E-2</v>
      </c>
      <c r="L55" s="10">
        <v>4.7100000083446503E-2</v>
      </c>
      <c r="M55">
        <v>4.9300000071525574E-2</v>
      </c>
      <c r="N55">
        <v>5.3199999034404755E-2</v>
      </c>
      <c r="O55" s="10">
        <v>5.4400000721216202E-2</v>
      </c>
      <c r="P55">
        <v>5.2099999040365219E-2</v>
      </c>
      <c r="Q55">
        <v>4.7699999064207077E-2</v>
      </c>
      <c r="R55">
        <v>4.439999908208847E-2</v>
      </c>
      <c r="S55">
        <v>4.2599998414516449E-2</v>
      </c>
      <c r="T55">
        <v>4.2199999094009399E-2</v>
      </c>
      <c r="U55">
        <v>4.1600000113248825E-2</v>
      </c>
      <c r="V55">
        <v>4.1499998420476913E-2</v>
      </c>
      <c r="W55">
        <f t="shared" si="13"/>
        <v>1.418333500623703E-2</v>
      </c>
      <c r="X55">
        <f t="shared" si="14"/>
        <v>5.2500000844399111E-3</v>
      </c>
      <c r="Y55">
        <f t="shared" si="15"/>
        <v>6.6999997943639755E-3</v>
      </c>
      <c r="Z55">
        <f t="shared" si="16"/>
        <v>5.2166686703761442E-3</v>
      </c>
      <c r="AA55">
        <f t="shared" si="12"/>
        <v>0.15627618702128529</v>
      </c>
      <c r="AB55">
        <f t="shared" si="4"/>
        <v>5.8403653278946865E-2</v>
      </c>
      <c r="AC55">
        <f t="shared" si="5"/>
        <v>7.4174209237098734E-2</v>
      </c>
      <c r="AE55">
        <f t="shared" si="6"/>
        <v>2.6046031170214219</v>
      </c>
      <c r="AF55">
        <f t="shared" si="7"/>
        <v>0.97339422131578113</v>
      </c>
      <c r="AG55">
        <f t="shared" si="8"/>
        <v>1.2362368206183123</v>
      </c>
      <c r="AI55">
        <f t="shared" si="9"/>
        <v>5.8954348506596241E-2</v>
      </c>
      <c r="AJ55">
        <f t="shared" si="10"/>
        <v>2.2032463135259871E-2</v>
      </c>
      <c r="AK55">
        <f t="shared" si="11"/>
        <v>2.7981820294665286E-2</v>
      </c>
    </row>
    <row r="56" spans="1:37" x14ac:dyDescent="0.35">
      <c r="A56" s="16"/>
      <c r="B56">
        <v>4.5499999076128006E-2</v>
      </c>
      <c r="C56">
        <v>4.5699998736381531E-2</v>
      </c>
      <c r="D56">
        <v>4.6000000089406967E-2</v>
      </c>
      <c r="E56">
        <v>4.6000000089406967E-2</v>
      </c>
      <c r="F56">
        <v>4.5899998396635056E-2</v>
      </c>
      <c r="G56">
        <v>4.5600000768899918E-2</v>
      </c>
      <c r="H56" s="10">
        <v>4.5299999415874481E-2</v>
      </c>
      <c r="I56">
        <v>4.5000001788139343E-2</v>
      </c>
      <c r="J56">
        <v>4.4599998742341995E-2</v>
      </c>
      <c r="K56" s="10">
        <v>4.4900000095367432E-2</v>
      </c>
      <c r="L56" s="10">
        <v>4.6199999749660492E-2</v>
      </c>
      <c r="M56">
        <v>4.8700001090764999E-2</v>
      </c>
      <c r="N56">
        <v>5.2499998360872269E-2</v>
      </c>
      <c r="O56" s="10">
        <v>5.3700000047683716E-2</v>
      </c>
      <c r="P56">
        <v>5.1399998366832733E-2</v>
      </c>
      <c r="Q56">
        <v>4.7100000083446503E-2</v>
      </c>
      <c r="R56">
        <v>4.3699998408555984E-2</v>
      </c>
      <c r="S56">
        <v>4.179999977350235E-2</v>
      </c>
      <c r="T56">
        <v>4.1299998760223389E-2</v>
      </c>
      <c r="U56">
        <v>4.0899999439716339E-2</v>
      </c>
      <c r="V56">
        <v>4.0600001811981201E-2</v>
      </c>
      <c r="W56">
        <f t="shared" si="13"/>
        <v>1.3483334332704544E-2</v>
      </c>
      <c r="X56">
        <f t="shared" si="14"/>
        <v>4.3499997506539004E-3</v>
      </c>
      <c r="Y56">
        <f t="shared" si="15"/>
        <v>5.7999994605779648E-3</v>
      </c>
      <c r="Z56">
        <f t="shared" si="16"/>
        <v>4.4166663040717466E-3</v>
      </c>
      <c r="AA56">
        <f t="shared" si="12"/>
        <v>0.14966217963024975</v>
      </c>
      <c r="AB56">
        <f t="shared" si="4"/>
        <v>4.3929650187492369E-2</v>
      </c>
      <c r="AC56">
        <f t="shared" si="5"/>
        <v>5.7297154106199795E-2</v>
      </c>
      <c r="AE56">
        <f t="shared" si="6"/>
        <v>2.4943696605041628</v>
      </c>
      <c r="AF56">
        <f t="shared" si="7"/>
        <v>0.73216083645820618</v>
      </c>
      <c r="AG56">
        <f t="shared" si="8"/>
        <v>0.95495256843666332</v>
      </c>
      <c r="AI56">
        <f t="shared" si="9"/>
        <v>5.6459249898238181E-2</v>
      </c>
      <c r="AJ56">
        <f t="shared" si="10"/>
        <v>1.6572223550434726E-2</v>
      </c>
      <c r="AK56">
        <f t="shared" si="11"/>
        <v>2.1615042291459108E-2</v>
      </c>
    </row>
    <row r="57" spans="1:37" x14ac:dyDescent="0.35">
      <c r="A57" s="16"/>
      <c r="B57">
        <v>4.5299999415874481E-2</v>
      </c>
      <c r="C57">
        <v>4.5499999076128006E-2</v>
      </c>
      <c r="D57">
        <v>4.5699998736381531E-2</v>
      </c>
      <c r="E57">
        <v>4.5800000429153442E-2</v>
      </c>
      <c r="F57">
        <v>4.5699998736381531E-2</v>
      </c>
      <c r="G57">
        <v>4.5400001108646393E-2</v>
      </c>
      <c r="H57" s="10">
        <v>4.5099999755620956E-2</v>
      </c>
      <c r="I57">
        <v>4.4900000095367432E-2</v>
      </c>
      <c r="J57">
        <v>4.4700000435113907E-2</v>
      </c>
      <c r="K57" s="10">
        <v>4.479999840259552E-2</v>
      </c>
      <c r="L57" s="10">
        <v>4.6300001442432404E-2</v>
      </c>
      <c r="M57">
        <v>4.8599999397993088E-2</v>
      </c>
      <c r="N57">
        <v>5.2499998360872269E-2</v>
      </c>
      <c r="O57" s="10">
        <v>5.3800001740455627E-2</v>
      </c>
      <c r="P57">
        <v>5.1500000059604645E-2</v>
      </c>
      <c r="Q57">
        <v>4.7100000083446503E-2</v>
      </c>
      <c r="R57">
        <v>4.3999999761581421E-2</v>
      </c>
      <c r="S57">
        <v>4.2100001126527786E-2</v>
      </c>
      <c r="T57">
        <v>4.1600000113248825E-2</v>
      </c>
      <c r="U57">
        <v>4.1299998760223389E-2</v>
      </c>
      <c r="V57">
        <v>4.1200000792741776E-2</v>
      </c>
      <c r="W57">
        <f t="shared" si="13"/>
        <v>1.3583336025476456E-2</v>
      </c>
      <c r="X57">
        <f t="shared" si="14"/>
        <v>4.2499980578819888E-3</v>
      </c>
      <c r="Y57">
        <f t="shared" si="15"/>
        <v>5.9000011533498764E-3</v>
      </c>
      <c r="Z57">
        <f t="shared" si="16"/>
        <v>4.2166666438182218E-3</v>
      </c>
      <c r="AA57">
        <f t="shared" si="12"/>
        <v>0.15066219655796886</v>
      </c>
      <c r="AB57">
        <f t="shared" si="4"/>
        <v>4.5415675342082976E-2</v>
      </c>
      <c r="AC57">
        <f t="shared" si="5"/>
        <v>5.2052156068384703E-2</v>
      </c>
      <c r="AE57">
        <f t="shared" si="6"/>
        <v>2.5110366092994814</v>
      </c>
      <c r="AF57">
        <f t="shared" si="7"/>
        <v>0.75692792236804962</v>
      </c>
      <c r="AG57">
        <f t="shared" si="8"/>
        <v>0.86753593447307842</v>
      </c>
      <c r="AI57">
        <f t="shared" si="9"/>
        <v>5.6836500889531037E-2</v>
      </c>
      <c r="AJ57">
        <f t="shared" si="10"/>
        <v>1.7132818523495918E-2</v>
      </c>
      <c r="AK57">
        <f t="shared" si="11"/>
        <v>1.963639507634854E-2</v>
      </c>
    </row>
    <row r="58" spans="1:37" x14ac:dyDescent="0.35">
      <c r="A58" s="16" t="s">
        <v>46</v>
      </c>
      <c r="B58">
        <v>4.9199998378753662E-2</v>
      </c>
      <c r="C58">
        <v>4.9899999052286148E-2</v>
      </c>
      <c r="D58">
        <v>5.0599999725818634E-2</v>
      </c>
      <c r="E58">
        <v>5.0999999046325684E-2</v>
      </c>
      <c r="F58">
        <v>5.0999999046325684E-2</v>
      </c>
      <c r="G58">
        <v>5.0799999386072159E-2</v>
      </c>
      <c r="H58" s="10">
        <v>5.0599999725818634E-2</v>
      </c>
      <c r="I58">
        <v>5.0099998712539673E-2</v>
      </c>
      <c r="J58">
        <v>4.9800001084804535E-2</v>
      </c>
      <c r="K58" s="10">
        <v>5.0599999725818634E-2</v>
      </c>
      <c r="L58" s="10">
        <v>5.4600000381469727E-2</v>
      </c>
      <c r="M58">
        <v>6.0400001704692841E-2</v>
      </c>
      <c r="N58">
        <v>7.0100001990795135E-2</v>
      </c>
      <c r="O58" s="10">
        <v>7.3899999260902405E-2</v>
      </c>
      <c r="P58">
        <v>6.9200001657009125E-2</v>
      </c>
      <c r="Q58">
        <v>5.8899998664855957E-2</v>
      </c>
      <c r="R58">
        <v>5.130000039935112E-2</v>
      </c>
      <c r="S58">
        <v>4.7100000083446503E-2</v>
      </c>
      <c r="T58">
        <v>4.5699998736381531E-2</v>
      </c>
      <c r="U58">
        <v>4.5000001788139343E-2</v>
      </c>
      <c r="V58">
        <v>4.479999840259552E-2</v>
      </c>
      <c r="W58">
        <f t="shared" si="13"/>
        <v>3.3683333545923233E-2</v>
      </c>
      <c r="X58">
        <f t="shared" si="14"/>
        <v>1.0049999381105103E-2</v>
      </c>
      <c r="Y58">
        <f t="shared" si="15"/>
        <v>1.4200000092387199E-2</v>
      </c>
      <c r="Z58">
        <f t="shared" si="16"/>
        <v>9.7166666140158994E-3</v>
      </c>
      <c r="AA58">
        <f t="shared" si="12"/>
        <v>0.37443616902455684</v>
      </c>
      <c r="AB58">
        <f t="shared" si="4"/>
        <v>0.10385366737842561</v>
      </c>
      <c r="AC58">
        <f t="shared" si="5"/>
        <v>0.11105916459113366</v>
      </c>
      <c r="AE58">
        <f t="shared" si="6"/>
        <v>6.2406028170759482</v>
      </c>
      <c r="AF58">
        <f t="shared" si="7"/>
        <v>1.7308944563070936</v>
      </c>
      <c r="AG58">
        <f t="shared" si="8"/>
        <v>1.8509860765188944</v>
      </c>
      <c r="AI58">
        <f t="shared" si="9"/>
        <v>0.14125402483195898</v>
      </c>
      <c r="AJ58">
        <f t="shared" si="10"/>
        <v>3.9178235769739556E-2</v>
      </c>
      <c r="AK58">
        <f t="shared" si="11"/>
        <v>4.1896470722473843E-2</v>
      </c>
    </row>
    <row r="59" spans="1:37" x14ac:dyDescent="0.35">
      <c r="A59" s="16"/>
      <c r="B59">
        <v>4.960000142455101E-2</v>
      </c>
      <c r="C59">
        <v>5.0500001758337021E-2</v>
      </c>
      <c r="D59">
        <v>5.130000039935112E-2</v>
      </c>
      <c r="E59">
        <v>5.169999971985817E-2</v>
      </c>
      <c r="F59">
        <v>5.1600001752376556E-2</v>
      </c>
      <c r="G59">
        <v>5.1500000059604645E-2</v>
      </c>
      <c r="H59" s="10">
        <v>5.1199998706579208E-2</v>
      </c>
      <c r="I59">
        <v>5.0599999725818634E-2</v>
      </c>
      <c r="J59">
        <v>5.0299998372793198E-2</v>
      </c>
      <c r="K59" s="10">
        <v>5.0999999046325684E-2</v>
      </c>
      <c r="L59" s="10">
        <v>5.4999999701976776E-2</v>
      </c>
      <c r="M59">
        <v>6.120000034570694E-2</v>
      </c>
      <c r="N59">
        <v>7.1500003337860107E-2</v>
      </c>
      <c r="O59" s="10">
        <v>7.5400002300739288E-2</v>
      </c>
      <c r="P59">
        <v>7.0100001990795135E-2</v>
      </c>
      <c r="Q59">
        <v>5.9099998325109482E-2</v>
      </c>
      <c r="R59">
        <v>5.0599999725818634E-2</v>
      </c>
      <c r="S59">
        <v>4.5800000429153442E-2</v>
      </c>
      <c r="T59">
        <v>4.4300001114606857E-2</v>
      </c>
      <c r="U59">
        <v>4.3200001120567322E-2</v>
      </c>
      <c r="V59">
        <v>4.2899999767541885E-2</v>
      </c>
      <c r="W59">
        <f t="shared" si="13"/>
        <v>3.5183336585760117E-2</v>
      </c>
      <c r="X59">
        <f t="shared" si="14"/>
        <v>1.0449998701612152E-2</v>
      </c>
      <c r="Y59">
        <f t="shared" si="15"/>
        <v>1.4599999412894249E-2</v>
      </c>
      <c r="Z59">
        <f t="shared" si="16"/>
        <v>1.0316665594776474E-2</v>
      </c>
      <c r="AA59">
        <f t="shared" si="12"/>
        <v>0.39155920660123228</v>
      </c>
      <c r="AB59">
        <f t="shared" si="4"/>
        <v>0.10374763682484628</v>
      </c>
      <c r="AC59">
        <f t="shared" si="5"/>
        <v>0.12008012842386964</v>
      </c>
      <c r="AE59">
        <f t="shared" si="6"/>
        <v>6.5259867766872048</v>
      </c>
      <c r="AF59">
        <f t="shared" si="7"/>
        <v>1.7291272804141047</v>
      </c>
      <c r="AG59">
        <f t="shared" si="8"/>
        <v>2.0013354737311611</v>
      </c>
      <c r="AI59">
        <f t="shared" si="9"/>
        <v>0.14771359838585796</v>
      </c>
      <c r="AJ59">
        <f t="shared" si="10"/>
        <v>3.9138236315393947E-2</v>
      </c>
      <c r="AK59">
        <f t="shared" si="11"/>
        <v>4.5299580663901336E-2</v>
      </c>
    </row>
    <row r="60" spans="1:37" x14ac:dyDescent="0.35">
      <c r="A60" s="16"/>
      <c r="B60">
        <v>4.9499999731779099E-2</v>
      </c>
      <c r="C60">
        <v>5.0400000065565109E-2</v>
      </c>
      <c r="D60">
        <v>5.1199998706579208E-2</v>
      </c>
      <c r="E60">
        <v>5.1500000059604645E-2</v>
      </c>
      <c r="F60">
        <v>5.1399998366832733E-2</v>
      </c>
      <c r="G60">
        <v>5.130000039935112E-2</v>
      </c>
      <c r="H60" s="10">
        <v>5.090000107884407E-2</v>
      </c>
      <c r="I60">
        <v>5.0299998372793198E-2</v>
      </c>
      <c r="J60">
        <v>4.9899999052286148E-2</v>
      </c>
      <c r="K60" s="10">
        <v>5.0700001418590546E-2</v>
      </c>
      <c r="L60" s="10">
        <v>5.4499998688697815E-2</v>
      </c>
      <c r="M60">
        <v>6.0400001704692841E-2</v>
      </c>
      <c r="N60">
        <v>7.0500001311302185E-2</v>
      </c>
      <c r="O60" s="10">
        <v>7.4500001966953278E-2</v>
      </c>
      <c r="P60">
        <v>6.9200001657009125E-2</v>
      </c>
      <c r="Q60">
        <v>5.8299999684095383E-2</v>
      </c>
      <c r="R60">
        <v>4.9899999052286148E-2</v>
      </c>
      <c r="S60">
        <v>4.5099999755620956E-2</v>
      </c>
      <c r="T60">
        <v>4.3699998408555984E-2</v>
      </c>
      <c r="U60">
        <v>4.2500000447034836E-2</v>
      </c>
      <c r="V60">
        <v>4.2199999094009399E-2</v>
      </c>
      <c r="W60">
        <f t="shared" si="13"/>
        <v>3.4283336251974106E-2</v>
      </c>
      <c r="X60">
        <f t="shared" si="14"/>
        <v>1.0150001073877014E-2</v>
      </c>
      <c r="Y60">
        <f t="shared" si="15"/>
        <v>1.4099998399615288E-2</v>
      </c>
      <c r="Z60">
        <f t="shared" si="16"/>
        <v>1.0016667967041336E-2</v>
      </c>
      <c r="AA60">
        <f t="shared" si="12"/>
        <v>0.38178720457479359</v>
      </c>
      <c r="AB60">
        <f t="shared" si="4"/>
        <v>9.8517618030309673E-2</v>
      </c>
      <c r="AC60">
        <f t="shared" si="5"/>
        <v>0.1161291874572635</v>
      </c>
      <c r="AE60">
        <f t="shared" si="6"/>
        <v>6.3631200762465605</v>
      </c>
      <c r="AF60">
        <f t="shared" si="7"/>
        <v>1.6419603005051613</v>
      </c>
      <c r="AG60">
        <f t="shared" si="8"/>
        <v>1.9354864576210584</v>
      </c>
      <c r="AI60">
        <f t="shared" si="9"/>
        <v>0.14402716333740517</v>
      </c>
      <c r="AJ60">
        <f t="shared" si="10"/>
        <v>3.7165239939003197E-2</v>
      </c>
      <c r="AK60">
        <f t="shared" si="11"/>
        <v>4.3809109497986838E-2</v>
      </c>
    </row>
    <row r="61" spans="1:37" x14ac:dyDescent="0.35">
      <c r="A61" s="16" t="s">
        <v>47</v>
      </c>
      <c r="B61">
        <v>4.8000000417232513E-2</v>
      </c>
      <c r="C61">
        <v>4.8200000077486038E-2</v>
      </c>
      <c r="D61">
        <v>4.8500001430511475E-2</v>
      </c>
      <c r="E61">
        <v>4.8399999737739563E-2</v>
      </c>
      <c r="F61">
        <v>4.8200000077486038E-2</v>
      </c>
      <c r="G61">
        <v>4.8200000077486038E-2</v>
      </c>
      <c r="H61" s="10">
        <v>4.7899998724460602E-2</v>
      </c>
      <c r="I61">
        <v>4.7600001096725464E-2</v>
      </c>
      <c r="J61">
        <v>4.7299999743700027E-2</v>
      </c>
      <c r="K61" s="10">
        <v>4.7400001436471939E-2</v>
      </c>
      <c r="L61" s="10">
        <v>4.8700001090764999E-2</v>
      </c>
      <c r="M61">
        <v>5.0700001418590546E-2</v>
      </c>
      <c r="N61">
        <v>5.4000001400709152E-2</v>
      </c>
      <c r="O61" s="10">
        <v>5.5300001055002213E-2</v>
      </c>
      <c r="P61">
        <v>5.3300000727176666E-2</v>
      </c>
      <c r="Q61">
        <v>4.960000142455101E-2</v>
      </c>
      <c r="R61">
        <v>4.6599999070167542E-2</v>
      </c>
      <c r="S61">
        <v>4.479999840259552E-2</v>
      </c>
      <c r="T61">
        <v>4.4300001114606857E-2</v>
      </c>
      <c r="U61">
        <v>4.3999999761581421E-2</v>
      </c>
      <c r="V61">
        <v>4.3800000101327896E-2</v>
      </c>
      <c r="W61">
        <f t="shared" si="13"/>
        <v>1.5083335340023041E-2</v>
      </c>
      <c r="X61">
        <f t="shared" si="14"/>
        <v>6.8500010917584078E-3</v>
      </c>
      <c r="Y61">
        <f t="shared" si="15"/>
        <v>8.3000008016824722E-3</v>
      </c>
      <c r="Z61">
        <f t="shared" si="16"/>
        <v>7.0166656126578672E-3</v>
      </c>
      <c r="AA61">
        <f t="shared" si="12"/>
        <v>0.16392518905922771</v>
      </c>
      <c r="AB61">
        <f t="shared" si="4"/>
        <v>8.6029671952128406E-2</v>
      </c>
      <c r="AC61">
        <f t="shared" si="5"/>
        <v>0.1146651335060597</v>
      </c>
      <c r="AE61">
        <f t="shared" si="6"/>
        <v>2.7320864843204618</v>
      </c>
      <c r="AF61">
        <f t="shared" si="7"/>
        <v>1.4338278658688068</v>
      </c>
      <c r="AG61">
        <f t="shared" si="8"/>
        <v>1.9110855584343285</v>
      </c>
      <c r="AI61">
        <f t="shared" si="9"/>
        <v>6.1839893262120006E-2</v>
      </c>
      <c r="AJ61">
        <f t="shared" si="10"/>
        <v>3.245422964845647E-2</v>
      </c>
      <c r="AK61">
        <f t="shared" si="11"/>
        <v>4.325680304287751E-2</v>
      </c>
    </row>
    <row r="62" spans="1:37" x14ac:dyDescent="0.35">
      <c r="A62" s="16"/>
      <c r="B62">
        <v>5.1100000739097595E-2</v>
      </c>
      <c r="C62">
        <v>5.130000039935112E-2</v>
      </c>
      <c r="D62">
        <v>5.1399998366832733E-2</v>
      </c>
      <c r="E62">
        <v>5.1500000059604645E-2</v>
      </c>
      <c r="F62">
        <v>5.1199998706579208E-2</v>
      </c>
      <c r="G62">
        <v>5.1100000739097595E-2</v>
      </c>
      <c r="H62" s="10">
        <v>5.090000107884407E-2</v>
      </c>
      <c r="I62">
        <v>5.0599999725818634E-2</v>
      </c>
      <c r="J62">
        <v>5.0299998372793198E-2</v>
      </c>
      <c r="K62" s="10">
        <v>5.0500001758337021E-2</v>
      </c>
      <c r="L62" s="10">
        <v>5.1800001412630081E-2</v>
      </c>
      <c r="M62">
        <v>5.4000001400709152E-2</v>
      </c>
      <c r="N62">
        <v>5.7700000703334808E-2</v>
      </c>
      <c r="O62" s="10">
        <v>5.8800000697374344E-2</v>
      </c>
      <c r="P62">
        <v>5.6800000369548798E-2</v>
      </c>
      <c r="Q62">
        <v>5.2700001746416092E-2</v>
      </c>
      <c r="R62">
        <v>4.9499999731779099E-2</v>
      </c>
      <c r="S62">
        <v>4.7899998724460602E-2</v>
      </c>
      <c r="T62">
        <v>4.7200001776218414E-2</v>
      </c>
      <c r="U62">
        <v>4.6799998730421066E-2</v>
      </c>
      <c r="V62">
        <v>4.6599999070167542E-2</v>
      </c>
      <c r="W62">
        <f t="shared" si="13"/>
        <v>1.8583334982395172E-2</v>
      </c>
      <c r="X62">
        <f t="shared" si="14"/>
        <v>9.9500014136234896E-3</v>
      </c>
      <c r="Y62">
        <f t="shared" si="15"/>
        <v>1.1400001123547554E-2</v>
      </c>
      <c r="Z62">
        <f t="shared" si="16"/>
        <v>1.0016667967041336E-2</v>
      </c>
      <c r="AA62">
        <f t="shared" si="12"/>
        <v>0.19969718417152763</v>
      </c>
      <c r="AB62">
        <f t="shared" si="4"/>
        <v>0.12989568047225475</v>
      </c>
      <c r="AC62">
        <f t="shared" si="5"/>
        <v>0.17469019219279291</v>
      </c>
      <c r="AE62">
        <f t="shared" si="6"/>
        <v>3.3282864028587942</v>
      </c>
      <c r="AF62">
        <f t="shared" si="7"/>
        <v>2.1649280078709126</v>
      </c>
      <c r="AG62">
        <f t="shared" si="8"/>
        <v>2.9115032032132153</v>
      </c>
      <c r="AI62">
        <f t="shared" si="9"/>
        <v>7.5334685442706981E-2</v>
      </c>
      <c r="AJ62">
        <f t="shared" si="10"/>
        <v>4.9002444723198563E-2</v>
      </c>
      <c r="AK62">
        <f t="shared" si="11"/>
        <v>6.5900932621394639E-2</v>
      </c>
    </row>
    <row r="63" spans="1:37" x14ac:dyDescent="0.35">
      <c r="A63" s="16"/>
      <c r="B63">
        <v>5.3399998694658279E-2</v>
      </c>
      <c r="C63">
        <v>5.3700000047683716E-2</v>
      </c>
      <c r="D63">
        <v>5.4000001400709152E-2</v>
      </c>
      <c r="E63">
        <v>5.4099999368190765E-2</v>
      </c>
      <c r="F63">
        <v>5.3899999707937241E-2</v>
      </c>
      <c r="G63">
        <v>5.3800001740455627E-2</v>
      </c>
      <c r="H63" s="10">
        <v>5.3599998354911804E-2</v>
      </c>
      <c r="I63">
        <v>5.3399998694658279E-2</v>
      </c>
      <c r="J63">
        <v>5.299999937415123E-2</v>
      </c>
      <c r="K63" s="10">
        <v>5.3199999034404755E-2</v>
      </c>
      <c r="L63" s="10">
        <v>5.4600000381469727E-2</v>
      </c>
      <c r="M63">
        <v>5.6800000369548798E-2</v>
      </c>
      <c r="N63">
        <v>6.0400001704692841E-2</v>
      </c>
      <c r="O63" s="10">
        <v>6.1500001698732376E-2</v>
      </c>
      <c r="P63">
        <v>5.9599999338388443E-2</v>
      </c>
      <c r="Q63">
        <v>5.559999868273735E-2</v>
      </c>
      <c r="R63">
        <v>5.2499998360872269E-2</v>
      </c>
      <c r="S63">
        <v>5.0799999386072159E-2</v>
      </c>
      <c r="T63">
        <v>5.0200000405311584E-2</v>
      </c>
      <c r="U63">
        <v>4.9800001084804535E-2</v>
      </c>
      <c r="V63">
        <v>4.9499999731779099E-2</v>
      </c>
      <c r="W63">
        <f t="shared" si="13"/>
        <v>2.1283335983753204E-2</v>
      </c>
      <c r="X63">
        <f t="shared" si="14"/>
        <v>1.2649998689691223E-2</v>
      </c>
      <c r="Y63">
        <f t="shared" si="15"/>
        <v>1.4200000092387199E-2</v>
      </c>
      <c r="Z63">
        <f t="shared" si="16"/>
        <v>1.271666524310907E-2</v>
      </c>
      <c r="AA63">
        <f t="shared" si="12"/>
        <v>0.22650419810786843</v>
      </c>
      <c r="AB63">
        <f t="shared" si="4"/>
        <v>0.17205365397036076</v>
      </c>
      <c r="AC63">
        <f t="shared" si="5"/>
        <v>0.23039112210273746</v>
      </c>
      <c r="AE63">
        <f t="shared" si="6"/>
        <v>3.7750699684644742</v>
      </c>
      <c r="AF63">
        <f t="shared" si="7"/>
        <v>2.8675608995060129</v>
      </c>
      <c r="AG63">
        <f t="shared" si="8"/>
        <v>3.8398520350456247</v>
      </c>
      <c r="AI63">
        <f t="shared" si="9"/>
        <v>8.5447486837131603E-2</v>
      </c>
      <c r="AJ63">
        <f t="shared" si="10"/>
        <v>6.4906312800045565E-2</v>
      </c>
      <c r="AK63">
        <f t="shared" si="11"/>
        <v>8.6913807945804084E-2</v>
      </c>
    </row>
    <row r="64" spans="1:37" s="3" customFormat="1" x14ac:dyDescent="0.35">
      <c r="W64" s="3">
        <f t="shared" si="13"/>
        <v>-4.0216665714979172E-2</v>
      </c>
      <c r="X64" s="3">
        <f t="shared" si="14"/>
        <v>-4.0550000344713531E-2</v>
      </c>
      <c r="Y64" s="3">
        <f t="shared" si="15"/>
        <v>-4.0400000289082527E-2</v>
      </c>
      <c r="Z64" s="3">
        <f t="shared" si="16"/>
        <v>-4.0883333111802735E-2</v>
      </c>
      <c r="AA64" s="3">
        <f t="shared" si="12"/>
        <v>-0.40181282142177221</v>
      </c>
      <c r="AB64" s="3">
        <f t="shared" si="4"/>
        <v>-0.60135234445333474</v>
      </c>
      <c r="AC64" s="3">
        <f t="shared" si="5"/>
        <v>-0.84590983148664223</v>
      </c>
      <c r="AE64" s="3">
        <f t="shared" si="6"/>
        <v>-6.6968803570295377</v>
      </c>
      <c r="AF64" s="3">
        <f t="shared" si="7"/>
        <v>-10.022539074222246</v>
      </c>
      <c r="AG64" s="3">
        <f t="shared" si="8"/>
        <v>-14.098497191444038</v>
      </c>
      <c r="AI64" s="3">
        <f t="shared" si="9"/>
        <v>-0.15158171926277814</v>
      </c>
      <c r="AJ64" s="3">
        <f t="shared" si="10"/>
        <v>-0.22685692789095172</v>
      </c>
      <c r="AK64" s="3">
        <f t="shared" si="11"/>
        <v>-0.31911492058497143</v>
      </c>
    </row>
    <row r="65" spans="1:37" x14ac:dyDescent="0.35">
      <c r="A65" s="14" t="s">
        <v>48</v>
      </c>
      <c r="B65">
        <v>4.5099999755620956E-2</v>
      </c>
      <c r="C65">
        <v>4.5099999755620956E-2</v>
      </c>
      <c r="D65">
        <v>4.5000001788139343E-2</v>
      </c>
      <c r="E65">
        <v>4.4900000095367432E-2</v>
      </c>
      <c r="F65">
        <v>4.4700000435113907E-2</v>
      </c>
      <c r="G65">
        <v>4.4500000774860382E-2</v>
      </c>
      <c r="H65" s="10">
        <v>4.4300001114606857E-2</v>
      </c>
      <c r="I65">
        <v>4.4100001454353333E-2</v>
      </c>
      <c r="J65">
        <v>4.3900001794099808E-2</v>
      </c>
      <c r="K65" s="10">
        <v>4.3800000101327896E-2</v>
      </c>
      <c r="L65" s="10">
        <v>4.4199999421834946E-2</v>
      </c>
      <c r="M65">
        <v>4.5000001788139343E-2</v>
      </c>
      <c r="N65">
        <v>4.6100001782178879E-2</v>
      </c>
      <c r="O65" s="10">
        <v>4.6500001102685928E-2</v>
      </c>
      <c r="P65">
        <v>4.5600000768899918E-2</v>
      </c>
      <c r="Q65">
        <v>4.3999999761581421E-2</v>
      </c>
      <c r="R65">
        <v>4.2899999767541885E-2</v>
      </c>
      <c r="S65">
        <v>4.2199999094009399E-2</v>
      </c>
      <c r="T65">
        <v>4.1900001466274261E-2</v>
      </c>
      <c r="U65">
        <v>4.179999977350235E-2</v>
      </c>
      <c r="V65">
        <v>4.1700001806020737E-2</v>
      </c>
      <c r="W65">
        <f t="shared" si="13"/>
        <v>6.2833353877067566E-3</v>
      </c>
      <c r="X65">
        <f t="shared" si="14"/>
        <v>3.2499997566143649E-3</v>
      </c>
      <c r="Y65">
        <f t="shared" si="15"/>
        <v>3.7999991327524185E-3</v>
      </c>
      <c r="Z65">
        <f t="shared" si="16"/>
        <v>3.4166680028041227E-3</v>
      </c>
      <c r="AA65">
        <f t="shared" si="12"/>
        <v>6.7626192849129435E-2</v>
      </c>
      <c r="AB65">
        <f t="shared" si="4"/>
        <v>4.2809637710452084E-2</v>
      </c>
      <c r="AC65">
        <f t="shared" si="5"/>
        <v>5.9793191552162221E-2</v>
      </c>
      <c r="AE65">
        <f t="shared" si="6"/>
        <v>1.1271032141521573</v>
      </c>
      <c r="AF65">
        <f t="shared" si="7"/>
        <v>0.71349396184086811</v>
      </c>
      <c r="AG65">
        <f t="shared" si="8"/>
        <v>0.99655319253603714</v>
      </c>
      <c r="AI65">
        <f t="shared" si="9"/>
        <v>2.5511616436219044E-2</v>
      </c>
      <c r="AJ65">
        <f t="shared" si="10"/>
        <v>1.6149704885488187E-2</v>
      </c>
      <c r="AK65">
        <f t="shared" si="11"/>
        <v>2.2556658952830176E-2</v>
      </c>
    </row>
    <row r="66" spans="1:37" x14ac:dyDescent="0.35">
      <c r="A66" s="14"/>
      <c r="B66">
        <v>4.3999999761581421E-2</v>
      </c>
      <c r="C66">
        <v>4.3900001794099808E-2</v>
      </c>
      <c r="D66">
        <v>4.3999999761581421E-2</v>
      </c>
      <c r="E66">
        <v>4.4100001454353333E-2</v>
      </c>
      <c r="F66">
        <v>4.3800000101327896E-2</v>
      </c>
      <c r="G66">
        <v>4.3600000441074371E-2</v>
      </c>
      <c r="H66" s="10">
        <v>4.349999874830246E-2</v>
      </c>
      <c r="I66">
        <v>4.3200001120567322E-2</v>
      </c>
      <c r="J66">
        <v>4.3000001460313797E-2</v>
      </c>
      <c r="K66" s="10">
        <v>4.3000001460313797E-2</v>
      </c>
      <c r="L66" s="10">
        <v>4.3400000780820847E-2</v>
      </c>
      <c r="M66">
        <v>4.4199999421834946E-2</v>
      </c>
      <c r="N66">
        <v>4.5400001108646393E-2</v>
      </c>
      <c r="O66" s="10">
        <v>4.5699998736381531E-2</v>
      </c>
      <c r="P66">
        <v>4.4700000435113907E-2</v>
      </c>
      <c r="Q66">
        <v>4.3000001460313797E-2</v>
      </c>
      <c r="R66">
        <v>4.179999977350235E-2</v>
      </c>
      <c r="S66">
        <v>4.1000001132488251E-2</v>
      </c>
      <c r="T66">
        <v>4.0800001472234726E-2</v>
      </c>
      <c r="U66">
        <v>4.0600001811981201E-2</v>
      </c>
      <c r="V66">
        <v>4.0600001811981201E-2</v>
      </c>
      <c r="W66">
        <f t="shared" si="13"/>
        <v>5.483333021402359E-3</v>
      </c>
      <c r="X66">
        <f t="shared" si="14"/>
        <v>2.4500011156002657E-3</v>
      </c>
      <c r="Y66">
        <f t="shared" si="15"/>
        <v>3.0000004917383194E-3</v>
      </c>
      <c r="Z66">
        <f t="shared" si="16"/>
        <v>2.6166656364997251E-3</v>
      </c>
      <c r="AA66">
        <f t="shared" si="12"/>
        <v>5.9626161996275191E-2</v>
      </c>
      <c r="AB66">
        <f t="shared" si="4"/>
        <v>3.0921678394079208E-2</v>
      </c>
      <c r="AC66">
        <f t="shared" si="5"/>
        <v>4.3289142735302509E-2</v>
      </c>
      <c r="AE66">
        <f t="shared" si="6"/>
        <v>0.99376936660458659</v>
      </c>
      <c r="AF66">
        <f t="shared" si="7"/>
        <v>0.51536130656798684</v>
      </c>
      <c r="AG66">
        <f t="shared" si="8"/>
        <v>0.72148571225504188</v>
      </c>
      <c r="AI66">
        <f t="shared" si="9"/>
        <v>2.2493647953929077E-2</v>
      </c>
      <c r="AJ66">
        <f t="shared" si="10"/>
        <v>1.1665036364146375E-2</v>
      </c>
      <c r="AK66">
        <f t="shared" si="11"/>
        <v>1.633059556937623E-2</v>
      </c>
    </row>
    <row r="67" spans="1:37" x14ac:dyDescent="0.35">
      <c r="A67" s="14"/>
      <c r="B67">
        <v>4.5000001788139343E-2</v>
      </c>
      <c r="C67">
        <v>4.4900000095367432E-2</v>
      </c>
      <c r="D67">
        <v>4.4900000095367432E-2</v>
      </c>
      <c r="E67">
        <v>4.4700000435113907E-2</v>
      </c>
      <c r="F67">
        <v>4.4599998742341995E-2</v>
      </c>
      <c r="G67">
        <v>4.4300001114606857E-2</v>
      </c>
      <c r="H67" s="10">
        <v>4.4100001454353333E-2</v>
      </c>
      <c r="I67">
        <v>4.3900001794099808E-2</v>
      </c>
      <c r="J67">
        <v>4.3699998408555984E-2</v>
      </c>
      <c r="K67" s="10">
        <v>4.3699998408555984E-2</v>
      </c>
      <c r="L67" s="10">
        <v>4.4100001454353333E-2</v>
      </c>
      <c r="M67">
        <v>4.5000001788139343E-2</v>
      </c>
      <c r="N67">
        <v>4.6100001782178879E-2</v>
      </c>
      <c r="O67" s="10">
        <v>4.6500001102685928E-2</v>
      </c>
      <c r="P67">
        <v>4.5600000768899918E-2</v>
      </c>
      <c r="Q67">
        <v>4.4100001454353333E-2</v>
      </c>
      <c r="R67">
        <v>4.3000001460313797E-2</v>
      </c>
      <c r="S67">
        <v>4.2199999094009399E-2</v>
      </c>
      <c r="T67">
        <v>4.1999999433755875E-2</v>
      </c>
      <c r="U67">
        <v>4.179999977350235E-2</v>
      </c>
      <c r="V67">
        <v>4.179999977350235E-2</v>
      </c>
      <c r="W67">
        <f t="shared" si="13"/>
        <v>6.2833353877067566E-3</v>
      </c>
      <c r="X67">
        <f t="shared" si="14"/>
        <v>3.1499980638424532E-3</v>
      </c>
      <c r="Y67">
        <f t="shared" si="15"/>
        <v>3.7000011652708054E-3</v>
      </c>
      <c r="Z67">
        <f t="shared" si="16"/>
        <v>3.2166683425505979E-3</v>
      </c>
      <c r="AA67">
        <f t="shared" si="12"/>
        <v>6.7819188926368942E-2</v>
      </c>
      <c r="AB67">
        <f t="shared" si="4"/>
        <v>4.0773679092526438E-2</v>
      </c>
      <c r="AC67">
        <f t="shared" si="5"/>
        <v>5.4921199828386356E-2</v>
      </c>
      <c r="AE67">
        <f t="shared" si="6"/>
        <v>1.1303198154394825</v>
      </c>
      <c r="AF67">
        <f t="shared" si="7"/>
        <v>0.67956131820877397</v>
      </c>
      <c r="AG67">
        <f t="shared" si="8"/>
        <v>0.91535333047310596</v>
      </c>
      <c r="AI67">
        <f t="shared" si="9"/>
        <v>2.5584423165221422E-2</v>
      </c>
      <c r="AJ67">
        <f t="shared" si="10"/>
        <v>1.5381650480053735E-2</v>
      </c>
      <c r="AK67">
        <f t="shared" si="11"/>
        <v>2.071872635747184E-2</v>
      </c>
    </row>
    <row r="68" spans="1:37" x14ac:dyDescent="0.35">
      <c r="A68" s="14" t="s">
        <v>49</v>
      </c>
      <c r="B68">
        <v>5.3199999034404755E-2</v>
      </c>
      <c r="C68">
        <v>5.3800001740455627E-2</v>
      </c>
      <c r="D68">
        <v>5.469999834895134E-2</v>
      </c>
      <c r="E68">
        <v>5.5399999022483826E-2</v>
      </c>
      <c r="F68">
        <v>5.5399999022483826E-2</v>
      </c>
      <c r="G68">
        <v>5.5300001055002213E-2</v>
      </c>
      <c r="H68" s="10">
        <v>5.4800000041723251E-2</v>
      </c>
      <c r="I68">
        <v>5.4000001400709152E-2</v>
      </c>
      <c r="J68">
        <v>5.3899999707937241E-2</v>
      </c>
      <c r="K68" s="10">
        <v>5.5100001394748688E-2</v>
      </c>
      <c r="L68" s="10">
        <v>5.9200000017881393E-2</v>
      </c>
      <c r="M68">
        <v>6.5399996936321259E-2</v>
      </c>
      <c r="N68">
        <v>7.5699999928474426E-2</v>
      </c>
      <c r="O68" s="10">
        <v>7.9300001263618469E-2</v>
      </c>
      <c r="P68">
        <v>7.2499997913837433E-2</v>
      </c>
      <c r="Q68">
        <v>6.1299998313188553E-2</v>
      </c>
      <c r="R68">
        <v>5.260000005364418E-2</v>
      </c>
      <c r="S68">
        <v>4.8500001430511475E-2</v>
      </c>
      <c r="T68">
        <v>4.7100000083446503E-2</v>
      </c>
      <c r="U68">
        <v>4.6399999409914017E-2</v>
      </c>
      <c r="V68">
        <v>4.6100001782178879E-2</v>
      </c>
      <c r="W68">
        <f t="shared" si="13"/>
        <v>3.9083335548639297E-2</v>
      </c>
      <c r="X68">
        <f t="shared" si="14"/>
        <v>1.4550001050035156E-2</v>
      </c>
      <c r="Y68">
        <f t="shared" si="15"/>
        <v>1.8799999728798866E-2</v>
      </c>
      <c r="Z68">
        <f t="shared" si="16"/>
        <v>1.3916666929920517E-2</v>
      </c>
      <c r="AA68">
        <f t="shared" si="12"/>
        <v>0.429980193618685</v>
      </c>
      <c r="AB68">
        <f t="shared" si="4"/>
        <v>0.16780964896082878</v>
      </c>
      <c r="AC68">
        <f t="shared" si="5"/>
        <v>0.1932291648164392</v>
      </c>
      <c r="AE68">
        <f t="shared" si="6"/>
        <v>7.1663365603114171</v>
      </c>
      <c r="AF68">
        <f t="shared" si="7"/>
        <v>2.79682748268048</v>
      </c>
      <c r="AG68">
        <f t="shared" si="8"/>
        <v>3.2204860802739868</v>
      </c>
      <c r="AI68">
        <f t="shared" si="9"/>
        <v>0.16220770847241778</v>
      </c>
      <c r="AJ68">
        <f t="shared" si="10"/>
        <v>6.3305284804899956E-2</v>
      </c>
      <c r="AK68">
        <f t="shared" si="11"/>
        <v>7.2894660033363215E-2</v>
      </c>
    </row>
    <row r="69" spans="1:37" x14ac:dyDescent="0.35">
      <c r="A69" s="14"/>
      <c r="B69">
        <v>5.9300001710653305E-2</v>
      </c>
      <c r="C69">
        <v>6.0400001704692841E-2</v>
      </c>
      <c r="D69">
        <v>6.080000102519989E-2</v>
      </c>
      <c r="E69">
        <v>6.120000034570694E-2</v>
      </c>
      <c r="F69">
        <v>6.120000034570694E-2</v>
      </c>
      <c r="G69">
        <v>6.080000102519989E-2</v>
      </c>
      <c r="H69" s="10">
        <v>5.9999998658895493E-2</v>
      </c>
      <c r="I69">
        <v>5.9700001031160355E-2</v>
      </c>
      <c r="J69">
        <v>5.9200000017881393E-2</v>
      </c>
      <c r="K69" s="10">
        <v>6.0100000351667404E-2</v>
      </c>
      <c r="L69" s="10">
        <v>6.4699999988079071E-2</v>
      </c>
      <c r="M69">
        <v>7.1599997580051422E-2</v>
      </c>
      <c r="N69">
        <v>8.2000002264976501E-2</v>
      </c>
      <c r="O69" s="10">
        <v>8.5900001227855682E-2</v>
      </c>
      <c r="P69">
        <v>7.9499997198581696E-2</v>
      </c>
      <c r="Q69">
        <v>6.8000003695487976E-2</v>
      </c>
      <c r="R69">
        <v>5.9399999678134918E-2</v>
      </c>
      <c r="S69">
        <v>5.4800000041723251E-2</v>
      </c>
      <c r="T69">
        <v>5.3300000727176666E-2</v>
      </c>
      <c r="U69">
        <v>5.2700001746416092E-2</v>
      </c>
      <c r="V69">
        <v>5.2099999040365219E-2</v>
      </c>
      <c r="W69">
        <f t="shared" si="13"/>
        <v>4.5683335512876511E-2</v>
      </c>
      <c r="X69">
        <f t="shared" si="14"/>
        <v>1.9550000006953873E-2</v>
      </c>
      <c r="Y69">
        <f t="shared" si="15"/>
        <v>2.4299999698996544E-2</v>
      </c>
      <c r="Z69">
        <f t="shared" si="16"/>
        <v>1.9116665547092758E-2</v>
      </c>
      <c r="AA69">
        <f t="shared" si="12"/>
        <v>0.49810319324955338</v>
      </c>
      <c r="AB69">
        <f t="shared" si="4"/>
        <v>0.24348964855074884</v>
      </c>
      <c r="AC69">
        <f t="shared" si="5"/>
        <v>0.29528313126415018</v>
      </c>
      <c r="AE69">
        <f t="shared" si="6"/>
        <v>8.3017198874925562</v>
      </c>
      <c r="AF69">
        <f t="shared" si="7"/>
        <v>4.0581608091791477</v>
      </c>
      <c r="AG69">
        <f t="shared" si="8"/>
        <v>4.9213855210691699</v>
      </c>
      <c r="AI69">
        <f t="shared" si="9"/>
        <v>0.18790674258697501</v>
      </c>
      <c r="AJ69">
        <f t="shared" si="10"/>
        <v>9.1855156387033676E-2</v>
      </c>
      <c r="AK69">
        <f t="shared" si="11"/>
        <v>0.11139396833565346</v>
      </c>
    </row>
    <row r="70" spans="1:37" x14ac:dyDescent="0.35">
      <c r="A70" s="14"/>
      <c r="B70">
        <v>5.820000171661377E-2</v>
      </c>
      <c r="C70">
        <v>5.9000000357627869E-2</v>
      </c>
      <c r="D70">
        <v>5.9799998998641968E-2</v>
      </c>
      <c r="E70">
        <v>6.0199998319149017E-2</v>
      </c>
      <c r="F70">
        <v>5.9799998998641968E-2</v>
      </c>
      <c r="G70">
        <v>5.9599999338388443E-2</v>
      </c>
      <c r="H70" s="10">
        <v>5.8699999004602432E-2</v>
      </c>
      <c r="I70">
        <v>5.820000171661377E-2</v>
      </c>
      <c r="J70">
        <v>5.7500001043081284E-2</v>
      </c>
      <c r="K70" s="10">
        <v>5.8800000697374344E-2</v>
      </c>
      <c r="L70" s="10">
        <v>6.2799997627735138E-2</v>
      </c>
      <c r="M70">
        <v>6.9200001657009125E-2</v>
      </c>
      <c r="N70">
        <v>7.9899996519088745E-2</v>
      </c>
      <c r="O70" s="10">
        <v>8.35999995470047E-2</v>
      </c>
      <c r="P70">
        <v>7.7100001275539398E-2</v>
      </c>
      <c r="Q70">
        <v>6.5399996936321259E-2</v>
      </c>
      <c r="R70">
        <v>5.6699998676776886E-2</v>
      </c>
      <c r="S70">
        <v>5.2299998700618744E-2</v>
      </c>
      <c r="T70">
        <v>5.0599999725818634E-2</v>
      </c>
      <c r="U70">
        <v>4.9699999392032623E-2</v>
      </c>
      <c r="V70">
        <v>4.960000142455101E-2</v>
      </c>
      <c r="W70">
        <f t="shared" si="13"/>
        <v>4.3383333832025528E-2</v>
      </c>
      <c r="X70">
        <f t="shared" si="14"/>
        <v>1.8250000352660813E-2</v>
      </c>
      <c r="Y70">
        <f t="shared" si="15"/>
        <v>2.2399997338652611E-2</v>
      </c>
      <c r="Z70">
        <f t="shared" si="16"/>
        <v>1.7816665892799698E-2</v>
      </c>
      <c r="AA70">
        <f t="shared" si="12"/>
        <v>0.47433117775246503</v>
      </c>
      <c r="AB70">
        <f t="shared" ref="AB70:AB123" si="17">20.36*Y70-5.5*W70</f>
        <v>0.21745560973882672</v>
      </c>
      <c r="AC70">
        <f t="shared" ref="AC70:AC123" si="18">24.36*Z70-3.73*W70</f>
        <v>0.27219414595514541</v>
      </c>
      <c r="AE70">
        <f t="shared" ref="AE70:AG123" si="19">AA70*$AD$2</f>
        <v>7.9055196292077508</v>
      </c>
      <c r="AF70">
        <f t="shared" si="19"/>
        <v>3.6242601623137789</v>
      </c>
      <c r="AG70">
        <f t="shared" si="19"/>
        <v>4.5365690992524241</v>
      </c>
      <c r="AI70">
        <f t="shared" ref="AI70:AK123" si="20">AE70/$AH$4</f>
        <v>0.17893887798116231</v>
      </c>
      <c r="AJ70">
        <f t="shared" si="20"/>
        <v>8.2033955688406046E-2</v>
      </c>
      <c r="AK70">
        <f t="shared" si="20"/>
        <v>0.1026837731836221</v>
      </c>
    </row>
    <row r="71" spans="1:37" x14ac:dyDescent="0.35">
      <c r="A71" s="14" t="s">
        <v>50</v>
      </c>
      <c r="B71">
        <v>4.7499999403953552E-2</v>
      </c>
      <c r="C71">
        <v>4.8000000417232513E-2</v>
      </c>
      <c r="D71">
        <v>4.8399999737739563E-2</v>
      </c>
      <c r="E71">
        <v>4.8799999058246613E-2</v>
      </c>
      <c r="F71">
        <v>4.8799999058246613E-2</v>
      </c>
      <c r="G71">
        <v>4.8599999397993088E-2</v>
      </c>
      <c r="H71" s="10">
        <v>4.8000000417232513E-2</v>
      </c>
      <c r="I71">
        <v>4.7499999403953552E-2</v>
      </c>
      <c r="J71">
        <v>4.7400001436471939E-2</v>
      </c>
      <c r="K71" s="10">
        <v>4.7699999064207077E-2</v>
      </c>
      <c r="L71" s="10">
        <v>4.9899999052286148E-2</v>
      </c>
      <c r="M71">
        <v>5.2900001406669617E-2</v>
      </c>
      <c r="N71">
        <v>5.7599999010562897E-2</v>
      </c>
      <c r="O71" s="10">
        <v>5.9300001710653305E-2</v>
      </c>
      <c r="P71">
        <v>5.6299999356269836E-2</v>
      </c>
      <c r="Q71">
        <v>5.0599999725818634E-2</v>
      </c>
      <c r="R71">
        <v>4.6500001102685928E-2</v>
      </c>
      <c r="S71">
        <v>4.4599998742341995E-2</v>
      </c>
      <c r="T71">
        <v>4.4199999421834946E-2</v>
      </c>
      <c r="U71">
        <v>4.3699998408555984E-2</v>
      </c>
      <c r="V71">
        <v>4.3800000101327896E-2</v>
      </c>
      <c r="W71">
        <f t="shared" si="13"/>
        <v>1.9083335995674133E-2</v>
      </c>
      <c r="X71">
        <f t="shared" si="14"/>
        <v>7.1499987194935458E-3</v>
      </c>
      <c r="Y71">
        <f t="shared" si="15"/>
        <v>9.4999987632036209E-3</v>
      </c>
      <c r="Z71">
        <f t="shared" si="16"/>
        <v>7.1166673054297788E-3</v>
      </c>
      <c r="AA71">
        <f t="shared" ref="AA71:AA123" si="21">11.93*W71-1.93*Y71</f>
        <v>0.20932920081540943</v>
      </c>
      <c r="AB71">
        <f t="shared" si="17"/>
        <v>8.8461626842617991E-2</v>
      </c>
      <c r="AC71">
        <f t="shared" si="18"/>
        <v>0.10218117229640487</v>
      </c>
      <c r="AE71">
        <f t="shared" si="19"/>
        <v>3.4888200135901575</v>
      </c>
      <c r="AF71">
        <f t="shared" si="19"/>
        <v>1.4743604473769667</v>
      </c>
      <c r="AG71">
        <f t="shared" si="19"/>
        <v>1.7030195382734148</v>
      </c>
      <c r="AI71">
        <f t="shared" si="20"/>
        <v>7.8968311760755042E-2</v>
      </c>
      <c r="AJ71">
        <f t="shared" si="20"/>
        <v>3.3371671511475028E-2</v>
      </c>
      <c r="AK71">
        <f t="shared" si="20"/>
        <v>3.8547296022485619E-2</v>
      </c>
    </row>
    <row r="72" spans="1:37" x14ac:dyDescent="0.35">
      <c r="A72" s="14"/>
      <c r="B72">
        <v>4.7400001436471939E-2</v>
      </c>
      <c r="C72">
        <v>4.830000177025795E-2</v>
      </c>
      <c r="D72">
        <v>4.8700001090764999E-2</v>
      </c>
      <c r="E72">
        <v>4.9199998378753662E-2</v>
      </c>
      <c r="F72">
        <v>4.9100000411272049E-2</v>
      </c>
      <c r="G72">
        <v>4.9300000071525574E-2</v>
      </c>
      <c r="H72" s="10">
        <v>4.8799999058246613E-2</v>
      </c>
      <c r="I72">
        <v>4.830000177025795E-2</v>
      </c>
      <c r="J72">
        <v>4.8399999737739563E-2</v>
      </c>
      <c r="K72" s="10">
        <v>4.8999998718500137E-2</v>
      </c>
      <c r="L72" s="10">
        <v>5.1399998366832733E-2</v>
      </c>
      <c r="M72">
        <v>5.4600000381469727E-2</v>
      </c>
      <c r="N72">
        <v>5.9700001031160355E-2</v>
      </c>
      <c r="O72" s="10">
        <v>6.1299998313188553E-2</v>
      </c>
      <c r="P72">
        <v>5.8299999684095383E-2</v>
      </c>
      <c r="Q72">
        <v>5.2499998360872269E-2</v>
      </c>
      <c r="R72">
        <v>4.8500001430511475E-2</v>
      </c>
      <c r="S72">
        <v>4.6500001102685928E-2</v>
      </c>
      <c r="T72">
        <v>4.5699998736381531E-2</v>
      </c>
      <c r="U72">
        <v>4.5299999415874481E-2</v>
      </c>
      <c r="V72">
        <v>4.5400001108646393E-2</v>
      </c>
      <c r="W72">
        <f t="shared" si="13"/>
        <v>2.1083332598209381E-2</v>
      </c>
      <c r="X72">
        <f t="shared" si="14"/>
        <v>8.4499983737866061E-3</v>
      </c>
      <c r="Y72">
        <f t="shared" si="15"/>
        <v>1.0999998077750206E-2</v>
      </c>
      <c r="Z72">
        <f t="shared" si="16"/>
        <v>7.9166659464438779E-3</v>
      </c>
      <c r="AA72">
        <f t="shared" si="21"/>
        <v>0.23029416160658001</v>
      </c>
      <c r="AB72">
        <f t="shared" si="17"/>
        <v>0.10800163157284259</v>
      </c>
      <c r="AC72">
        <f t="shared" si="18"/>
        <v>0.11420915186405187</v>
      </c>
      <c r="AE72">
        <f t="shared" si="19"/>
        <v>3.8382360267763338</v>
      </c>
      <c r="AF72">
        <f t="shared" si="19"/>
        <v>1.8000271928807101</v>
      </c>
      <c r="AG72">
        <f t="shared" si="19"/>
        <v>1.9034858644008645</v>
      </c>
      <c r="AI72">
        <f t="shared" si="20"/>
        <v>8.6877230121691573E-2</v>
      </c>
      <c r="AJ72">
        <f t="shared" si="20"/>
        <v>4.0743032885484615E-2</v>
      </c>
      <c r="AK72">
        <f t="shared" si="20"/>
        <v>4.3084786428267643E-2</v>
      </c>
    </row>
    <row r="73" spans="1:37" x14ac:dyDescent="0.35">
      <c r="A73" s="14"/>
      <c r="B73">
        <v>4.8099998384714127E-2</v>
      </c>
      <c r="C73">
        <v>4.8500001430511475E-2</v>
      </c>
      <c r="D73">
        <v>4.9100000411272049E-2</v>
      </c>
      <c r="E73">
        <v>4.960000142455101E-2</v>
      </c>
      <c r="F73">
        <v>4.9899999052286148E-2</v>
      </c>
      <c r="G73">
        <v>4.9899999052286148E-2</v>
      </c>
      <c r="H73" s="10">
        <v>5.000000074505806E-2</v>
      </c>
      <c r="I73">
        <v>4.9699999392032623E-2</v>
      </c>
      <c r="J73">
        <v>4.9400001764297485E-2</v>
      </c>
      <c r="K73" s="10">
        <v>5.0200000405311584E-2</v>
      </c>
      <c r="L73" s="10">
        <v>5.2000001072883606E-2</v>
      </c>
      <c r="M73">
        <v>5.5300001055002213E-2</v>
      </c>
      <c r="N73">
        <v>6.0300000011920929E-2</v>
      </c>
      <c r="O73" s="10">
        <v>6.210000067949295E-2</v>
      </c>
      <c r="P73">
        <v>5.9000000357627869E-2</v>
      </c>
      <c r="Q73">
        <v>5.3800001740455627E-2</v>
      </c>
      <c r="R73">
        <v>4.9499999731779099E-2</v>
      </c>
      <c r="S73">
        <v>4.7499999403953552E-2</v>
      </c>
      <c r="T73">
        <v>4.6799998730421066E-2</v>
      </c>
      <c r="U73">
        <v>4.6799998730421066E-2</v>
      </c>
      <c r="V73">
        <v>4.6799998730421066E-2</v>
      </c>
      <c r="W73">
        <f t="shared" si="13"/>
        <v>2.1883334964513779E-2</v>
      </c>
      <c r="X73">
        <f t="shared" si="14"/>
        <v>9.6500000605980532E-3</v>
      </c>
      <c r="Y73">
        <f t="shared" si="15"/>
        <v>1.1600000783801079E-2</v>
      </c>
      <c r="Z73">
        <f t="shared" si="16"/>
        <v>9.1166676332553251E-3</v>
      </c>
      <c r="AA73">
        <f t="shared" si="21"/>
        <v>0.23868018461391333</v>
      </c>
      <c r="AB73">
        <f t="shared" si="17"/>
        <v>0.11581767365336418</v>
      </c>
      <c r="AC73">
        <f t="shared" si="18"/>
        <v>0.14045718412846331</v>
      </c>
      <c r="AE73">
        <f t="shared" si="19"/>
        <v>3.9780030768985557</v>
      </c>
      <c r="AF73">
        <f t="shared" si="19"/>
        <v>1.9302945608894031</v>
      </c>
      <c r="AG73">
        <f t="shared" si="19"/>
        <v>2.340953068807722</v>
      </c>
      <c r="AI73">
        <f t="shared" si="20"/>
        <v>9.0040812061986317E-2</v>
      </c>
      <c r="AJ73">
        <f t="shared" si="20"/>
        <v>4.3691592595957514E-2</v>
      </c>
      <c r="AK73">
        <f t="shared" si="20"/>
        <v>5.2986715002438255E-2</v>
      </c>
    </row>
    <row r="74" spans="1:37" s="3" customFormat="1" x14ac:dyDescent="0.35">
      <c r="A74" s="4"/>
      <c r="W74" s="3">
        <f t="shared" si="13"/>
        <v>-4.0216665714979172E-2</v>
      </c>
      <c r="X74" s="3">
        <f t="shared" si="14"/>
        <v>-4.0550000344713531E-2</v>
      </c>
      <c r="Y74" s="3">
        <f t="shared" si="15"/>
        <v>-4.0400000289082527E-2</v>
      </c>
      <c r="Z74" s="3">
        <f t="shared" si="16"/>
        <v>-4.0883333111802735E-2</v>
      </c>
      <c r="AA74" s="3">
        <f t="shared" si="21"/>
        <v>-0.40181282142177221</v>
      </c>
      <c r="AB74" s="3">
        <f t="shared" si="17"/>
        <v>-0.60135234445333474</v>
      </c>
      <c r="AC74" s="3">
        <f t="shared" si="18"/>
        <v>-0.84590983148664223</v>
      </c>
      <c r="AE74" s="3">
        <f t="shared" si="19"/>
        <v>-6.6968803570295377</v>
      </c>
      <c r="AF74" s="3">
        <f t="shared" si="19"/>
        <v>-10.022539074222246</v>
      </c>
      <c r="AG74" s="3">
        <f t="shared" si="19"/>
        <v>-14.098497191444038</v>
      </c>
      <c r="AI74" s="3">
        <f t="shared" si="20"/>
        <v>-0.15158171926277814</v>
      </c>
      <c r="AJ74" s="3">
        <f t="shared" si="20"/>
        <v>-0.22685692789095172</v>
      </c>
      <c r="AK74" s="3">
        <f t="shared" si="20"/>
        <v>-0.31911492058497143</v>
      </c>
    </row>
    <row r="75" spans="1:37" x14ac:dyDescent="0.35">
      <c r="A75" s="13" t="s">
        <v>51</v>
      </c>
      <c r="B75">
        <v>4.7200001776218414E-2</v>
      </c>
      <c r="C75">
        <v>4.7200001776218414E-2</v>
      </c>
      <c r="D75">
        <v>4.7100000083446503E-2</v>
      </c>
      <c r="E75">
        <v>4.7100000083446503E-2</v>
      </c>
      <c r="F75">
        <v>4.6999998390674591E-2</v>
      </c>
      <c r="G75">
        <v>4.6799998730421066E-2</v>
      </c>
      <c r="H75" s="10">
        <v>4.6599999070167542E-2</v>
      </c>
      <c r="I75">
        <v>4.6399999409914017E-2</v>
      </c>
      <c r="J75">
        <v>4.6199999749660492E-2</v>
      </c>
      <c r="K75" s="10">
        <v>4.6199999749660492E-2</v>
      </c>
      <c r="L75" s="10">
        <v>4.6300001442432404E-2</v>
      </c>
      <c r="M75">
        <v>4.6700000762939453E-2</v>
      </c>
      <c r="N75">
        <v>4.7100000083446503E-2</v>
      </c>
      <c r="O75" s="10">
        <v>4.7200001776218414E-2</v>
      </c>
      <c r="P75">
        <v>4.6799998730421066E-2</v>
      </c>
      <c r="Q75">
        <v>4.6199999749660492E-2</v>
      </c>
      <c r="R75">
        <v>4.5600000768899918E-2</v>
      </c>
      <c r="S75">
        <v>4.5299999415874481E-2</v>
      </c>
      <c r="T75">
        <v>4.5200001448392868E-2</v>
      </c>
      <c r="U75">
        <v>4.5000001788139343E-2</v>
      </c>
      <c r="V75">
        <v>4.479999840259552E-2</v>
      </c>
      <c r="W75">
        <f t="shared" si="13"/>
        <v>6.9833360612392426E-3</v>
      </c>
      <c r="X75">
        <f t="shared" si="14"/>
        <v>5.6499994049469607E-3</v>
      </c>
      <c r="Y75">
        <f t="shared" si="15"/>
        <v>5.9000011533498764E-3</v>
      </c>
      <c r="Z75">
        <f t="shared" si="16"/>
        <v>5.7166659583648069E-3</v>
      </c>
      <c r="AA75">
        <f t="shared" si="21"/>
        <v>7.192419698461891E-2</v>
      </c>
      <c r="AB75">
        <f t="shared" si="17"/>
        <v>8.1715675145387648E-2</v>
      </c>
      <c r="AC75">
        <f t="shared" si="18"/>
        <v>0.11321013923734433</v>
      </c>
      <c r="AE75">
        <f t="shared" si="19"/>
        <v>1.1987366164103153</v>
      </c>
      <c r="AF75">
        <f t="shared" si="19"/>
        <v>1.3619279190897942</v>
      </c>
      <c r="AG75">
        <f t="shared" si="19"/>
        <v>1.8868356539557389</v>
      </c>
      <c r="AI75">
        <f t="shared" si="20"/>
        <v>2.7133015310328547E-2</v>
      </c>
      <c r="AJ75">
        <f t="shared" si="20"/>
        <v>3.0826797625391446E-2</v>
      </c>
      <c r="AK75">
        <f t="shared" si="20"/>
        <v>4.2707914304113602E-2</v>
      </c>
    </row>
    <row r="76" spans="1:37" x14ac:dyDescent="0.35">
      <c r="A76" s="13"/>
      <c r="B76">
        <v>4.8599999397993088E-2</v>
      </c>
      <c r="C76">
        <v>4.8399999737739563E-2</v>
      </c>
      <c r="D76">
        <v>4.830000177025795E-2</v>
      </c>
      <c r="E76">
        <v>4.830000177025795E-2</v>
      </c>
      <c r="F76">
        <v>4.8000000417232513E-2</v>
      </c>
      <c r="G76">
        <v>4.7800000756978989E-2</v>
      </c>
      <c r="H76" s="10">
        <v>4.7699999064207077E-2</v>
      </c>
      <c r="I76">
        <v>4.7499999403953552E-2</v>
      </c>
      <c r="J76">
        <v>4.7299999743700027E-2</v>
      </c>
      <c r="K76" s="10">
        <v>4.7100000083446503E-2</v>
      </c>
      <c r="L76" s="10">
        <v>4.7100000083446503E-2</v>
      </c>
      <c r="M76">
        <v>4.7499999403953552E-2</v>
      </c>
      <c r="N76">
        <v>4.7899998724460602E-2</v>
      </c>
      <c r="O76" s="10">
        <v>4.7899998724460602E-2</v>
      </c>
      <c r="P76">
        <v>4.7400001436471939E-2</v>
      </c>
      <c r="Q76">
        <v>4.6399999409914017E-2</v>
      </c>
      <c r="R76">
        <v>4.5899998396635056E-2</v>
      </c>
      <c r="S76">
        <v>4.5400001108646393E-2</v>
      </c>
      <c r="T76">
        <v>4.5400001108646393E-2</v>
      </c>
      <c r="U76">
        <v>4.5200001448392868E-2</v>
      </c>
      <c r="V76">
        <v>4.5099999755620956E-2</v>
      </c>
      <c r="W76">
        <f t="shared" si="13"/>
        <v>7.6833330094814301E-3</v>
      </c>
      <c r="X76">
        <f t="shared" si="14"/>
        <v>6.5499997387329714E-3</v>
      </c>
      <c r="Y76">
        <f t="shared" si="15"/>
        <v>6.6999997943639755E-3</v>
      </c>
      <c r="Z76">
        <f t="shared" si="16"/>
        <v>6.8166659524043424E-3</v>
      </c>
      <c r="AA76">
        <f t="shared" si="21"/>
        <v>7.8731163199990989E-2</v>
      </c>
      <c r="AB76">
        <f t="shared" si="17"/>
        <v>9.4153664261102665E-2</v>
      </c>
      <c r="AC76">
        <f t="shared" si="18"/>
        <v>0.13739515047520404</v>
      </c>
      <c r="AE76">
        <f t="shared" si="19"/>
        <v>1.3121860533331833</v>
      </c>
      <c r="AF76">
        <f t="shared" si="19"/>
        <v>1.5692277376850445</v>
      </c>
      <c r="AG76">
        <f t="shared" si="19"/>
        <v>2.2899191745867342</v>
      </c>
      <c r="AI76">
        <f t="shared" si="20"/>
        <v>2.9700906594232305E-2</v>
      </c>
      <c r="AJ76">
        <f t="shared" si="20"/>
        <v>3.5518961921345509E-2</v>
      </c>
      <c r="AK76">
        <f t="shared" si="20"/>
        <v>5.183157932518638E-2</v>
      </c>
    </row>
    <row r="77" spans="1:37" x14ac:dyDescent="0.35">
      <c r="A77" s="13"/>
      <c r="B77">
        <v>4.830000177025795E-2</v>
      </c>
      <c r="C77">
        <v>4.8200000077486038E-2</v>
      </c>
      <c r="D77">
        <v>4.830000177025795E-2</v>
      </c>
      <c r="E77">
        <v>4.8200000077486038E-2</v>
      </c>
      <c r="F77">
        <v>4.8099998384714127E-2</v>
      </c>
      <c r="G77">
        <v>4.7899998724460602E-2</v>
      </c>
      <c r="H77" s="10">
        <v>4.7899998724460602E-2</v>
      </c>
      <c r="I77">
        <v>4.7800000756978989E-2</v>
      </c>
      <c r="J77">
        <v>4.7800000756978989E-2</v>
      </c>
      <c r="K77" s="10">
        <v>4.7699999064207077E-2</v>
      </c>
      <c r="L77" s="10">
        <v>4.7800000756978989E-2</v>
      </c>
      <c r="M77">
        <v>4.8099998384714127E-2</v>
      </c>
      <c r="N77">
        <v>4.8599999397993088E-2</v>
      </c>
      <c r="O77" s="10">
        <v>4.8700001090764999E-2</v>
      </c>
      <c r="P77">
        <v>4.8200000077486038E-2</v>
      </c>
      <c r="Q77">
        <v>4.7499999403953552E-2</v>
      </c>
      <c r="R77">
        <v>4.6900000423192978E-2</v>
      </c>
      <c r="S77">
        <v>4.6500001102685928E-2</v>
      </c>
      <c r="T77">
        <v>4.6599999070167542E-2</v>
      </c>
      <c r="U77">
        <v>4.6500001102685928E-2</v>
      </c>
      <c r="V77">
        <v>4.6300001442432404E-2</v>
      </c>
      <c r="W77">
        <f t="shared" si="13"/>
        <v>8.4833353757858276E-3</v>
      </c>
      <c r="X77">
        <f t="shared" si="14"/>
        <v>7.1499987194935458E-3</v>
      </c>
      <c r="Y77">
        <f t="shared" si="15"/>
        <v>7.4000004678964615E-3</v>
      </c>
      <c r="Z77">
        <f t="shared" si="16"/>
        <v>7.0166656126578672E-3</v>
      </c>
      <c r="AA77">
        <f t="shared" si="21"/>
        <v>8.6924190130084747E-2</v>
      </c>
      <c r="AB77">
        <f t="shared" si="17"/>
        <v>0.10400566495954991</v>
      </c>
      <c r="AC77">
        <f t="shared" si="18"/>
        <v>0.13928313337266451</v>
      </c>
      <c r="AE77">
        <f t="shared" si="19"/>
        <v>1.4487365021680791</v>
      </c>
      <c r="AF77">
        <f t="shared" si="19"/>
        <v>1.7334277493258319</v>
      </c>
      <c r="AG77">
        <f t="shared" si="19"/>
        <v>2.3213855562110752</v>
      </c>
      <c r="AI77">
        <f t="shared" si="20"/>
        <v>3.279168180552465E-2</v>
      </c>
      <c r="AJ77">
        <f t="shared" si="20"/>
        <v>3.9235576037252876E-2</v>
      </c>
      <c r="AK77">
        <f t="shared" si="20"/>
        <v>5.2543810688344843E-2</v>
      </c>
    </row>
    <row r="78" spans="1:37" x14ac:dyDescent="0.35">
      <c r="A78" s="13" t="s">
        <v>52</v>
      </c>
      <c r="B78">
        <v>4.5000001788139343E-2</v>
      </c>
      <c r="C78">
        <v>4.5099999755620956E-2</v>
      </c>
      <c r="D78">
        <v>4.5099999755620956E-2</v>
      </c>
      <c r="E78">
        <v>4.5000001788139343E-2</v>
      </c>
      <c r="F78">
        <v>4.479999840259552E-2</v>
      </c>
      <c r="G78">
        <v>4.4700000435113907E-2</v>
      </c>
      <c r="H78" s="10">
        <v>4.4500000774860382E-2</v>
      </c>
      <c r="I78">
        <v>4.4300001114606857E-2</v>
      </c>
      <c r="J78">
        <v>4.4100001454353333E-2</v>
      </c>
      <c r="K78" s="10">
        <v>4.3999999761581421E-2</v>
      </c>
      <c r="L78" s="10">
        <v>4.4500000774860382E-2</v>
      </c>
      <c r="M78">
        <v>4.5400001108646393E-2</v>
      </c>
      <c r="N78">
        <v>4.6900000423192978E-2</v>
      </c>
      <c r="O78" s="10">
        <v>4.7400001436471939E-2</v>
      </c>
      <c r="P78">
        <v>4.6500001102685928E-2</v>
      </c>
      <c r="Q78">
        <v>4.4700000435113907E-2</v>
      </c>
      <c r="R78">
        <v>4.3299999088048935E-2</v>
      </c>
      <c r="S78">
        <v>4.2500000447034836E-2</v>
      </c>
      <c r="T78">
        <v>4.2300000786781311E-2</v>
      </c>
      <c r="U78">
        <v>4.1999999433755875E-2</v>
      </c>
      <c r="V78">
        <v>4.1999999433755875E-2</v>
      </c>
      <c r="W78">
        <f t="shared" ref="W78:W123" si="22">(O78-$O$131)</f>
        <v>7.1833357214927673E-3</v>
      </c>
      <c r="X78">
        <f t="shared" ref="X78:X123" si="23">(K78-$K$131)</f>
        <v>3.4499994168678896E-3</v>
      </c>
      <c r="Y78">
        <f t="shared" ref="Y78:Y123" si="24">(L78-$L$131)</f>
        <v>4.1000004857778549E-3</v>
      </c>
      <c r="Z78">
        <f t="shared" ref="Z78:Z123" si="25">(H78-$H$131)</f>
        <v>3.6166676630576475E-3</v>
      </c>
      <c r="AA78">
        <f t="shared" si="21"/>
        <v>7.7784194219857453E-2</v>
      </c>
      <c r="AB78">
        <f t="shared" si="17"/>
        <v>4.396766342222691E-2</v>
      </c>
      <c r="AC78">
        <f t="shared" si="18"/>
        <v>6.1308182030916265E-2</v>
      </c>
      <c r="AE78">
        <f t="shared" si="19"/>
        <v>1.2964032369976244</v>
      </c>
      <c r="AF78">
        <f t="shared" si="19"/>
        <v>0.73279439037044858</v>
      </c>
      <c r="AG78">
        <f t="shared" si="19"/>
        <v>1.0218030338486046</v>
      </c>
      <c r="AI78">
        <f t="shared" si="20"/>
        <v>2.9343667654993761E-2</v>
      </c>
      <c r="AJ78">
        <f t="shared" si="20"/>
        <v>1.6586563838172218E-2</v>
      </c>
      <c r="AK78">
        <f t="shared" si="20"/>
        <v>2.3128180938175751E-2</v>
      </c>
    </row>
    <row r="79" spans="1:37" x14ac:dyDescent="0.35">
      <c r="A79" s="13"/>
      <c r="B79">
        <v>4.7299999743700027E-2</v>
      </c>
      <c r="C79">
        <v>4.7400001436471939E-2</v>
      </c>
      <c r="D79">
        <v>4.7600001096725464E-2</v>
      </c>
      <c r="E79">
        <v>4.7600001096725464E-2</v>
      </c>
      <c r="F79">
        <v>4.7299999743700027E-2</v>
      </c>
      <c r="G79">
        <v>4.7100000083446503E-2</v>
      </c>
      <c r="H79" s="10">
        <v>4.6999998390674591E-2</v>
      </c>
      <c r="I79">
        <v>4.6900000423192978E-2</v>
      </c>
      <c r="J79">
        <v>4.6799998730421066E-2</v>
      </c>
      <c r="K79" s="10">
        <v>4.6700000762939453E-2</v>
      </c>
      <c r="L79" s="10">
        <v>4.7200001776218414E-2</v>
      </c>
      <c r="M79">
        <v>4.830000177025795E-2</v>
      </c>
      <c r="N79">
        <v>4.9699999392032623E-2</v>
      </c>
      <c r="O79" s="10">
        <v>5.0200000405311584E-2</v>
      </c>
      <c r="P79">
        <v>4.9300000071525574E-2</v>
      </c>
      <c r="Q79">
        <v>4.7499999403953552E-2</v>
      </c>
      <c r="R79">
        <v>4.6000000089406967E-2</v>
      </c>
      <c r="S79">
        <v>4.5299999415874481E-2</v>
      </c>
      <c r="T79">
        <v>4.5099999755620956E-2</v>
      </c>
      <c r="U79">
        <v>4.479999840259552E-2</v>
      </c>
      <c r="V79">
        <v>4.4700000435113907E-2</v>
      </c>
      <c r="W79">
        <f t="shared" si="22"/>
        <v>9.9833346903324127E-3</v>
      </c>
      <c r="X79">
        <f t="shared" si="23"/>
        <v>6.1500004182259219E-3</v>
      </c>
      <c r="Y79">
        <f t="shared" si="24"/>
        <v>6.8000014871358871E-3</v>
      </c>
      <c r="Z79">
        <f t="shared" si="25"/>
        <v>6.1166652788718565E-3</v>
      </c>
      <c r="AA79">
        <f t="shared" si="21"/>
        <v>0.10597717998549341</v>
      </c>
      <c r="AB79">
        <f t="shared" si="17"/>
        <v>8.3539689481258395E-2</v>
      </c>
      <c r="AC79">
        <f t="shared" si="18"/>
        <v>0.11176412779837852</v>
      </c>
      <c r="AE79">
        <f t="shared" si="19"/>
        <v>1.766286333091557</v>
      </c>
      <c r="AF79">
        <f t="shared" si="19"/>
        <v>1.3923281580209734</v>
      </c>
      <c r="AG79">
        <f t="shared" si="19"/>
        <v>1.8627354633063089</v>
      </c>
      <c r="AI79">
        <f t="shared" si="20"/>
        <v>3.9979319445259329E-2</v>
      </c>
      <c r="AJ79">
        <f t="shared" si="20"/>
        <v>3.1514897193774864E-2</v>
      </c>
      <c r="AK79">
        <f t="shared" si="20"/>
        <v>4.216241428941396E-2</v>
      </c>
    </row>
    <row r="80" spans="1:37" x14ac:dyDescent="0.35">
      <c r="A80" s="13"/>
      <c r="B80">
        <v>4.4199999421834946E-2</v>
      </c>
      <c r="C80">
        <v>4.4199999421834946E-2</v>
      </c>
      <c r="D80">
        <v>4.4300001114606857E-2</v>
      </c>
      <c r="E80">
        <v>4.4199999421834946E-2</v>
      </c>
      <c r="F80">
        <v>4.3900001794099808E-2</v>
      </c>
      <c r="G80">
        <v>4.3800000101327896E-2</v>
      </c>
      <c r="H80" s="10">
        <v>4.3600000441074371E-2</v>
      </c>
      <c r="I80">
        <v>4.349999874830246E-2</v>
      </c>
      <c r="J80">
        <v>4.3299999088048935E-2</v>
      </c>
      <c r="K80" s="10">
        <v>4.3299999088048935E-2</v>
      </c>
      <c r="L80" s="10">
        <v>4.3800000101327896E-2</v>
      </c>
      <c r="M80">
        <v>4.4700000435113907E-2</v>
      </c>
      <c r="N80">
        <v>4.6199999749660492E-2</v>
      </c>
      <c r="O80" s="10">
        <v>4.6599999070167542E-2</v>
      </c>
      <c r="P80">
        <v>4.5600000768899918E-2</v>
      </c>
      <c r="Q80">
        <v>4.3900001794099808E-2</v>
      </c>
      <c r="R80">
        <v>4.2599998414516449E-2</v>
      </c>
      <c r="S80">
        <v>4.1700001806020737E-2</v>
      </c>
      <c r="T80">
        <v>4.1499998420476913E-2</v>
      </c>
      <c r="U80">
        <v>4.1299998760223389E-2</v>
      </c>
      <c r="V80">
        <v>4.1299998760223389E-2</v>
      </c>
      <c r="W80">
        <f t="shared" si="22"/>
        <v>6.3833333551883698E-3</v>
      </c>
      <c r="X80">
        <f t="shared" si="23"/>
        <v>2.7499987433354037E-3</v>
      </c>
      <c r="Y80">
        <f t="shared" si="24"/>
        <v>3.399999812245369E-3</v>
      </c>
      <c r="Z80">
        <f t="shared" si="25"/>
        <v>2.7166673292716367E-3</v>
      </c>
      <c r="AA80">
        <f t="shared" si="21"/>
        <v>6.9591167289763695E-2</v>
      </c>
      <c r="AB80">
        <f t="shared" si="17"/>
        <v>3.411566272377968E-2</v>
      </c>
      <c r="AC80">
        <f t="shared" si="18"/>
        <v>4.2368182726204455E-2</v>
      </c>
      <c r="AE80">
        <f t="shared" si="19"/>
        <v>1.1598527881627283</v>
      </c>
      <c r="AF80">
        <f t="shared" si="19"/>
        <v>0.56859437872966134</v>
      </c>
      <c r="AG80">
        <f t="shared" si="19"/>
        <v>0.70613637877007429</v>
      </c>
      <c r="AI80">
        <f t="shared" si="20"/>
        <v>2.6252892443701409E-2</v>
      </c>
      <c r="AJ80">
        <f t="shared" si="20"/>
        <v>1.2869949722264856E-2</v>
      </c>
      <c r="AK80">
        <f t="shared" si="20"/>
        <v>1.5983168374152881E-2</v>
      </c>
    </row>
    <row r="81" spans="1:37" x14ac:dyDescent="0.35">
      <c r="A81" s="13" t="s">
        <v>53</v>
      </c>
      <c r="B81">
        <v>4.439999908208847E-2</v>
      </c>
      <c r="C81">
        <v>4.4500000774860382E-2</v>
      </c>
      <c r="D81">
        <v>4.4599998742341995E-2</v>
      </c>
      <c r="E81">
        <v>4.4599998742341995E-2</v>
      </c>
      <c r="F81">
        <v>4.4300001114606857E-2</v>
      </c>
      <c r="G81">
        <v>4.4199999421834946E-2</v>
      </c>
      <c r="H81" s="10">
        <v>4.3999999761581421E-2</v>
      </c>
      <c r="I81">
        <v>4.3900001794099808E-2</v>
      </c>
      <c r="J81">
        <v>4.3800000101327896E-2</v>
      </c>
      <c r="K81" s="10">
        <v>4.3900001794099808E-2</v>
      </c>
      <c r="L81" s="10">
        <v>4.4500000774860382E-2</v>
      </c>
      <c r="M81">
        <v>4.5499999076128006E-2</v>
      </c>
      <c r="N81">
        <v>4.7200001776218414E-2</v>
      </c>
      <c r="O81" s="10">
        <v>4.7800000756978989E-2</v>
      </c>
      <c r="P81">
        <v>4.6700000762939453E-2</v>
      </c>
      <c r="Q81">
        <v>4.479999840259552E-2</v>
      </c>
      <c r="R81">
        <v>4.3299999088048935E-2</v>
      </c>
      <c r="S81">
        <v>4.2500000447034836E-2</v>
      </c>
      <c r="T81">
        <v>4.2300000786781311E-2</v>
      </c>
      <c r="U81">
        <v>4.1999999433755875E-2</v>
      </c>
      <c r="V81">
        <v>4.1999999433755875E-2</v>
      </c>
      <c r="W81">
        <f t="shared" si="22"/>
        <v>7.5833350419998169E-3</v>
      </c>
      <c r="X81">
        <f t="shared" si="23"/>
        <v>3.3500014493862765E-3</v>
      </c>
      <c r="Y81">
        <f t="shared" si="24"/>
        <v>4.1000004857778549E-3</v>
      </c>
      <c r="Z81">
        <f t="shared" si="25"/>
        <v>3.1166666497786863E-3</v>
      </c>
      <c r="AA81">
        <f t="shared" si="21"/>
        <v>8.2556186113506555E-2</v>
      </c>
      <c r="AB81">
        <f t="shared" si="17"/>
        <v>4.1767667159438138E-2</v>
      </c>
      <c r="AC81">
        <f t="shared" si="18"/>
        <v>4.7636159881949469E-2</v>
      </c>
      <c r="AE81">
        <f t="shared" si="19"/>
        <v>1.3759364352251093</v>
      </c>
      <c r="AF81">
        <f t="shared" si="19"/>
        <v>0.69612778599063563</v>
      </c>
      <c r="AG81">
        <f t="shared" si="19"/>
        <v>0.79393599803249126</v>
      </c>
      <c r="AI81">
        <f t="shared" si="20"/>
        <v>3.114387585389564E-2</v>
      </c>
      <c r="AJ81">
        <f t="shared" si="20"/>
        <v>1.5756627116130278E-2</v>
      </c>
      <c r="AK81">
        <f t="shared" si="20"/>
        <v>1.7970484337539411E-2</v>
      </c>
    </row>
    <row r="82" spans="1:37" x14ac:dyDescent="0.35">
      <c r="A82" s="13"/>
      <c r="B82">
        <v>4.4599998742341995E-2</v>
      </c>
      <c r="C82">
        <v>4.4700000435113907E-2</v>
      </c>
      <c r="D82">
        <v>4.4900000095367432E-2</v>
      </c>
      <c r="E82">
        <v>4.479999840259552E-2</v>
      </c>
      <c r="F82">
        <v>4.4599998742341995E-2</v>
      </c>
      <c r="G82">
        <v>4.4500000774860382E-2</v>
      </c>
      <c r="H82" s="10">
        <v>4.4300001114606857E-2</v>
      </c>
      <c r="I82">
        <v>4.4199999421834946E-2</v>
      </c>
      <c r="J82">
        <v>4.3999999761581421E-2</v>
      </c>
      <c r="K82" s="10">
        <v>4.4100001454353333E-2</v>
      </c>
      <c r="L82" s="10">
        <v>4.479999840259552E-2</v>
      </c>
      <c r="M82">
        <v>4.5899998396635056E-2</v>
      </c>
      <c r="N82">
        <v>4.7699999064207077E-2</v>
      </c>
      <c r="O82" s="10">
        <v>4.8399999737739563E-2</v>
      </c>
      <c r="P82">
        <v>4.7200001776218414E-2</v>
      </c>
      <c r="Q82">
        <v>4.4900000095367432E-2</v>
      </c>
      <c r="R82">
        <v>4.3400000780820847E-2</v>
      </c>
      <c r="S82">
        <v>4.2300000786781311E-2</v>
      </c>
      <c r="T82">
        <v>4.1999999433755875E-2</v>
      </c>
      <c r="U82">
        <v>4.1900001466274261E-2</v>
      </c>
      <c r="V82">
        <v>4.179999977350235E-2</v>
      </c>
      <c r="W82">
        <f t="shared" si="22"/>
        <v>8.1833340227603912E-3</v>
      </c>
      <c r="X82">
        <f t="shared" si="23"/>
        <v>3.5500011096398013E-3</v>
      </c>
      <c r="Y82">
        <f t="shared" si="24"/>
        <v>4.3999981135129929E-3</v>
      </c>
      <c r="Z82">
        <f t="shared" si="25"/>
        <v>3.4166680028041227E-3</v>
      </c>
      <c r="AA82">
        <f t="shared" si="21"/>
        <v>8.9135178532451398E-2</v>
      </c>
      <c r="AB82">
        <f t="shared" si="17"/>
        <v>4.4575624465942376E-2</v>
      </c>
      <c r="AC82">
        <f t="shared" si="18"/>
        <v>5.2706196643412168E-2</v>
      </c>
      <c r="AE82">
        <f t="shared" si="19"/>
        <v>1.4855863088741901</v>
      </c>
      <c r="AF82">
        <f t="shared" si="19"/>
        <v>0.74292707443237294</v>
      </c>
      <c r="AG82">
        <f t="shared" si="19"/>
        <v>0.87843661072353618</v>
      </c>
      <c r="AI82">
        <f t="shared" si="20"/>
        <v>3.3625765252924177E-2</v>
      </c>
      <c r="AJ82">
        <f t="shared" si="20"/>
        <v>1.6815913862208532E-2</v>
      </c>
      <c r="AK82">
        <f t="shared" si="20"/>
        <v>1.9883128354991765E-2</v>
      </c>
    </row>
    <row r="83" spans="1:37" x14ac:dyDescent="0.35">
      <c r="A83" s="13"/>
      <c r="B83">
        <v>4.4599998742341995E-2</v>
      </c>
      <c r="C83">
        <v>4.479999840259552E-2</v>
      </c>
      <c r="D83">
        <v>4.479999840259552E-2</v>
      </c>
      <c r="E83">
        <v>4.479999840259552E-2</v>
      </c>
      <c r="F83">
        <v>4.4700000435113907E-2</v>
      </c>
      <c r="G83">
        <v>4.4700000435113907E-2</v>
      </c>
      <c r="H83" s="10">
        <v>4.4500000774860382E-2</v>
      </c>
      <c r="I83">
        <v>4.4300001114606857E-2</v>
      </c>
      <c r="J83">
        <v>4.439999908208847E-2</v>
      </c>
      <c r="K83" s="10">
        <v>4.4599998742341995E-2</v>
      </c>
      <c r="L83" s="10">
        <v>4.5200001448392868E-2</v>
      </c>
      <c r="M83">
        <v>4.6399999409914017E-2</v>
      </c>
      <c r="N83">
        <v>4.8099998384714127E-2</v>
      </c>
      <c r="O83" s="10">
        <v>4.8799999058246613E-2</v>
      </c>
      <c r="P83">
        <v>4.7699999064207077E-2</v>
      </c>
      <c r="Q83">
        <v>4.5600000768899918E-2</v>
      </c>
      <c r="R83">
        <v>4.4100001454353333E-2</v>
      </c>
      <c r="S83">
        <v>4.3200001120567322E-2</v>
      </c>
      <c r="T83">
        <v>4.3000001460313797E-2</v>
      </c>
      <c r="U83">
        <v>4.2899999767541885E-2</v>
      </c>
      <c r="V83">
        <v>4.2800001800060272E-2</v>
      </c>
      <c r="W83">
        <f t="shared" si="22"/>
        <v>8.5833333432674408E-3</v>
      </c>
      <c r="X83">
        <f t="shared" si="23"/>
        <v>4.049998397628464E-3</v>
      </c>
      <c r="Y83">
        <f t="shared" si="24"/>
        <v>4.8000011593103409E-3</v>
      </c>
      <c r="Z83">
        <f t="shared" si="25"/>
        <v>3.6166676630576475E-3</v>
      </c>
      <c r="AA83">
        <f t="shared" si="21"/>
        <v>9.3135164547711619E-2</v>
      </c>
      <c r="AB83">
        <f t="shared" si="17"/>
        <v>5.0519690215587609E-2</v>
      </c>
      <c r="AC83">
        <f t="shared" si="18"/>
        <v>5.6086190901696732E-2</v>
      </c>
      <c r="AE83">
        <f t="shared" si="19"/>
        <v>1.5522527424618604</v>
      </c>
      <c r="AF83">
        <f t="shared" si="19"/>
        <v>0.84199483692646027</v>
      </c>
      <c r="AG83">
        <f t="shared" si="19"/>
        <v>0.93476984836161225</v>
      </c>
      <c r="AI83">
        <f t="shared" si="20"/>
        <v>3.5134738398865106E-2</v>
      </c>
      <c r="AJ83">
        <f t="shared" si="20"/>
        <v>1.9058280600417841E-2</v>
      </c>
      <c r="AK83">
        <f t="shared" si="20"/>
        <v>2.1158212955219833E-2</v>
      </c>
    </row>
    <row r="84" spans="1:37" s="3" customFormat="1" x14ac:dyDescent="0.35">
      <c r="A84" s="4"/>
      <c r="W84" s="3">
        <f t="shared" si="22"/>
        <v>-4.0216665714979172E-2</v>
      </c>
      <c r="X84" s="3">
        <f t="shared" si="23"/>
        <v>-4.0550000344713531E-2</v>
      </c>
      <c r="Y84" s="3">
        <f t="shared" si="24"/>
        <v>-4.0400000289082527E-2</v>
      </c>
      <c r="Z84" s="3">
        <f t="shared" si="25"/>
        <v>-4.0883333111802735E-2</v>
      </c>
      <c r="AA84" s="3">
        <f t="shared" si="21"/>
        <v>-0.40181282142177221</v>
      </c>
      <c r="AB84" s="3">
        <f t="shared" si="17"/>
        <v>-0.60135234445333474</v>
      </c>
      <c r="AC84" s="3">
        <f t="shared" si="18"/>
        <v>-0.84590983148664223</v>
      </c>
      <c r="AE84" s="3">
        <f t="shared" si="19"/>
        <v>-6.6968803570295377</v>
      </c>
      <c r="AF84" s="3">
        <f t="shared" si="19"/>
        <v>-10.022539074222246</v>
      </c>
      <c r="AG84" s="3">
        <f t="shared" si="19"/>
        <v>-14.098497191444038</v>
      </c>
      <c r="AI84" s="3">
        <f t="shared" si="20"/>
        <v>-0.15158171926277814</v>
      </c>
      <c r="AJ84" s="3">
        <f t="shared" si="20"/>
        <v>-0.22685692789095172</v>
      </c>
      <c r="AK84" s="3">
        <f t="shared" si="20"/>
        <v>-0.31911492058497143</v>
      </c>
    </row>
    <row r="85" spans="1:37" x14ac:dyDescent="0.35">
      <c r="A85" s="15" t="s">
        <v>54</v>
      </c>
      <c r="B85">
        <v>5.130000039935112E-2</v>
      </c>
      <c r="C85">
        <v>5.260000005364418E-2</v>
      </c>
      <c r="D85">
        <v>5.3300000727176666E-2</v>
      </c>
      <c r="E85">
        <v>5.3300000727176666E-2</v>
      </c>
      <c r="F85">
        <v>5.2700001746416092E-2</v>
      </c>
      <c r="G85">
        <v>5.2200000733137131E-2</v>
      </c>
      <c r="H85" s="10">
        <v>5.1600001752376556E-2</v>
      </c>
      <c r="I85">
        <v>5.0999999046325684E-2</v>
      </c>
      <c r="J85">
        <v>5.1100000739097595E-2</v>
      </c>
      <c r="K85" s="10">
        <v>5.2799999713897705E-2</v>
      </c>
      <c r="L85" s="10">
        <v>5.9200000017881393E-2</v>
      </c>
      <c r="M85">
        <v>6.8400003015995026E-2</v>
      </c>
      <c r="N85">
        <v>8.4100000560283661E-2</v>
      </c>
      <c r="O85" s="10">
        <v>9.08999964594841E-2</v>
      </c>
      <c r="P85">
        <v>8.320000022649765E-2</v>
      </c>
      <c r="Q85">
        <v>6.5999999642372131E-2</v>
      </c>
      <c r="R85">
        <v>5.2400000393390656E-2</v>
      </c>
      <c r="S85">
        <v>4.5200001448392868E-2</v>
      </c>
      <c r="T85">
        <v>4.2899999767541885E-2</v>
      </c>
      <c r="U85">
        <v>4.1999999433755875E-2</v>
      </c>
      <c r="V85">
        <v>4.1600000113248825E-2</v>
      </c>
      <c r="W85">
        <f t="shared" si="22"/>
        <v>5.0683330744504929E-2</v>
      </c>
      <c r="X85">
        <f t="shared" si="23"/>
        <v>1.2249999369184174E-2</v>
      </c>
      <c r="Y85">
        <f t="shared" si="24"/>
        <v>1.8799999728798866E-2</v>
      </c>
      <c r="Z85">
        <f t="shared" si="25"/>
        <v>1.0716668640573822E-2</v>
      </c>
      <c r="AA85">
        <f t="shared" si="21"/>
        <v>0.56836813630536198</v>
      </c>
      <c r="AB85">
        <f t="shared" si="17"/>
        <v>0.10400967538356781</v>
      </c>
      <c r="AC85">
        <f t="shared" si="18"/>
        <v>7.2009224407374894E-2</v>
      </c>
      <c r="AE85">
        <f t="shared" si="19"/>
        <v>9.4728022717560343</v>
      </c>
      <c r="AF85">
        <f t="shared" si="19"/>
        <v>1.7334945897261302</v>
      </c>
      <c r="AG85">
        <f t="shared" si="19"/>
        <v>1.200153740122915</v>
      </c>
      <c r="AI85">
        <f t="shared" si="20"/>
        <v>0.2144138133036676</v>
      </c>
      <c r="AJ85">
        <f t="shared" si="20"/>
        <v>3.9237088948079001E-2</v>
      </c>
      <c r="AK85">
        <f t="shared" si="20"/>
        <v>2.7165091446874491E-2</v>
      </c>
    </row>
    <row r="86" spans="1:37" x14ac:dyDescent="0.35">
      <c r="A86" s="15"/>
      <c r="B86">
        <v>5.1100000739097595E-2</v>
      </c>
      <c r="C86">
        <v>5.2700001746416092E-2</v>
      </c>
      <c r="D86">
        <v>5.3500000387430191E-2</v>
      </c>
      <c r="E86">
        <v>5.3199999034404755E-2</v>
      </c>
      <c r="F86">
        <v>5.2400000393390656E-2</v>
      </c>
      <c r="G86">
        <v>5.1899999380111694E-2</v>
      </c>
      <c r="H86" s="10">
        <v>5.1500000059604645E-2</v>
      </c>
      <c r="I86">
        <v>5.1199998706579208E-2</v>
      </c>
      <c r="J86">
        <v>5.0999999046325684E-2</v>
      </c>
      <c r="K86" s="10">
        <v>5.2499998360872269E-2</v>
      </c>
      <c r="L86" s="10">
        <v>5.9099998325109482E-2</v>
      </c>
      <c r="M86">
        <v>6.8700000643730164E-2</v>
      </c>
      <c r="N86">
        <v>8.5199996829032898E-2</v>
      </c>
      <c r="O86" s="10">
        <v>9.2200003564357758E-2</v>
      </c>
      <c r="P86">
        <v>8.3899997174739838E-2</v>
      </c>
      <c r="Q86">
        <v>6.6200003027915955E-2</v>
      </c>
      <c r="R86">
        <v>5.2499998360872269E-2</v>
      </c>
      <c r="S86">
        <v>4.5200001448392868E-2</v>
      </c>
      <c r="T86">
        <v>4.2899999767541885E-2</v>
      </c>
      <c r="U86">
        <v>4.1499998420476913E-2</v>
      </c>
      <c r="V86">
        <v>4.0899999439716339E-2</v>
      </c>
      <c r="W86">
        <f t="shared" si="22"/>
        <v>5.1983337849378586E-2</v>
      </c>
      <c r="X86">
        <f t="shared" si="23"/>
        <v>1.1949998016158737E-2</v>
      </c>
      <c r="Y86">
        <f t="shared" si="24"/>
        <v>1.8699998036026955E-2</v>
      </c>
      <c r="Z86">
        <f t="shared" si="25"/>
        <v>1.061666694780191E-2</v>
      </c>
      <c r="AA86">
        <f t="shared" si="21"/>
        <v>0.58407022433355449</v>
      </c>
      <c r="AB86">
        <f t="shared" si="17"/>
        <v>9.4823601841926564E-2</v>
      </c>
      <c r="AC86">
        <f t="shared" si="18"/>
        <v>6.4724156670272426E-2</v>
      </c>
      <c r="AE86">
        <f t="shared" si="19"/>
        <v>9.7345037388925757</v>
      </c>
      <c r="AF86">
        <f t="shared" si="19"/>
        <v>1.5803933640321095</v>
      </c>
      <c r="AG86">
        <f t="shared" si="19"/>
        <v>1.0787359445045406</v>
      </c>
      <c r="AI86">
        <f t="shared" si="20"/>
        <v>0.22033734130585278</v>
      </c>
      <c r="AJ86">
        <f t="shared" si="20"/>
        <v>3.5771692259667483E-2</v>
      </c>
      <c r="AK86">
        <f t="shared" si="20"/>
        <v>2.4416838943063391E-2</v>
      </c>
    </row>
    <row r="87" spans="1:37" x14ac:dyDescent="0.35">
      <c r="A87" s="15"/>
      <c r="B87">
        <v>5.090000107884407E-2</v>
      </c>
      <c r="C87">
        <v>5.2299998700618744E-2</v>
      </c>
      <c r="D87">
        <v>5.3199999034404755E-2</v>
      </c>
      <c r="E87">
        <v>5.3399998694658279E-2</v>
      </c>
      <c r="F87">
        <v>5.2799999713897705E-2</v>
      </c>
      <c r="G87">
        <v>5.2200000733137131E-2</v>
      </c>
      <c r="H87" s="10">
        <v>5.2000001072883606E-2</v>
      </c>
      <c r="I87">
        <v>5.1800001412630081E-2</v>
      </c>
      <c r="J87">
        <v>5.2000001072883606E-2</v>
      </c>
      <c r="K87" s="10">
        <v>5.3599998354911804E-2</v>
      </c>
      <c r="L87" s="10">
        <v>5.9999998658895493E-2</v>
      </c>
      <c r="M87">
        <v>6.9799996912479401E-2</v>
      </c>
      <c r="N87">
        <v>8.619999885559082E-2</v>
      </c>
      <c r="O87" s="10">
        <v>9.3000002205371857E-2</v>
      </c>
      <c r="P87">
        <v>8.5100002586841583E-2</v>
      </c>
      <c r="Q87">
        <v>6.759999692440033E-2</v>
      </c>
      <c r="R87">
        <v>5.429999902844429E-2</v>
      </c>
      <c r="S87">
        <v>4.7200001776218414E-2</v>
      </c>
      <c r="T87">
        <v>4.5099999755620956E-2</v>
      </c>
      <c r="U87">
        <v>4.3699998408555984E-2</v>
      </c>
      <c r="V87">
        <v>4.3299999088048935E-2</v>
      </c>
      <c r="W87">
        <f t="shared" si="22"/>
        <v>5.2783336490392685E-2</v>
      </c>
      <c r="X87">
        <f t="shared" si="23"/>
        <v>1.3049998010198273E-2</v>
      </c>
      <c r="Y87">
        <f t="shared" si="24"/>
        <v>1.9599998369812965E-2</v>
      </c>
      <c r="Z87">
        <f t="shared" si="25"/>
        <v>1.1116667961080871E-2</v>
      </c>
      <c r="AA87">
        <f t="shared" si="21"/>
        <v>0.59187720747664563</v>
      </c>
      <c r="AB87">
        <f t="shared" si="17"/>
        <v>0.10874761611223221</v>
      </c>
      <c r="AC87">
        <f t="shared" si="18"/>
        <v>7.3920186422765294E-2</v>
      </c>
      <c r="AE87">
        <f t="shared" si="19"/>
        <v>9.8646201246107612</v>
      </c>
      <c r="AF87">
        <f t="shared" si="19"/>
        <v>1.8124602685372038</v>
      </c>
      <c r="AG87">
        <f t="shared" si="19"/>
        <v>1.2320031070460884</v>
      </c>
      <c r="AI87">
        <f t="shared" si="20"/>
        <v>0.22328248358104938</v>
      </c>
      <c r="AJ87">
        <f t="shared" si="20"/>
        <v>4.1024451528682747E-2</v>
      </c>
      <c r="AK87">
        <f t="shared" si="20"/>
        <v>2.7885991558308926E-2</v>
      </c>
    </row>
    <row r="88" spans="1:37" x14ac:dyDescent="0.35">
      <c r="A88" s="15" t="s">
        <v>55</v>
      </c>
      <c r="B88">
        <v>8.8799998164176941E-2</v>
      </c>
      <c r="C88">
        <v>9.5700003206729889E-2</v>
      </c>
      <c r="D88">
        <v>0.10090000182390213</v>
      </c>
      <c r="E88">
        <v>0.10239999741315842</v>
      </c>
      <c r="F88">
        <v>0.10090000182390213</v>
      </c>
      <c r="G88">
        <v>9.9500000476837158E-2</v>
      </c>
      <c r="H88" s="10">
        <v>9.7300000488758087E-2</v>
      </c>
      <c r="I88">
        <v>9.5100000500679016E-2</v>
      </c>
      <c r="J88">
        <v>9.4499997794628143E-2</v>
      </c>
      <c r="K88" s="10">
        <v>0.10140000283718109</v>
      </c>
      <c r="L88" s="10">
        <v>0.13060000538825989</v>
      </c>
      <c r="M88">
        <v>0.17380000650882721</v>
      </c>
      <c r="N88">
        <v>0.24930000305175781</v>
      </c>
      <c r="O88" s="10">
        <v>0.28130000829696655</v>
      </c>
      <c r="P88">
        <v>0.24300000071525574</v>
      </c>
      <c r="Q88">
        <v>0.16290000081062317</v>
      </c>
      <c r="R88">
        <v>0.10270000249147415</v>
      </c>
      <c r="S88">
        <v>7.0699997246265411E-2</v>
      </c>
      <c r="T88">
        <v>6.0300000011920929E-2</v>
      </c>
      <c r="U88">
        <v>5.4800000041723251E-2</v>
      </c>
      <c r="V88">
        <v>5.3399998694658279E-2</v>
      </c>
      <c r="W88">
        <f t="shared" si="22"/>
        <v>0.24108334258198738</v>
      </c>
      <c r="X88">
        <f t="shared" si="23"/>
        <v>6.085000249246756E-2</v>
      </c>
      <c r="Y88">
        <f t="shared" si="24"/>
        <v>9.0200005099177361E-2</v>
      </c>
      <c r="Z88">
        <f t="shared" si="25"/>
        <v>5.6416667376955353E-2</v>
      </c>
      <c r="AA88">
        <f t="shared" si="21"/>
        <v>2.7020382671616971</v>
      </c>
      <c r="AB88">
        <f t="shared" si="17"/>
        <v>0.51051371961832048</v>
      </c>
      <c r="AC88">
        <f t="shared" si="18"/>
        <v>0.47506914947181944</v>
      </c>
      <c r="AE88">
        <f t="shared" si="19"/>
        <v>45.033971119361624</v>
      </c>
      <c r="AF88">
        <f t="shared" si="19"/>
        <v>8.5085619936386756</v>
      </c>
      <c r="AG88">
        <f t="shared" si="19"/>
        <v>7.9178191578636579</v>
      </c>
      <c r="AI88">
        <f t="shared" si="20"/>
        <v>1.0193293598769042</v>
      </c>
      <c r="AJ88">
        <f t="shared" si="20"/>
        <v>0.19258854670979347</v>
      </c>
      <c r="AK88">
        <f t="shared" si="20"/>
        <v>0.1792172738312281</v>
      </c>
    </row>
    <row r="89" spans="1:37" x14ac:dyDescent="0.35">
      <c r="A89" s="15"/>
      <c r="B89">
        <v>9.1300003230571747E-2</v>
      </c>
      <c r="C89">
        <v>9.8999999463558197E-2</v>
      </c>
      <c r="D89">
        <v>0.10440000146627426</v>
      </c>
      <c r="E89">
        <v>0.10589999705553055</v>
      </c>
      <c r="F89">
        <v>0.10450000315904617</v>
      </c>
      <c r="G89">
        <v>0.10289999842643738</v>
      </c>
      <c r="H89" s="10">
        <v>0.10069999843835831</v>
      </c>
      <c r="I89">
        <v>9.8399996757507324E-2</v>
      </c>
      <c r="J89">
        <v>9.7499996423721313E-2</v>
      </c>
      <c r="K89" s="10">
        <v>0.10499999672174454</v>
      </c>
      <c r="L89" s="10">
        <v>0.1363999992609024</v>
      </c>
      <c r="M89">
        <v>0.18289999663829803</v>
      </c>
      <c r="N89">
        <v>0.26350000500679016</v>
      </c>
      <c r="O89" s="10">
        <v>0.29780000448226929</v>
      </c>
      <c r="P89">
        <v>0.25670000910758972</v>
      </c>
      <c r="Q89">
        <v>0.17069999873638153</v>
      </c>
      <c r="R89">
        <v>0.10610000044107437</v>
      </c>
      <c r="S89">
        <v>7.1900002658367157E-2</v>
      </c>
      <c r="T89">
        <v>6.1099998652935028E-2</v>
      </c>
      <c r="U89">
        <v>5.5100001394748688E-2</v>
      </c>
      <c r="V89">
        <v>5.3899999707937241E-2</v>
      </c>
      <c r="W89">
        <f t="shared" si="22"/>
        <v>0.25758333876729012</v>
      </c>
      <c r="X89">
        <f t="shared" si="23"/>
        <v>6.4449996377030999E-2</v>
      </c>
      <c r="Y89">
        <f t="shared" si="24"/>
        <v>9.5999998971819878E-2</v>
      </c>
      <c r="Z89">
        <f t="shared" si="25"/>
        <v>5.9816665326555572E-2</v>
      </c>
      <c r="AA89">
        <f t="shared" si="21"/>
        <v>2.8876892334781585</v>
      </c>
      <c r="AB89">
        <f t="shared" si="17"/>
        <v>0.53785161584615704</v>
      </c>
      <c r="AC89">
        <f t="shared" si="18"/>
        <v>0.49634811375290167</v>
      </c>
      <c r="AE89">
        <f t="shared" si="19"/>
        <v>48.128153891302645</v>
      </c>
      <c r="AF89">
        <f t="shared" si="19"/>
        <v>8.9641935974359512</v>
      </c>
      <c r="AG89">
        <f t="shared" si="19"/>
        <v>8.2724685625483616</v>
      </c>
      <c r="AI89">
        <f t="shared" si="20"/>
        <v>1.0893651854074839</v>
      </c>
      <c r="AJ89">
        <f t="shared" si="20"/>
        <v>0.20290162058478839</v>
      </c>
      <c r="AK89">
        <f t="shared" si="20"/>
        <v>0.18724464831481127</v>
      </c>
    </row>
    <row r="90" spans="1:37" x14ac:dyDescent="0.35">
      <c r="A90" s="15"/>
      <c r="B90">
        <v>8.8500000536441803E-2</v>
      </c>
      <c r="C90">
        <v>9.6100002527236938E-2</v>
      </c>
      <c r="D90">
        <v>0.10180000215768814</v>
      </c>
      <c r="E90">
        <v>0.10350000113248825</v>
      </c>
      <c r="F90">
        <v>0.10209999978542328</v>
      </c>
      <c r="G90">
        <v>0.10040000081062317</v>
      </c>
      <c r="H90" s="10">
        <v>9.8499998450279236E-2</v>
      </c>
      <c r="I90">
        <v>9.6500001847743988E-2</v>
      </c>
      <c r="J90">
        <v>9.5600001513957977E-2</v>
      </c>
      <c r="K90" s="10">
        <v>0.10300000011920929</v>
      </c>
      <c r="L90" s="10">
        <v>0.13429999351501465</v>
      </c>
      <c r="M90">
        <v>0.18050000071525574</v>
      </c>
      <c r="N90">
        <v>0.26129999756813049</v>
      </c>
      <c r="O90" s="10">
        <v>0.29589998722076416</v>
      </c>
      <c r="P90">
        <v>0.2549000084400177</v>
      </c>
      <c r="Q90">
        <v>0.16920000314712524</v>
      </c>
      <c r="R90">
        <v>0.10450000315904617</v>
      </c>
      <c r="S90">
        <v>7.0299997925758362E-2</v>
      </c>
      <c r="T90">
        <v>5.9099998325109482E-2</v>
      </c>
      <c r="U90">
        <v>5.3399998694658279E-2</v>
      </c>
      <c r="V90">
        <v>5.2000001072883606E-2</v>
      </c>
      <c r="W90">
        <f t="shared" si="22"/>
        <v>0.25568332150578499</v>
      </c>
      <c r="X90">
        <f t="shared" si="23"/>
        <v>6.2449999774495758E-2</v>
      </c>
      <c r="Y90">
        <f t="shared" si="24"/>
        <v>9.3899993225932121E-2</v>
      </c>
      <c r="Z90">
        <f t="shared" si="25"/>
        <v>5.7616665338476501E-2</v>
      </c>
      <c r="AA90">
        <f t="shared" si="21"/>
        <v>2.8690750386379658</v>
      </c>
      <c r="AB90">
        <f t="shared" si="17"/>
        <v>0.50554559379816055</v>
      </c>
      <c r="AC90">
        <f t="shared" si="18"/>
        <v>0.44984317842870958</v>
      </c>
      <c r="AE90">
        <f t="shared" si="19"/>
        <v>47.817917310632765</v>
      </c>
      <c r="AF90">
        <f t="shared" si="19"/>
        <v>8.4257598966360092</v>
      </c>
      <c r="AG90">
        <f t="shared" si="19"/>
        <v>7.4973863071451605</v>
      </c>
      <c r="AI90">
        <f t="shared" si="20"/>
        <v>1.0823430808201169</v>
      </c>
      <c r="AJ90">
        <f t="shared" si="20"/>
        <v>0.19071434804517903</v>
      </c>
      <c r="AK90">
        <f t="shared" si="20"/>
        <v>0.16970091233918425</v>
      </c>
    </row>
    <row r="91" spans="1:37" x14ac:dyDescent="0.35">
      <c r="A91" s="15" t="s">
        <v>56</v>
      </c>
      <c r="B91">
        <v>6.1000000685453415E-2</v>
      </c>
      <c r="C91">
        <v>6.4400002360343933E-2</v>
      </c>
      <c r="D91">
        <v>6.6699996590614319E-2</v>
      </c>
      <c r="E91">
        <v>6.719999760389328E-2</v>
      </c>
      <c r="F91">
        <v>6.6299997270107269E-2</v>
      </c>
      <c r="G91">
        <v>6.549999862909317E-2</v>
      </c>
      <c r="H91" s="10">
        <v>6.4900003373622894E-2</v>
      </c>
      <c r="I91">
        <v>6.4099997282028198E-2</v>
      </c>
      <c r="J91">
        <v>6.4000003039836884E-2</v>
      </c>
      <c r="K91" s="10">
        <v>6.7400000989437103E-2</v>
      </c>
      <c r="L91" s="10">
        <v>8.1100001931190491E-2</v>
      </c>
      <c r="M91">
        <v>0.10130000114440918</v>
      </c>
      <c r="N91">
        <v>0.13600000739097595</v>
      </c>
      <c r="O91" s="10">
        <v>0.15090000629425049</v>
      </c>
      <c r="P91">
        <v>0.13400000333786011</v>
      </c>
      <c r="Q91">
        <v>9.6500001847743988E-2</v>
      </c>
      <c r="R91">
        <v>6.759999692440033E-2</v>
      </c>
      <c r="S91">
        <v>5.2099999040365219E-2</v>
      </c>
      <c r="T91">
        <v>4.6999998390674591E-2</v>
      </c>
      <c r="U91">
        <v>4.4300001114606857E-2</v>
      </c>
      <c r="V91">
        <v>4.3600000441074371E-2</v>
      </c>
      <c r="W91">
        <f t="shared" si="22"/>
        <v>0.11068334057927132</v>
      </c>
      <c r="X91">
        <f t="shared" si="23"/>
        <v>2.6850000644723572E-2</v>
      </c>
      <c r="Y91">
        <f t="shared" si="24"/>
        <v>4.0700001642107964E-2</v>
      </c>
      <c r="Z91">
        <f t="shared" si="25"/>
        <v>2.401667026182016E-2</v>
      </c>
      <c r="AA91">
        <f t="shared" si="21"/>
        <v>1.2419012499414384</v>
      </c>
      <c r="AB91">
        <f t="shared" si="17"/>
        <v>0.21989366024732593</v>
      </c>
      <c r="AC91">
        <f t="shared" si="18"/>
        <v>0.17219722721725705</v>
      </c>
      <c r="AE91">
        <f t="shared" si="19"/>
        <v>20.698354165690642</v>
      </c>
      <c r="AF91">
        <f t="shared" si="19"/>
        <v>3.6648943374554324</v>
      </c>
      <c r="AG91">
        <f t="shared" si="19"/>
        <v>2.8699537869542846</v>
      </c>
      <c r="AI91">
        <f t="shared" si="20"/>
        <v>0.46850054698258581</v>
      </c>
      <c r="AJ91">
        <f t="shared" si="20"/>
        <v>8.2953697090435319E-2</v>
      </c>
      <c r="AK91">
        <f t="shared" si="20"/>
        <v>6.4960475032917256E-2</v>
      </c>
    </row>
    <row r="92" spans="1:37" x14ac:dyDescent="0.35">
      <c r="A92" s="15"/>
      <c r="B92">
        <v>6.120000034570694E-2</v>
      </c>
      <c r="C92">
        <v>6.4800001680850983E-2</v>
      </c>
      <c r="D92">
        <v>6.719999760389328E-2</v>
      </c>
      <c r="E92">
        <v>6.7699998617172241E-2</v>
      </c>
      <c r="F92">
        <v>6.7000001668930054E-2</v>
      </c>
      <c r="G92">
        <v>6.6399998962879181E-2</v>
      </c>
      <c r="H92" s="10">
        <v>6.5700002014636993E-2</v>
      </c>
      <c r="I92">
        <v>6.4900003373622894E-2</v>
      </c>
      <c r="J92">
        <v>6.4900003373622894E-2</v>
      </c>
      <c r="K92" s="10">
        <v>6.849999725818634E-2</v>
      </c>
      <c r="L92" s="10">
        <v>8.2900002598762512E-2</v>
      </c>
      <c r="M92">
        <v>0.1039000004529953</v>
      </c>
      <c r="N92">
        <v>0.14000000059604645</v>
      </c>
      <c r="O92" s="10">
        <v>0.15559999644756317</v>
      </c>
      <c r="P92">
        <v>0.13819999992847443</v>
      </c>
      <c r="Q92">
        <v>9.9399998784065247E-2</v>
      </c>
      <c r="R92">
        <v>6.9499999284744263E-2</v>
      </c>
      <c r="S92">
        <v>5.3500000387430191E-2</v>
      </c>
      <c r="T92">
        <v>4.830000177025795E-2</v>
      </c>
      <c r="U92">
        <v>4.5499999076128006E-2</v>
      </c>
      <c r="V92">
        <v>4.479999840259552E-2</v>
      </c>
      <c r="W92">
        <f t="shared" si="22"/>
        <v>0.115383330732584</v>
      </c>
      <c r="X92">
        <f t="shared" si="23"/>
        <v>2.7949996913472809E-2</v>
      </c>
      <c r="Y92">
        <f t="shared" si="24"/>
        <v>4.2500002309679985E-2</v>
      </c>
      <c r="Z92">
        <f t="shared" si="25"/>
        <v>2.4816668902834259E-2</v>
      </c>
      <c r="AA92">
        <f t="shared" si="21"/>
        <v>1.2944981311820447</v>
      </c>
      <c r="AB92">
        <f t="shared" si="17"/>
        <v>0.23069172799587245</v>
      </c>
      <c r="AC92">
        <f t="shared" si="18"/>
        <v>0.17415423084050424</v>
      </c>
      <c r="AE92">
        <f t="shared" si="19"/>
        <v>21.574968853034079</v>
      </c>
      <c r="AF92">
        <f t="shared" si="19"/>
        <v>3.8448621332645412</v>
      </c>
      <c r="AG92">
        <f t="shared" si="19"/>
        <v>2.9025705140084042</v>
      </c>
      <c r="AI92">
        <f t="shared" si="20"/>
        <v>0.48834243669158167</v>
      </c>
      <c r="AJ92">
        <f t="shared" si="20"/>
        <v>8.7027209897341362E-2</v>
      </c>
      <c r="AK92">
        <f t="shared" si="20"/>
        <v>6.5698744092539701E-2</v>
      </c>
    </row>
    <row r="93" spans="1:37" x14ac:dyDescent="0.35">
      <c r="A93" s="15"/>
      <c r="B93">
        <v>5.9599999338388443E-2</v>
      </c>
      <c r="C93">
        <v>6.2799997627735138E-2</v>
      </c>
      <c r="D93">
        <v>6.5099999308586121E-2</v>
      </c>
      <c r="E93">
        <v>6.5399996936321259E-2</v>
      </c>
      <c r="F93">
        <v>6.4400002360343933E-2</v>
      </c>
      <c r="G93">
        <v>6.3699997961521149E-2</v>
      </c>
      <c r="H93" s="10">
        <v>6.2799997627735138E-2</v>
      </c>
      <c r="I93">
        <v>6.1999998986721039E-2</v>
      </c>
      <c r="J93">
        <v>6.1900001019239426E-2</v>
      </c>
      <c r="K93" s="10">
        <v>6.5600000321865082E-2</v>
      </c>
      <c r="L93" s="10">
        <v>7.9599998891353607E-2</v>
      </c>
      <c r="M93">
        <v>0.10010000318288803</v>
      </c>
      <c r="N93">
        <v>0.13549999892711639</v>
      </c>
      <c r="O93" s="10">
        <v>0.15070000290870667</v>
      </c>
      <c r="P93">
        <v>0.13359999656677246</v>
      </c>
      <c r="Q93">
        <v>9.5700003206729889E-2</v>
      </c>
      <c r="R93">
        <v>6.6299997270107269E-2</v>
      </c>
      <c r="S93">
        <v>5.0500001758337021E-2</v>
      </c>
      <c r="T93">
        <v>4.5400001108646393E-2</v>
      </c>
      <c r="U93">
        <v>4.2599998414516449E-2</v>
      </c>
      <c r="V93">
        <v>4.2199999094009399E-2</v>
      </c>
      <c r="W93">
        <f t="shared" si="22"/>
        <v>0.11048333719372749</v>
      </c>
      <c r="X93">
        <f t="shared" si="23"/>
        <v>2.5049999977151551E-2</v>
      </c>
      <c r="Y93">
        <f t="shared" si="24"/>
        <v>3.919999860227108E-2</v>
      </c>
      <c r="Z93">
        <f t="shared" si="25"/>
        <v>2.1916664515932403E-2</v>
      </c>
      <c r="AA93">
        <f t="shared" si="21"/>
        <v>1.2424102154187857</v>
      </c>
      <c r="AB93">
        <f t="shared" si="17"/>
        <v>0.19045361697673791</v>
      </c>
      <c r="AC93">
        <f t="shared" si="18"/>
        <v>0.12178709987550984</v>
      </c>
      <c r="AE93">
        <f t="shared" si="19"/>
        <v>20.706836923646431</v>
      </c>
      <c r="AF93">
        <f t="shared" si="19"/>
        <v>3.1742269496122986</v>
      </c>
      <c r="AG93">
        <f t="shared" si="19"/>
        <v>2.0297849979251641</v>
      </c>
      <c r="AI93">
        <f t="shared" si="20"/>
        <v>0.46869255146325106</v>
      </c>
      <c r="AJ93">
        <f t="shared" si="20"/>
        <v>7.1847599583800326E-2</v>
      </c>
      <c r="AK93">
        <f t="shared" si="20"/>
        <v>4.5943526435608062E-2</v>
      </c>
    </row>
    <row r="94" spans="1:37" s="3" customFormat="1" x14ac:dyDescent="0.35">
      <c r="W94" s="3">
        <f t="shared" si="22"/>
        <v>-4.0216665714979172E-2</v>
      </c>
      <c r="X94" s="3">
        <f t="shared" si="23"/>
        <v>-4.0550000344713531E-2</v>
      </c>
      <c r="Y94" s="3">
        <f t="shared" si="24"/>
        <v>-4.0400000289082527E-2</v>
      </c>
      <c r="Z94" s="3">
        <f t="shared" si="25"/>
        <v>-4.0883333111802735E-2</v>
      </c>
      <c r="AA94" s="3">
        <f t="shared" si="21"/>
        <v>-0.40181282142177221</v>
      </c>
      <c r="AB94" s="3">
        <f t="shared" si="17"/>
        <v>-0.60135234445333474</v>
      </c>
      <c r="AC94" s="3">
        <f t="shared" si="18"/>
        <v>-0.84590983148664223</v>
      </c>
      <c r="AE94" s="3">
        <f t="shared" si="19"/>
        <v>-6.6968803570295377</v>
      </c>
      <c r="AF94" s="3">
        <f t="shared" si="19"/>
        <v>-10.022539074222246</v>
      </c>
      <c r="AG94" s="3">
        <f t="shared" si="19"/>
        <v>-14.098497191444038</v>
      </c>
      <c r="AI94" s="3">
        <f t="shared" si="20"/>
        <v>-0.15158171926277814</v>
      </c>
      <c r="AJ94" s="3">
        <f t="shared" si="20"/>
        <v>-0.22685692789095172</v>
      </c>
      <c r="AK94" s="3">
        <f t="shared" si="20"/>
        <v>-0.31911492058497143</v>
      </c>
    </row>
    <row r="95" spans="1:37" x14ac:dyDescent="0.35">
      <c r="A95" s="16" t="s">
        <v>57</v>
      </c>
      <c r="B95">
        <v>7.2899997234344482E-2</v>
      </c>
      <c r="C95">
        <v>7.8000001609325409E-2</v>
      </c>
      <c r="D95">
        <v>8.1600002944469452E-2</v>
      </c>
      <c r="E95">
        <v>8.2199998199939728E-2</v>
      </c>
      <c r="F95">
        <v>8.060000091791153E-2</v>
      </c>
      <c r="G95">
        <v>7.9099997878074646E-2</v>
      </c>
      <c r="H95" s="10">
        <v>7.7600002288818359E-2</v>
      </c>
      <c r="I95">
        <v>7.6300002634525299E-2</v>
      </c>
      <c r="J95">
        <v>7.5400002300739288E-2</v>
      </c>
      <c r="K95" s="10">
        <v>8.020000159740448E-2</v>
      </c>
      <c r="L95" s="10">
        <v>0.10140000283718109</v>
      </c>
      <c r="M95">
        <v>0.13330000638961792</v>
      </c>
      <c r="N95">
        <v>0.18940000236034393</v>
      </c>
      <c r="O95" s="10">
        <v>0.21439999341964722</v>
      </c>
      <c r="P95">
        <v>0.1882999986410141</v>
      </c>
      <c r="Q95">
        <v>0.12919999659061432</v>
      </c>
      <c r="R95">
        <v>8.3400003612041473E-2</v>
      </c>
      <c r="S95">
        <v>5.9000000357627869E-2</v>
      </c>
      <c r="T95">
        <v>5.090000107884407E-2</v>
      </c>
      <c r="U95">
        <v>4.6799998730421066E-2</v>
      </c>
      <c r="V95">
        <v>4.5899998396635056E-2</v>
      </c>
      <c r="W95">
        <f t="shared" si="22"/>
        <v>0.17418332770466805</v>
      </c>
      <c r="X95">
        <f t="shared" si="23"/>
        <v>3.9650001252690949E-2</v>
      </c>
      <c r="Y95">
        <f t="shared" si="24"/>
        <v>6.1000002548098564E-2</v>
      </c>
      <c r="Z95">
        <f t="shared" si="25"/>
        <v>3.6716669177015625E-2</v>
      </c>
      <c r="AA95">
        <f t="shared" si="21"/>
        <v>1.9602770945988597</v>
      </c>
      <c r="AB95">
        <f t="shared" si="17"/>
        <v>0.28395174950361257</v>
      </c>
      <c r="AC95">
        <f t="shared" si="18"/>
        <v>0.24471424881368886</v>
      </c>
      <c r="AE95">
        <f t="shared" si="19"/>
        <v>32.671284909980997</v>
      </c>
      <c r="AF95">
        <f t="shared" si="19"/>
        <v>4.7325291583935432</v>
      </c>
      <c r="AG95">
        <f t="shared" si="19"/>
        <v>4.0785708135614813</v>
      </c>
      <c r="AI95">
        <f t="shared" si="20"/>
        <v>0.73950395903080579</v>
      </c>
      <c r="AJ95">
        <f t="shared" si="20"/>
        <v>0.10711926569473841</v>
      </c>
      <c r="AK95">
        <f t="shared" si="20"/>
        <v>9.2317130230001848E-2</v>
      </c>
    </row>
    <row r="96" spans="1:37" x14ac:dyDescent="0.35">
      <c r="A96" s="16"/>
      <c r="B96">
        <v>7.3799997568130493E-2</v>
      </c>
      <c r="C96">
        <v>7.9199999570846558E-2</v>
      </c>
      <c r="D96">
        <v>8.2999996840953827E-2</v>
      </c>
      <c r="E96">
        <v>8.3700001239776611E-2</v>
      </c>
      <c r="F96">
        <v>8.2199998199939728E-2</v>
      </c>
      <c r="G96">
        <v>8.1000000238418579E-2</v>
      </c>
      <c r="H96" s="10">
        <v>7.9499997198581696E-2</v>
      </c>
      <c r="I96">
        <v>7.8100003302097321E-2</v>
      </c>
      <c r="J96">
        <v>7.7299997210502625E-2</v>
      </c>
      <c r="K96" s="10">
        <v>8.2400001585483551E-2</v>
      </c>
      <c r="L96" s="10">
        <v>0.10419999808073044</v>
      </c>
      <c r="M96">
        <v>0.13699999451637268</v>
      </c>
      <c r="N96">
        <v>0.19449999928474426</v>
      </c>
      <c r="O96" s="10">
        <v>0.22030000388622284</v>
      </c>
      <c r="P96">
        <v>0.19339999556541443</v>
      </c>
      <c r="Q96">
        <v>0.13240000605583191</v>
      </c>
      <c r="R96">
        <v>8.5199996829032898E-2</v>
      </c>
      <c r="S96">
        <v>5.9799998998641968E-2</v>
      </c>
      <c r="T96">
        <v>5.1500000059604645E-2</v>
      </c>
      <c r="U96">
        <v>4.7100000083446503E-2</v>
      </c>
      <c r="V96">
        <v>4.6100001782178879E-2</v>
      </c>
      <c r="W96">
        <f t="shared" si="22"/>
        <v>0.18008333817124367</v>
      </c>
      <c r="X96">
        <f t="shared" si="23"/>
        <v>4.185000124077002E-2</v>
      </c>
      <c r="Y96">
        <f t="shared" si="24"/>
        <v>6.3799997791647911E-2</v>
      </c>
      <c r="Z96">
        <f t="shared" si="25"/>
        <v>3.8616664086778961E-2</v>
      </c>
      <c r="AA96">
        <f t="shared" si="21"/>
        <v>2.0252602286450565</v>
      </c>
      <c r="AB96">
        <f t="shared" si="17"/>
        <v>0.3085095950961112</v>
      </c>
      <c r="AC96">
        <f t="shared" si="18"/>
        <v>0.26899108577519659</v>
      </c>
      <c r="AE96">
        <f t="shared" si="19"/>
        <v>33.754337144084275</v>
      </c>
      <c r="AF96">
        <f t="shared" si="19"/>
        <v>5.1418265849351874</v>
      </c>
      <c r="AG96">
        <f t="shared" si="19"/>
        <v>4.4831847629199437</v>
      </c>
      <c r="AI96">
        <f t="shared" si="20"/>
        <v>0.76401849579185777</v>
      </c>
      <c r="AJ96">
        <f t="shared" si="20"/>
        <v>0.11638358046480732</v>
      </c>
      <c r="AK96">
        <f t="shared" si="20"/>
        <v>0.10147543600995798</v>
      </c>
    </row>
    <row r="97" spans="1:37" x14ac:dyDescent="0.35">
      <c r="A97" s="16"/>
      <c r="B97">
        <v>7.7299997210502625E-2</v>
      </c>
      <c r="C97">
        <v>8.2599997520446777E-2</v>
      </c>
      <c r="D97">
        <v>8.6400002241134644E-2</v>
      </c>
      <c r="E97">
        <v>8.6999997496604919E-2</v>
      </c>
      <c r="F97">
        <v>8.529999852180481E-2</v>
      </c>
      <c r="G97">
        <v>8.4100000560283661E-2</v>
      </c>
      <c r="H97" s="10">
        <v>8.2400001585483551E-2</v>
      </c>
      <c r="I97">
        <v>8.1000000238418579E-2</v>
      </c>
      <c r="J97">
        <v>8.0099999904632568E-2</v>
      </c>
      <c r="K97" s="10">
        <v>8.5000000894069672E-2</v>
      </c>
      <c r="L97" s="10">
        <v>0.10679999738931656</v>
      </c>
      <c r="M97">
        <v>0.13930000364780426</v>
      </c>
      <c r="N97">
        <v>0.19689999520778656</v>
      </c>
      <c r="O97" s="10">
        <v>0.22280000150203705</v>
      </c>
      <c r="P97">
        <v>0.19599999487400055</v>
      </c>
      <c r="Q97">
        <v>0.13500000536441803</v>
      </c>
      <c r="R97">
        <v>8.7399996817111969E-2</v>
      </c>
      <c r="S97">
        <v>6.1900001019239426E-2</v>
      </c>
      <c r="T97">
        <v>5.3500000387430191E-2</v>
      </c>
      <c r="U97">
        <v>4.8999998718500137E-2</v>
      </c>
      <c r="V97">
        <v>4.7899998724460602E-2</v>
      </c>
      <c r="W97">
        <f t="shared" si="22"/>
        <v>0.18258333578705788</v>
      </c>
      <c r="X97">
        <f t="shared" si="23"/>
        <v>4.445000054935614E-2</v>
      </c>
      <c r="Y97">
        <f t="shared" si="24"/>
        <v>6.6399997100234032E-2</v>
      </c>
      <c r="Z97">
        <f t="shared" si="25"/>
        <v>4.1516668473680816E-2</v>
      </c>
      <c r="AA97">
        <f t="shared" si="21"/>
        <v>2.050067201536149</v>
      </c>
      <c r="AB97">
        <f t="shared" si="17"/>
        <v>0.34769559413194662</v>
      </c>
      <c r="AC97">
        <f t="shared" si="18"/>
        <v>0.33031020153313873</v>
      </c>
      <c r="AE97">
        <f t="shared" si="19"/>
        <v>34.167786692269154</v>
      </c>
      <c r="AF97">
        <f t="shared" si="19"/>
        <v>5.794926568865777</v>
      </c>
      <c r="AG97">
        <f t="shared" si="19"/>
        <v>5.5051700255523128</v>
      </c>
      <c r="AI97">
        <f t="shared" si="20"/>
        <v>0.77337679249137969</v>
      </c>
      <c r="AJ97">
        <f t="shared" si="20"/>
        <v>0.13116628720836979</v>
      </c>
      <c r="AK97">
        <f t="shared" si="20"/>
        <v>0.12460774163767119</v>
      </c>
    </row>
    <row r="98" spans="1:37" x14ac:dyDescent="0.35">
      <c r="A98" s="16" t="s">
        <v>58</v>
      </c>
      <c r="B98">
        <v>7.0699997246265411E-2</v>
      </c>
      <c r="C98">
        <v>7.590000331401825E-2</v>
      </c>
      <c r="D98">
        <v>7.9899996519088745E-2</v>
      </c>
      <c r="E98">
        <v>8.1000000238418579E-2</v>
      </c>
      <c r="F98">
        <v>8.020000159740448E-2</v>
      </c>
      <c r="G98">
        <v>7.890000194311142E-2</v>
      </c>
      <c r="H98" s="10">
        <v>7.7699996531009674E-2</v>
      </c>
      <c r="I98">
        <v>7.6099999248981476E-2</v>
      </c>
      <c r="J98">
        <v>7.5000002980232239E-2</v>
      </c>
      <c r="K98" s="10">
        <v>7.9899996519088745E-2</v>
      </c>
      <c r="L98" s="10">
        <v>0.10149999707937241</v>
      </c>
      <c r="M98">
        <v>0.13400000333786011</v>
      </c>
      <c r="N98">
        <v>0.19050000607967377</v>
      </c>
      <c r="O98" s="10">
        <v>0.2151000052690506</v>
      </c>
      <c r="P98">
        <v>0.18840000033378601</v>
      </c>
      <c r="Q98">
        <v>0.12860000133514404</v>
      </c>
      <c r="R98">
        <v>8.2199998199939728E-2</v>
      </c>
      <c r="S98">
        <v>5.7199999690055847E-2</v>
      </c>
      <c r="T98">
        <v>4.8700001090764999E-2</v>
      </c>
      <c r="U98">
        <v>4.4500000774860382E-2</v>
      </c>
      <c r="V98">
        <v>4.3400000780820847E-2</v>
      </c>
      <c r="W98">
        <f t="shared" si="22"/>
        <v>0.17488333955407143</v>
      </c>
      <c r="X98">
        <f t="shared" si="23"/>
        <v>3.9349996174375214E-2</v>
      </c>
      <c r="Y98">
        <f t="shared" si="24"/>
        <v>6.1099996790289879E-2</v>
      </c>
      <c r="Z98">
        <f t="shared" si="25"/>
        <v>3.6816663419206939E-2</v>
      </c>
      <c r="AA98">
        <f t="shared" si="21"/>
        <v>1.9684352470748125</v>
      </c>
      <c r="AB98">
        <f t="shared" si="17"/>
        <v>0.28213756710290916</v>
      </c>
      <c r="AC98">
        <f t="shared" si="18"/>
        <v>0.24453906435519457</v>
      </c>
      <c r="AE98">
        <f t="shared" si="19"/>
        <v>32.807254117913544</v>
      </c>
      <c r="AF98">
        <f t="shared" si="19"/>
        <v>4.7022927850484866</v>
      </c>
      <c r="AG98">
        <f t="shared" si="19"/>
        <v>4.0756510725865764</v>
      </c>
      <c r="AI98">
        <f t="shared" si="20"/>
        <v>0.7425815780424071</v>
      </c>
      <c r="AJ98">
        <f t="shared" si="20"/>
        <v>0.10643487517085755</v>
      </c>
      <c r="AK98">
        <f t="shared" si="20"/>
        <v>9.2251042838084579E-2</v>
      </c>
    </row>
    <row r="99" spans="1:37" x14ac:dyDescent="0.35">
      <c r="A99" s="16"/>
      <c r="B99">
        <v>7.1400001645088196E-2</v>
      </c>
      <c r="C99">
        <v>7.7100001275539398E-2</v>
      </c>
      <c r="D99">
        <v>8.1299997866153717E-2</v>
      </c>
      <c r="E99">
        <v>8.2500003278255463E-2</v>
      </c>
      <c r="F99">
        <v>8.1399999558925629E-2</v>
      </c>
      <c r="G99">
        <v>8.0399997532367706E-2</v>
      </c>
      <c r="H99" s="10">
        <v>7.8800000250339508E-2</v>
      </c>
      <c r="I99">
        <v>7.7100001275539398E-2</v>
      </c>
      <c r="J99">
        <v>7.6099999248981476E-2</v>
      </c>
      <c r="K99" s="10">
        <v>8.1299997866153717E-2</v>
      </c>
      <c r="L99" s="10">
        <v>0.10440000146627426</v>
      </c>
      <c r="M99">
        <v>0.13910000026226044</v>
      </c>
      <c r="N99">
        <v>0.19930000603199005</v>
      </c>
      <c r="O99" s="10">
        <v>0.22540000081062317</v>
      </c>
      <c r="P99">
        <v>0.19670000672340393</v>
      </c>
      <c r="Q99">
        <v>0.13300000131130219</v>
      </c>
      <c r="R99">
        <v>8.3700001239776611E-2</v>
      </c>
      <c r="S99">
        <v>5.7199999690055847E-2</v>
      </c>
      <c r="T99">
        <v>4.8500001430511475E-2</v>
      </c>
      <c r="U99">
        <v>4.3800000101327896E-2</v>
      </c>
      <c r="V99">
        <v>4.2800001800060272E-2</v>
      </c>
      <c r="W99">
        <f t="shared" si="22"/>
        <v>0.185183335095644</v>
      </c>
      <c r="X99">
        <f t="shared" si="23"/>
        <v>4.0749997521440186E-2</v>
      </c>
      <c r="Y99">
        <f t="shared" si="24"/>
        <v>6.4000001177191734E-2</v>
      </c>
      <c r="Z99">
        <f t="shared" si="25"/>
        <v>3.7916667138536773E-2</v>
      </c>
      <c r="AA99">
        <f t="shared" si="21"/>
        <v>2.0857171854190528</v>
      </c>
      <c r="AB99">
        <f t="shared" si="17"/>
        <v>0.28453168094158166</v>
      </c>
      <c r="AC99">
        <f t="shared" si="18"/>
        <v>0.23291617158800371</v>
      </c>
      <c r="AE99">
        <f t="shared" si="19"/>
        <v>34.761953090317547</v>
      </c>
      <c r="AF99">
        <f t="shared" si="19"/>
        <v>4.7421946823596945</v>
      </c>
      <c r="AG99">
        <f t="shared" si="19"/>
        <v>3.8819361931333956</v>
      </c>
      <c r="AI99">
        <f t="shared" si="20"/>
        <v>0.78682555659387843</v>
      </c>
      <c r="AJ99">
        <f t="shared" si="20"/>
        <v>0.10733804170121536</v>
      </c>
      <c r="AK99">
        <f t="shared" si="20"/>
        <v>8.7866369242494247E-2</v>
      </c>
    </row>
    <row r="100" spans="1:37" x14ac:dyDescent="0.35">
      <c r="A100" s="16"/>
      <c r="B100">
        <v>7.1699999272823334E-2</v>
      </c>
      <c r="C100">
        <v>7.720000296831131E-2</v>
      </c>
      <c r="D100">
        <v>8.1399999558925629E-2</v>
      </c>
      <c r="E100">
        <v>8.2699999213218689E-2</v>
      </c>
      <c r="F100">
        <v>8.1600002944469452E-2</v>
      </c>
      <c r="G100">
        <v>8.060000091791153E-2</v>
      </c>
      <c r="H100" s="10">
        <v>7.9000003635883331E-2</v>
      </c>
      <c r="I100">
        <v>7.720000296831131E-2</v>
      </c>
      <c r="J100">
        <v>7.6200000941753387E-2</v>
      </c>
      <c r="K100" s="10">
        <v>8.1299997866153717E-2</v>
      </c>
      <c r="L100" s="10">
        <v>0.10440000146627426</v>
      </c>
      <c r="M100">
        <v>0.13889999687671661</v>
      </c>
      <c r="N100">
        <v>0.19930000603199005</v>
      </c>
      <c r="O100" s="10">
        <v>0.22550000250339508</v>
      </c>
      <c r="P100">
        <v>0.19679999351501465</v>
      </c>
      <c r="Q100">
        <v>0.13330000638961792</v>
      </c>
      <c r="R100">
        <v>8.3999998867511749E-2</v>
      </c>
      <c r="S100">
        <v>5.7500001043081284E-2</v>
      </c>
      <c r="T100">
        <v>4.8599999397993088E-2</v>
      </c>
      <c r="U100">
        <v>4.4199999421834946E-2</v>
      </c>
      <c r="V100">
        <v>4.3000001460313797E-2</v>
      </c>
      <c r="W100">
        <f t="shared" si="22"/>
        <v>0.18528333678841591</v>
      </c>
      <c r="X100">
        <f t="shared" si="23"/>
        <v>4.0749997521440186E-2</v>
      </c>
      <c r="Y100">
        <f t="shared" si="24"/>
        <v>6.4000001177191734E-2</v>
      </c>
      <c r="Z100">
        <f t="shared" si="25"/>
        <v>3.8116670524080597E-2</v>
      </c>
      <c r="AA100">
        <f t="shared" si="21"/>
        <v>2.0869102056138216</v>
      </c>
      <c r="AB100">
        <f t="shared" si="17"/>
        <v>0.28398167163133614</v>
      </c>
      <c r="AC100">
        <f t="shared" si="18"/>
        <v>0.23741524774581202</v>
      </c>
      <c r="AE100">
        <f t="shared" si="19"/>
        <v>34.781836760230362</v>
      </c>
      <c r="AF100">
        <f t="shared" si="19"/>
        <v>4.7330278605222693</v>
      </c>
      <c r="AG100">
        <f t="shared" si="19"/>
        <v>3.9569207957635339</v>
      </c>
      <c r="AI100">
        <f t="shared" si="20"/>
        <v>0.78727561702649074</v>
      </c>
      <c r="AJ100">
        <f t="shared" si="20"/>
        <v>0.10713055365600428</v>
      </c>
      <c r="AK100">
        <f t="shared" si="20"/>
        <v>8.956362145232083E-2</v>
      </c>
    </row>
    <row r="101" spans="1:37" x14ac:dyDescent="0.35">
      <c r="A101" s="16" t="s">
        <v>59</v>
      </c>
      <c r="B101">
        <v>5.7700000703334808E-2</v>
      </c>
      <c r="C101">
        <v>6.0400001704692841E-2</v>
      </c>
      <c r="D101">
        <v>6.210000067949295E-2</v>
      </c>
      <c r="E101">
        <v>6.2300000339746475E-2</v>
      </c>
      <c r="F101">
        <v>6.1599999666213989E-2</v>
      </c>
      <c r="G101">
        <v>6.1099998652935028E-2</v>
      </c>
      <c r="H101" s="10">
        <v>6.0600001364946365E-2</v>
      </c>
      <c r="I101">
        <v>6.0100000351667404E-2</v>
      </c>
      <c r="J101">
        <v>5.9900000691413879E-2</v>
      </c>
      <c r="K101" s="10">
        <v>6.2199998646974564E-2</v>
      </c>
      <c r="L101" s="10">
        <v>7.1199998259544373E-2</v>
      </c>
      <c r="M101">
        <v>8.7200000882148743E-2</v>
      </c>
      <c r="N101">
        <v>0.11289999634027481</v>
      </c>
      <c r="O101" s="10">
        <v>0.12409999966621399</v>
      </c>
      <c r="P101">
        <v>0.11190000176429749</v>
      </c>
      <c r="Q101">
        <v>8.449999988079071E-2</v>
      </c>
      <c r="R101">
        <v>6.289999932050705E-2</v>
      </c>
      <c r="S101">
        <v>5.1399998366832733E-2</v>
      </c>
      <c r="T101">
        <v>4.7600001096725464E-2</v>
      </c>
      <c r="U101">
        <v>4.5499999076128006E-2</v>
      </c>
      <c r="V101">
        <v>4.5000001788139343E-2</v>
      </c>
      <c r="W101">
        <f t="shared" si="22"/>
        <v>8.3883333951234818E-2</v>
      </c>
      <c r="X101">
        <f t="shared" si="23"/>
        <v>2.1649998302261032E-2</v>
      </c>
      <c r="Y101">
        <f t="shared" si="24"/>
        <v>3.0799997970461845E-2</v>
      </c>
      <c r="Z101">
        <f t="shared" si="25"/>
        <v>1.9716668253143631E-2</v>
      </c>
      <c r="AA101">
        <f t="shared" si="21"/>
        <v>0.94128417795524011</v>
      </c>
      <c r="AB101">
        <f t="shared" si="17"/>
        <v>0.16572962194681162</v>
      </c>
      <c r="AC101">
        <f t="shared" si="18"/>
        <v>0.16741320300847295</v>
      </c>
      <c r="AE101">
        <f t="shared" si="19"/>
        <v>15.688069632587336</v>
      </c>
      <c r="AF101">
        <f t="shared" si="19"/>
        <v>2.7621603657801939</v>
      </c>
      <c r="AG101">
        <f t="shared" si="19"/>
        <v>2.7902200501412162</v>
      </c>
      <c r="AI101">
        <f t="shared" si="20"/>
        <v>0.35509437828400486</v>
      </c>
      <c r="AJ101">
        <f t="shared" si="20"/>
        <v>6.2520605834771245E-2</v>
      </c>
      <c r="AK101">
        <f t="shared" si="20"/>
        <v>6.3155727708040205E-2</v>
      </c>
    </row>
    <row r="102" spans="1:37" x14ac:dyDescent="0.35">
      <c r="A102" s="16"/>
      <c r="B102">
        <v>5.7999998331069946E-2</v>
      </c>
      <c r="C102">
        <v>6.0600001364946365E-2</v>
      </c>
      <c r="D102">
        <v>6.2399998307228088E-2</v>
      </c>
      <c r="E102">
        <v>6.2700003385543823E-2</v>
      </c>
      <c r="F102">
        <v>6.1900001019239426E-2</v>
      </c>
      <c r="G102">
        <v>6.1400000005960464E-2</v>
      </c>
      <c r="H102" s="10">
        <v>6.0899998992681503E-2</v>
      </c>
      <c r="I102">
        <v>6.0100000351667404E-2</v>
      </c>
      <c r="J102">
        <v>5.9900000691413879E-2</v>
      </c>
      <c r="K102" s="10">
        <v>6.2300000339746475E-2</v>
      </c>
      <c r="L102" s="10">
        <v>7.1500003337860107E-2</v>
      </c>
      <c r="M102">
        <v>8.7499998509883881E-2</v>
      </c>
      <c r="N102">
        <v>0.11379999667406082</v>
      </c>
      <c r="O102" s="10">
        <v>0.12510000169277191</v>
      </c>
      <c r="P102">
        <v>0.1128000020980835</v>
      </c>
      <c r="Q102">
        <v>8.4799997508525848E-2</v>
      </c>
      <c r="R102">
        <v>6.2799997627735138E-2</v>
      </c>
      <c r="S102">
        <v>5.1100000739097595E-2</v>
      </c>
      <c r="T102">
        <v>4.7100000083446503E-2</v>
      </c>
      <c r="U102">
        <v>4.479999840259552E-2</v>
      </c>
      <c r="V102">
        <v>4.4300001114606857E-2</v>
      </c>
      <c r="W102">
        <f t="shared" si="22"/>
        <v>8.488333597779274E-2</v>
      </c>
      <c r="X102">
        <f t="shared" si="23"/>
        <v>2.1749999995032944E-2</v>
      </c>
      <c r="Y102">
        <f t="shared" si="24"/>
        <v>3.110000304877758E-2</v>
      </c>
      <c r="Z102">
        <f t="shared" si="25"/>
        <v>2.0016665880878769E-2</v>
      </c>
      <c r="AA102">
        <f t="shared" si="21"/>
        <v>0.95263519233092653</v>
      </c>
      <c r="AB102">
        <f t="shared" si="17"/>
        <v>0.16633771419525145</v>
      </c>
      <c r="AC102">
        <f t="shared" si="18"/>
        <v>0.17099113766103985</v>
      </c>
      <c r="AE102">
        <f t="shared" si="19"/>
        <v>15.877253205515443</v>
      </c>
      <c r="AF102">
        <f t="shared" si="19"/>
        <v>2.7722952365875244</v>
      </c>
      <c r="AG102">
        <f t="shared" si="19"/>
        <v>2.8498522943506646</v>
      </c>
      <c r="AI102">
        <f t="shared" si="20"/>
        <v>0.35937648722307475</v>
      </c>
      <c r="AJ102">
        <f t="shared" si="20"/>
        <v>6.2750005355082045E-2</v>
      </c>
      <c r="AK102">
        <f t="shared" si="20"/>
        <v>6.4505484254202453E-2</v>
      </c>
    </row>
    <row r="103" spans="1:37" x14ac:dyDescent="0.35">
      <c r="A103" s="16"/>
      <c r="B103">
        <v>5.7000000029802322E-2</v>
      </c>
      <c r="C103">
        <v>5.9399999678134918E-2</v>
      </c>
      <c r="D103">
        <v>6.1099998652935028E-2</v>
      </c>
      <c r="E103">
        <v>6.1500001698732376E-2</v>
      </c>
      <c r="F103">
        <v>6.080000102519989E-2</v>
      </c>
      <c r="G103">
        <v>6.0300000011920929E-2</v>
      </c>
      <c r="H103" s="10">
        <v>5.9799998998641968E-2</v>
      </c>
      <c r="I103">
        <v>5.9200000017881393E-2</v>
      </c>
      <c r="J103">
        <v>5.9300001710653305E-2</v>
      </c>
      <c r="K103" s="10">
        <v>6.1599999666213989E-2</v>
      </c>
      <c r="L103" s="10">
        <v>7.1699999272823334E-2</v>
      </c>
      <c r="M103">
        <v>8.6699999868869781E-2</v>
      </c>
      <c r="N103">
        <v>0.11249999701976776</v>
      </c>
      <c r="O103" s="10">
        <v>0.12380000203847885</v>
      </c>
      <c r="P103">
        <v>0.1120000034570694</v>
      </c>
      <c r="Q103">
        <v>8.4700003266334534E-2</v>
      </c>
      <c r="R103">
        <v>6.3299998641014099E-2</v>
      </c>
      <c r="S103">
        <v>5.1899999380111694E-2</v>
      </c>
      <c r="T103">
        <v>4.8099998384714127E-2</v>
      </c>
      <c r="U103">
        <v>4.6100001782178879E-2</v>
      </c>
      <c r="V103">
        <v>4.5600000768899918E-2</v>
      </c>
      <c r="W103">
        <f t="shared" si="22"/>
        <v>8.358333632349968E-2</v>
      </c>
      <c r="X103">
        <f t="shared" si="23"/>
        <v>2.1049999321500458E-2</v>
      </c>
      <c r="Y103">
        <f t="shared" si="24"/>
        <v>3.1299998983740807E-2</v>
      </c>
      <c r="Z103">
        <f t="shared" si="25"/>
        <v>1.8916665886839233E-2</v>
      </c>
      <c r="AA103">
        <f t="shared" si="21"/>
        <v>0.93674020430073135</v>
      </c>
      <c r="AB103">
        <f t="shared" si="17"/>
        <v>0.1775596295297146</v>
      </c>
      <c r="AC103">
        <f t="shared" si="18"/>
        <v>0.14904413651674991</v>
      </c>
      <c r="AE103">
        <f t="shared" si="19"/>
        <v>15.612336738345524</v>
      </c>
      <c r="AF103">
        <f t="shared" si="19"/>
        <v>2.959327158828577</v>
      </c>
      <c r="AG103">
        <f t="shared" si="19"/>
        <v>2.4840689419458322</v>
      </c>
      <c r="AI103">
        <f t="shared" si="20"/>
        <v>0.353380188735752</v>
      </c>
      <c r="AJ103">
        <f t="shared" si="20"/>
        <v>6.6983412377287846E-2</v>
      </c>
      <c r="AK103">
        <f t="shared" si="20"/>
        <v>5.6226096467764421E-2</v>
      </c>
    </row>
    <row r="104" spans="1:37" s="3" customFormat="1" x14ac:dyDescent="0.35">
      <c r="W104" s="3">
        <f t="shared" si="22"/>
        <v>-4.0216665714979172E-2</v>
      </c>
      <c r="X104" s="3">
        <f t="shared" si="23"/>
        <v>-4.0550000344713531E-2</v>
      </c>
      <c r="Y104" s="3">
        <f t="shared" si="24"/>
        <v>-4.0400000289082527E-2</v>
      </c>
      <c r="Z104" s="3">
        <f t="shared" si="25"/>
        <v>-4.0883333111802735E-2</v>
      </c>
      <c r="AA104" s="3">
        <f t="shared" si="21"/>
        <v>-0.40181282142177221</v>
      </c>
      <c r="AB104" s="3">
        <f t="shared" si="17"/>
        <v>-0.60135234445333474</v>
      </c>
      <c r="AC104" s="3">
        <f t="shared" si="18"/>
        <v>-0.84590983148664223</v>
      </c>
      <c r="AE104" s="3">
        <f t="shared" si="19"/>
        <v>-6.6968803570295377</v>
      </c>
      <c r="AF104" s="3">
        <f t="shared" si="19"/>
        <v>-10.022539074222246</v>
      </c>
      <c r="AG104" s="3">
        <f t="shared" si="19"/>
        <v>-14.098497191444038</v>
      </c>
      <c r="AI104" s="3">
        <f t="shared" si="20"/>
        <v>-0.15158171926277814</v>
      </c>
      <c r="AJ104" s="3">
        <f t="shared" si="20"/>
        <v>-0.22685692789095172</v>
      </c>
      <c r="AK104" s="3">
        <f t="shared" si="20"/>
        <v>-0.31911492058497143</v>
      </c>
    </row>
    <row r="105" spans="1:37" x14ac:dyDescent="0.35">
      <c r="A105" s="14" t="s">
        <v>60</v>
      </c>
      <c r="B105">
        <v>5.7599999010562897E-2</v>
      </c>
      <c r="C105">
        <v>5.9999998658895493E-2</v>
      </c>
      <c r="D105">
        <v>6.1500001698732376E-2</v>
      </c>
      <c r="E105">
        <v>6.1700001358985901E-2</v>
      </c>
      <c r="F105">
        <v>6.0699999332427979E-2</v>
      </c>
      <c r="G105">
        <v>5.9999998658895493E-2</v>
      </c>
      <c r="H105" s="10">
        <v>5.950000137090683E-2</v>
      </c>
      <c r="I105">
        <v>5.8899998664855957E-2</v>
      </c>
      <c r="J105">
        <v>5.9200000017881393E-2</v>
      </c>
      <c r="K105" s="10">
        <v>6.2300000339746475E-2</v>
      </c>
      <c r="L105" s="10">
        <v>7.3100000619888306E-2</v>
      </c>
      <c r="M105">
        <v>8.8500000536441803E-2</v>
      </c>
      <c r="N105">
        <v>0.11460000276565552</v>
      </c>
      <c r="O105" s="10">
        <v>0.12559999525547028</v>
      </c>
      <c r="P105">
        <v>0.11209999769926071</v>
      </c>
      <c r="Q105">
        <v>8.320000022649765E-2</v>
      </c>
      <c r="R105">
        <v>6.080000102519989E-2</v>
      </c>
      <c r="S105">
        <v>4.8900000751018524E-2</v>
      </c>
      <c r="T105">
        <v>4.4900000095367432E-2</v>
      </c>
      <c r="U105">
        <v>4.2800001800060272E-2</v>
      </c>
      <c r="V105">
        <v>4.2300000786781311E-2</v>
      </c>
      <c r="W105">
        <f t="shared" si="22"/>
        <v>8.5383329540491104E-2</v>
      </c>
      <c r="X105">
        <f t="shared" si="23"/>
        <v>2.1749999995032944E-2</v>
      </c>
      <c r="Y105">
        <f t="shared" si="24"/>
        <v>3.2700000330805779E-2</v>
      </c>
      <c r="Z105">
        <f t="shared" si="25"/>
        <v>1.8616668259104095E-2</v>
      </c>
      <c r="AA105">
        <f t="shared" si="21"/>
        <v>0.95551212077960357</v>
      </c>
      <c r="AB105">
        <f t="shared" si="17"/>
        <v>0.19616369426250457</v>
      </c>
      <c r="AC105">
        <f t="shared" si="18"/>
        <v>0.13502221960574395</v>
      </c>
      <c r="AE105">
        <f t="shared" si="19"/>
        <v>15.925202012993394</v>
      </c>
      <c r="AF105">
        <f t="shared" si="19"/>
        <v>3.2693949043750763</v>
      </c>
      <c r="AG105">
        <f t="shared" si="19"/>
        <v>2.2503703267623996</v>
      </c>
      <c r="AI105">
        <f t="shared" si="20"/>
        <v>0.36046179296046615</v>
      </c>
      <c r="AJ105">
        <f t="shared" si="20"/>
        <v>7.4001695436285111E-2</v>
      </c>
      <c r="AK105">
        <f t="shared" si="20"/>
        <v>5.0936403955690351E-2</v>
      </c>
    </row>
    <row r="106" spans="1:37" x14ac:dyDescent="0.35">
      <c r="A106" s="14"/>
      <c r="B106">
        <v>5.6899998337030411E-2</v>
      </c>
      <c r="C106">
        <v>5.9599999338388443E-2</v>
      </c>
      <c r="D106">
        <v>6.1000000685453415E-2</v>
      </c>
      <c r="E106">
        <v>6.1299998313188553E-2</v>
      </c>
      <c r="F106">
        <v>6.0400001704692841E-2</v>
      </c>
      <c r="G106">
        <v>5.9599999338388443E-2</v>
      </c>
      <c r="H106" s="10">
        <v>5.9200000017881393E-2</v>
      </c>
      <c r="I106">
        <v>5.8800000697374344E-2</v>
      </c>
      <c r="J106">
        <v>5.9000000357627869E-2</v>
      </c>
      <c r="K106" s="10">
        <v>6.2199998646974564E-2</v>
      </c>
      <c r="L106" s="10">
        <v>7.3399998247623444E-2</v>
      </c>
      <c r="M106">
        <v>8.9400000870227814E-2</v>
      </c>
      <c r="N106">
        <v>0.11649999767541885</v>
      </c>
      <c r="O106" s="10">
        <v>0.12780000269412994</v>
      </c>
      <c r="P106">
        <v>0.11389999836683273</v>
      </c>
      <c r="Q106">
        <v>8.4100000560283661E-2</v>
      </c>
      <c r="R106">
        <v>6.1099998652935028E-2</v>
      </c>
      <c r="S106">
        <v>4.8799999058246613E-2</v>
      </c>
      <c r="T106">
        <v>4.479999840259552E-2</v>
      </c>
      <c r="U106">
        <v>4.2700000107288361E-2</v>
      </c>
      <c r="V106">
        <v>4.2199999094009399E-2</v>
      </c>
      <c r="W106">
        <f t="shared" si="22"/>
        <v>8.7583336979150772E-2</v>
      </c>
      <c r="X106">
        <f t="shared" si="23"/>
        <v>2.1649998302261032E-2</v>
      </c>
      <c r="Y106">
        <f t="shared" si="24"/>
        <v>3.2999997958540916E-2</v>
      </c>
      <c r="Z106">
        <f t="shared" si="25"/>
        <v>1.8316666906078659E-2</v>
      </c>
      <c r="AA106">
        <f t="shared" si="21"/>
        <v>0.98117921410128472</v>
      </c>
      <c r="AB106">
        <f t="shared" si="17"/>
        <v>0.19017160505056374</v>
      </c>
      <c r="AC106">
        <f t="shared" si="18"/>
        <v>0.11950815889984373</v>
      </c>
      <c r="AE106">
        <f t="shared" si="19"/>
        <v>16.35298690168808</v>
      </c>
      <c r="AF106">
        <f t="shared" si="19"/>
        <v>3.1695267508427292</v>
      </c>
      <c r="AG106">
        <f t="shared" si="19"/>
        <v>1.991802648330729</v>
      </c>
      <c r="AI106">
        <f t="shared" si="20"/>
        <v>0.37014456545242375</v>
      </c>
      <c r="AJ106">
        <f t="shared" si="20"/>
        <v>7.1741212105992061E-2</v>
      </c>
      <c r="AK106">
        <f t="shared" si="20"/>
        <v>4.5083808246508122E-2</v>
      </c>
    </row>
    <row r="107" spans="1:37" x14ac:dyDescent="0.35">
      <c r="A107" s="14"/>
      <c r="B107">
        <v>5.8600001037120819E-2</v>
      </c>
      <c r="C107">
        <v>6.120000034570694E-2</v>
      </c>
      <c r="D107">
        <v>6.289999932050705E-2</v>
      </c>
      <c r="E107">
        <v>6.3100002706050873E-2</v>
      </c>
      <c r="F107">
        <v>6.2199998646974564E-2</v>
      </c>
      <c r="G107">
        <v>6.1599999666213989E-2</v>
      </c>
      <c r="H107" s="10">
        <v>6.1099998652935028E-2</v>
      </c>
      <c r="I107">
        <v>6.0699999332427979E-2</v>
      </c>
      <c r="J107">
        <v>6.120000034570694E-2</v>
      </c>
      <c r="K107" s="10">
        <v>6.4300000667572021E-2</v>
      </c>
      <c r="L107" s="10">
        <v>7.5599998235702515E-2</v>
      </c>
      <c r="M107">
        <v>9.1700002551078796E-2</v>
      </c>
      <c r="N107">
        <v>0.11879999935626984</v>
      </c>
      <c r="O107" s="10">
        <v>0.12999999523162842</v>
      </c>
      <c r="P107">
        <v>0.11640000343322754</v>
      </c>
      <c r="Q107">
        <v>8.6499996483325958E-2</v>
      </c>
      <c r="R107">
        <v>6.3400000333786011E-2</v>
      </c>
      <c r="S107">
        <v>5.0999999046325684E-2</v>
      </c>
      <c r="T107">
        <v>4.6900000423192978E-2</v>
      </c>
      <c r="U107">
        <v>4.4900000095367432E-2</v>
      </c>
      <c r="V107">
        <v>4.4500000774860382E-2</v>
      </c>
      <c r="W107">
        <f t="shared" si="22"/>
        <v>8.9783329516649246E-2</v>
      </c>
      <c r="X107">
        <f t="shared" si="23"/>
        <v>2.375000032285849E-2</v>
      </c>
      <c r="Y107">
        <f t="shared" si="24"/>
        <v>3.5199997946619987E-2</v>
      </c>
      <c r="Z107">
        <f t="shared" si="25"/>
        <v>2.0216665541132293E-2</v>
      </c>
      <c r="AA107">
        <f t="shared" si="21"/>
        <v>1.0031791250966489</v>
      </c>
      <c r="AB107">
        <f t="shared" si="17"/>
        <v>0.22286364585161211</v>
      </c>
      <c r="AC107">
        <f t="shared" si="18"/>
        <v>0.15758615348488098</v>
      </c>
      <c r="AE107">
        <f t="shared" si="19"/>
        <v>16.719652084944148</v>
      </c>
      <c r="AF107">
        <f t="shared" si="19"/>
        <v>3.7143940975268688</v>
      </c>
      <c r="AG107">
        <f t="shared" si="19"/>
        <v>2.6264358914146833</v>
      </c>
      <c r="AI107">
        <f t="shared" si="20"/>
        <v>0.37844391319475212</v>
      </c>
      <c r="AJ107">
        <f t="shared" si="20"/>
        <v>8.40741081377743E-2</v>
      </c>
      <c r="AK107">
        <f t="shared" si="20"/>
        <v>5.9448526288245436E-2</v>
      </c>
    </row>
    <row r="108" spans="1:37" x14ac:dyDescent="0.35">
      <c r="A108" s="14" t="s">
        <v>61</v>
      </c>
      <c r="B108">
        <v>5.4499998688697815E-2</v>
      </c>
      <c r="C108">
        <v>5.6000001728534698E-2</v>
      </c>
      <c r="D108">
        <v>5.6899998337030411E-2</v>
      </c>
      <c r="E108">
        <v>5.6899998337030411E-2</v>
      </c>
      <c r="F108">
        <v>5.6299999356269836E-2</v>
      </c>
      <c r="G108">
        <v>5.5700000375509262E-2</v>
      </c>
      <c r="H108" s="10">
        <v>5.5300001055002213E-2</v>
      </c>
      <c r="I108">
        <v>5.5300001055002213E-2</v>
      </c>
      <c r="J108">
        <v>5.5900000035762787E-2</v>
      </c>
      <c r="K108" s="10">
        <v>5.820000171661377E-2</v>
      </c>
      <c r="L108" s="10">
        <v>6.4999997615814209E-2</v>
      </c>
      <c r="M108">
        <v>7.4000000953674316E-2</v>
      </c>
      <c r="N108">
        <v>8.9000001549720764E-2</v>
      </c>
      <c r="O108" s="10">
        <v>9.4999998807907104E-2</v>
      </c>
      <c r="P108">
        <v>8.6300000548362732E-2</v>
      </c>
      <c r="Q108">
        <v>6.849999725818634E-2</v>
      </c>
      <c r="R108">
        <v>5.5100001394748688E-2</v>
      </c>
      <c r="S108">
        <v>4.8099998384714127E-2</v>
      </c>
      <c r="T108">
        <v>4.5499999076128006E-2</v>
      </c>
      <c r="U108">
        <v>4.4300001114606857E-2</v>
      </c>
      <c r="V108">
        <v>4.3900001794099808E-2</v>
      </c>
      <c r="W108">
        <f t="shared" si="22"/>
        <v>5.4783333092927933E-2</v>
      </c>
      <c r="X108">
        <f t="shared" si="23"/>
        <v>1.7650001371900238E-2</v>
      </c>
      <c r="Y108">
        <f t="shared" si="24"/>
        <v>2.4599997326731682E-2</v>
      </c>
      <c r="Z108">
        <f t="shared" si="25"/>
        <v>1.4416667943199478E-2</v>
      </c>
      <c r="AA108">
        <f t="shared" si="21"/>
        <v>0.60608716895803805</v>
      </c>
      <c r="AB108">
        <f t="shared" si="17"/>
        <v>0.19954761356115336</v>
      </c>
      <c r="AC108">
        <f t="shared" si="18"/>
        <v>0.1468481986597181</v>
      </c>
      <c r="AE108">
        <f t="shared" si="19"/>
        <v>10.101452815967301</v>
      </c>
      <c r="AF108">
        <f t="shared" si="19"/>
        <v>3.3257935593525563</v>
      </c>
      <c r="AG108">
        <f t="shared" si="19"/>
        <v>2.4474699776619686</v>
      </c>
      <c r="AI108">
        <f t="shared" si="20"/>
        <v>0.22864311489287689</v>
      </c>
      <c r="AJ108">
        <f t="shared" si="20"/>
        <v>7.527826073681658E-2</v>
      </c>
      <c r="AK108">
        <f t="shared" si="20"/>
        <v>5.5397690757400829E-2</v>
      </c>
    </row>
    <row r="109" spans="1:37" x14ac:dyDescent="0.35">
      <c r="A109" s="14"/>
      <c r="B109">
        <v>5.4900001734495163E-2</v>
      </c>
      <c r="C109">
        <v>5.6200001388788223E-2</v>
      </c>
      <c r="D109">
        <v>5.7100001722574234E-2</v>
      </c>
      <c r="E109">
        <v>5.7199999690055847E-2</v>
      </c>
      <c r="F109">
        <v>5.6499999016523361E-2</v>
      </c>
      <c r="G109">
        <v>5.6000001728534698E-2</v>
      </c>
      <c r="H109" s="10">
        <v>5.5500000715255737E-2</v>
      </c>
      <c r="I109">
        <v>5.5399999022483826E-2</v>
      </c>
      <c r="J109">
        <v>5.6200001388788223E-2</v>
      </c>
      <c r="K109" s="10">
        <v>5.8600001037120819E-2</v>
      </c>
      <c r="L109" s="10">
        <v>6.5600000321865082E-2</v>
      </c>
      <c r="M109">
        <v>7.4799999594688416E-2</v>
      </c>
      <c r="N109">
        <v>9.0300001204013824E-2</v>
      </c>
      <c r="O109" s="10">
        <v>9.6500001847743988E-2</v>
      </c>
      <c r="P109">
        <v>8.7600000202655792E-2</v>
      </c>
      <c r="Q109">
        <v>6.9499999284744263E-2</v>
      </c>
      <c r="R109">
        <v>5.5700000375509262E-2</v>
      </c>
      <c r="S109">
        <v>4.8099998384714127E-2</v>
      </c>
      <c r="T109">
        <v>4.5800000429153442E-2</v>
      </c>
      <c r="U109">
        <v>4.4300001114606857E-2</v>
      </c>
      <c r="V109">
        <v>4.3999999761581421E-2</v>
      </c>
      <c r="W109">
        <f t="shared" si="22"/>
        <v>5.6283336132764816E-2</v>
      </c>
      <c r="X109">
        <f t="shared" si="23"/>
        <v>1.8050000692407288E-2</v>
      </c>
      <c r="Y109">
        <f t="shared" si="24"/>
        <v>2.5200000032782555E-2</v>
      </c>
      <c r="Z109">
        <f t="shared" si="25"/>
        <v>1.4616667603453003E-2</v>
      </c>
      <c r="AA109">
        <f t="shared" si="21"/>
        <v>0.622824200000614</v>
      </c>
      <c r="AB109">
        <f t="shared" si="17"/>
        <v>0.20351365193724635</v>
      </c>
      <c r="AC109">
        <f t="shared" si="18"/>
        <v>0.14612517904490235</v>
      </c>
      <c r="AE109">
        <f t="shared" si="19"/>
        <v>10.380403333343567</v>
      </c>
      <c r="AF109">
        <f t="shared" si="19"/>
        <v>3.3918941989541063</v>
      </c>
      <c r="AG109">
        <f t="shared" si="19"/>
        <v>2.4354196507483725</v>
      </c>
      <c r="AI109">
        <f t="shared" si="20"/>
        <v>0.23495706956413687</v>
      </c>
      <c r="AJ109">
        <f t="shared" si="20"/>
        <v>7.6774427319015529E-2</v>
      </c>
      <c r="AK109">
        <f t="shared" si="20"/>
        <v>5.5124935508111643E-2</v>
      </c>
    </row>
    <row r="110" spans="1:37" x14ac:dyDescent="0.35">
      <c r="A110" s="14"/>
      <c r="B110">
        <v>5.3300000727176666E-2</v>
      </c>
      <c r="C110">
        <v>5.4800000041723251E-2</v>
      </c>
      <c r="D110">
        <v>5.5700000375509262E-2</v>
      </c>
      <c r="E110">
        <v>5.5700000375509262E-2</v>
      </c>
      <c r="F110">
        <v>5.5100001394748688E-2</v>
      </c>
      <c r="G110">
        <v>5.469999834895134E-2</v>
      </c>
      <c r="H110" s="10">
        <v>5.4200001060962677E-2</v>
      </c>
      <c r="I110">
        <v>5.4099999368190765E-2</v>
      </c>
      <c r="J110">
        <v>5.4800000041723251E-2</v>
      </c>
      <c r="K110" s="10">
        <v>5.7199999690055847E-2</v>
      </c>
      <c r="L110" s="10">
        <v>6.3199996948242188E-2</v>
      </c>
      <c r="M110">
        <v>7.2800002992153168E-2</v>
      </c>
      <c r="N110">
        <v>8.7700001895427704E-2</v>
      </c>
      <c r="O110" s="10">
        <v>9.3599997460842133E-2</v>
      </c>
      <c r="P110">
        <v>8.529999852180481E-2</v>
      </c>
      <c r="Q110">
        <v>6.7800000309944153E-2</v>
      </c>
      <c r="R110">
        <v>5.4600000381469727E-2</v>
      </c>
      <c r="S110">
        <v>4.7600001096725464E-2</v>
      </c>
      <c r="T110">
        <v>4.5099999755620956E-2</v>
      </c>
      <c r="U110">
        <v>4.3900001794099808E-2</v>
      </c>
      <c r="V110">
        <v>4.3600000441074371E-2</v>
      </c>
      <c r="W110">
        <f t="shared" si="22"/>
        <v>5.3383331745862961E-2</v>
      </c>
      <c r="X110">
        <f t="shared" si="23"/>
        <v>1.6649999345342316E-2</v>
      </c>
      <c r="Y110">
        <f t="shared" si="24"/>
        <v>2.279999665915966E-2</v>
      </c>
      <c r="Z110">
        <f t="shared" si="25"/>
        <v>1.3316667949159942E-2</v>
      </c>
      <c r="AA110">
        <f t="shared" si="21"/>
        <v>0.59285915417596702</v>
      </c>
      <c r="AB110">
        <f t="shared" si="17"/>
        <v>0.17059960737824437</v>
      </c>
      <c r="AC110">
        <f t="shared" si="18"/>
        <v>0.12527420382946736</v>
      </c>
      <c r="AE110">
        <f t="shared" si="19"/>
        <v>9.8809859029327836</v>
      </c>
      <c r="AF110">
        <f t="shared" si="19"/>
        <v>2.8433267896374064</v>
      </c>
      <c r="AG110">
        <f t="shared" si="19"/>
        <v>2.0879033971577896</v>
      </c>
      <c r="AI110">
        <f t="shared" si="20"/>
        <v>0.2236529176761608</v>
      </c>
      <c r="AJ110">
        <f t="shared" si="20"/>
        <v>6.4357781567166289E-2</v>
      </c>
      <c r="AK110">
        <f t="shared" si="20"/>
        <v>4.7259017590715019E-2</v>
      </c>
    </row>
    <row r="111" spans="1:37" x14ac:dyDescent="0.35">
      <c r="A111" s="14" t="s">
        <v>62</v>
      </c>
      <c r="B111">
        <v>4.9300000071525574E-2</v>
      </c>
      <c r="C111">
        <v>5.0200000405311584E-2</v>
      </c>
      <c r="D111">
        <v>5.090000107884407E-2</v>
      </c>
      <c r="E111">
        <v>5.090000107884407E-2</v>
      </c>
      <c r="F111">
        <v>5.0700001418590546E-2</v>
      </c>
      <c r="G111">
        <v>5.0200000405311584E-2</v>
      </c>
      <c r="H111" s="10">
        <v>4.9899999052286148E-2</v>
      </c>
      <c r="I111">
        <v>4.9800001084804535E-2</v>
      </c>
      <c r="J111">
        <v>5.0200000405311584E-2</v>
      </c>
      <c r="K111" s="10">
        <v>5.1899999380111694E-2</v>
      </c>
      <c r="L111" s="10">
        <v>5.559999868273735E-2</v>
      </c>
      <c r="M111">
        <v>6.1700001358985901E-2</v>
      </c>
      <c r="N111">
        <v>7.1500003337860107E-2</v>
      </c>
      <c r="O111" s="10">
        <v>7.4900001287460327E-2</v>
      </c>
      <c r="P111">
        <v>6.8999998271465302E-2</v>
      </c>
      <c r="Q111">
        <v>5.7700000703334808E-2</v>
      </c>
      <c r="R111">
        <v>4.9199998378753662E-2</v>
      </c>
      <c r="S111">
        <v>4.4500000774860382E-2</v>
      </c>
      <c r="T111">
        <v>4.3200001120567322E-2</v>
      </c>
      <c r="U111">
        <v>4.2300000786781311E-2</v>
      </c>
      <c r="V111">
        <v>4.2100001126527786E-2</v>
      </c>
      <c r="W111">
        <f t="shared" si="22"/>
        <v>3.4683335572481155E-2</v>
      </c>
      <c r="X111">
        <f t="shared" si="23"/>
        <v>1.1349999035398163E-2</v>
      </c>
      <c r="Y111">
        <f t="shared" si="24"/>
        <v>1.5199998393654823E-2</v>
      </c>
      <c r="Z111">
        <f t="shared" si="25"/>
        <v>9.0166659404834135E-3</v>
      </c>
      <c r="AA111">
        <f t="shared" si="21"/>
        <v>0.38443619647994637</v>
      </c>
      <c r="AB111">
        <f t="shared" si="17"/>
        <v>0.11871362164616583</v>
      </c>
      <c r="AC111">
        <f t="shared" si="18"/>
        <v>9.0277140624821256E-2</v>
      </c>
      <c r="AE111">
        <f t="shared" si="19"/>
        <v>6.4072699413324399</v>
      </c>
      <c r="AF111">
        <f t="shared" si="19"/>
        <v>1.9785603607694306</v>
      </c>
      <c r="AG111">
        <f t="shared" si="19"/>
        <v>1.5046190104136876</v>
      </c>
      <c r="AI111">
        <f t="shared" si="20"/>
        <v>0.145026481243378</v>
      </c>
      <c r="AJ111">
        <f t="shared" si="20"/>
        <v>4.4784073353767107E-2</v>
      </c>
      <c r="AK111">
        <f t="shared" si="20"/>
        <v>3.4056564291844449E-2</v>
      </c>
    </row>
    <row r="112" spans="1:37" x14ac:dyDescent="0.35">
      <c r="A112" s="14"/>
      <c r="B112">
        <v>4.9899999052286148E-2</v>
      </c>
      <c r="C112">
        <v>5.0799999386072159E-2</v>
      </c>
      <c r="D112">
        <v>5.1500000059604645E-2</v>
      </c>
      <c r="E112">
        <v>5.1800001412630081E-2</v>
      </c>
      <c r="F112">
        <v>5.1500000059604645E-2</v>
      </c>
      <c r="G112">
        <v>5.1100000739097595E-2</v>
      </c>
      <c r="H112" s="10">
        <v>5.0799999386072159E-2</v>
      </c>
      <c r="I112">
        <v>5.0700001418590546E-2</v>
      </c>
      <c r="J112">
        <v>5.130000039935112E-2</v>
      </c>
      <c r="K112" s="10">
        <v>5.2799999713897705E-2</v>
      </c>
      <c r="L112" s="10">
        <v>5.7000000029802322E-2</v>
      </c>
      <c r="M112">
        <v>6.3500002026557922E-2</v>
      </c>
      <c r="N112">
        <v>7.3600001633167267E-2</v>
      </c>
      <c r="O112" s="10">
        <v>7.7299997210502625E-2</v>
      </c>
      <c r="P112">
        <v>7.1099996566772461E-2</v>
      </c>
      <c r="Q112">
        <v>5.9200000017881393E-2</v>
      </c>
      <c r="R112">
        <v>5.0200000405311584E-2</v>
      </c>
      <c r="S112">
        <v>4.5499999076128006E-2</v>
      </c>
      <c r="T112">
        <v>4.4100001454353333E-2</v>
      </c>
      <c r="U112">
        <v>4.3200001120567322E-2</v>
      </c>
      <c r="V112">
        <v>4.309999942779541E-2</v>
      </c>
      <c r="W112">
        <f t="shared" si="22"/>
        <v>3.7083331495523453E-2</v>
      </c>
      <c r="X112">
        <f t="shared" si="23"/>
        <v>1.2249999369184174E-2</v>
      </c>
      <c r="Y112">
        <f t="shared" si="24"/>
        <v>1.6599999740719795E-2</v>
      </c>
      <c r="Z112">
        <f t="shared" si="25"/>
        <v>9.9166662742694242E-3</v>
      </c>
      <c r="AA112">
        <f t="shared" si="21"/>
        <v>0.4103661452420056</v>
      </c>
      <c r="AB112">
        <f t="shared" si="17"/>
        <v>0.13401767149567601</v>
      </c>
      <c r="AC112">
        <f t="shared" si="18"/>
        <v>0.10324916396290068</v>
      </c>
      <c r="AE112">
        <f t="shared" si="19"/>
        <v>6.8394357540334267</v>
      </c>
      <c r="AF112">
        <f t="shared" si="19"/>
        <v>2.2336278582612668</v>
      </c>
      <c r="AG112">
        <f t="shared" si="19"/>
        <v>1.720819399381678</v>
      </c>
      <c r="AI112">
        <f t="shared" si="20"/>
        <v>0.1548084145322188</v>
      </c>
      <c r="AJ112">
        <f t="shared" si="20"/>
        <v>5.0557443600300289E-2</v>
      </c>
      <c r="AK112">
        <f t="shared" si="20"/>
        <v>3.8950190117285607E-2</v>
      </c>
    </row>
    <row r="113" spans="1:37" x14ac:dyDescent="0.35">
      <c r="A113" s="14"/>
      <c r="B113">
        <v>5.0599999725818634E-2</v>
      </c>
      <c r="C113">
        <v>5.1500000059604645E-2</v>
      </c>
      <c r="D113">
        <v>5.2200000733137131E-2</v>
      </c>
      <c r="E113">
        <v>5.2299998700618744E-2</v>
      </c>
      <c r="F113">
        <v>5.2099999040365219E-2</v>
      </c>
      <c r="G113">
        <v>5.1600001752376556E-2</v>
      </c>
      <c r="H113" s="10">
        <v>5.1500000059604645E-2</v>
      </c>
      <c r="I113">
        <v>5.130000039935112E-2</v>
      </c>
      <c r="J113">
        <v>5.1800001412630081E-2</v>
      </c>
      <c r="K113" s="10">
        <v>5.3300000727176666E-2</v>
      </c>
      <c r="L113" s="10">
        <v>5.7399999350309372E-2</v>
      </c>
      <c r="M113">
        <v>6.379999965429306E-2</v>
      </c>
      <c r="N113">
        <v>7.3700003325939178E-2</v>
      </c>
      <c r="O113" s="10">
        <v>7.7500000596046448E-2</v>
      </c>
      <c r="P113">
        <v>7.1199998259544373E-2</v>
      </c>
      <c r="Q113">
        <v>5.950000137090683E-2</v>
      </c>
      <c r="R113">
        <v>5.0500001758337021E-2</v>
      </c>
      <c r="S113">
        <v>4.5800000429153442E-2</v>
      </c>
      <c r="T113">
        <v>4.4300001114606857E-2</v>
      </c>
      <c r="U113">
        <v>4.3299999088048935E-2</v>
      </c>
      <c r="V113">
        <v>4.309999942779541E-2</v>
      </c>
      <c r="W113">
        <f t="shared" si="22"/>
        <v>3.7283334881067276E-2</v>
      </c>
      <c r="X113">
        <f t="shared" si="23"/>
        <v>1.2750000382463135E-2</v>
      </c>
      <c r="Y113">
        <f t="shared" si="24"/>
        <v>1.6999999061226845E-2</v>
      </c>
      <c r="Z113">
        <f t="shared" si="25"/>
        <v>1.061666694780191E-2</v>
      </c>
      <c r="AA113">
        <f t="shared" si="21"/>
        <v>0.41198018694296479</v>
      </c>
      <c r="AB113">
        <f t="shared" si="17"/>
        <v>0.14106163904070851</v>
      </c>
      <c r="AC113">
        <f t="shared" si="18"/>
        <v>0.11955516774207361</v>
      </c>
      <c r="AE113">
        <f t="shared" si="19"/>
        <v>6.8663364490494132</v>
      </c>
      <c r="AF113">
        <f t="shared" si="19"/>
        <v>2.3510273173451419</v>
      </c>
      <c r="AG113">
        <f t="shared" si="19"/>
        <v>1.9925861290345603</v>
      </c>
      <c r="AI113">
        <f t="shared" si="20"/>
        <v>0.15541730305679977</v>
      </c>
      <c r="AJ113">
        <f t="shared" si="20"/>
        <v>5.3214742357291581E-2</v>
      </c>
      <c r="AK113">
        <f t="shared" si="20"/>
        <v>4.510154207864555E-2</v>
      </c>
    </row>
    <row r="114" spans="1:37" s="3" customFormat="1" x14ac:dyDescent="0.35">
      <c r="A114" s="4"/>
      <c r="W114" s="3">
        <f t="shared" si="22"/>
        <v>-4.0216665714979172E-2</v>
      </c>
      <c r="X114" s="3">
        <f t="shared" si="23"/>
        <v>-4.0550000344713531E-2</v>
      </c>
      <c r="Y114" s="3">
        <f t="shared" si="24"/>
        <v>-4.0400000289082527E-2</v>
      </c>
      <c r="Z114" s="3">
        <f t="shared" si="25"/>
        <v>-4.0883333111802735E-2</v>
      </c>
      <c r="AA114" s="3">
        <f t="shared" si="21"/>
        <v>-0.40181282142177221</v>
      </c>
      <c r="AB114" s="3">
        <f t="shared" si="17"/>
        <v>-0.60135234445333474</v>
      </c>
      <c r="AC114" s="3">
        <f t="shared" si="18"/>
        <v>-0.84590983148664223</v>
      </c>
      <c r="AE114" s="3">
        <f t="shared" si="19"/>
        <v>-6.6968803570295377</v>
      </c>
      <c r="AF114" s="3">
        <f t="shared" si="19"/>
        <v>-10.022539074222246</v>
      </c>
      <c r="AG114" s="3">
        <f t="shared" si="19"/>
        <v>-14.098497191444038</v>
      </c>
      <c r="AI114" s="3">
        <f t="shared" si="20"/>
        <v>-0.15158171926277814</v>
      </c>
      <c r="AJ114" s="3">
        <f t="shared" si="20"/>
        <v>-0.22685692789095172</v>
      </c>
      <c r="AK114" s="3">
        <f t="shared" si="20"/>
        <v>-0.31911492058497143</v>
      </c>
    </row>
    <row r="115" spans="1:37" x14ac:dyDescent="0.35">
      <c r="A115" s="13" t="s">
        <v>63</v>
      </c>
      <c r="B115">
        <v>7.4500001966953278E-2</v>
      </c>
      <c r="C115">
        <v>8.0499999225139618E-2</v>
      </c>
      <c r="D115">
        <v>8.5000000894069672E-2</v>
      </c>
      <c r="E115">
        <v>8.6499996483325958E-2</v>
      </c>
      <c r="F115">
        <v>8.529999852180481E-2</v>
      </c>
      <c r="G115">
        <v>8.4100000560283661E-2</v>
      </c>
      <c r="H115" s="10">
        <v>8.2500003278255463E-2</v>
      </c>
      <c r="I115">
        <v>8.1000000238418579E-2</v>
      </c>
      <c r="J115">
        <v>8.1100001931190491E-2</v>
      </c>
      <c r="K115" s="10">
        <v>8.8100001215934753E-2</v>
      </c>
      <c r="L115" s="10">
        <v>0.11159999668598175</v>
      </c>
      <c r="M115">
        <v>0.1518000066280365</v>
      </c>
      <c r="N115">
        <v>0.21610000729560852</v>
      </c>
      <c r="O115" s="10">
        <v>0.24210000038146973</v>
      </c>
      <c r="P115">
        <v>0.20739999413490295</v>
      </c>
      <c r="Q115">
        <v>0.13779999315738678</v>
      </c>
      <c r="R115">
        <v>8.5699997842311859E-2</v>
      </c>
      <c r="S115">
        <v>5.8600001037120819E-2</v>
      </c>
      <c r="T115">
        <v>4.9499999731779099E-2</v>
      </c>
      <c r="U115">
        <v>4.5099999755620956E-2</v>
      </c>
      <c r="V115">
        <v>4.4100001454353333E-2</v>
      </c>
      <c r="W115">
        <f t="shared" si="22"/>
        <v>0.20188333466649055</v>
      </c>
      <c r="X115">
        <f t="shared" si="23"/>
        <v>4.7550000871221222E-2</v>
      </c>
      <c r="Y115">
        <f t="shared" si="24"/>
        <v>7.1199996396899223E-2</v>
      </c>
      <c r="Z115">
        <f t="shared" si="25"/>
        <v>4.1616670166452728E-2</v>
      </c>
      <c r="AA115">
        <f t="shared" si="21"/>
        <v>2.2710521895252169</v>
      </c>
      <c r="AB115">
        <f t="shared" si="17"/>
        <v>0.3392735859751701</v>
      </c>
      <c r="AC115">
        <f t="shared" si="18"/>
        <v>0.26075724694877878</v>
      </c>
      <c r="AE115">
        <f t="shared" si="19"/>
        <v>37.850869825420283</v>
      </c>
      <c r="AF115">
        <f t="shared" si="19"/>
        <v>5.6545597662528353</v>
      </c>
      <c r="AG115">
        <f t="shared" si="19"/>
        <v>4.3459541158129795</v>
      </c>
      <c r="AI115">
        <f t="shared" si="20"/>
        <v>0.85674218708511274</v>
      </c>
      <c r="AJ115">
        <f t="shared" si="20"/>
        <v>0.12798913006457299</v>
      </c>
      <c r="AK115">
        <f t="shared" si="20"/>
        <v>9.8369264730941139E-2</v>
      </c>
    </row>
    <row r="116" spans="1:37" x14ac:dyDescent="0.35">
      <c r="A116" s="13"/>
      <c r="B116">
        <v>7.5699999928474426E-2</v>
      </c>
      <c r="C116">
        <v>8.2000002264976501E-2</v>
      </c>
      <c r="D116">
        <v>8.6699999868869781E-2</v>
      </c>
      <c r="E116">
        <v>8.7800003588199615E-2</v>
      </c>
      <c r="F116">
        <v>8.6999997496604919E-2</v>
      </c>
      <c r="G116">
        <v>8.5699997842311859E-2</v>
      </c>
      <c r="H116" s="10">
        <v>8.3999998867511749E-2</v>
      </c>
      <c r="I116">
        <v>8.2400001585483551E-2</v>
      </c>
      <c r="J116">
        <v>8.2599997520446777E-2</v>
      </c>
      <c r="K116" s="10">
        <v>8.9699998497962952E-2</v>
      </c>
      <c r="L116" s="10">
        <v>0.11659999936819077</v>
      </c>
      <c r="M116">
        <v>0.15539999306201935</v>
      </c>
      <c r="N116">
        <v>0.22200000286102295</v>
      </c>
      <c r="O116" s="10">
        <v>0.24879999458789825</v>
      </c>
      <c r="P116">
        <v>0.2125999927520752</v>
      </c>
      <c r="Q116">
        <v>0.14090000092983246</v>
      </c>
      <c r="R116">
        <v>8.7399996817111969E-2</v>
      </c>
      <c r="S116">
        <v>5.9099998325109482E-2</v>
      </c>
      <c r="T116">
        <v>5.000000074505806E-2</v>
      </c>
      <c r="U116">
        <v>4.5299999415874481E-2</v>
      </c>
      <c r="V116">
        <v>4.4100001454353333E-2</v>
      </c>
      <c r="W116">
        <f t="shared" si="22"/>
        <v>0.20858332887291908</v>
      </c>
      <c r="X116">
        <f t="shared" si="23"/>
        <v>4.914999815324942E-2</v>
      </c>
      <c r="Y116">
        <f t="shared" si="24"/>
        <v>7.6199999079108238E-2</v>
      </c>
      <c r="Z116">
        <f t="shared" si="25"/>
        <v>4.3116665755709015E-2</v>
      </c>
      <c r="AA116">
        <f t="shared" si="21"/>
        <v>2.341333115231246</v>
      </c>
      <c r="AB116">
        <f t="shared" si="17"/>
        <v>0.40422367244958868</v>
      </c>
      <c r="AC116">
        <f t="shared" si="18"/>
        <v>0.27230616111308337</v>
      </c>
      <c r="AE116">
        <f t="shared" si="19"/>
        <v>39.022218587187439</v>
      </c>
      <c r="AF116">
        <f t="shared" si="19"/>
        <v>6.7370612074931451</v>
      </c>
      <c r="AG116">
        <f t="shared" si="19"/>
        <v>4.5384360185513897</v>
      </c>
      <c r="AI116">
        <f t="shared" si="20"/>
        <v>0.88325528717038115</v>
      </c>
      <c r="AJ116">
        <f t="shared" si="20"/>
        <v>0.1524911998074501</v>
      </c>
      <c r="AK116">
        <f t="shared" si="20"/>
        <v>0.10272603029767745</v>
      </c>
    </row>
    <row r="117" spans="1:37" x14ac:dyDescent="0.35">
      <c r="A117" s="13"/>
      <c r="B117">
        <v>7.5800001621246338E-2</v>
      </c>
      <c r="C117">
        <v>8.2000002264976501E-2</v>
      </c>
      <c r="D117">
        <v>8.6699999868869781E-2</v>
      </c>
      <c r="E117">
        <v>8.8200002908706665E-2</v>
      </c>
      <c r="F117">
        <v>8.6999997496604919E-2</v>
      </c>
      <c r="G117">
        <v>8.5699997842311859E-2</v>
      </c>
      <c r="H117" s="10">
        <v>8.4200002253055573E-2</v>
      </c>
      <c r="I117">
        <v>8.2400001585483551E-2</v>
      </c>
      <c r="J117">
        <v>8.2900002598762512E-2</v>
      </c>
      <c r="K117" s="10">
        <v>9.0000003576278687E-2</v>
      </c>
      <c r="L117" s="10">
        <v>0.11670000106096268</v>
      </c>
      <c r="M117">
        <v>0.15569999814033508</v>
      </c>
      <c r="N117">
        <v>0.22259999811649323</v>
      </c>
      <c r="O117" s="10">
        <v>0.24940000474452972</v>
      </c>
      <c r="P117">
        <v>0.21349999308586121</v>
      </c>
      <c r="Q117">
        <v>0.14149999618530273</v>
      </c>
      <c r="R117">
        <v>8.7399996817111969E-2</v>
      </c>
      <c r="S117">
        <v>5.9200000017881393E-2</v>
      </c>
      <c r="T117">
        <v>5.0099998712539673E-2</v>
      </c>
      <c r="U117">
        <v>4.5099999755620956E-2</v>
      </c>
      <c r="V117">
        <v>4.3999999761581421E-2</v>
      </c>
      <c r="W117">
        <f t="shared" si="22"/>
        <v>0.20918333902955055</v>
      </c>
      <c r="X117">
        <f t="shared" si="23"/>
        <v>4.9450003231565155E-2</v>
      </c>
      <c r="Y117">
        <f t="shared" si="24"/>
        <v>7.630000077188015E-2</v>
      </c>
      <c r="Z117">
        <f t="shared" si="25"/>
        <v>4.3316669141252838E-2</v>
      </c>
      <c r="AA117">
        <f t="shared" si="21"/>
        <v>2.3482982331328093</v>
      </c>
      <c r="AB117">
        <f t="shared" si="17"/>
        <v>0.40295965105295184</v>
      </c>
      <c r="AC117">
        <f t="shared" si="18"/>
        <v>0.27494020570069555</v>
      </c>
      <c r="AE117">
        <f t="shared" si="19"/>
        <v>39.138303885546826</v>
      </c>
      <c r="AF117">
        <f t="shared" si="19"/>
        <v>6.7159941842158641</v>
      </c>
      <c r="AG117">
        <f t="shared" si="19"/>
        <v>4.5823367616782598</v>
      </c>
      <c r="AI117">
        <f t="shared" si="20"/>
        <v>0.88588284032473574</v>
      </c>
      <c r="AJ117">
        <f t="shared" si="20"/>
        <v>0.15201435455445594</v>
      </c>
      <c r="AK117">
        <f t="shared" si="20"/>
        <v>0.10371970940874287</v>
      </c>
    </row>
    <row r="118" spans="1:37" x14ac:dyDescent="0.35">
      <c r="A118" s="13" t="s">
        <v>64</v>
      </c>
      <c r="B118">
        <v>7.5599998235702515E-2</v>
      </c>
      <c r="C118">
        <v>8.0300003290176392E-2</v>
      </c>
      <c r="D118">
        <v>8.3800002932548523E-2</v>
      </c>
      <c r="E118">
        <v>8.5100002586841583E-2</v>
      </c>
      <c r="F118">
        <v>8.4200002253055573E-2</v>
      </c>
      <c r="G118">
        <v>8.320000022649765E-2</v>
      </c>
      <c r="H118" s="10">
        <v>8.1799998879432678E-2</v>
      </c>
      <c r="I118">
        <v>8.0700002610683441E-2</v>
      </c>
      <c r="J118">
        <v>8.1200003623962402E-2</v>
      </c>
      <c r="K118" s="10">
        <v>8.6900003254413605E-2</v>
      </c>
      <c r="L118" s="10">
        <v>0.10750000178813934</v>
      </c>
      <c r="M118">
        <v>0.13740000128746033</v>
      </c>
      <c r="N118">
        <v>0.18919999897480011</v>
      </c>
      <c r="O118" s="10">
        <v>0.21109999716281891</v>
      </c>
      <c r="P118">
        <v>0.18420000374317169</v>
      </c>
      <c r="Q118">
        <v>0.12829999625682831</v>
      </c>
      <c r="R118">
        <v>8.5900001227855682E-2</v>
      </c>
      <c r="S118">
        <v>6.3500002026557922E-2</v>
      </c>
      <c r="T118">
        <v>5.6299999356269836E-2</v>
      </c>
      <c r="U118">
        <v>5.2700001746416092E-2</v>
      </c>
      <c r="V118">
        <v>5.1899999380111694E-2</v>
      </c>
      <c r="W118">
        <f t="shared" si="22"/>
        <v>0.17088333144783974</v>
      </c>
      <c r="X118">
        <f t="shared" si="23"/>
        <v>4.6350002909700073E-2</v>
      </c>
      <c r="Y118">
        <f t="shared" si="24"/>
        <v>6.7100001499056816E-2</v>
      </c>
      <c r="Z118">
        <f t="shared" si="25"/>
        <v>4.0916665767629944E-2</v>
      </c>
      <c r="AA118">
        <f t="shared" si="21"/>
        <v>1.9091351412795485</v>
      </c>
      <c r="AB118">
        <f t="shared" si="17"/>
        <v>0.42629770755767815</v>
      </c>
      <c r="AC118">
        <f t="shared" si="18"/>
        <v>0.3593351517990232</v>
      </c>
      <c r="AE118">
        <f t="shared" si="19"/>
        <v>31.818919021325812</v>
      </c>
      <c r="AF118">
        <f t="shared" si="19"/>
        <v>7.1049617926279698</v>
      </c>
      <c r="AG118">
        <f t="shared" si="19"/>
        <v>5.9889191966503867</v>
      </c>
      <c r="AI118">
        <f t="shared" si="20"/>
        <v>0.72021093303136741</v>
      </c>
      <c r="AJ118">
        <f t="shared" si="20"/>
        <v>0.16081851047143436</v>
      </c>
      <c r="AK118">
        <f t="shared" si="20"/>
        <v>0.13555724754754159</v>
      </c>
    </row>
    <row r="119" spans="1:37" x14ac:dyDescent="0.35">
      <c r="A119" s="13"/>
      <c r="B119">
        <v>7.590000331401825E-2</v>
      </c>
      <c r="C119">
        <v>8.0899998545646667E-2</v>
      </c>
      <c r="D119">
        <v>8.4700003266334534E-2</v>
      </c>
      <c r="E119">
        <v>8.6000002920627594E-2</v>
      </c>
      <c r="F119">
        <v>8.5199996829032898E-2</v>
      </c>
      <c r="G119">
        <v>8.4200002253055573E-2</v>
      </c>
      <c r="H119" s="10">
        <v>8.2800000905990601E-2</v>
      </c>
      <c r="I119">
        <v>8.1699997186660767E-2</v>
      </c>
      <c r="J119">
        <v>8.2099996507167816E-2</v>
      </c>
      <c r="K119" s="10">
        <v>8.7999999523162842E-2</v>
      </c>
      <c r="L119" s="10">
        <v>0.10939999669790268</v>
      </c>
      <c r="M119">
        <v>0.14040000736713409</v>
      </c>
      <c r="N119">
        <v>0.19439999759197235</v>
      </c>
      <c r="O119" s="10">
        <v>0.21719999611377716</v>
      </c>
      <c r="P119">
        <v>0.18919999897480011</v>
      </c>
      <c r="Q119">
        <v>0.13060000538825989</v>
      </c>
      <c r="R119">
        <v>8.619999885559082E-2</v>
      </c>
      <c r="S119">
        <v>6.2799997627735138E-2</v>
      </c>
      <c r="T119">
        <v>5.5100001394748688E-2</v>
      </c>
      <c r="U119">
        <v>5.1199998706579208E-2</v>
      </c>
      <c r="V119">
        <v>5.0200000405311584E-2</v>
      </c>
      <c r="W119">
        <f t="shared" si="22"/>
        <v>0.17698333039879799</v>
      </c>
      <c r="X119">
        <f t="shared" si="23"/>
        <v>4.7449999178449311E-2</v>
      </c>
      <c r="Y119">
        <f t="shared" si="24"/>
        <v>6.8999996408820152E-2</v>
      </c>
      <c r="Z119">
        <f t="shared" si="25"/>
        <v>4.1916667794187866E-2</v>
      </c>
      <c r="AA119">
        <f t="shared" si="21"/>
        <v>1.9782411385886369</v>
      </c>
      <c r="AB119">
        <f t="shared" si="17"/>
        <v>0.43143160969018934</v>
      </c>
      <c r="AC119">
        <f t="shared" si="18"/>
        <v>0.36094220507889985</v>
      </c>
      <c r="AE119">
        <f t="shared" si="19"/>
        <v>32.970685643143952</v>
      </c>
      <c r="AF119">
        <f t="shared" si="19"/>
        <v>7.1905268281698227</v>
      </c>
      <c r="AG119">
        <f t="shared" si="19"/>
        <v>6.0157034179816646</v>
      </c>
      <c r="AI119">
        <f t="shared" si="20"/>
        <v>0.74628079771715605</v>
      </c>
      <c r="AJ119">
        <f t="shared" si="20"/>
        <v>0.16275524735558675</v>
      </c>
      <c r="AK119">
        <f t="shared" si="20"/>
        <v>0.13616349972796887</v>
      </c>
    </row>
    <row r="120" spans="1:37" x14ac:dyDescent="0.35">
      <c r="A120" s="13"/>
      <c r="B120">
        <v>7.2899997234344482E-2</v>
      </c>
      <c r="C120">
        <v>7.7799998223781586E-2</v>
      </c>
      <c r="D120">
        <v>8.1399999558925629E-2</v>
      </c>
      <c r="E120">
        <v>8.2699999213218689E-2</v>
      </c>
      <c r="F120">
        <v>8.1799998879432678E-2</v>
      </c>
      <c r="G120">
        <v>8.0700002610683441E-2</v>
      </c>
      <c r="H120" s="10">
        <v>7.9199999570846558E-2</v>
      </c>
      <c r="I120">
        <v>7.8000001609325409E-2</v>
      </c>
      <c r="J120">
        <v>7.8299999237060547E-2</v>
      </c>
      <c r="K120" s="10">
        <v>8.3999998867511749E-2</v>
      </c>
      <c r="L120" s="10">
        <v>0.10320000350475311</v>
      </c>
      <c r="M120">
        <v>0.13600000739097595</v>
      </c>
      <c r="N120">
        <v>0.18940000236034393</v>
      </c>
      <c r="O120" s="10">
        <v>0.21199999749660492</v>
      </c>
      <c r="P120">
        <v>0.18440000712871552</v>
      </c>
      <c r="Q120">
        <v>0.12610000371932983</v>
      </c>
      <c r="R120">
        <v>8.2199998199939728E-2</v>
      </c>
      <c r="S120">
        <v>5.9000000357627869E-2</v>
      </c>
      <c r="T120">
        <v>5.1500000059604645E-2</v>
      </c>
      <c r="U120">
        <v>4.7699999064207077E-2</v>
      </c>
      <c r="V120">
        <v>4.6700000762939453E-2</v>
      </c>
      <c r="W120">
        <f t="shared" si="22"/>
        <v>0.17178333178162575</v>
      </c>
      <c r="X120">
        <f t="shared" si="23"/>
        <v>4.3449998522798218E-2</v>
      </c>
      <c r="Y120">
        <f t="shared" si="24"/>
        <v>6.2800003215670586E-2</v>
      </c>
      <c r="Z120">
        <f t="shared" si="25"/>
        <v>3.8316666459043823E-2</v>
      </c>
      <c r="AA120">
        <f t="shared" si="21"/>
        <v>1.9281711419485508</v>
      </c>
      <c r="AB120">
        <f t="shared" si="17"/>
        <v>0.33379974067211138</v>
      </c>
      <c r="AC120">
        <f t="shared" si="18"/>
        <v>0.29264216739684346</v>
      </c>
      <c r="AE120">
        <f t="shared" si="19"/>
        <v>32.136185699142516</v>
      </c>
      <c r="AF120">
        <f t="shared" si="19"/>
        <v>5.5633290112018567</v>
      </c>
      <c r="AG120">
        <f t="shared" si="19"/>
        <v>4.8773694566140575</v>
      </c>
      <c r="AI120">
        <f t="shared" si="20"/>
        <v>0.72739216159218012</v>
      </c>
      <c r="AJ120">
        <f t="shared" si="20"/>
        <v>0.12592415145318825</v>
      </c>
      <c r="AK120">
        <f t="shared" si="20"/>
        <v>0.11039767896365001</v>
      </c>
    </row>
    <row r="121" spans="1:37" x14ac:dyDescent="0.35">
      <c r="A121" s="13" t="s">
        <v>65</v>
      </c>
      <c r="B121">
        <v>6.0300000011920929E-2</v>
      </c>
      <c r="C121">
        <v>6.3000001013278961E-2</v>
      </c>
      <c r="D121">
        <v>6.4900003373622894E-2</v>
      </c>
      <c r="E121">
        <v>6.5399996936321259E-2</v>
      </c>
      <c r="F121">
        <v>6.4599998295307159E-2</v>
      </c>
      <c r="G121">
        <v>6.379999965429306E-2</v>
      </c>
      <c r="H121" s="10">
        <v>6.2799997627735138E-2</v>
      </c>
      <c r="I121">
        <v>6.210000067949295E-2</v>
      </c>
      <c r="J121">
        <v>6.2300000339746475E-2</v>
      </c>
      <c r="K121" s="10">
        <v>6.589999794960022E-2</v>
      </c>
      <c r="L121" s="10">
        <v>7.8800000250339508E-2</v>
      </c>
      <c r="M121">
        <v>9.6900001168251038E-2</v>
      </c>
      <c r="N121">
        <v>0.12790000438690186</v>
      </c>
      <c r="O121" s="10">
        <v>0.14030000567436218</v>
      </c>
      <c r="P121">
        <v>0.12370000034570694</v>
      </c>
      <c r="Q121">
        <v>8.9900001883506775E-2</v>
      </c>
      <c r="R121">
        <v>6.419999897480011E-2</v>
      </c>
      <c r="S121">
        <v>5.0500001758337021E-2</v>
      </c>
      <c r="T121">
        <v>4.6199999749660492E-2</v>
      </c>
      <c r="U121">
        <v>4.3900001794099808E-2</v>
      </c>
      <c r="V121">
        <v>4.3400000780820847E-2</v>
      </c>
      <c r="W121">
        <f t="shared" si="22"/>
        <v>0.10008333995938301</v>
      </c>
      <c r="X121">
        <f t="shared" si="23"/>
        <v>2.5349997604886688E-2</v>
      </c>
      <c r="Y121">
        <f t="shared" si="24"/>
        <v>3.8399999961256981E-2</v>
      </c>
      <c r="Z121">
        <f t="shared" si="25"/>
        <v>2.1916664515932403E-2</v>
      </c>
      <c r="AA121">
        <f t="shared" si="21"/>
        <v>1.1198822457902133</v>
      </c>
      <c r="AB121">
        <f t="shared" si="17"/>
        <v>0.2313656294345855</v>
      </c>
      <c r="AC121">
        <f t="shared" si="18"/>
        <v>0.16057908955961475</v>
      </c>
      <c r="AE121">
        <f t="shared" si="19"/>
        <v>18.664704096503556</v>
      </c>
      <c r="AF121">
        <f t="shared" si="19"/>
        <v>3.8560938239097586</v>
      </c>
      <c r="AG121">
        <f t="shared" si="19"/>
        <v>2.6763181593269127</v>
      </c>
      <c r="AI121">
        <f t="shared" si="20"/>
        <v>0.42246953590999448</v>
      </c>
      <c r="AJ121">
        <f t="shared" si="20"/>
        <v>8.7281435579668595E-2</v>
      </c>
      <c r="AK121">
        <f t="shared" si="20"/>
        <v>6.0577595276752216E-2</v>
      </c>
    </row>
    <row r="122" spans="1:37" x14ac:dyDescent="0.35">
      <c r="A122" s="13"/>
      <c r="B122">
        <v>6.120000034570694E-2</v>
      </c>
      <c r="C122">
        <v>6.4099997282028198E-2</v>
      </c>
      <c r="D122">
        <v>6.5999999642372131E-2</v>
      </c>
      <c r="E122">
        <v>6.6500000655651093E-2</v>
      </c>
      <c r="F122">
        <v>6.5399996936321259E-2</v>
      </c>
      <c r="G122">
        <v>6.4599998295307159E-2</v>
      </c>
      <c r="H122" s="10">
        <v>6.3900001347064972E-2</v>
      </c>
      <c r="I122">
        <v>6.3100002706050873E-2</v>
      </c>
      <c r="J122">
        <v>6.3500002026557922E-2</v>
      </c>
      <c r="K122" s="10">
        <v>6.719999760389328E-2</v>
      </c>
      <c r="L122" s="10">
        <v>8.020000159740448E-2</v>
      </c>
      <c r="M122">
        <v>9.8800003528594971E-2</v>
      </c>
      <c r="N122">
        <v>0.13060000538825989</v>
      </c>
      <c r="O122" s="10">
        <v>0.14339999854564667</v>
      </c>
      <c r="P122">
        <v>0.12630000710487366</v>
      </c>
      <c r="Q122">
        <v>9.1700002551078796E-2</v>
      </c>
      <c r="R122">
        <v>6.5200001001358032E-2</v>
      </c>
      <c r="S122">
        <v>5.130000039935112E-2</v>
      </c>
      <c r="T122">
        <v>4.6700000762939453E-2</v>
      </c>
      <c r="U122">
        <v>4.439999908208847E-2</v>
      </c>
      <c r="V122">
        <v>4.3900001794099808E-2</v>
      </c>
      <c r="W122">
        <f t="shared" si="22"/>
        <v>0.1031833328306675</v>
      </c>
      <c r="X122">
        <f t="shared" si="23"/>
        <v>2.6649997259179749E-2</v>
      </c>
      <c r="Y122">
        <f t="shared" si="24"/>
        <v>3.9800001308321953E-2</v>
      </c>
      <c r="Z122">
        <f t="shared" si="25"/>
        <v>2.3016668235262237E-2</v>
      </c>
      <c r="AA122">
        <f t="shared" si="21"/>
        <v>1.1541631581448017</v>
      </c>
      <c r="AB122">
        <f t="shared" si="17"/>
        <v>0.24281969606876375</v>
      </c>
      <c r="AC122">
        <f t="shared" si="18"/>
        <v>0.17581220675259829</v>
      </c>
      <c r="AE122">
        <f t="shared" si="19"/>
        <v>19.236052635746699</v>
      </c>
      <c r="AF122">
        <f t="shared" si="19"/>
        <v>4.0469949344793958</v>
      </c>
      <c r="AG122">
        <f t="shared" si="19"/>
        <v>2.9302034458766384</v>
      </c>
      <c r="AI122">
        <f t="shared" si="20"/>
        <v>0.4354018251640267</v>
      </c>
      <c r="AJ122">
        <f t="shared" si="20"/>
        <v>9.1602420427329009E-2</v>
      </c>
      <c r="AK122">
        <f t="shared" si="20"/>
        <v>6.6324206561263879E-2</v>
      </c>
    </row>
    <row r="123" spans="1:37" x14ac:dyDescent="0.35">
      <c r="A123" s="13"/>
      <c r="B123">
        <v>6.080000102519989E-2</v>
      </c>
      <c r="C123">
        <v>6.379999965429306E-2</v>
      </c>
      <c r="D123">
        <v>6.5800003707408905E-2</v>
      </c>
      <c r="E123">
        <v>6.6100001335144043E-2</v>
      </c>
      <c r="F123">
        <v>6.5200001001358032E-2</v>
      </c>
      <c r="G123">
        <v>6.4300000667572021E-2</v>
      </c>
      <c r="H123" s="10">
        <v>6.3500002026557922E-2</v>
      </c>
      <c r="I123">
        <v>6.2799997627735138E-2</v>
      </c>
      <c r="J123">
        <v>6.3100002706050873E-2</v>
      </c>
      <c r="K123" s="10">
        <v>6.6899999976158142E-2</v>
      </c>
      <c r="L123" s="10">
        <v>7.9000003635883331E-2</v>
      </c>
      <c r="M123">
        <v>9.920000284910202E-2</v>
      </c>
      <c r="N123">
        <v>0.1315000057220459</v>
      </c>
      <c r="O123" s="10">
        <v>0.1445000022649765</v>
      </c>
      <c r="P123">
        <v>0.12720000743865967</v>
      </c>
      <c r="Q123">
        <v>9.1799996793270111E-2</v>
      </c>
      <c r="R123">
        <v>6.4900003373622894E-2</v>
      </c>
      <c r="S123">
        <v>5.0799999386072159E-2</v>
      </c>
      <c r="T123">
        <v>4.6100001782178879E-2</v>
      </c>
      <c r="U123">
        <v>4.3800000101327896E-2</v>
      </c>
      <c r="V123">
        <v>4.3299999088048935E-2</v>
      </c>
      <c r="W123">
        <f t="shared" si="22"/>
        <v>0.10428333654999733</v>
      </c>
      <c r="X123">
        <f t="shared" si="23"/>
        <v>2.6349999631444611E-2</v>
      </c>
      <c r="Y123">
        <f t="shared" si="24"/>
        <v>3.8600003346800804E-2</v>
      </c>
      <c r="Z123">
        <f t="shared" si="25"/>
        <v>2.2616668914755188E-2</v>
      </c>
      <c r="AA123">
        <f t="shared" si="21"/>
        <v>1.1696021985821425</v>
      </c>
      <c r="AB123">
        <f t="shared" si="17"/>
        <v>0.21233771711587901</v>
      </c>
      <c r="AC123">
        <f t="shared" si="18"/>
        <v>0.16196520943194637</v>
      </c>
      <c r="AE123">
        <f t="shared" si="19"/>
        <v>19.493369976369042</v>
      </c>
      <c r="AF123">
        <f t="shared" si="19"/>
        <v>3.5389619519313169</v>
      </c>
      <c r="AG123">
        <f t="shared" si="19"/>
        <v>2.6994201571991061</v>
      </c>
      <c r="AI123">
        <f t="shared" si="20"/>
        <v>0.44122611988159899</v>
      </c>
      <c r="AJ123">
        <f t="shared" si="20"/>
        <v>8.0103258305371586E-2</v>
      </c>
      <c r="AK123">
        <f t="shared" si="20"/>
        <v>6.1100501521030019E-2</v>
      </c>
    </row>
    <row r="124" spans="1:37" s="3" customFormat="1" x14ac:dyDescent="0.35">
      <c r="A124" s="4"/>
    </row>
    <row r="125" spans="1:37" x14ac:dyDescent="0.35">
      <c r="A125" s="12" t="s">
        <v>2</v>
      </c>
      <c r="B125">
        <v>4.1600000113248825E-2</v>
      </c>
      <c r="C125">
        <v>4.1600000113248825E-2</v>
      </c>
      <c r="D125">
        <v>4.14000004529953E-2</v>
      </c>
      <c r="E125">
        <v>4.1299998760223389E-2</v>
      </c>
      <c r="F125">
        <v>4.1299998760223389E-2</v>
      </c>
      <c r="G125">
        <v>4.14000004529953E-2</v>
      </c>
      <c r="H125" s="10">
        <v>4.1099999099969864E-2</v>
      </c>
      <c r="I125">
        <v>4.0800001472234726E-2</v>
      </c>
      <c r="J125">
        <v>4.0800001472234726E-2</v>
      </c>
      <c r="K125" s="10">
        <v>4.0899999439716339E-2</v>
      </c>
      <c r="L125" s="10">
        <v>4.0800001472234726E-2</v>
      </c>
      <c r="M125">
        <v>4.0600001811981201E-2</v>
      </c>
      <c r="N125">
        <v>4.0300000458955765E-2</v>
      </c>
      <c r="O125" s="10">
        <v>4.0399998426437378E-2</v>
      </c>
      <c r="P125">
        <v>4.0600001811981201E-2</v>
      </c>
      <c r="Q125">
        <v>4.050000011920929E-2</v>
      </c>
      <c r="R125">
        <v>4.0199998766183853E-2</v>
      </c>
      <c r="S125">
        <v>4.010000079870224E-2</v>
      </c>
      <c r="T125">
        <v>3.9900001138448715E-2</v>
      </c>
      <c r="U125">
        <v>4.050000011920929E-2</v>
      </c>
      <c r="V125">
        <v>4.0699999779462814E-2</v>
      </c>
    </row>
    <row r="126" spans="1:37" x14ac:dyDescent="0.35">
      <c r="A126" s="12"/>
      <c r="B126">
        <v>4.1099999099969864E-2</v>
      </c>
      <c r="C126">
        <v>4.1000001132488251E-2</v>
      </c>
      <c r="D126">
        <v>4.1000001132488251E-2</v>
      </c>
      <c r="E126">
        <v>4.1099999099969864E-2</v>
      </c>
      <c r="F126">
        <v>4.1000001132488251E-2</v>
      </c>
      <c r="G126">
        <v>4.0899999439716339E-2</v>
      </c>
      <c r="H126" s="10">
        <v>4.0600001811981201E-2</v>
      </c>
      <c r="I126">
        <v>4.0699999779462814E-2</v>
      </c>
      <c r="J126">
        <v>4.0600001811981201E-2</v>
      </c>
      <c r="K126" s="10">
        <v>4.050000011920929E-2</v>
      </c>
      <c r="L126" s="10">
        <v>4.0300000458955765E-2</v>
      </c>
      <c r="M126">
        <v>4.0399998426437378E-2</v>
      </c>
      <c r="N126">
        <v>4.050000011920929E-2</v>
      </c>
      <c r="O126" s="10">
        <v>4.0399998426437378E-2</v>
      </c>
      <c r="P126">
        <v>4.0199998766183853E-2</v>
      </c>
      <c r="Q126">
        <v>4.0199998766183853E-2</v>
      </c>
      <c r="R126">
        <v>4.0300000458955765E-2</v>
      </c>
      <c r="S126">
        <v>4.0300000458955765E-2</v>
      </c>
      <c r="T126">
        <v>4.010000079870224E-2</v>
      </c>
      <c r="U126">
        <v>4.010000079870224E-2</v>
      </c>
      <c r="V126">
        <v>4.010000079870224E-2</v>
      </c>
    </row>
    <row r="127" spans="1:37" x14ac:dyDescent="0.35">
      <c r="A127" s="12"/>
      <c r="B127">
        <v>4.0300000458955765E-2</v>
      </c>
      <c r="C127">
        <v>4.0199998766183853E-2</v>
      </c>
      <c r="D127">
        <v>4.0199998766183853E-2</v>
      </c>
      <c r="E127">
        <v>4.010000079870224E-2</v>
      </c>
      <c r="F127">
        <v>3.9999999105930328E-2</v>
      </c>
      <c r="G127">
        <v>3.9799999445676804E-2</v>
      </c>
      <c r="H127" s="10">
        <v>3.9799999445676804E-2</v>
      </c>
      <c r="I127">
        <v>3.9500001817941666E-2</v>
      </c>
      <c r="J127">
        <v>3.9400000125169754E-2</v>
      </c>
      <c r="K127" s="10">
        <v>3.9400000125169754E-2</v>
      </c>
      <c r="L127" s="10">
        <v>3.9200000464916229E-2</v>
      </c>
      <c r="M127">
        <v>3.9099998772144318E-2</v>
      </c>
      <c r="N127">
        <v>3.9099998772144318E-2</v>
      </c>
      <c r="O127" s="10">
        <v>3.9099998772144318E-2</v>
      </c>
      <c r="P127">
        <v>3.8899999111890793E-2</v>
      </c>
      <c r="Q127">
        <v>3.8899999111890793E-2</v>
      </c>
      <c r="R127">
        <v>3.880000114440918E-2</v>
      </c>
      <c r="S127">
        <v>3.8699999451637268E-2</v>
      </c>
      <c r="T127">
        <v>3.8600001484155655E-2</v>
      </c>
      <c r="U127">
        <v>3.8699999451637268E-2</v>
      </c>
      <c r="V127">
        <v>3.8699999451637268E-2</v>
      </c>
    </row>
    <row r="128" spans="1:37" x14ac:dyDescent="0.35">
      <c r="A128" s="12" t="s">
        <v>3</v>
      </c>
      <c r="B128">
        <v>4.14000004529953E-2</v>
      </c>
      <c r="C128">
        <v>4.1299998760223389E-2</v>
      </c>
      <c r="D128">
        <v>4.1200000792741776E-2</v>
      </c>
      <c r="E128">
        <v>4.1099999099969864E-2</v>
      </c>
      <c r="F128">
        <v>4.0899999439716339E-2</v>
      </c>
      <c r="G128">
        <v>4.0699999779462814E-2</v>
      </c>
      <c r="H128" s="10">
        <v>4.050000011920929E-2</v>
      </c>
      <c r="I128">
        <v>4.0399998426437378E-2</v>
      </c>
      <c r="J128">
        <v>4.0300000458955765E-2</v>
      </c>
      <c r="K128" s="10">
        <v>3.9900001138448715E-2</v>
      </c>
      <c r="L128" s="10">
        <v>3.9799999445676804E-2</v>
      </c>
      <c r="M128">
        <v>3.9799999445676804E-2</v>
      </c>
      <c r="N128">
        <v>3.970000147819519E-2</v>
      </c>
      <c r="O128" s="10">
        <v>3.9400000125169754E-2</v>
      </c>
      <c r="P128">
        <v>3.9400000125169754E-2</v>
      </c>
      <c r="Q128">
        <v>3.9299998432397842E-2</v>
      </c>
      <c r="R128">
        <v>3.9200000464916229E-2</v>
      </c>
      <c r="S128">
        <v>3.9000000804662704E-2</v>
      </c>
      <c r="T128">
        <v>3.9099998772144318E-2</v>
      </c>
      <c r="U128">
        <v>3.9000000804662704E-2</v>
      </c>
      <c r="V128">
        <v>3.9000000804662704E-2</v>
      </c>
    </row>
    <row r="129" spans="1:22" x14ac:dyDescent="0.35">
      <c r="A129" s="12"/>
      <c r="B129">
        <v>4.14000004529953E-2</v>
      </c>
      <c r="C129">
        <v>4.1200000792741776E-2</v>
      </c>
      <c r="D129">
        <v>4.1299998760223389E-2</v>
      </c>
      <c r="E129">
        <v>4.1200000792741776E-2</v>
      </c>
      <c r="F129">
        <v>4.1099999099969864E-2</v>
      </c>
      <c r="G129">
        <v>4.0899999439716339E-2</v>
      </c>
      <c r="H129" s="10">
        <v>4.0899999439716339E-2</v>
      </c>
      <c r="I129">
        <v>4.0800001472234726E-2</v>
      </c>
      <c r="J129">
        <v>4.0600001811981201E-2</v>
      </c>
      <c r="K129" s="10">
        <v>4.050000011920929E-2</v>
      </c>
      <c r="L129" s="10">
        <v>4.0300000458955765E-2</v>
      </c>
      <c r="M129">
        <v>4.050000011920929E-2</v>
      </c>
      <c r="N129">
        <v>4.0300000458955765E-2</v>
      </c>
      <c r="O129" s="10">
        <v>4.0199998766183853E-2</v>
      </c>
      <c r="P129">
        <v>4.010000079870224E-2</v>
      </c>
      <c r="Q129">
        <v>4.010000079870224E-2</v>
      </c>
      <c r="R129">
        <v>4.010000079870224E-2</v>
      </c>
      <c r="S129">
        <v>3.9999999105930328E-2</v>
      </c>
      <c r="T129">
        <v>3.9999999105930328E-2</v>
      </c>
      <c r="U129">
        <v>3.9999999105930328E-2</v>
      </c>
      <c r="V129">
        <v>3.9999999105930328E-2</v>
      </c>
    </row>
    <row r="130" spans="1:22" x14ac:dyDescent="0.35">
      <c r="A130" s="12"/>
      <c r="B130">
        <v>4.2800001800060272E-2</v>
      </c>
      <c r="C130">
        <v>4.2700000107288361E-2</v>
      </c>
      <c r="D130">
        <v>4.2800001800060272E-2</v>
      </c>
      <c r="E130">
        <v>4.2700000107288361E-2</v>
      </c>
      <c r="F130">
        <v>4.2599998414516449E-2</v>
      </c>
      <c r="G130">
        <v>4.2399998754262924E-2</v>
      </c>
      <c r="H130" s="10">
        <v>4.2399998754262924E-2</v>
      </c>
      <c r="I130">
        <v>4.2300000786781311E-2</v>
      </c>
      <c r="J130">
        <v>4.2199999094009399E-2</v>
      </c>
      <c r="K130" s="10">
        <v>4.2100001126527786E-2</v>
      </c>
      <c r="L130" s="10">
        <v>4.1999999433755875E-2</v>
      </c>
      <c r="M130">
        <v>4.2100001126527786E-2</v>
      </c>
      <c r="N130">
        <v>4.1999999433755875E-2</v>
      </c>
      <c r="O130" s="10">
        <v>4.179999977350235E-2</v>
      </c>
      <c r="P130">
        <v>4.1900001466274261E-2</v>
      </c>
      <c r="Q130">
        <v>4.1700001806020737E-2</v>
      </c>
      <c r="R130">
        <v>4.1700001806020737E-2</v>
      </c>
      <c r="S130">
        <v>4.1600000113248825E-2</v>
      </c>
      <c r="T130">
        <v>4.1600000113248825E-2</v>
      </c>
      <c r="U130">
        <v>4.1499998420476913E-2</v>
      </c>
      <c r="V130">
        <v>4.14000004529953E-2</v>
      </c>
    </row>
    <row r="131" spans="1:22" x14ac:dyDescent="0.35">
      <c r="A131" s="12"/>
      <c r="G131" s="7" t="s">
        <v>4</v>
      </c>
      <c r="H131" s="10">
        <f>AVERAGE(H125:H130)</f>
        <v>4.0883333111802735E-2</v>
      </c>
      <c r="I131" s="7"/>
      <c r="J131" s="7"/>
      <c r="K131" s="10">
        <f>AVERAGE(K125:K130)</f>
        <v>4.0550000344713531E-2</v>
      </c>
      <c r="L131" s="10">
        <f>AVERAGE(L125:L130)</f>
        <v>4.0400000289082527E-2</v>
      </c>
      <c r="M131" s="7"/>
      <c r="N131" s="7"/>
      <c r="O131" s="10">
        <f>AVERAGE(O125:O130)</f>
        <v>4.0216665714979172E-2</v>
      </c>
    </row>
    <row r="132" spans="1:22" x14ac:dyDescent="0.35">
      <c r="A132" s="12"/>
    </row>
    <row r="133" spans="1:22" x14ac:dyDescent="0.35">
      <c r="A133" s="12"/>
    </row>
  </sheetData>
  <mergeCells count="43">
    <mergeCell ref="A118:A120"/>
    <mergeCell ref="A121:A123"/>
    <mergeCell ref="A101:A103"/>
    <mergeCell ref="A105:A107"/>
    <mergeCell ref="A108:A110"/>
    <mergeCell ref="A111:A113"/>
    <mergeCell ref="A115:A117"/>
    <mergeCell ref="A85:A87"/>
    <mergeCell ref="A88:A90"/>
    <mergeCell ref="A91:A93"/>
    <mergeCell ref="A95:A97"/>
    <mergeCell ref="A98:A100"/>
    <mergeCell ref="A68:A70"/>
    <mergeCell ref="A71:A73"/>
    <mergeCell ref="A75:A77"/>
    <mergeCell ref="A78:A80"/>
    <mergeCell ref="A81:A83"/>
    <mergeCell ref="AK1:AK2"/>
    <mergeCell ref="A5:A7"/>
    <mergeCell ref="A21:A23"/>
    <mergeCell ref="A15:A17"/>
    <mergeCell ref="A18:A20"/>
    <mergeCell ref="A8:A10"/>
    <mergeCell ref="A11:A13"/>
    <mergeCell ref="AH1:AH3"/>
    <mergeCell ref="AI1:AI2"/>
    <mergeCell ref="AJ1:AJ2"/>
    <mergeCell ref="A125:A127"/>
    <mergeCell ref="A128:A130"/>
    <mergeCell ref="A131:A133"/>
    <mergeCell ref="A41:A43"/>
    <mergeCell ref="A25:A27"/>
    <mergeCell ref="A28:A30"/>
    <mergeCell ref="A31:A33"/>
    <mergeCell ref="A35:A37"/>
    <mergeCell ref="A38:A40"/>
    <mergeCell ref="A45:A47"/>
    <mergeCell ref="A48:A50"/>
    <mergeCell ref="A51:A53"/>
    <mergeCell ref="A55:A57"/>
    <mergeCell ref="A58:A60"/>
    <mergeCell ref="A61:A63"/>
    <mergeCell ref="A65:A6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298A-E4C7-4931-B7A3-23030426764F}">
  <dimension ref="A1:G37"/>
  <sheetViews>
    <sheetView tabSelected="1" workbookViewId="0">
      <selection activeCell="G1" sqref="G1"/>
    </sheetView>
  </sheetViews>
  <sheetFormatPr baseColWidth="10" defaultRowHeight="14.5" x14ac:dyDescent="0.35"/>
  <sheetData>
    <row r="1" spans="1:7" x14ac:dyDescent="0.35">
      <c r="A1" t="s">
        <v>66</v>
      </c>
      <c r="B1" t="s">
        <v>67</v>
      </c>
      <c r="C1" t="s">
        <v>71</v>
      </c>
      <c r="D1" t="s">
        <v>68</v>
      </c>
      <c r="E1" t="s">
        <v>69</v>
      </c>
      <c r="F1" t="s">
        <v>70</v>
      </c>
      <c r="G1" t="s">
        <v>76</v>
      </c>
    </row>
    <row r="2" spans="1:7" x14ac:dyDescent="0.35">
      <c r="A2">
        <v>1</v>
      </c>
      <c r="B2" t="s">
        <v>72</v>
      </c>
      <c r="C2">
        <v>1</v>
      </c>
      <c r="D2">
        <f>AVERAGE(Rohdaten!AI5:AI7)</f>
        <v>0.11538926855235203</v>
      </c>
      <c r="E2">
        <f>AVERAGE(Rohdaten!AJ5:AJ7)</f>
        <v>4.7185117802589487E-2</v>
      </c>
      <c r="F2">
        <f>AVERAGE(Rohdaten!AK5:AK7)</f>
        <v>5.9294366061284264E-2</v>
      </c>
      <c r="G2">
        <v>7.3336351290176752E-2</v>
      </c>
    </row>
    <row r="3" spans="1:7" x14ac:dyDescent="0.35">
      <c r="A3">
        <v>2</v>
      </c>
      <c r="B3" t="s">
        <v>72</v>
      </c>
      <c r="C3">
        <v>1</v>
      </c>
      <c r="D3">
        <f>AVERAGE(Rohdaten!AI8:AI10)</f>
        <v>0.23306656999530465</v>
      </c>
      <c r="E3">
        <f>AVERAGE(Rohdaten!AJ8:AJ10)</f>
        <v>5.585570743740411E-2</v>
      </c>
      <c r="F3">
        <f>AVERAGE(Rohdaten!AK8:AK10)</f>
        <v>5.4553402111359263E-2</v>
      </c>
      <c r="G3">
        <v>7.831598008148502E-2</v>
      </c>
    </row>
    <row r="4" spans="1:7" x14ac:dyDescent="0.35">
      <c r="A4">
        <v>3</v>
      </c>
      <c r="B4" t="s">
        <v>72</v>
      </c>
      <c r="C4">
        <v>1</v>
      </c>
      <c r="D4">
        <f>AVERAGE(Rohdaten!AI11:AI13)</f>
        <v>0.11473636625973678</v>
      </c>
      <c r="E4">
        <f>AVERAGE(Rohdaten!AJ11:AJ13)</f>
        <v>2.9858023169582613E-2</v>
      </c>
      <c r="F4">
        <f>AVERAGE(Rohdaten!AK11:AK13)</f>
        <v>2.6655665465629818E-2</v>
      </c>
      <c r="G4">
        <v>9.9366229062924097E-2</v>
      </c>
    </row>
    <row r="5" spans="1:7" x14ac:dyDescent="0.35">
      <c r="A5">
        <v>4</v>
      </c>
      <c r="B5" t="s">
        <v>73</v>
      </c>
      <c r="C5">
        <v>1</v>
      </c>
      <c r="D5">
        <f>AVERAGE(Rohdaten!AI25:AI27)</f>
        <v>0.17111607508982241</v>
      </c>
      <c r="E5">
        <f>AVERAGE(Rohdaten!AJ25:AJ27)</f>
        <v>6.1646677090077033E-2</v>
      </c>
      <c r="F5">
        <f>AVERAGE(Rohdaten!AK25:AK27)</f>
        <v>7.7997912587160934E-2</v>
      </c>
      <c r="G5">
        <v>6.7224988682661815E-2</v>
      </c>
    </row>
    <row r="6" spans="1:7" x14ac:dyDescent="0.35">
      <c r="A6">
        <v>5</v>
      </c>
      <c r="B6" t="s">
        <v>73</v>
      </c>
      <c r="C6">
        <v>1</v>
      </c>
      <c r="D6">
        <f>AVERAGE(Rohdaten!AI28:AI30)</f>
        <v>6.5828620351554554E-2</v>
      </c>
      <c r="E6">
        <f>AVERAGE(Rohdaten!AJ28:AJ30)</f>
        <v>2.6697980203542072E-2</v>
      </c>
      <c r="F6">
        <f>AVERAGE(Rohdaten!AK28:AK30)</f>
        <v>2.865291186384224E-2</v>
      </c>
      <c r="G6">
        <v>9.8913535536441929E-2</v>
      </c>
    </row>
    <row r="7" spans="1:7" x14ac:dyDescent="0.35">
      <c r="A7">
        <v>6</v>
      </c>
      <c r="B7" t="s">
        <v>73</v>
      </c>
      <c r="C7">
        <v>1</v>
      </c>
      <c r="D7">
        <f>AVERAGE(Rohdaten!AI31:AI33)</f>
        <v>0.23352553519462907</v>
      </c>
      <c r="E7">
        <f>AVERAGE(Rohdaten!AJ31:AJ33)</f>
        <v>4.1933381831338358E-2</v>
      </c>
      <c r="F7">
        <f>AVERAGE(Rohdaten!AK31:AK33)</f>
        <v>3.7680759559965492E-2</v>
      </c>
      <c r="G7">
        <v>6.9262109551833456E-2</v>
      </c>
    </row>
    <row r="8" spans="1:7" x14ac:dyDescent="0.35">
      <c r="A8">
        <v>7</v>
      </c>
      <c r="B8" t="s">
        <v>74</v>
      </c>
      <c r="C8">
        <v>1</v>
      </c>
      <c r="D8">
        <f>AVERAGE(Rohdaten!AI15:AI17)</f>
        <v>0.23430417844870419</v>
      </c>
      <c r="E8">
        <f>AVERAGE(Rohdaten!AJ15:AJ17)</f>
        <v>5.9447327533074523E-2</v>
      </c>
      <c r="F8">
        <f>AVERAGE(Rohdaten!AK15:AK17)</f>
        <v>6.4146105381060803E-2</v>
      </c>
      <c r="G8">
        <v>9.5971027614305315E-2</v>
      </c>
    </row>
    <row r="9" spans="1:7" x14ac:dyDescent="0.35">
      <c r="A9">
        <v>8</v>
      </c>
      <c r="B9" t="s">
        <v>74</v>
      </c>
      <c r="C9">
        <v>1</v>
      </c>
      <c r="D9">
        <f>AVERAGE(Rohdaten!AI18:AI20)</f>
        <v>0.11022705367638574</v>
      </c>
      <c r="E9">
        <f>AVERAGE(Rohdaten!AJ18:AJ20)</f>
        <v>2.8998917298959506E-2</v>
      </c>
      <c r="F9">
        <f>AVERAGE(Rohdaten!AK18:AK20)</f>
        <v>2.9381878354923164E-2</v>
      </c>
      <c r="G9">
        <v>0.12698053417836092</v>
      </c>
    </row>
    <row r="10" spans="1:7" x14ac:dyDescent="0.35">
      <c r="A10">
        <v>9</v>
      </c>
      <c r="B10" t="s">
        <v>74</v>
      </c>
      <c r="C10">
        <v>1</v>
      </c>
      <c r="D10">
        <f>AVERAGE(Rohdaten!AI21:AI23)</f>
        <v>0.22716293109148125</v>
      </c>
      <c r="E10">
        <f>AVERAGE(Rohdaten!AJ21:AJ23)</f>
        <v>5.7598081867607676E-2</v>
      </c>
      <c r="F10">
        <f>AVERAGE(Rohdaten!AK21:AK23)</f>
        <v>6.3168678090173458E-2</v>
      </c>
      <c r="G10">
        <v>0.18220914440923455</v>
      </c>
    </row>
    <row r="11" spans="1:7" x14ac:dyDescent="0.35">
      <c r="A11">
        <v>10</v>
      </c>
      <c r="B11" t="s">
        <v>75</v>
      </c>
      <c r="C11">
        <v>1</v>
      </c>
      <c r="D11">
        <f>AVERAGE(Rohdaten!AI35:AI37)</f>
        <v>0.14433347495743734</v>
      </c>
      <c r="E11">
        <f>AVERAGE(Rohdaten!AJ35:AJ37)</f>
        <v>8.0849418905585904E-2</v>
      </c>
      <c r="F11">
        <f>AVERAGE(Rohdaten!AK35:AK37)</f>
        <v>0.10239430912385035</v>
      </c>
      <c r="G11">
        <v>6.6093254866455134E-2</v>
      </c>
    </row>
    <row r="12" spans="1:7" x14ac:dyDescent="0.35">
      <c r="A12">
        <v>11</v>
      </c>
      <c r="B12" t="s">
        <v>75</v>
      </c>
      <c r="C12">
        <v>1</v>
      </c>
      <c r="D12">
        <f>AVERAGE(Rohdaten!AI38:AI40)</f>
        <v>0.23564754013804268</v>
      </c>
      <c r="E12">
        <f>AVERAGE(Rohdaten!AJ38:AJ40)</f>
        <v>8.1597627075701479E-2</v>
      </c>
      <c r="F12">
        <f>AVERAGE(Rohdaten!AK38:AK40)</f>
        <v>0.10008544615993085</v>
      </c>
      <c r="G12">
        <v>7.0393843368040152E-2</v>
      </c>
    </row>
    <row r="13" spans="1:7" x14ac:dyDescent="0.35">
      <c r="A13">
        <v>12</v>
      </c>
      <c r="B13" t="s">
        <v>75</v>
      </c>
      <c r="C13">
        <v>1</v>
      </c>
      <c r="D13">
        <f>AVERAGE(Rohdaten!AI41:AI43)</f>
        <v>0.18786498994048539</v>
      </c>
      <c r="E13">
        <f>AVERAGE(Rohdaten!AJ41:AJ43)</f>
        <v>6.9594453975478088E-2</v>
      </c>
      <c r="F13">
        <f>AVERAGE(Rohdaten!AK41:AK43)</f>
        <v>8.4834824179463475E-2</v>
      </c>
      <c r="G13">
        <v>6.3377093707560242E-2</v>
      </c>
    </row>
    <row r="14" spans="1:7" x14ac:dyDescent="0.35">
      <c r="A14">
        <v>13</v>
      </c>
      <c r="B14" t="s">
        <v>72</v>
      </c>
      <c r="C14">
        <v>2</v>
      </c>
      <c r="D14">
        <f>AVERAGE(Rohdaten!AI45:AI47)</f>
        <v>0.12160850733364574</v>
      </c>
      <c r="E14">
        <f>AVERAGE(Rohdaten!AJ45:AJ47)</f>
        <v>2.546564426980839E-2</v>
      </c>
      <c r="F14">
        <f>AVERAGE(Rohdaten!AK45:AK47)</f>
        <v>1.9337511134463362E-2</v>
      </c>
      <c r="G14">
        <v>0.32571299230421041</v>
      </c>
    </row>
    <row r="15" spans="1:7" x14ac:dyDescent="0.35">
      <c r="A15">
        <v>14</v>
      </c>
      <c r="B15" t="s">
        <v>72</v>
      </c>
      <c r="C15">
        <v>2</v>
      </c>
      <c r="D15">
        <f>AVERAGE(Rohdaten!AI48:AI50)</f>
        <v>0.1851450687228523</v>
      </c>
      <c r="E15">
        <f>AVERAGE(Rohdaten!AJ48:AJ50)</f>
        <v>3.9264739967317115E-2</v>
      </c>
      <c r="F15">
        <f>AVERAGE(Rohdaten!AK48:AK50)</f>
        <v>3.6427175137004747E-2</v>
      </c>
      <c r="G15">
        <v>0.20574920778632874</v>
      </c>
    </row>
    <row r="16" spans="1:7" x14ac:dyDescent="0.35">
      <c r="A16">
        <v>15</v>
      </c>
      <c r="B16" t="s">
        <v>72</v>
      </c>
      <c r="C16">
        <v>2</v>
      </c>
      <c r="D16">
        <f>AVERAGE(Rohdaten!AI51:AI53)</f>
        <v>0.23499038748051129</v>
      </c>
      <c r="E16">
        <f>AVERAGE(Rohdaten!AJ51:AJ53)</f>
        <v>4.6154735353647669E-2</v>
      </c>
      <c r="F16">
        <f>AVERAGE(Rohdaten!AK51:AK53)</f>
        <v>4.6567016801493361E-2</v>
      </c>
      <c r="G16">
        <v>0.11204164780443679</v>
      </c>
    </row>
    <row r="17" spans="1:7" x14ac:dyDescent="0.35">
      <c r="A17">
        <v>16</v>
      </c>
      <c r="B17" t="s">
        <v>73</v>
      </c>
      <c r="C17">
        <v>2</v>
      </c>
      <c r="D17">
        <f>AVERAGE(Rohdaten!AI65:AI67)</f>
        <v>2.4529895851789846E-2</v>
      </c>
      <c r="E17">
        <f>AVERAGE(Rohdaten!AJ65:AJ67)</f>
        <v>1.4398797243229433E-2</v>
      </c>
      <c r="F17">
        <f>AVERAGE(Rohdaten!AK65:AK67)</f>
        <v>1.9868660293226082E-2</v>
      </c>
      <c r="G17">
        <v>0.15436849253055665</v>
      </c>
    </row>
    <row r="18" spans="1:7" x14ac:dyDescent="0.35">
      <c r="A18">
        <v>17</v>
      </c>
      <c r="B18" t="s">
        <v>73</v>
      </c>
      <c r="C18">
        <v>2</v>
      </c>
      <c r="D18">
        <f>AVERAGE(Rohdaten!AI68:AI70)</f>
        <v>0.176351109680185</v>
      </c>
      <c r="E18">
        <f>AVERAGE(Rohdaten!AJ68:AJ70)</f>
        <v>7.9064798960113217E-2</v>
      </c>
      <c r="F18">
        <f>AVERAGE(Rohdaten!AK68:AK70)</f>
        <v>9.5657467184212919E-2</v>
      </c>
      <c r="G18">
        <v>9.3254866455409785E-2</v>
      </c>
    </row>
    <row r="19" spans="1:7" x14ac:dyDescent="0.35">
      <c r="A19">
        <v>18</v>
      </c>
      <c r="B19" t="s">
        <v>73</v>
      </c>
      <c r="C19">
        <v>2</v>
      </c>
      <c r="D19">
        <f>AVERAGE(Rohdaten!AI71:AI73)</f>
        <v>8.5295451314810977E-2</v>
      </c>
      <c r="E19">
        <f>AVERAGE(Rohdaten!AJ71:AJ73)</f>
        <v>3.9268765664305712E-2</v>
      </c>
      <c r="F19">
        <f>AVERAGE(Rohdaten!AK71:AK73)</f>
        <v>4.4872932484397172E-2</v>
      </c>
      <c r="G19">
        <v>7.8768673607967812E-2</v>
      </c>
    </row>
    <row r="20" spans="1:7" x14ac:dyDescent="0.35">
      <c r="A20">
        <v>19</v>
      </c>
      <c r="B20" t="s">
        <v>74</v>
      </c>
      <c r="C20">
        <v>2</v>
      </c>
      <c r="D20">
        <f>AVERAGE(Rohdaten!AI55:AI57)</f>
        <v>5.7416699764788491E-2</v>
      </c>
      <c r="E20">
        <f>AVERAGE(Rohdaten!AJ55:AJ57)</f>
        <v>1.8579168403063506E-2</v>
      </c>
      <c r="F20">
        <f>AVERAGE(Rohdaten!AK55:AK57)</f>
        <v>2.3077752554157643E-2</v>
      </c>
      <c r="G20">
        <v>6.9262109551833456E-2</v>
      </c>
    </row>
    <row r="21" spans="1:7" x14ac:dyDescent="0.35">
      <c r="A21">
        <v>20</v>
      </c>
      <c r="B21" t="s">
        <v>74</v>
      </c>
      <c r="C21">
        <v>2</v>
      </c>
      <c r="D21">
        <f>AVERAGE(Rohdaten!AI58:AI60)</f>
        <v>0.14433159551840738</v>
      </c>
      <c r="E21">
        <f>AVERAGE(Rohdaten!AJ58:AJ60)</f>
        <v>3.8493904008045567E-2</v>
      </c>
      <c r="F21">
        <f>AVERAGE(Rohdaten!AK58:AK60)</f>
        <v>4.3668386961454003E-2</v>
      </c>
      <c r="G21">
        <v>6.3829787234042396E-2</v>
      </c>
    </row>
    <row r="22" spans="1:7" x14ac:dyDescent="0.35">
      <c r="A22">
        <v>21</v>
      </c>
      <c r="B22" t="s">
        <v>74</v>
      </c>
      <c r="C22">
        <v>2</v>
      </c>
      <c r="D22">
        <f>AVERAGE(Rohdaten!AI61:AI63)</f>
        <v>7.420735518065287E-2</v>
      </c>
      <c r="E22">
        <f>AVERAGE(Rohdaten!AJ61:AJ63)</f>
        <v>4.8787662390566866E-2</v>
      </c>
      <c r="F22">
        <f>AVERAGE(Rohdaten!AK61:AK63)</f>
        <v>6.5357181203358747E-2</v>
      </c>
      <c r="G22">
        <v>7.6731552738795533E-2</v>
      </c>
    </row>
    <row r="23" spans="1:7" x14ac:dyDescent="0.35">
      <c r="A23">
        <v>22</v>
      </c>
      <c r="B23" t="s">
        <v>75</v>
      </c>
      <c r="C23">
        <v>2</v>
      </c>
      <c r="D23">
        <f>AVERAGE(Rohdaten!AI75:AI77)</f>
        <v>2.9875201236695167E-2</v>
      </c>
      <c r="E23">
        <f>AVERAGE(Rohdaten!AJ75:AJ77)</f>
        <v>3.5193778527996607E-2</v>
      </c>
      <c r="F23">
        <f>AVERAGE(Rohdaten!AK75:AK77)</f>
        <v>4.9027768105881608E-2</v>
      </c>
      <c r="G23">
        <v>7.922136713444998E-2</v>
      </c>
    </row>
    <row r="24" spans="1:7" x14ac:dyDescent="0.35">
      <c r="A24">
        <v>23</v>
      </c>
      <c r="B24" t="s">
        <v>75</v>
      </c>
      <c r="C24">
        <v>2</v>
      </c>
      <c r="D24">
        <f>AVERAGE(Rohdaten!AI78:AI80)</f>
        <v>3.1858626514651496E-2</v>
      </c>
      <c r="E24">
        <f>AVERAGE(Rohdaten!AJ78:AJ80)</f>
        <v>2.0323803584737312E-2</v>
      </c>
      <c r="F24">
        <f>AVERAGE(Rohdaten!AK78:AK80)</f>
        <v>2.7091254533914196E-2</v>
      </c>
      <c r="G24">
        <v>5.7039384336804215E-2</v>
      </c>
    </row>
    <row r="25" spans="1:7" x14ac:dyDescent="0.35">
      <c r="A25">
        <v>24</v>
      </c>
      <c r="B25" t="s">
        <v>75</v>
      </c>
      <c r="C25">
        <v>2</v>
      </c>
      <c r="D25">
        <f>AVERAGE(Rohdaten!AI81:AI83)</f>
        <v>3.3301459835228309E-2</v>
      </c>
      <c r="E25">
        <f>AVERAGE(Rohdaten!AJ81:AJ83)</f>
        <v>1.721027385958555E-2</v>
      </c>
      <c r="F25">
        <f>AVERAGE(Rohdaten!AK81:AK83)</f>
        <v>1.9670608549250335E-2</v>
      </c>
      <c r="G25">
        <v>9.9366229062924735E-2</v>
      </c>
    </row>
    <row r="26" spans="1:7" x14ac:dyDescent="0.35">
      <c r="A26">
        <v>25</v>
      </c>
      <c r="B26" t="s">
        <v>72</v>
      </c>
      <c r="C26">
        <v>3</v>
      </c>
      <c r="D26">
        <f>AVERAGE(Rohdaten!AI85:AI87)</f>
        <v>0.21934454606352327</v>
      </c>
      <c r="E26">
        <f>AVERAGE(Rohdaten!AJ85:AJ87)</f>
        <v>3.867774424547641E-2</v>
      </c>
      <c r="F26">
        <f>AVERAGE(Rohdaten!AK85:AK87)</f>
        <v>2.6489307316082272E-2</v>
      </c>
      <c r="G26">
        <v>0.64259846084200967</v>
      </c>
    </row>
    <row r="27" spans="1:7" x14ac:dyDescent="0.35">
      <c r="A27">
        <v>26</v>
      </c>
      <c r="B27" t="s">
        <v>72</v>
      </c>
      <c r="C27">
        <v>3</v>
      </c>
      <c r="D27">
        <f>AVERAGE(Rohdaten!AI88:AI90)</f>
        <v>1.0636792087015017</v>
      </c>
      <c r="E27">
        <f>AVERAGE(Rohdaten!AJ88:AJ90)</f>
        <v>0.19540150511325363</v>
      </c>
      <c r="F27">
        <f>AVERAGE(Rohdaten!AK88:AK90)</f>
        <v>0.17872094482840786</v>
      </c>
      <c r="G27">
        <v>0.32254413761883205</v>
      </c>
    </row>
    <row r="28" spans="1:7" x14ac:dyDescent="0.35">
      <c r="A28">
        <v>27</v>
      </c>
      <c r="B28" t="s">
        <v>72</v>
      </c>
      <c r="C28">
        <v>3</v>
      </c>
      <c r="D28">
        <f>AVERAGE(Rohdaten!AI91:AI93)</f>
        <v>0.47517851171247277</v>
      </c>
      <c r="E28">
        <f>AVERAGE(Rohdaten!AJ91:AJ93)</f>
        <v>8.0609502190525664E-2</v>
      </c>
      <c r="F28">
        <f>AVERAGE(Rohdaten!AK91:AK93)</f>
        <v>5.8867581853688344E-2</v>
      </c>
      <c r="G28">
        <v>0.59483929379809874</v>
      </c>
    </row>
    <row r="29" spans="1:7" x14ac:dyDescent="0.35">
      <c r="A29">
        <v>28</v>
      </c>
      <c r="B29" t="s">
        <v>73</v>
      </c>
      <c r="C29">
        <v>3</v>
      </c>
      <c r="D29">
        <f>AVERAGE(Rohdaten!AI105:AI107)</f>
        <v>0.36968342386921399</v>
      </c>
      <c r="E29">
        <f>AVERAGE(Rohdaten!AJ105:AJ107)</f>
        <v>7.6605671893350491E-2</v>
      </c>
      <c r="F29">
        <f>AVERAGE(Rohdaten!AK105:AK107)</f>
        <v>5.182291283014797E-2</v>
      </c>
      <c r="G29">
        <v>0.20982344952467138</v>
      </c>
    </row>
    <row r="30" spans="1:7" x14ac:dyDescent="0.35">
      <c r="A30">
        <v>29</v>
      </c>
      <c r="B30" t="s">
        <v>73</v>
      </c>
      <c r="C30">
        <v>3</v>
      </c>
      <c r="D30">
        <f>AVERAGE(Rohdaten!AI108:AI110)</f>
        <v>0.22908436737772486</v>
      </c>
      <c r="E30">
        <f>AVERAGE(Rohdaten!AJ108:AJ110)</f>
        <v>7.2136823207666137E-2</v>
      </c>
      <c r="F30">
        <f>AVERAGE(Rohdaten!AK108:AK110)</f>
        <v>5.2593881285409171E-2</v>
      </c>
      <c r="G30">
        <v>0.1776822091444091</v>
      </c>
    </row>
    <row r="31" spans="1:7" x14ac:dyDescent="0.35">
      <c r="A31">
        <v>30</v>
      </c>
      <c r="B31" t="s">
        <v>73</v>
      </c>
      <c r="C31">
        <v>3</v>
      </c>
      <c r="D31">
        <f>AVERAGE(Rohdaten!AI111:AI113)</f>
        <v>0.15175073294413219</v>
      </c>
      <c r="E31">
        <f>AVERAGE(Rohdaten!AJ111:AJ113)</f>
        <v>4.9518753103786319E-2</v>
      </c>
      <c r="F31">
        <f>AVERAGE(Rohdaten!AK111:AK113)</f>
        <v>3.9369432162591866E-2</v>
      </c>
      <c r="G31">
        <v>0.17677682209144416</v>
      </c>
    </row>
    <row r="32" spans="1:7" x14ac:dyDescent="0.35">
      <c r="A32">
        <v>31</v>
      </c>
      <c r="B32" t="s">
        <v>74</v>
      </c>
      <c r="C32">
        <v>3</v>
      </c>
      <c r="D32">
        <f>AVERAGE(Rohdaten!AI95:AI97)</f>
        <v>0.75896641577134771</v>
      </c>
      <c r="E32">
        <f>AVERAGE(Rohdaten!AJ95:AJ97)</f>
        <v>0.11822304445597183</v>
      </c>
      <c r="F32">
        <f>AVERAGE(Rohdaten!AK95:AK97)</f>
        <v>0.10613343595921033</v>
      </c>
      <c r="G32">
        <v>0.53078315980081459</v>
      </c>
    </row>
    <row r="33" spans="1:7" x14ac:dyDescent="0.35">
      <c r="A33">
        <v>32</v>
      </c>
      <c r="B33" t="s">
        <v>74</v>
      </c>
      <c r="C33">
        <v>3</v>
      </c>
      <c r="D33">
        <f>AVERAGE(Rohdaten!AI98:AI100)</f>
        <v>0.77222758388759216</v>
      </c>
      <c r="E33">
        <f>AVERAGE(Rohdaten!AJ98:AJ100)</f>
        <v>0.10696782350935906</v>
      </c>
      <c r="F33">
        <f>AVERAGE(Rohdaten!AK98:AK100)</f>
        <v>8.9893677844299871E-2</v>
      </c>
      <c r="G33">
        <v>0.54368492530556833</v>
      </c>
    </row>
    <row r="34" spans="1:7" x14ac:dyDescent="0.35">
      <c r="A34">
        <v>33</v>
      </c>
      <c r="B34" t="s">
        <v>74</v>
      </c>
      <c r="C34">
        <v>3</v>
      </c>
      <c r="D34">
        <f>AVERAGE(Rohdaten!AI101:AI103)</f>
        <v>0.35595035141427722</v>
      </c>
      <c r="E34">
        <f>AVERAGE(Rohdaten!AJ101:AJ103)</f>
        <v>6.4084674522380369E-2</v>
      </c>
      <c r="F34">
        <f>AVERAGE(Rohdaten!AK101:AK103)</f>
        <v>6.1295769476669031E-2</v>
      </c>
      <c r="G34">
        <v>0.34766862833861506</v>
      </c>
    </row>
    <row r="35" spans="1:7" x14ac:dyDescent="0.35">
      <c r="A35">
        <v>34</v>
      </c>
      <c r="B35" t="s">
        <v>75</v>
      </c>
      <c r="C35">
        <v>3</v>
      </c>
      <c r="D35">
        <f>AVERAGE(Rohdaten!AI115:AI117)</f>
        <v>0.87529343819340977</v>
      </c>
      <c r="E35">
        <f>AVERAGE(Rohdaten!AJ115:AJ117)</f>
        <v>0.14416489480882635</v>
      </c>
      <c r="F35">
        <f>AVERAGE(Rohdaten!AK115:AK117)</f>
        <v>0.10160500147912048</v>
      </c>
      <c r="G35">
        <v>0.11837935717519217</v>
      </c>
    </row>
    <row r="36" spans="1:7" x14ac:dyDescent="0.35">
      <c r="A36">
        <v>35</v>
      </c>
      <c r="B36" t="s">
        <v>75</v>
      </c>
      <c r="C36">
        <v>3</v>
      </c>
      <c r="D36">
        <f>AVERAGE(Rohdaten!AI118:AI120)</f>
        <v>0.73129463078023449</v>
      </c>
      <c r="E36">
        <f>AVERAGE(Rohdaten!AJ118:AJ120)</f>
        <v>0.14983263642673647</v>
      </c>
      <c r="F36">
        <f>AVERAGE(Rohdaten!AK118:AK120)</f>
        <v>0.12737280874638682</v>
      </c>
      <c r="G36">
        <v>0.41376188320507018</v>
      </c>
    </row>
    <row r="37" spans="1:7" x14ac:dyDescent="0.35">
      <c r="A37">
        <v>36</v>
      </c>
      <c r="B37" t="s">
        <v>75</v>
      </c>
      <c r="C37">
        <v>3</v>
      </c>
      <c r="D37">
        <f>AVERAGE(Rohdaten!AI121:AI123)</f>
        <v>0.43303249365187341</v>
      </c>
      <c r="E37">
        <f>AVERAGE(Rohdaten!AJ121:AJ123)</f>
        <v>8.6329038104123068E-2</v>
      </c>
      <c r="F37">
        <f>AVERAGE(Rohdaten!AK121:AK123)</f>
        <v>6.2667434453015369E-2</v>
      </c>
      <c r="G37">
        <v>0.30692621095518341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Rohdaten</vt:lpstr>
      <vt:lpstr>für 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Oster</dc:creator>
  <cp:lastModifiedBy>Sophie Oster</cp:lastModifiedBy>
  <dcterms:created xsi:type="dcterms:W3CDTF">2021-09-21T14:07:17Z</dcterms:created>
  <dcterms:modified xsi:type="dcterms:W3CDTF">2024-03-02T12:52:32Z</dcterms:modified>
</cp:coreProperties>
</file>